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ublic\QC DATA\PHYSICAL LAB REPORT\10-PHYSICAL LAB REPORT-2026\"/>
    </mc:Choice>
  </mc:AlternateContent>
  <xr:revisionPtr revIDLastSave="0" documentId="13_ncr:1_{679475D8-4E3C-4973-9C84-32F835AAB973}" xr6:coauthVersionLast="47" xr6:coauthVersionMax="47" xr10:uidLastSave="{00000000-0000-0000-0000-000000000000}"/>
  <bookViews>
    <workbookView xWindow="-120" yWindow="-120" windowWidth="20730" windowHeight="11160" tabRatio="814" xr2:uid="{00000000-000D-0000-FFFF-FFFF00000000}"/>
  </bookViews>
  <sheets>
    <sheet name="DAILY SUMMARY" sheetId="8" r:id="rId1"/>
    <sheet name="LAB-BALL MILL-CLINKER" sheetId="13" r:id="rId2"/>
    <sheet name="42.5R" sheetId="9" r:id="rId3"/>
    <sheet name="42.5N" sheetId="10" r:id="rId4"/>
    <sheet name="32.5N" sheetId="11" state="hidden" r:id="rId5"/>
    <sheet name="OPC-42.5N" sheetId="1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61" i="9" l="1"/>
  <c r="K119" i="12"/>
  <c r="K120" i="12"/>
  <c r="K121" i="12"/>
  <c r="AH542" i="12"/>
  <c r="AG542" i="12"/>
  <c r="AF542" i="12"/>
  <c r="AE542" i="12"/>
  <c r="AD542" i="12"/>
  <c r="AC542" i="12"/>
  <c r="AB542" i="12"/>
  <c r="AA542" i="12"/>
  <c r="Z542" i="12"/>
  <c r="X542" i="12"/>
  <c r="W542" i="12"/>
  <c r="V542" i="12"/>
  <c r="U542" i="12"/>
  <c r="T542" i="12"/>
  <c r="S542" i="12"/>
  <c r="R542" i="12"/>
  <c r="Q542" i="12"/>
  <c r="P542" i="12"/>
  <c r="O542" i="12"/>
  <c r="N542" i="12"/>
  <c r="L542" i="12"/>
  <c r="K542" i="12"/>
  <c r="J542" i="12"/>
  <c r="I542" i="12"/>
  <c r="H542" i="12"/>
  <c r="G542" i="12"/>
  <c r="F542" i="12"/>
  <c r="E542" i="12"/>
  <c r="D542" i="12"/>
  <c r="C542" i="12"/>
  <c r="B542" i="12"/>
  <c r="AH541" i="12"/>
  <c r="AG541" i="12"/>
  <c r="AF541" i="12"/>
  <c r="AE541" i="12"/>
  <c r="AD541" i="12"/>
  <c r="AC541" i="12"/>
  <c r="AB541" i="12"/>
  <c r="AA541" i="12"/>
  <c r="Z541" i="12"/>
  <c r="X541" i="12"/>
  <c r="W541" i="12"/>
  <c r="V541" i="12"/>
  <c r="U541" i="12"/>
  <c r="T541" i="12"/>
  <c r="S541" i="12"/>
  <c r="R541" i="12"/>
  <c r="Q541" i="12"/>
  <c r="P541" i="12"/>
  <c r="O541" i="12"/>
  <c r="N541" i="12"/>
  <c r="L541" i="12"/>
  <c r="K541" i="12"/>
  <c r="J541" i="12"/>
  <c r="I541" i="12"/>
  <c r="H541" i="12"/>
  <c r="G541" i="12"/>
  <c r="F541" i="12"/>
  <c r="E541" i="12"/>
  <c r="D541" i="12"/>
  <c r="C541" i="12"/>
  <c r="B541" i="12"/>
  <c r="AH540" i="12"/>
  <c r="AG540" i="12"/>
  <c r="AF540" i="12"/>
  <c r="AE540" i="12"/>
  <c r="AD540" i="12"/>
  <c r="AC540" i="12"/>
  <c r="AB540" i="12"/>
  <c r="AA540" i="12"/>
  <c r="Z540" i="12"/>
  <c r="X540" i="12"/>
  <c r="W540" i="12"/>
  <c r="V540" i="12"/>
  <c r="U540" i="12"/>
  <c r="T540" i="12"/>
  <c r="S540" i="12"/>
  <c r="R540" i="12"/>
  <c r="Q540" i="12"/>
  <c r="P540" i="12"/>
  <c r="O540" i="12"/>
  <c r="N540" i="12"/>
  <c r="L540" i="12"/>
  <c r="K540" i="12"/>
  <c r="J540" i="12"/>
  <c r="I540" i="12"/>
  <c r="H540" i="12"/>
  <c r="G540" i="12"/>
  <c r="F540" i="12"/>
  <c r="E540" i="12"/>
  <c r="D540" i="12"/>
  <c r="C540" i="12"/>
  <c r="B540" i="12"/>
  <c r="AH539" i="12"/>
  <c r="AG539" i="12"/>
  <c r="AF539" i="12"/>
  <c r="AE539" i="12"/>
  <c r="AD539" i="12"/>
  <c r="AC539" i="12"/>
  <c r="AB539" i="12"/>
  <c r="AA539" i="12"/>
  <c r="Z539" i="12"/>
  <c r="X539" i="12"/>
  <c r="W539" i="12"/>
  <c r="V539" i="12"/>
  <c r="U539" i="12"/>
  <c r="T539" i="12"/>
  <c r="S539" i="12"/>
  <c r="R539" i="12"/>
  <c r="Q539" i="12"/>
  <c r="P539" i="12"/>
  <c r="O539" i="12"/>
  <c r="N539" i="12"/>
  <c r="L539" i="12"/>
  <c r="K539" i="12"/>
  <c r="J539" i="12"/>
  <c r="I539" i="12"/>
  <c r="H539" i="12"/>
  <c r="G539" i="12"/>
  <c r="F539" i="12"/>
  <c r="E539" i="12"/>
  <c r="D539" i="12"/>
  <c r="C539" i="12"/>
  <c r="B539" i="12"/>
  <c r="AH500" i="12"/>
  <c r="AG500" i="12"/>
  <c r="AF500" i="12"/>
  <c r="AE500" i="12"/>
  <c r="AD500" i="12"/>
  <c r="AC500" i="12"/>
  <c r="AB500" i="12"/>
  <c r="AA500" i="12"/>
  <c r="Z500" i="12"/>
  <c r="X500" i="12"/>
  <c r="W500" i="12"/>
  <c r="V500" i="12"/>
  <c r="U500" i="12"/>
  <c r="T500" i="12"/>
  <c r="S500" i="12"/>
  <c r="R500" i="12"/>
  <c r="Q500" i="12"/>
  <c r="P500" i="12"/>
  <c r="O500" i="12"/>
  <c r="N500" i="12"/>
  <c r="L500" i="12"/>
  <c r="K500" i="12"/>
  <c r="J500" i="12"/>
  <c r="I500" i="12"/>
  <c r="H500" i="12"/>
  <c r="G500" i="12"/>
  <c r="F500" i="12"/>
  <c r="E500" i="12"/>
  <c r="D500" i="12"/>
  <c r="C500" i="12"/>
  <c r="B500" i="12"/>
  <c r="AH499" i="12"/>
  <c r="AG499" i="12"/>
  <c r="AF499" i="12"/>
  <c r="AE499" i="12"/>
  <c r="AD499" i="12"/>
  <c r="AC499" i="12"/>
  <c r="AB499" i="12"/>
  <c r="AA499" i="12"/>
  <c r="Z499" i="12"/>
  <c r="X499" i="12"/>
  <c r="W499" i="12"/>
  <c r="V499" i="12"/>
  <c r="U499" i="12"/>
  <c r="T499" i="12"/>
  <c r="S499" i="12"/>
  <c r="R499" i="12"/>
  <c r="Q499" i="12"/>
  <c r="P499" i="12"/>
  <c r="O499" i="12"/>
  <c r="N499" i="12"/>
  <c r="L499" i="12"/>
  <c r="K499" i="12"/>
  <c r="J499" i="12"/>
  <c r="I499" i="12"/>
  <c r="H499" i="12"/>
  <c r="G499" i="12"/>
  <c r="F499" i="12"/>
  <c r="E499" i="12"/>
  <c r="D499" i="12"/>
  <c r="C499" i="12"/>
  <c r="B499" i="12"/>
  <c r="AH498" i="12"/>
  <c r="AG498" i="12"/>
  <c r="AF498" i="12"/>
  <c r="AE498" i="12"/>
  <c r="AD498" i="12"/>
  <c r="AC498" i="12"/>
  <c r="AB498" i="12"/>
  <c r="AA498" i="12"/>
  <c r="Z498" i="12"/>
  <c r="X498" i="12"/>
  <c r="W498" i="12"/>
  <c r="V498" i="12"/>
  <c r="U498" i="12"/>
  <c r="T498" i="12"/>
  <c r="S498" i="12"/>
  <c r="R498" i="12"/>
  <c r="Q498" i="12"/>
  <c r="P498" i="12"/>
  <c r="O498" i="12"/>
  <c r="N498" i="12"/>
  <c r="L498" i="12"/>
  <c r="K498" i="12"/>
  <c r="J498" i="12"/>
  <c r="I498" i="12"/>
  <c r="H498" i="12"/>
  <c r="G498" i="12"/>
  <c r="F498" i="12"/>
  <c r="E498" i="12"/>
  <c r="D498" i="12"/>
  <c r="C498" i="12"/>
  <c r="B498" i="12"/>
  <c r="AH497" i="12"/>
  <c r="AG497" i="12"/>
  <c r="AF497" i="12"/>
  <c r="AE497" i="12"/>
  <c r="AD497" i="12"/>
  <c r="AC497" i="12"/>
  <c r="AB497" i="12"/>
  <c r="AA497" i="12"/>
  <c r="Z497" i="12"/>
  <c r="X497" i="12"/>
  <c r="W497" i="12"/>
  <c r="V497" i="12"/>
  <c r="U497" i="12"/>
  <c r="T497" i="12"/>
  <c r="S497" i="12"/>
  <c r="R497" i="12"/>
  <c r="Q497" i="12"/>
  <c r="P497" i="12"/>
  <c r="O497" i="12"/>
  <c r="N497" i="12"/>
  <c r="L497" i="12"/>
  <c r="K497" i="12"/>
  <c r="J497" i="12"/>
  <c r="I497" i="12"/>
  <c r="H497" i="12"/>
  <c r="G497" i="12"/>
  <c r="F497" i="12"/>
  <c r="E497" i="12"/>
  <c r="D497" i="12"/>
  <c r="C497" i="12"/>
  <c r="B497" i="12"/>
  <c r="AH458" i="12"/>
  <c r="AG458" i="12"/>
  <c r="AF458" i="12"/>
  <c r="AE458" i="12"/>
  <c r="AD458" i="12"/>
  <c r="AC458" i="12"/>
  <c r="AB458" i="12"/>
  <c r="AA458" i="12"/>
  <c r="Z458" i="12"/>
  <c r="X458" i="12"/>
  <c r="W458" i="12"/>
  <c r="V458" i="12"/>
  <c r="U458" i="12"/>
  <c r="T458" i="12"/>
  <c r="S458" i="12"/>
  <c r="R458" i="12"/>
  <c r="Q458" i="12"/>
  <c r="P458" i="12"/>
  <c r="O458" i="12"/>
  <c r="N458" i="12"/>
  <c r="L458" i="12"/>
  <c r="K458" i="12"/>
  <c r="J458" i="12"/>
  <c r="I458" i="12"/>
  <c r="H458" i="12"/>
  <c r="G458" i="12"/>
  <c r="F458" i="12"/>
  <c r="E458" i="12"/>
  <c r="D458" i="12"/>
  <c r="C458" i="12"/>
  <c r="B458" i="12"/>
  <c r="AH457" i="12"/>
  <c r="AG457" i="12"/>
  <c r="AF457" i="12"/>
  <c r="AE457" i="12"/>
  <c r="AD457" i="12"/>
  <c r="AC457" i="12"/>
  <c r="AB457" i="12"/>
  <c r="AA457" i="12"/>
  <c r="Z457" i="12"/>
  <c r="X457" i="12"/>
  <c r="W457" i="12"/>
  <c r="V457" i="12"/>
  <c r="U457" i="12"/>
  <c r="T457" i="12"/>
  <c r="S457" i="12"/>
  <c r="R457" i="12"/>
  <c r="Q457" i="12"/>
  <c r="P457" i="12"/>
  <c r="O457" i="12"/>
  <c r="N457" i="12"/>
  <c r="L457" i="12"/>
  <c r="K457" i="12"/>
  <c r="J457" i="12"/>
  <c r="I457" i="12"/>
  <c r="H457" i="12"/>
  <c r="G457" i="12"/>
  <c r="F457" i="12"/>
  <c r="E457" i="12"/>
  <c r="D457" i="12"/>
  <c r="C457" i="12"/>
  <c r="B457" i="12"/>
  <c r="AH456" i="12"/>
  <c r="AG456" i="12"/>
  <c r="AF456" i="12"/>
  <c r="AE456" i="12"/>
  <c r="AD456" i="12"/>
  <c r="AC456" i="12"/>
  <c r="AB456" i="12"/>
  <c r="AA456" i="12"/>
  <c r="Z456" i="12"/>
  <c r="X456" i="12"/>
  <c r="W456" i="12"/>
  <c r="V456" i="12"/>
  <c r="U456" i="12"/>
  <c r="T456" i="12"/>
  <c r="S456" i="12"/>
  <c r="R456" i="12"/>
  <c r="Q456" i="12"/>
  <c r="P456" i="12"/>
  <c r="O456" i="12"/>
  <c r="N456" i="12"/>
  <c r="L456" i="12"/>
  <c r="K456" i="12"/>
  <c r="J456" i="12"/>
  <c r="I456" i="12"/>
  <c r="H456" i="12"/>
  <c r="G456" i="12"/>
  <c r="F456" i="12"/>
  <c r="E456" i="12"/>
  <c r="D456" i="12"/>
  <c r="C456" i="12"/>
  <c r="B456" i="12"/>
  <c r="AH455" i="12"/>
  <c r="AG455" i="12"/>
  <c r="AF455" i="12"/>
  <c r="AE455" i="12"/>
  <c r="AD455" i="12"/>
  <c r="AC455" i="12"/>
  <c r="AB455" i="12"/>
  <c r="AA455" i="12"/>
  <c r="Z455" i="12"/>
  <c r="X455" i="12"/>
  <c r="W455" i="12"/>
  <c r="V455" i="12"/>
  <c r="U455" i="12"/>
  <c r="T455" i="12"/>
  <c r="S455" i="12"/>
  <c r="R455" i="12"/>
  <c r="Q455" i="12"/>
  <c r="P455" i="12"/>
  <c r="O455" i="12"/>
  <c r="N455" i="12"/>
  <c r="L455" i="12"/>
  <c r="K455" i="12"/>
  <c r="J455" i="12"/>
  <c r="I455" i="12"/>
  <c r="H455" i="12"/>
  <c r="G455" i="12"/>
  <c r="F455" i="12"/>
  <c r="E455" i="12"/>
  <c r="D455" i="12"/>
  <c r="C455" i="12"/>
  <c r="B455" i="12"/>
  <c r="AH416" i="12"/>
  <c r="AG416" i="12"/>
  <c r="AF416" i="12"/>
  <c r="AE416" i="12"/>
  <c r="AD416" i="12"/>
  <c r="AC416" i="12"/>
  <c r="AB416" i="12"/>
  <c r="AA416" i="12"/>
  <c r="Z416" i="12"/>
  <c r="X416" i="12"/>
  <c r="W416" i="12"/>
  <c r="V416" i="12"/>
  <c r="U416" i="12"/>
  <c r="T416" i="12"/>
  <c r="S416" i="12"/>
  <c r="R416" i="12"/>
  <c r="Q416" i="12"/>
  <c r="P416" i="12"/>
  <c r="O416" i="12"/>
  <c r="N416" i="12"/>
  <c r="L416" i="12"/>
  <c r="K416" i="12"/>
  <c r="J416" i="12"/>
  <c r="I416" i="12"/>
  <c r="H416" i="12"/>
  <c r="G416" i="12"/>
  <c r="F416" i="12"/>
  <c r="E416" i="12"/>
  <c r="D416" i="12"/>
  <c r="C416" i="12"/>
  <c r="B416" i="12"/>
  <c r="AH415" i="12"/>
  <c r="AG415" i="12"/>
  <c r="AF415" i="12"/>
  <c r="AE415" i="12"/>
  <c r="AD415" i="12"/>
  <c r="AC415" i="12"/>
  <c r="AB415" i="12"/>
  <c r="AA415" i="12"/>
  <c r="Z415" i="12"/>
  <c r="X415" i="12"/>
  <c r="W415" i="12"/>
  <c r="V415" i="12"/>
  <c r="U415" i="12"/>
  <c r="T415" i="12"/>
  <c r="S415" i="12"/>
  <c r="R415" i="12"/>
  <c r="Q415" i="12"/>
  <c r="P415" i="12"/>
  <c r="O415" i="12"/>
  <c r="N415" i="12"/>
  <c r="L415" i="12"/>
  <c r="K415" i="12"/>
  <c r="J415" i="12"/>
  <c r="I415" i="12"/>
  <c r="H415" i="12"/>
  <c r="G415" i="12"/>
  <c r="F415" i="12"/>
  <c r="E415" i="12"/>
  <c r="D415" i="12"/>
  <c r="C415" i="12"/>
  <c r="B415" i="12"/>
  <c r="AH414" i="12"/>
  <c r="AG414" i="12"/>
  <c r="AF414" i="12"/>
  <c r="AE414" i="12"/>
  <c r="AD414" i="12"/>
  <c r="AC414" i="12"/>
  <c r="AB414" i="12"/>
  <c r="AA414" i="12"/>
  <c r="Z414" i="12"/>
  <c r="X414" i="12"/>
  <c r="W414" i="12"/>
  <c r="V414" i="12"/>
  <c r="U414" i="12"/>
  <c r="T414" i="12"/>
  <c r="S414" i="12"/>
  <c r="R414" i="12"/>
  <c r="Q414" i="12"/>
  <c r="P414" i="12"/>
  <c r="O414" i="12"/>
  <c r="N414" i="12"/>
  <c r="L414" i="12"/>
  <c r="K414" i="12"/>
  <c r="J414" i="12"/>
  <c r="I414" i="12"/>
  <c r="H414" i="12"/>
  <c r="G414" i="12"/>
  <c r="F414" i="12"/>
  <c r="E414" i="12"/>
  <c r="D414" i="12"/>
  <c r="C414" i="12"/>
  <c r="B414" i="12"/>
  <c r="AH413" i="12"/>
  <c r="AG413" i="12"/>
  <c r="AF413" i="12"/>
  <c r="AE413" i="12"/>
  <c r="AD413" i="12"/>
  <c r="AC413" i="12"/>
  <c r="AB413" i="12"/>
  <c r="AA413" i="12"/>
  <c r="Z413" i="12"/>
  <c r="X413" i="12"/>
  <c r="W413" i="12"/>
  <c r="V413" i="12"/>
  <c r="U413" i="12"/>
  <c r="T413" i="12"/>
  <c r="S413" i="12"/>
  <c r="R413" i="12"/>
  <c r="Q413" i="12"/>
  <c r="P413" i="12"/>
  <c r="O413" i="12"/>
  <c r="N413" i="12"/>
  <c r="L413" i="12"/>
  <c r="K413" i="12"/>
  <c r="J413" i="12"/>
  <c r="I413" i="12"/>
  <c r="H413" i="12"/>
  <c r="G413" i="12"/>
  <c r="F413" i="12"/>
  <c r="E413" i="12"/>
  <c r="D413" i="12"/>
  <c r="C413" i="12"/>
  <c r="B413" i="12"/>
  <c r="AH374" i="12"/>
  <c r="AG374" i="12"/>
  <c r="AF374" i="12"/>
  <c r="AE374" i="12"/>
  <c r="AD374" i="12"/>
  <c r="AC374" i="12"/>
  <c r="AB374" i="12"/>
  <c r="AA374" i="12"/>
  <c r="Z374" i="12"/>
  <c r="X374" i="12"/>
  <c r="W374" i="12"/>
  <c r="V374" i="12"/>
  <c r="U374" i="12"/>
  <c r="T374" i="12"/>
  <c r="S374" i="12"/>
  <c r="R374" i="12"/>
  <c r="Q374" i="12"/>
  <c r="P374" i="12"/>
  <c r="O374" i="12"/>
  <c r="N374" i="12"/>
  <c r="L374" i="12"/>
  <c r="K374" i="12"/>
  <c r="J374" i="12"/>
  <c r="I374" i="12"/>
  <c r="H374" i="12"/>
  <c r="G374" i="12"/>
  <c r="F374" i="12"/>
  <c r="E374" i="12"/>
  <c r="D374" i="12"/>
  <c r="C374" i="12"/>
  <c r="B374" i="12"/>
  <c r="AH373" i="12"/>
  <c r="AG373" i="12"/>
  <c r="AF373" i="12"/>
  <c r="AE373" i="12"/>
  <c r="AD373" i="12"/>
  <c r="AC373" i="12"/>
  <c r="AB373" i="12"/>
  <c r="AA373" i="12"/>
  <c r="Z373" i="12"/>
  <c r="X373" i="12"/>
  <c r="W373" i="12"/>
  <c r="V373" i="12"/>
  <c r="U373" i="12"/>
  <c r="T373" i="12"/>
  <c r="S373" i="12"/>
  <c r="R373" i="12"/>
  <c r="Q373" i="12"/>
  <c r="P373" i="12"/>
  <c r="O373" i="12"/>
  <c r="N373" i="12"/>
  <c r="L373" i="12"/>
  <c r="K373" i="12"/>
  <c r="J373" i="12"/>
  <c r="I373" i="12"/>
  <c r="H373" i="12"/>
  <c r="G373" i="12"/>
  <c r="F373" i="12"/>
  <c r="E373" i="12"/>
  <c r="D373" i="12"/>
  <c r="C373" i="12"/>
  <c r="B373" i="12"/>
  <c r="AH372" i="12"/>
  <c r="AG372" i="12"/>
  <c r="AF372" i="12"/>
  <c r="AE372" i="12"/>
  <c r="AD372" i="12"/>
  <c r="AC372" i="12"/>
  <c r="AB372" i="12"/>
  <c r="AA372" i="12"/>
  <c r="Z372" i="12"/>
  <c r="X372" i="12"/>
  <c r="W372" i="12"/>
  <c r="V372" i="12"/>
  <c r="U372" i="12"/>
  <c r="T372" i="12"/>
  <c r="S372" i="12"/>
  <c r="R372" i="12"/>
  <c r="Q372" i="12"/>
  <c r="P372" i="12"/>
  <c r="O372" i="12"/>
  <c r="N372" i="12"/>
  <c r="L372" i="12"/>
  <c r="K372" i="12"/>
  <c r="J372" i="12"/>
  <c r="I372" i="12"/>
  <c r="H372" i="12"/>
  <c r="G372" i="12"/>
  <c r="F372" i="12"/>
  <c r="E372" i="12"/>
  <c r="D372" i="12"/>
  <c r="C372" i="12"/>
  <c r="B372" i="12"/>
  <c r="AH371" i="12"/>
  <c r="AG371" i="12"/>
  <c r="AF371" i="12"/>
  <c r="AE371" i="12"/>
  <c r="AD371" i="12"/>
  <c r="AC371" i="12"/>
  <c r="AB371" i="12"/>
  <c r="AA371" i="12"/>
  <c r="Z371" i="12"/>
  <c r="X371" i="12"/>
  <c r="W371" i="12"/>
  <c r="V371" i="12"/>
  <c r="U371" i="12"/>
  <c r="T371" i="12"/>
  <c r="S371" i="12"/>
  <c r="R371" i="12"/>
  <c r="Q371" i="12"/>
  <c r="P371" i="12"/>
  <c r="O371" i="12"/>
  <c r="N371" i="12"/>
  <c r="L371" i="12"/>
  <c r="K371" i="12"/>
  <c r="J371" i="12"/>
  <c r="I371" i="12"/>
  <c r="H371" i="12"/>
  <c r="G371" i="12"/>
  <c r="F371" i="12"/>
  <c r="E371" i="12"/>
  <c r="D371" i="12"/>
  <c r="C371" i="12"/>
  <c r="B371" i="12"/>
  <c r="AH332" i="12"/>
  <c r="AG332" i="12"/>
  <c r="AF332" i="12"/>
  <c r="AE332" i="12"/>
  <c r="AD332" i="12"/>
  <c r="AC332" i="12"/>
  <c r="AB332" i="12"/>
  <c r="AA332" i="12"/>
  <c r="Z332" i="12"/>
  <c r="X332" i="12"/>
  <c r="W332" i="12"/>
  <c r="V332" i="12"/>
  <c r="U332" i="12"/>
  <c r="T332" i="12"/>
  <c r="S332" i="12"/>
  <c r="R332" i="12"/>
  <c r="Q332" i="12"/>
  <c r="P332" i="12"/>
  <c r="O332" i="12"/>
  <c r="N332" i="12"/>
  <c r="L332" i="12"/>
  <c r="K332" i="12"/>
  <c r="J332" i="12"/>
  <c r="I332" i="12"/>
  <c r="H332" i="12"/>
  <c r="G332" i="12"/>
  <c r="F332" i="12"/>
  <c r="E332" i="12"/>
  <c r="D332" i="12"/>
  <c r="C332" i="12"/>
  <c r="B332" i="12"/>
  <c r="AH331" i="12"/>
  <c r="AG331" i="12"/>
  <c r="AF331" i="12"/>
  <c r="AE331" i="12"/>
  <c r="AD331" i="12"/>
  <c r="AC331" i="12"/>
  <c r="AB331" i="12"/>
  <c r="AA331" i="12"/>
  <c r="Z331" i="12"/>
  <c r="X331" i="12"/>
  <c r="W331" i="12"/>
  <c r="V331" i="12"/>
  <c r="U331" i="12"/>
  <c r="T331" i="12"/>
  <c r="S331" i="12"/>
  <c r="R331" i="12"/>
  <c r="Q331" i="12"/>
  <c r="P331" i="12"/>
  <c r="O331" i="12"/>
  <c r="N331" i="12"/>
  <c r="L331" i="12"/>
  <c r="K331" i="12"/>
  <c r="J331" i="12"/>
  <c r="I331" i="12"/>
  <c r="H331" i="12"/>
  <c r="G331" i="12"/>
  <c r="F331" i="12"/>
  <c r="E331" i="12"/>
  <c r="D331" i="12"/>
  <c r="C331" i="12"/>
  <c r="B331" i="12"/>
  <c r="AH330" i="12"/>
  <c r="AG330" i="12"/>
  <c r="AF330" i="12"/>
  <c r="AE330" i="12"/>
  <c r="AD330" i="12"/>
  <c r="AC330" i="12"/>
  <c r="AB330" i="12"/>
  <c r="AA330" i="12"/>
  <c r="Z330" i="12"/>
  <c r="X330" i="12"/>
  <c r="W330" i="12"/>
  <c r="V330" i="12"/>
  <c r="U330" i="12"/>
  <c r="T330" i="12"/>
  <c r="S330" i="12"/>
  <c r="R330" i="12"/>
  <c r="Q330" i="12"/>
  <c r="P330" i="12"/>
  <c r="O330" i="12"/>
  <c r="N330" i="12"/>
  <c r="L330" i="12"/>
  <c r="K330" i="12"/>
  <c r="J330" i="12"/>
  <c r="I330" i="12"/>
  <c r="H330" i="12"/>
  <c r="G330" i="12"/>
  <c r="F330" i="12"/>
  <c r="E330" i="12"/>
  <c r="D330" i="12"/>
  <c r="C330" i="12"/>
  <c r="B330" i="12"/>
  <c r="AH329" i="12"/>
  <c r="AG329" i="12"/>
  <c r="AF329" i="12"/>
  <c r="AE329" i="12"/>
  <c r="AD329" i="12"/>
  <c r="AC329" i="12"/>
  <c r="AB329" i="12"/>
  <c r="AA329" i="12"/>
  <c r="Z329" i="12"/>
  <c r="X329" i="12"/>
  <c r="W329" i="12"/>
  <c r="V329" i="12"/>
  <c r="U329" i="12"/>
  <c r="T329" i="12"/>
  <c r="S329" i="12"/>
  <c r="R329" i="12"/>
  <c r="Q329" i="12"/>
  <c r="P329" i="12"/>
  <c r="O329" i="12"/>
  <c r="N329" i="12"/>
  <c r="L329" i="12"/>
  <c r="K329" i="12"/>
  <c r="J329" i="12"/>
  <c r="I329" i="12"/>
  <c r="H329" i="12"/>
  <c r="G329" i="12"/>
  <c r="F329" i="12"/>
  <c r="E329" i="12"/>
  <c r="D329" i="12"/>
  <c r="C329" i="12"/>
  <c r="B329" i="12"/>
  <c r="AH290" i="12"/>
  <c r="AG290" i="12"/>
  <c r="AF290" i="12"/>
  <c r="AE290" i="12"/>
  <c r="AD290" i="12"/>
  <c r="AC290" i="12"/>
  <c r="AB290" i="12"/>
  <c r="AA290" i="12"/>
  <c r="Z290" i="12"/>
  <c r="X290" i="12"/>
  <c r="W290" i="12"/>
  <c r="V290" i="12"/>
  <c r="U290" i="12"/>
  <c r="T290" i="12"/>
  <c r="S290" i="12"/>
  <c r="R290" i="12"/>
  <c r="Q290" i="12"/>
  <c r="P290" i="12"/>
  <c r="O290" i="12"/>
  <c r="N290" i="12"/>
  <c r="L290" i="12"/>
  <c r="K290" i="12"/>
  <c r="J290" i="12"/>
  <c r="I290" i="12"/>
  <c r="H290" i="12"/>
  <c r="G290" i="12"/>
  <c r="F290" i="12"/>
  <c r="E290" i="12"/>
  <c r="D290" i="12"/>
  <c r="C290" i="12"/>
  <c r="B290" i="12"/>
  <c r="AH289" i="12"/>
  <c r="AG289" i="12"/>
  <c r="AF289" i="12"/>
  <c r="AE289" i="12"/>
  <c r="AD289" i="12"/>
  <c r="AC289" i="12"/>
  <c r="AB289" i="12"/>
  <c r="AA289" i="12"/>
  <c r="Z289" i="12"/>
  <c r="X289" i="12"/>
  <c r="W289" i="12"/>
  <c r="V289" i="12"/>
  <c r="U289" i="12"/>
  <c r="T289" i="12"/>
  <c r="S289" i="12"/>
  <c r="R289" i="12"/>
  <c r="Q289" i="12"/>
  <c r="P289" i="12"/>
  <c r="O289" i="12"/>
  <c r="N289" i="12"/>
  <c r="L289" i="12"/>
  <c r="K289" i="12"/>
  <c r="J289" i="12"/>
  <c r="I289" i="12"/>
  <c r="H289" i="12"/>
  <c r="G289" i="12"/>
  <c r="F289" i="12"/>
  <c r="E289" i="12"/>
  <c r="D289" i="12"/>
  <c r="C289" i="12"/>
  <c r="B289" i="12"/>
  <c r="AH288" i="12"/>
  <c r="AG288" i="12"/>
  <c r="AF288" i="12"/>
  <c r="AE288" i="12"/>
  <c r="AD288" i="12"/>
  <c r="AC288" i="12"/>
  <c r="AB288" i="12"/>
  <c r="AA288" i="12"/>
  <c r="Z288" i="12"/>
  <c r="X288" i="12"/>
  <c r="W288" i="12"/>
  <c r="V288" i="12"/>
  <c r="U288" i="12"/>
  <c r="T288" i="12"/>
  <c r="S288" i="12"/>
  <c r="R288" i="12"/>
  <c r="Q288" i="12"/>
  <c r="P288" i="12"/>
  <c r="O288" i="12"/>
  <c r="N288" i="12"/>
  <c r="L288" i="12"/>
  <c r="K288" i="12"/>
  <c r="J288" i="12"/>
  <c r="I288" i="12"/>
  <c r="H288" i="12"/>
  <c r="G288" i="12"/>
  <c r="F288" i="12"/>
  <c r="E288" i="12"/>
  <c r="D288" i="12"/>
  <c r="C288" i="12"/>
  <c r="B288" i="12"/>
  <c r="AH287" i="12"/>
  <c r="AG287" i="12"/>
  <c r="AF287" i="12"/>
  <c r="AE287" i="12"/>
  <c r="AD287" i="12"/>
  <c r="AC287" i="12"/>
  <c r="AB287" i="12"/>
  <c r="AA287" i="12"/>
  <c r="Z287" i="12"/>
  <c r="X287" i="12"/>
  <c r="W287" i="12"/>
  <c r="V287" i="12"/>
  <c r="U287" i="12"/>
  <c r="T287" i="12"/>
  <c r="S287" i="12"/>
  <c r="R287" i="12"/>
  <c r="Q287" i="12"/>
  <c r="P287" i="12"/>
  <c r="O287" i="12"/>
  <c r="N287" i="12"/>
  <c r="L287" i="12"/>
  <c r="K287" i="12"/>
  <c r="J287" i="12"/>
  <c r="I287" i="12"/>
  <c r="H287" i="12"/>
  <c r="G287" i="12"/>
  <c r="F287" i="12"/>
  <c r="E287" i="12"/>
  <c r="D287" i="12"/>
  <c r="C287" i="12"/>
  <c r="B287" i="12"/>
  <c r="AH248" i="12"/>
  <c r="AG248" i="12"/>
  <c r="AF248" i="12"/>
  <c r="AE248" i="12"/>
  <c r="AD248" i="12"/>
  <c r="AC248" i="12"/>
  <c r="AB248" i="12"/>
  <c r="AA248" i="12"/>
  <c r="Z248" i="12"/>
  <c r="X248" i="12"/>
  <c r="W248" i="12"/>
  <c r="V248" i="12"/>
  <c r="U248" i="12"/>
  <c r="T248" i="12"/>
  <c r="S248" i="12"/>
  <c r="R248" i="12"/>
  <c r="Q248" i="12"/>
  <c r="P248" i="12"/>
  <c r="O248" i="12"/>
  <c r="N248" i="12"/>
  <c r="L248" i="12"/>
  <c r="K248" i="12"/>
  <c r="J248" i="12"/>
  <c r="I248" i="12"/>
  <c r="H248" i="12"/>
  <c r="G248" i="12"/>
  <c r="F248" i="12"/>
  <c r="E248" i="12"/>
  <c r="D248" i="12"/>
  <c r="C248" i="12"/>
  <c r="B248" i="12"/>
  <c r="AH247" i="12"/>
  <c r="AG247" i="12"/>
  <c r="AF247" i="12"/>
  <c r="AE247" i="12"/>
  <c r="AD247" i="12"/>
  <c r="AC247" i="12"/>
  <c r="AB247" i="12"/>
  <c r="AA247" i="12"/>
  <c r="Z247" i="12"/>
  <c r="X247" i="12"/>
  <c r="W247" i="12"/>
  <c r="V247" i="12"/>
  <c r="U247" i="12"/>
  <c r="T247" i="12"/>
  <c r="S247" i="12"/>
  <c r="R247" i="12"/>
  <c r="Q247" i="12"/>
  <c r="P247" i="12"/>
  <c r="O247" i="12"/>
  <c r="N247" i="12"/>
  <c r="L247" i="12"/>
  <c r="K247" i="12"/>
  <c r="J247" i="12"/>
  <c r="I247" i="12"/>
  <c r="H247" i="12"/>
  <c r="G247" i="12"/>
  <c r="F247" i="12"/>
  <c r="E247" i="12"/>
  <c r="D247" i="12"/>
  <c r="C247" i="12"/>
  <c r="B247" i="12"/>
  <c r="AH246" i="12"/>
  <c r="AG246" i="12"/>
  <c r="AF246" i="12"/>
  <c r="AE246" i="12"/>
  <c r="AD246" i="12"/>
  <c r="AC246" i="12"/>
  <c r="AB246" i="12"/>
  <c r="AA246" i="12"/>
  <c r="Z246" i="12"/>
  <c r="X246" i="12"/>
  <c r="W246" i="12"/>
  <c r="V246" i="12"/>
  <c r="U246" i="12"/>
  <c r="T246" i="12"/>
  <c r="S246" i="12"/>
  <c r="R246" i="12"/>
  <c r="Q246" i="12"/>
  <c r="P246" i="12"/>
  <c r="O246" i="12"/>
  <c r="N246" i="12"/>
  <c r="L246" i="12"/>
  <c r="K246" i="12"/>
  <c r="J246" i="12"/>
  <c r="I246" i="12"/>
  <c r="H246" i="12"/>
  <c r="G246" i="12"/>
  <c r="F246" i="12"/>
  <c r="E246" i="12"/>
  <c r="D246" i="12"/>
  <c r="C246" i="12"/>
  <c r="B246" i="12"/>
  <c r="AH245" i="12"/>
  <c r="AG245" i="12"/>
  <c r="AF245" i="12"/>
  <c r="AE245" i="12"/>
  <c r="AD245" i="12"/>
  <c r="AC245" i="12"/>
  <c r="AB245" i="12"/>
  <c r="AA245" i="12"/>
  <c r="Z245" i="12"/>
  <c r="X245" i="12"/>
  <c r="W245" i="12"/>
  <c r="V245" i="12"/>
  <c r="U245" i="12"/>
  <c r="T245" i="12"/>
  <c r="S245" i="12"/>
  <c r="R245" i="12"/>
  <c r="Q245" i="12"/>
  <c r="P245" i="12"/>
  <c r="O245" i="12"/>
  <c r="N245" i="12"/>
  <c r="L245" i="12"/>
  <c r="K245" i="12"/>
  <c r="J245" i="12"/>
  <c r="I245" i="12"/>
  <c r="H245" i="12"/>
  <c r="G245" i="12"/>
  <c r="F245" i="12"/>
  <c r="E245" i="12"/>
  <c r="D245" i="12"/>
  <c r="C245" i="12"/>
  <c r="B245" i="12"/>
  <c r="AH206" i="12"/>
  <c r="AG206" i="12"/>
  <c r="AF206" i="12"/>
  <c r="AE206" i="12"/>
  <c r="AD206" i="12"/>
  <c r="AC206" i="12"/>
  <c r="AB206" i="12"/>
  <c r="AA206" i="12"/>
  <c r="Z206" i="12"/>
  <c r="X206" i="12"/>
  <c r="W206" i="12"/>
  <c r="V206" i="12"/>
  <c r="U206" i="12"/>
  <c r="T206" i="12"/>
  <c r="S206" i="12"/>
  <c r="R206" i="12"/>
  <c r="Q206" i="12"/>
  <c r="P206" i="12"/>
  <c r="O206" i="12"/>
  <c r="N206" i="12"/>
  <c r="L206" i="12"/>
  <c r="K206" i="12"/>
  <c r="J206" i="12"/>
  <c r="I206" i="12"/>
  <c r="H206" i="12"/>
  <c r="G206" i="12"/>
  <c r="F206" i="12"/>
  <c r="E206" i="12"/>
  <c r="D206" i="12"/>
  <c r="C206" i="12"/>
  <c r="B206" i="12"/>
  <c r="AH205" i="12"/>
  <c r="AG205" i="12"/>
  <c r="AF205" i="12"/>
  <c r="AE205" i="12"/>
  <c r="AD205" i="12"/>
  <c r="AC205" i="12"/>
  <c r="AB205" i="12"/>
  <c r="AA205" i="12"/>
  <c r="Z205" i="12"/>
  <c r="X205" i="12"/>
  <c r="W205" i="12"/>
  <c r="V205" i="12"/>
  <c r="U205" i="12"/>
  <c r="T205" i="12"/>
  <c r="S205" i="12"/>
  <c r="R205" i="12"/>
  <c r="Q205" i="12"/>
  <c r="P205" i="12"/>
  <c r="O205" i="12"/>
  <c r="N205" i="12"/>
  <c r="L205" i="12"/>
  <c r="K205" i="12"/>
  <c r="J205" i="12"/>
  <c r="I205" i="12"/>
  <c r="H205" i="12"/>
  <c r="G205" i="12"/>
  <c r="F205" i="12"/>
  <c r="E205" i="12"/>
  <c r="D205" i="12"/>
  <c r="C205" i="12"/>
  <c r="B205" i="12"/>
  <c r="AH204" i="12"/>
  <c r="AG204" i="12"/>
  <c r="AF204" i="12"/>
  <c r="AE204" i="12"/>
  <c r="AD204" i="12"/>
  <c r="AC204" i="12"/>
  <c r="AB204" i="12"/>
  <c r="AA204" i="12"/>
  <c r="Z204" i="12"/>
  <c r="X204" i="12"/>
  <c r="W204" i="12"/>
  <c r="V204" i="12"/>
  <c r="U204" i="12"/>
  <c r="T204" i="12"/>
  <c r="S204" i="12"/>
  <c r="R204" i="12"/>
  <c r="Q204" i="12"/>
  <c r="P204" i="12"/>
  <c r="O204" i="12"/>
  <c r="N204" i="12"/>
  <c r="L204" i="12"/>
  <c r="K204" i="12"/>
  <c r="J204" i="12"/>
  <c r="I204" i="12"/>
  <c r="H204" i="12"/>
  <c r="G204" i="12"/>
  <c r="F204" i="12"/>
  <c r="E204" i="12"/>
  <c r="D204" i="12"/>
  <c r="C204" i="12"/>
  <c r="B204" i="12"/>
  <c r="AH203" i="12"/>
  <c r="AG203" i="12"/>
  <c r="AF203" i="12"/>
  <c r="AE203" i="12"/>
  <c r="AD203" i="12"/>
  <c r="AC203" i="12"/>
  <c r="AB203" i="12"/>
  <c r="AA203" i="12"/>
  <c r="Z203" i="12"/>
  <c r="X203" i="12"/>
  <c r="W203" i="12"/>
  <c r="V203" i="12"/>
  <c r="U203" i="12"/>
  <c r="T203" i="12"/>
  <c r="S203" i="12"/>
  <c r="R203" i="12"/>
  <c r="Q203" i="12"/>
  <c r="P203" i="12"/>
  <c r="O203" i="12"/>
  <c r="N203" i="12"/>
  <c r="L203" i="12"/>
  <c r="K203" i="12"/>
  <c r="J203" i="12"/>
  <c r="I203" i="12"/>
  <c r="H203" i="12"/>
  <c r="G203" i="12"/>
  <c r="F203" i="12"/>
  <c r="E203" i="12"/>
  <c r="D203" i="12"/>
  <c r="C203" i="12"/>
  <c r="B203" i="12"/>
  <c r="AH164" i="12"/>
  <c r="AG164" i="12"/>
  <c r="AF164" i="12"/>
  <c r="AE164" i="12"/>
  <c r="AD164" i="12"/>
  <c r="AC164" i="12"/>
  <c r="AB164" i="12"/>
  <c r="AA164" i="12"/>
  <c r="Z164" i="12"/>
  <c r="X164" i="12"/>
  <c r="W164" i="12"/>
  <c r="V164" i="12"/>
  <c r="U164" i="12"/>
  <c r="T164" i="12"/>
  <c r="S164" i="12"/>
  <c r="R164" i="12"/>
  <c r="Q164" i="12"/>
  <c r="P164" i="12"/>
  <c r="O164" i="12"/>
  <c r="N164" i="12"/>
  <c r="L164" i="12"/>
  <c r="K164" i="12"/>
  <c r="J164" i="12"/>
  <c r="I164" i="12"/>
  <c r="H164" i="12"/>
  <c r="G164" i="12"/>
  <c r="F164" i="12"/>
  <c r="E164" i="12"/>
  <c r="D164" i="12"/>
  <c r="C164" i="12"/>
  <c r="B164" i="12"/>
  <c r="AH163" i="12"/>
  <c r="AG163" i="12"/>
  <c r="AF163" i="12"/>
  <c r="AE163" i="12"/>
  <c r="AD163" i="12"/>
  <c r="AC163" i="12"/>
  <c r="AB163" i="12"/>
  <c r="AA163" i="12"/>
  <c r="Z163" i="12"/>
  <c r="X163" i="12"/>
  <c r="W163" i="12"/>
  <c r="V163" i="12"/>
  <c r="U163" i="12"/>
  <c r="T163" i="12"/>
  <c r="S163" i="12"/>
  <c r="R163" i="12"/>
  <c r="Q163" i="12"/>
  <c r="P163" i="12"/>
  <c r="O163" i="12"/>
  <c r="N163" i="12"/>
  <c r="L163" i="12"/>
  <c r="K163" i="12"/>
  <c r="J163" i="12"/>
  <c r="I163" i="12"/>
  <c r="H163" i="12"/>
  <c r="G163" i="12"/>
  <c r="F163" i="12"/>
  <c r="E163" i="12"/>
  <c r="D163" i="12"/>
  <c r="C163" i="12"/>
  <c r="B163" i="12"/>
  <c r="AH162" i="12"/>
  <c r="AG162" i="12"/>
  <c r="AF162" i="12"/>
  <c r="AE162" i="12"/>
  <c r="AD162" i="12"/>
  <c r="AC162" i="12"/>
  <c r="AB162" i="12"/>
  <c r="AA162" i="12"/>
  <c r="Z162" i="12"/>
  <c r="X162" i="12"/>
  <c r="W162" i="12"/>
  <c r="V162" i="12"/>
  <c r="U162" i="12"/>
  <c r="T162" i="12"/>
  <c r="S162" i="12"/>
  <c r="R162" i="12"/>
  <c r="Q162" i="12"/>
  <c r="P162" i="12"/>
  <c r="O162" i="12"/>
  <c r="N162" i="12"/>
  <c r="L162" i="12"/>
  <c r="K162" i="12"/>
  <c r="J162" i="12"/>
  <c r="I162" i="12"/>
  <c r="H162" i="12"/>
  <c r="G162" i="12"/>
  <c r="F162" i="12"/>
  <c r="E162" i="12"/>
  <c r="D162" i="12"/>
  <c r="C162" i="12"/>
  <c r="B162" i="12"/>
  <c r="AH161" i="12"/>
  <c r="AG161" i="12"/>
  <c r="AF161" i="12"/>
  <c r="AE161" i="12"/>
  <c r="AD161" i="12"/>
  <c r="AC161" i="12"/>
  <c r="AB161" i="12"/>
  <c r="AA161" i="12"/>
  <c r="Z161" i="12"/>
  <c r="X161" i="12"/>
  <c r="W161" i="12"/>
  <c r="V161" i="12"/>
  <c r="U161" i="12"/>
  <c r="T161" i="12"/>
  <c r="S161" i="12"/>
  <c r="R161" i="12"/>
  <c r="Q161" i="12"/>
  <c r="P161" i="12"/>
  <c r="O161" i="12"/>
  <c r="N161" i="12"/>
  <c r="L161" i="12"/>
  <c r="K161" i="12"/>
  <c r="J161" i="12"/>
  <c r="I161" i="12"/>
  <c r="H161" i="12"/>
  <c r="G161" i="12"/>
  <c r="F161" i="12"/>
  <c r="E161" i="12"/>
  <c r="D161" i="12"/>
  <c r="C161" i="12"/>
  <c r="B161" i="12"/>
  <c r="AH122" i="12"/>
  <c r="AG122" i="12"/>
  <c r="AF122" i="12"/>
  <c r="AE122" i="12"/>
  <c r="AD122" i="12"/>
  <c r="AC122" i="12"/>
  <c r="AB122" i="12"/>
  <c r="AA122" i="12"/>
  <c r="Z122" i="12"/>
  <c r="X122" i="12"/>
  <c r="W122" i="12"/>
  <c r="V122" i="12"/>
  <c r="U122" i="12"/>
  <c r="T122" i="12"/>
  <c r="S122" i="12"/>
  <c r="R122" i="12"/>
  <c r="Q122" i="12"/>
  <c r="P122" i="12"/>
  <c r="O122" i="12"/>
  <c r="N122" i="12"/>
  <c r="L122" i="12"/>
  <c r="K122" i="12"/>
  <c r="J122" i="12"/>
  <c r="I122" i="12"/>
  <c r="H122" i="12"/>
  <c r="G122" i="12"/>
  <c r="F122" i="12"/>
  <c r="E122" i="12"/>
  <c r="D122" i="12"/>
  <c r="C122" i="12"/>
  <c r="B122" i="12"/>
  <c r="AH121" i="12"/>
  <c r="AG121" i="12"/>
  <c r="AF121" i="12"/>
  <c r="AE121" i="12"/>
  <c r="AD121" i="12"/>
  <c r="AC121" i="12"/>
  <c r="AB121" i="12"/>
  <c r="AA121" i="12"/>
  <c r="Z121" i="12"/>
  <c r="X121" i="12"/>
  <c r="W121" i="12"/>
  <c r="V121" i="12"/>
  <c r="U121" i="12"/>
  <c r="T121" i="12"/>
  <c r="S121" i="12"/>
  <c r="R121" i="12"/>
  <c r="Q121" i="12"/>
  <c r="P121" i="12"/>
  <c r="O121" i="12"/>
  <c r="N121" i="12"/>
  <c r="L121" i="12"/>
  <c r="J121" i="12"/>
  <c r="I121" i="12"/>
  <c r="H121" i="12"/>
  <c r="G121" i="12"/>
  <c r="F121" i="12"/>
  <c r="E121" i="12"/>
  <c r="D121" i="12"/>
  <c r="C121" i="12"/>
  <c r="B121" i="12"/>
  <c r="AH120" i="12"/>
  <c r="AG120" i="12"/>
  <c r="AF120" i="12"/>
  <c r="AE120" i="12"/>
  <c r="AD120" i="12"/>
  <c r="AC120" i="12"/>
  <c r="AB120" i="12"/>
  <c r="AA120" i="12"/>
  <c r="Z120" i="12"/>
  <c r="X120" i="12"/>
  <c r="W120" i="12"/>
  <c r="V120" i="12"/>
  <c r="U120" i="12"/>
  <c r="T120" i="12"/>
  <c r="S120" i="12"/>
  <c r="R120" i="12"/>
  <c r="Q120" i="12"/>
  <c r="P120" i="12"/>
  <c r="O120" i="12"/>
  <c r="N120" i="12"/>
  <c r="L120" i="12"/>
  <c r="J120" i="12"/>
  <c r="I120" i="12"/>
  <c r="H120" i="12"/>
  <c r="G120" i="12"/>
  <c r="F120" i="12"/>
  <c r="E120" i="12"/>
  <c r="D120" i="12"/>
  <c r="C120" i="12"/>
  <c r="B120" i="12"/>
  <c r="AH119" i="12"/>
  <c r="AG119" i="12"/>
  <c r="AF119" i="12"/>
  <c r="AE119" i="12"/>
  <c r="AD119" i="12"/>
  <c r="AC119" i="12"/>
  <c r="AB119" i="12"/>
  <c r="AA119" i="12"/>
  <c r="Z119" i="12"/>
  <c r="X119" i="12"/>
  <c r="W119" i="12"/>
  <c r="V119" i="12"/>
  <c r="U119" i="12"/>
  <c r="T119" i="12"/>
  <c r="S119" i="12"/>
  <c r="R119" i="12"/>
  <c r="Q119" i="12"/>
  <c r="P119" i="12"/>
  <c r="O119" i="12"/>
  <c r="N119" i="12"/>
  <c r="L119" i="12"/>
  <c r="J119" i="12"/>
  <c r="I119" i="12"/>
  <c r="H119" i="12"/>
  <c r="G119" i="12"/>
  <c r="F119" i="12"/>
  <c r="E119" i="12"/>
  <c r="D119" i="12"/>
  <c r="C119" i="12"/>
  <c r="B119" i="12"/>
  <c r="AH83" i="12"/>
  <c r="AG83" i="12"/>
  <c r="AF83" i="12"/>
  <c r="AE83" i="12"/>
  <c r="AD83" i="12"/>
  <c r="AC83" i="12"/>
  <c r="AB83" i="12"/>
  <c r="AA83" i="12"/>
  <c r="Z83" i="12"/>
  <c r="X83" i="12"/>
  <c r="W83" i="12"/>
  <c r="V83" i="12"/>
  <c r="U83" i="12"/>
  <c r="T83" i="12"/>
  <c r="S83" i="12"/>
  <c r="R83" i="12"/>
  <c r="Q83" i="12"/>
  <c r="P83" i="12"/>
  <c r="O83" i="12"/>
  <c r="N83" i="12"/>
  <c r="L83" i="12"/>
  <c r="K83" i="12"/>
  <c r="J83" i="12"/>
  <c r="I83" i="12"/>
  <c r="H83" i="12"/>
  <c r="G83" i="12"/>
  <c r="F83" i="12"/>
  <c r="E83" i="12"/>
  <c r="D83" i="12"/>
  <c r="C83" i="12"/>
  <c r="B83" i="12"/>
  <c r="AH82" i="12"/>
  <c r="AG82" i="12"/>
  <c r="AF82" i="12"/>
  <c r="AE82" i="12"/>
  <c r="AD82" i="12"/>
  <c r="AC82" i="12"/>
  <c r="AB82" i="12"/>
  <c r="AA82" i="12"/>
  <c r="Z82" i="12"/>
  <c r="X82" i="12"/>
  <c r="W82" i="12"/>
  <c r="V82" i="12"/>
  <c r="U82" i="12"/>
  <c r="T82" i="12"/>
  <c r="S82" i="12"/>
  <c r="R82" i="12"/>
  <c r="Q82" i="12"/>
  <c r="P82" i="12"/>
  <c r="O82" i="12"/>
  <c r="N82" i="12"/>
  <c r="L82" i="12"/>
  <c r="K82" i="12"/>
  <c r="J82" i="12"/>
  <c r="I82" i="12"/>
  <c r="H82" i="12"/>
  <c r="G82" i="12"/>
  <c r="F82" i="12"/>
  <c r="E82" i="12"/>
  <c r="D82" i="12"/>
  <c r="C82" i="12"/>
  <c r="B82" i="12"/>
  <c r="AH81" i="12"/>
  <c r="AG81" i="12"/>
  <c r="AF81" i="12"/>
  <c r="AE81" i="12"/>
  <c r="AD81" i="12"/>
  <c r="AC81" i="12"/>
  <c r="AB81" i="12"/>
  <c r="AA81" i="12"/>
  <c r="Z81" i="12"/>
  <c r="X81" i="12"/>
  <c r="W81" i="12"/>
  <c r="V81" i="12"/>
  <c r="U81" i="12"/>
  <c r="T81" i="12"/>
  <c r="S81" i="12"/>
  <c r="R81" i="12"/>
  <c r="Q81" i="12"/>
  <c r="P81" i="12"/>
  <c r="O81" i="12"/>
  <c r="N81" i="12"/>
  <c r="L81" i="12"/>
  <c r="K81" i="12"/>
  <c r="J81" i="12"/>
  <c r="I81" i="12"/>
  <c r="H81" i="12"/>
  <c r="G81" i="12"/>
  <c r="F81" i="12"/>
  <c r="E81" i="12"/>
  <c r="D81" i="12"/>
  <c r="C81" i="12"/>
  <c r="B81" i="12"/>
  <c r="AH80" i="12"/>
  <c r="AG80" i="12"/>
  <c r="AF80" i="12"/>
  <c r="AE80" i="12"/>
  <c r="AD80" i="12"/>
  <c r="AC80" i="12"/>
  <c r="AB80" i="12"/>
  <c r="AA80" i="12"/>
  <c r="Z80" i="12"/>
  <c r="X80" i="12"/>
  <c r="W80" i="12"/>
  <c r="V80" i="12"/>
  <c r="U80" i="12"/>
  <c r="T80" i="12"/>
  <c r="S80" i="12"/>
  <c r="R80" i="12"/>
  <c r="Q80" i="12"/>
  <c r="P80" i="12"/>
  <c r="O80" i="12"/>
  <c r="N80" i="12"/>
  <c r="L80" i="12"/>
  <c r="K80" i="12"/>
  <c r="J80" i="12"/>
  <c r="I80" i="12"/>
  <c r="H80" i="12"/>
  <c r="G80" i="12"/>
  <c r="F80" i="12"/>
  <c r="E80" i="12"/>
  <c r="D80" i="12"/>
  <c r="C80" i="12"/>
  <c r="B80" i="12"/>
  <c r="AG38" i="12"/>
  <c r="AG39" i="12"/>
  <c r="AG40" i="12"/>
  <c r="AG41" i="12"/>
  <c r="W38" i="12"/>
  <c r="W39" i="12"/>
  <c r="W40" i="12"/>
  <c r="W41" i="12"/>
  <c r="K38" i="12"/>
  <c r="K39" i="12"/>
  <c r="K40" i="12"/>
  <c r="K41" i="12"/>
  <c r="A158" i="10"/>
  <c r="A159" i="10" s="1"/>
  <c r="A160" i="10" s="1"/>
  <c r="B245" i="10"/>
  <c r="B413" i="10"/>
  <c r="AH500" i="10"/>
  <c r="AH499" i="10"/>
  <c r="AH498" i="10"/>
  <c r="AH497" i="10"/>
  <c r="AG500" i="10"/>
  <c r="AG499" i="10"/>
  <c r="AG498" i="10"/>
  <c r="AG497" i="10"/>
  <c r="AF500" i="10"/>
  <c r="AF499" i="10"/>
  <c r="AF498" i="10"/>
  <c r="AF497" i="10"/>
  <c r="AE500" i="10"/>
  <c r="AD500" i="10"/>
  <c r="AC500" i="10"/>
  <c r="AB500" i="10"/>
  <c r="AA500" i="10"/>
  <c r="Z500" i="10"/>
  <c r="AE499" i="10"/>
  <c r="AD499" i="10"/>
  <c r="AC499" i="10"/>
  <c r="AB499" i="10"/>
  <c r="AA499" i="10"/>
  <c r="Z499" i="10"/>
  <c r="AE498" i="10"/>
  <c r="AD498" i="10"/>
  <c r="AC498" i="10"/>
  <c r="AB498" i="10"/>
  <c r="AA498" i="10"/>
  <c r="Z498" i="10"/>
  <c r="AE497" i="10"/>
  <c r="AD497" i="10"/>
  <c r="AC497" i="10"/>
  <c r="AB497" i="10"/>
  <c r="AA497" i="10"/>
  <c r="Z497" i="10"/>
  <c r="X500" i="10"/>
  <c r="W500" i="10"/>
  <c r="V500" i="10"/>
  <c r="U500" i="10"/>
  <c r="T500" i="10"/>
  <c r="S500" i="10"/>
  <c r="R500" i="10"/>
  <c r="Q500" i="10"/>
  <c r="P500" i="10"/>
  <c r="O500" i="10"/>
  <c r="N500" i="10"/>
  <c r="X499" i="10"/>
  <c r="W499" i="10"/>
  <c r="V499" i="10"/>
  <c r="U499" i="10"/>
  <c r="T499" i="10"/>
  <c r="S499" i="10"/>
  <c r="R499" i="10"/>
  <c r="Q499" i="10"/>
  <c r="P499" i="10"/>
  <c r="O499" i="10"/>
  <c r="N499" i="10"/>
  <c r="X498" i="10"/>
  <c r="W498" i="10"/>
  <c r="V498" i="10"/>
  <c r="U498" i="10"/>
  <c r="T498" i="10"/>
  <c r="S498" i="10"/>
  <c r="R498" i="10"/>
  <c r="Q498" i="10"/>
  <c r="P498" i="10"/>
  <c r="O498" i="10"/>
  <c r="N498" i="10"/>
  <c r="X497" i="10"/>
  <c r="W497" i="10"/>
  <c r="V497" i="10"/>
  <c r="U497" i="10"/>
  <c r="T497" i="10"/>
  <c r="S497" i="10"/>
  <c r="R497" i="10"/>
  <c r="Q497" i="10"/>
  <c r="P497" i="10"/>
  <c r="O497" i="10"/>
  <c r="N497" i="10"/>
  <c r="C497" i="10"/>
  <c r="D497" i="10"/>
  <c r="E497" i="10"/>
  <c r="F497" i="10"/>
  <c r="G497" i="10"/>
  <c r="H497" i="10"/>
  <c r="I497" i="10"/>
  <c r="J497" i="10"/>
  <c r="K497" i="10"/>
  <c r="L497" i="10"/>
  <c r="C498" i="10"/>
  <c r="D498" i="10"/>
  <c r="E498" i="10"/>
  <c r="F498" i="10"/>
  <c r="G498" i="10"/>
  <c r="H498" i="10"/>
  <c r="I498" i="10"/>
  <c r="J498" i="10"/>
  <c r="K498" i="10"/>
  <c r="L498" i="10"/>
  <c r="C499" i="10"/>
  <c r="D499" i="10"/>
  <c r="E499" i="10"/>
  <c r="F499" i="10"/>
  <c r="G499" i="10"/>
  <c r="H499" i="10"/>
  <c r="I499" i="10"/>
  <c r="J499" i="10"/>
  <c r="K499" i="10"/>
  <c r="L499" i="10"/>
  <c r="C500" i="10"/>
  <c r="D500" i="10"/>
  <c r="E500" i="10"/>
  <c r="F500" i="10"/>
  <c r="G500" i="10"/>
  <c r="H500" i="10"/>
  <c r="I500" i="10"/>
  <c r="J500" i="10"/>
  <c r="K500" i="10"/>
  <c r="L500" i="10"/>
  <c r="B500" i="10"/>
  <c r="B499" i="10"/>
  <c r="B498" i="10"/>
  <c r="B497" i="10"/>
  <c r="AH542" i="10"/>
  <c r="AG542" i="10"/>
  <c r="AF542" i="10"/>
  <c r="AE542" i="10"/>
  <c r="AD542" i="10"/>
  <c r="AC542" i="10"/>
  <c r="AB542" i="10"/>
  <c r="AA542" i="10"/>
  <c r="Z542" i="10"/>
  <c r="X542" i="10"/>
  <c r="W542" i="10"/>
  <c r="V542" i="10"/>
  <c r="U542" i="10"/>
  <c r="T542" i="10"/>
  <c r="S542" i="10"/>
  <c r="R542" i="10"/>
  <c r="Q542" i="10"/>
  <c r="P542" i="10"/>
  <c r="O542" i="10"/>
  <c r="N542" i="10"/>
  <c r="L542" i="10"/>
  <c r="K542" i="10"/>
  <c r="J542" i="10"/>
  <c r="I542" i="10"/>
  <c r="H542" i="10"/>
  <c r="G542" i="10"/>
  <c r="F542" i="10"/>
  <c r="E542" i="10"/>
  <c r="D542" i="10"/>
  <c r="C542" i="10"/>
  <c r="B542" i="10"/>
  <c r="AH541" i="10"/>
  <c r="AG541" i="10"/>
  <c r="AF541" i="10"/>
  <c r="AE541" i="10"/>
  <c r="AD541" i="10"/>
  <c r="AC541" i="10"/>
  <c r="AB541" i="10"/>
  <c r="AA541" i="10"/>
  <c r="Z541" i="10"/>
  <c r="X541" i="10"/>
  <c r="W541" i="10"/>
  <c r="V541" i="10"/>
  <c r="U541" i="10"/>
  <c r="T541" i="10"/>
  <c r="S541" i="10"/>
  <c r="R541" i="10"/>
  <c r="Q541" i="10"/>
  <c r="P541" i="10"/>
  <c r="O541" i="10"/>
  <c r="N541" i="10"/>
  <c r="L541" i="10"/>
  <c r="K541" i="10"/>
  <c r="J541" i="10"/>
  <c r="I541" i="10"/>
  <c r="H541" i="10"/>
  <c r="G541" i="10"/>
  <c r="F541" i="10"/>
  <c r="E541" i="10"/>
  <c r="D541" i="10"/>
  <c r="C541" i="10"/>
  <c r="B541" i="10"/>
  <c r="AH540" i="10"/>
  <c r="AG540" i="10"/>
  <c r="AF540" i="10"/>
  <c r="AE540" i="10"/>
  <c r="AD540" i="10"/>
  <c r="AC540" i="10"/>
  <c r="AB540" i="10"/>
  <c r="AA540" i="10"/>
  <c r="Z540" i="10"/>
  <c r="X540" i="10"/>
  <c r="W540" i="10"/>
  <c r="V540" i="10"/>
  <c r="U540" i="10"/>
  <c r="T540" i="10"/>
  <c r="S540" i="10"/>
  <c r="R540" i="10"/>
  <c r="Q540" i="10"/>
  <c r="P540" i="10"/>
  <c r="O540" i="10"/>
  <c r="N540" i="10"/>
  <c r="L540" i="10"/>
  <c r="K540" i="10"/>
  <c r="J540" i="10"/>
  <c r="I540" i="10"/>
  <c r="H540" i="10"/>
  <c r="G540" i="10"/>
  <c r="F540" i="10"/>
  <c r="E540" i="10"/>
  <c r="D540" i="10"/>
  <c r="C540" i="10"/>
  <c r="B540" i="10"/>
  <c r="AH539" i="10"/>
  <c r="AG539" i="10"/>
  <c r="AF539" i="10"/>
  <c r="AE539" i="10"/>
  <c r="AD539" i="10"/>
  <c r="AC539" i="10"/>
  <c r="AB539" i="10"/>
  <c r="AA539" i="10"/>
  <c r="Z539" i="10"/>
  <c r="X539" i="10"/>
  <c r="W539" i="10"/>
  <c r="V539" i="10"/>
  <c r="U539" i="10"/>
  <c r="T539" i="10"/>
  <c r="S539" i="10"/>
  <c r="R539" i="10"/>
  <c r="Q539" i="10"/>
  <c r="P539" i="10"/>
  <c r="O539" i="10"/>
  <c r="N539" i="10"/>
  <c r="L539" i="10"/>
  <c r="K539" i="10"/>
  <c r="J539" i="10"/>
  <c r="I539" i="10"/>
  <c r="H539" i="10"/>
  <c r="G539" i="10"/>
  <c r="F539" i="10"/>
  <c r="E539" i="10"/>
  <c r="D539" i="10"/>
  <c r="C539" i="10"/>
  <c r="B539" i="10"/>
  <c r="AH458" i="10"/>
  <c r="AG458" i="10"/>
  <c r="AF458" i="10"/>
  <c r="AE458" i="10"/>
  <c r="AD458" i="10"/>
  <c r="AC458" i="10"/>
  <c r="AB458" i="10"/>
  <c r="AA458" i="10"/>
  <c r="Z458" i="10"/>
  <c r="X458" i="10"/>
  <c r="W458" i="10"/>
  <c r="V458" i="10"/>
  <c r="U458" i="10"/>
  <c r="T458" i="10"/>
  <c r="S458" i="10"/>
  <c r="R458" i="10"/>
  <c r="Q458" i="10"/>
  <c r="P458" i="10"/>
  <c r="O458" i="10"/>
  <c r="N458" i="10"/>
  <c r="L458" i="10"/>
  <c r="K458" i="10"/>
  <c r="J458" i="10"/>
  <c r="I458" i="10"/>
  <c r="H458" i="10"/>
  <c r="G458" i="10"/>
  <c r="F458" i="10"/>
  <c r="E458" i="10"/>
  <c r="D458" i="10"/>
  <c r="C458" i="10"/>
  <c r="B458" i="10"/>
  <c r="AH457" i="10"/>
  <c r="AG457" i="10"/>
  <c r="AF457" i="10"/>
  <c r="AE457" i="10"/>
  <c r="AD457" i="10"/>
  <c r="AC457" i="10"/>
  <c r="AB457" i="10"/>
  <c r="AA457" i="10"/>
  <c r="Z457" i="10"/>
  <c r="X457" i="10"/>
  <c r="W457" i="10"/>
  <c r="V457" i="10"/>
  <c r="U457" i="10"/>
  <c r="T457" i="10"/>
  <c r="S457" i="10"/>
  <c r="R457" i="10"/>
  <c r="Q457" i="10"/>
  <c r="P457" i="10"/>
  <c r="O457" i="10"/>
  <c r="N457" i="10"/>
  <c r="L457" i="10"/>
  <c r="K457" i="10"/>
  <c r="J457" i="10"/>
  <c r="I457" i="10"/>
  <c r="H457" i="10"/>
  <c r="G457" i="10"/>
  <c r="F457" i="10"/>
  <c r="E457" i="10"/>
  <c r="D457" i="10"/>
  <c r="C457" i="10"/>
  <c r="B457" i="10"/>
  <c r="AH456" i="10"/>
  <c r="AG456" i="10"/>
  <c r="AF456" i="10"/>
  <c r="AE456" i="10"/>
  <c r="AD456" i="10"/>
  <c r="AC456" i="10"/>
  <c r="AB456" i="10"/>
  <c r="AA456" i="10"/>
  <c r="Z456" i="10"/>
  <c r="X456" i="10"/>
  <c r="W456" i="10"/>
  <c r="V456" i="10"/>
  <c r="U456" i="10"/>
  <c r="T456" i="10"/>
  <c r="S456" i="10"/>
  <c r="R456" i="10"/>
  <c r="Q456" i="10"/>
  <c r="P456" i="10"/>
  <c r="O456" i="10"/>
  <c r="N456" i="10"/>
  <c r="L456" i="10"/>
  <c r="K456" i="10"/>
  <c r="J456" i="10"/>
  <c r="I456" i="10"/>
  <c r="H456" i="10"/>
  <c r="G456" i="10"/>
  <c r="F456" i="10"/>
  <c r="E456" i="10"/>
  <c r="D456" i="10"/>
  <c r="C456" i="10"/>
  <c r="B456" i="10"/>
  <c r="AH455" i="10"/>
  <c r="AG455" i="10"/>
  <c r="AF455" i="10"/>
  <c r="AE455" i="10"/>
  <c r="AD455" i="10"/>
  <c r="AC455" i="10"/>
  <c r="AB455" i="10"/>
  <c r="AA455" i="10"/>
  <c r="Z455" i="10"/>
  <c r="X455" i="10"/>
  <c r="W455" i="10"/>
  <c r="V455" i="10"/>
  <c r="U455" i="10"/>
  <c r="T455" i="10"/>
  <c r="S455" i="10"/>
  <c r="R455" i="10"/>
  <c r="Q455" i="10"/>
  <c r="P455" i="10"/>
  <c r="O455" i="10"/>
  <c r="N455" i="10"/>
  <c r="L455" i="10"/>
  <c r="K455" i="10"/>
  <c r="J455" i="10"/>
  <c r="I455" i="10"/>
  <c r="H455" i="10"/>
  <c r="G455" i="10"/>
  <c r="F455" i="10"/>
  <c r="E455" i="10"/>
  <c r="D455" i="10"/>
  <c r="C455" i="10"/>
  <c r="B455" i="10"/>
  <c r="AH416" i="10"/>
  <c r="AG416" i="10"/>
  <c r="AF416" i="10"/>
  <c r="AE416" i="10"/>
  <c r="AD416" i="10"/>
  <c r="AC416" i="10"/>
  <c r="AB416" i="10"/>
  <c r="AA416" i="10"/>
  <c r="Z416" i="10"/>
  <c r="X416" i="10"/>
  <c r="W416" i="10"/>
  <c r="V416" i="10"/>
  <c r="U416" i="10"/>
  <c r="T416" i="10"/>
  <c r="S416" i="10"/>
  <c r="R416" i="10"/>
  <c r="Q416" i="10"/>
  <c r="P416" i="10"/>
  <c r="O416" i="10"/>
  <c r="N416" i="10"/>
  <c r="L416" i="10"/>
  <c r="K416" i="10"/>
  <c r="J416" i="10"/>
  <c r="I416" i="10"/>
  <c r="H416" i="10"/>
  <c r="G416" i="10"/>
  <c r="F416" i="10"/>
  <c r="E416" i="10"/>
  <c r="D416" i="10"/>
  <c r="C416" i="10"/>
  <c r="B416" i="10"/>
  <c r="AH415" i="10"/>
  <c r="AG415" i="10"/>
  <c r="AF415" i="10"/>
  <c r="AE415" i="10"/>
  <c r="AD415" i="10"/>
  <c r="AC415" i="10"/>
  <c r="AB415" i="10"/>
  <c r="AA415" i="10"/>
  <c r="Z415" i="10"/>
  <c r="X415" i="10"/>
  <c r="W415" i="10"/>
  <c r="V415" i="10"/>
  <c r="U415" i="10"/>
  <c r="T415" i="10"/>
  <c r="S415" i="10"/>
  <c r="R415" i="10"/>
  <c r="Q415" i="10"/>
  <c r="P415" i="10"/>
  <c r="O415" i="10"/>
  <c r="N415" i="10"/>
  <c r="L415" i="10"/>
  <c r="K415" i="10"/>
  <c r="J415" i="10"/>
  <c r="I415" i="10"/>
  <c r="H415" i="10"/>
  <c r="G415" i="10"/>
  <c r="F415" i="10"/>
  <c r="E415" i="10"/>
  <c r="D415" i="10"/>
  <c r="C415" i="10"/>
  <c r="B415" i="10"/>
  <c r="AH414" i="10"/>
  <c r="AG414" i="10"/>
  <c r="AF414" i="10"/>
  <c r="AE414" i="10"/>
  <c r="AD414" i="10"/>
  <c r="AC414" i="10"/>
  <c r="AB414" i="10"/>
  <c r="AA414" i="10"/>
  <c r="Z414" i="10"/>
  <c r="X414" i="10"/>
  <c r="W414" i="10"/>
  <c r="V414" i="10"/>
  <c r="U414" i="10"/>
  <c r="T414" i="10"/>
  <c r="S414" i="10"/>
  <c r="R414" i="10"/>
  <c r="Q414" i="10"/>
  <c r="P414" i="10"/>
  <c r="O414" i="10"/>
  <c r="N414" i="10"/>
  <c r="L414" i="10"/>
  <c r="K414" i="10"/>
  <c r="J414" i="10"/>
  <c r="I414" i="10"/>
  <c r="H414" i="10"/>
  <c r="G414" i="10"/>
  <c r="F414" i="10"/>
  <c r="E414" i="10"/>
  <c r="D414" i="10"/>
  <c r="C414" i="10"/>
  <c r="B414" i="10"/>
  <c r="AH413" i="10"/>
  <c r="AG413" i="10"/>
  <c r="AF413" i="10"/>
  <c r="AE413" i="10"/>
  <c r="AD413" i="10"/>
  <c r="AC413" i="10"/>
  <c r="AB413" i="10"/>
  <c r="AA413" i="10"/>
  <c r="Z413" i="10"/>
  <c r="X413" i="10"/>
  <c r="W413" i="10"/>
  <c r="V413" i="10"/>
  <c r="U413" i="10"/>
  <c r="T413" i="10"/>
  <c r="S413" i="10"/>
  <c r="R413" i="10"/>
  <c r="Q413" i="10"/>
  <c r="P413" i="10"/>
  <c r="O413" i="10"/>
  <c r="N413" i="10"/>
  <c r="L413" i="10"/>
  <c r="K413" i="10"/>
  <c r="J413" i="10"/>
  <c r="I413" i="10"/>
  <c r="H413" i="10"/>
  <c r="G413" i="10"/>
  <c r="F413" i="10"/>
  <c r="E413" i="10"/>
  <c r="D413" i="10"/>
  <c r="C413" i="10"/>
  <c r="AH374" i="10"/>
  <c r="AG374" i="10"/>
  <c r="AF374" i="10"/>
  <c r="AE374" i="10"/>
  <c r="AD374" i="10"/>
  <c r="AC374" i="10"/>
  <c r="AB374" i="10"/>
  <c r="AA374" i="10"/>
  <c r="Z374" i="10"/>
  <c r="X374" i="10"/>
  <c r="W374" i="10"/>
  <c r="V374" i="10"/>
  <c r="U374" i="10"/>
  <c r="T374" i="10"/>
  <c r="S374" i="10"/>
  <c r="R374" i="10"/>
  <c r="Q374" i="10"/>
  <c r="P374" i="10"/>
  <c r="O374" i="10"/>
  <c r="N374" i="10"/>
  <c r="L374" i="10"/>
  <c r="K374" i="10"/>
  <c r="J374" i="10"/>
  <c r="I374" i="10"/>
  <c r="H374" i="10"/>
  <c r="G374" i="10"/>
  <c r="F374" i="10"/>
  <c r="E374" i="10"/>
  <c r="D374" i="10"/>
  <c r="C374" i="10"/>
  <c r="B374" i="10"/>
  <c r="AH373" i="10"/>
  <c r="AG373" i="10"/>
  <c r="AF373" i="10"/>
  <c r="AE373" i="10"/>
  <c r="AD373" i="10"/>
  <c r="AC373" i="10"/>
  <c r="AB373" i="10"/>
  <c r="AA373" i="10"/>
  <c r="Z373" i="10"/>
  <c r="X373" i="10"/>
  <c r="W373" i="10"/>
  <c r="V373" i="10"/>
  <c r="U373" i="10"/>
  <c r="T373" i="10"/>
  <c r="S373" i="10"/>
  <c r="R373" i="10"/>
  <c r="Q373" i="10"/>
  <c r="P373" i="10"/>
  <c r="O373" i="10"/>
  <c r="N373" i="10"/>
  <c r="L373" i="10"/>
  <c r="K373" i="10"/>
  <c r="J373" i="10"/>
  <c r="I373" i="10"/>
  <c r="H373" i="10"/>
  <c r="G373" i="10"/>
  <c r="F373" i="10"/>
  <c r="E373" i="10"/>
  <c r="D373" i="10"/>
  <c r="C373" i="10"/>
  <c r="B373" i="10"/>
  <c r="AH372" i="10"/>
  <c r="AG372" i="10"/>
  <c r="AF372" i="10"/>
  <c r="AE372" i="10"/>
  <c r="AD372" i="10"/>
  <c r="AC372" i="10"/>
  <c r="AB372" i="10"/>
  <c r="AA372" i="10"/>
  <c r="Z372" i="10"/>
  <c r="X372" i="10"/>
  <c r="W372" i="10"/>
  <c r="V372" i="10"/>
  <c r="U372" i="10"/>
  <c r="T372" i="10"/>
  <c r="S372" i="10"/>
  <c r="R372" i="10"/>
  <c r="Q372" i="10"/>
  <c r="P372" i="10"/>
  <c r="O372" i="10"/>
  <c r="N372" i="10"/>
  <c r="L372" i="10"/>
  <c r="K372" i="10"/>
  <c r="J372" i="10"/>
  <c r="I372" i="10"/>
  <c r="H372" i="10"/>
  <c r="G372" i="10"/>
  <c r="F372" i="10"/>
  <c r="E372" i="10"/>
  <c r="D372" i="10"/>
  <c r="C372" i="10"/>
  <c r="B372" i="10"/>
  <c r="AH371" i="10"/>
  <c r="AG371" i="10"/>
  <c r="AF371" i="10"/>
  <c r="AE371" i="10"/>
  <c r="AD371" i="10"/>
  <c r="AC371" i="10"/>
  <c r="AB371" i="10"/>
  <c r="AA371" i="10"/>
  <c r="Z371" i="10"/>
  <c r="X371" i="10"/>
  <c r="W371" i="10"/>
  <c r="V371" i="10"/>
  <c r="U371" i="10"/>
  <c r="T371" i="10"/>
  <c r="S371" i="10"/>
  <c r="R371" i="10"/>
  <c r="Q371" i="10"/>
  <c r="P371" i="10"/>
  <c r="O371" i="10"/>
  <c r="N371" i="10"/>
  <c r="L371" i="10"/>
  <c r="K371" i="10"/>
  <c r="J371" i="10"/>
  <c r="I371" i="10"/>
  <c r="H371" i="10"/>
  <c r="G371" i="10"/>
  <c r="F371" i="10"/>
  <c r="E371" i="10"/>
  <c r="D371" i="10"/>
  <c r="C371" i="10"/>
  <c r="B371" i="10"/>
  <c r="AH332" i="10"/>
  <c r="AG332" i="10"/>
  <c r="AF332" i="10"/>
  <c r="AE332" i="10"/>
  <c r="AD332" i="10"/>
  <c r="AC332" i="10"/>
  <c r="AB332" i="10"/>
  <c r="AA332" i="10"/>
  <c r="Z332" i="10"/>
  <c r="X332" i="10"/>
  <c r="W332" i="10"/>
  <c r="V332" i="10"/>
  <c r="U332" i="10"/>
  <c r="T332" i="10"/>
  <c r="S332" i="10"/>
  <c r="R332" i="10"/>
  <c r="Q332" i="10"/>
  <c r="P332" i="10"/>
  <c r="O332" i="10"/>
  <c r="N332" i="10"/>
  <c r="L332" i="10"/>
  <c r="K332" i="10"/>
  <c r="J332" i="10"/>
  <c r="I332" i="10"/>
  <c r="H332" i="10"/>
  <c r="G332" i="10"/>
  <c r="F332" i="10"/>
  <c r="E332" i="10"/>
  <c r="D332" i="10"/>
  <c r="C332" i="10"/>
  <c r="B332" i="10"/>
  <c r="AH331" i="10"/>
  <c r="AG331" i="10"/>
  <c r="AF331" i="10"/>
  <c r="AE331" i="10"/>
  <c r="AD331" i="10"/>
  <c r="AC331" i="10"/>
  <c r="AB331" i="10"/>
  <c r="AA331" i="10"/>
  <c r="Z331" i="10"/>
  <c r="X331" i="10"/>
  <c r="W331" i="10"/>
  <c r="V331" i="10"/>
  <c r="U331" i="10"/>
  <c r="T331" i="10"/>
  <c r="S331" i="10"/>
  <c r="R331" i="10"/>
  <c r="Q331" i="10"/>
  <c r="P331" i="10"/>
  <c r="O331" i="10"/>
  <c r="N331" i="10"/>
  <c r="L331" i="10"/>
  <c r="K331" i="10"/>
  <c r="J331" i="10"/>
  <c r="I331" i="10"/>
  <c r="H331" i="10"/>
  <c r="G331" i="10"/>
  <c r="F331" i="10"/>
  <c r="E331" i="10"/>
  <c r="D331" i="10"/>
  <c r="C331" i="10"/>
  <c r="B331" i="10"/>
  <c r="AH330" i="10"/>
  <c r="AG330" i="10"/>
  <c r="AF330" i="10"/>
  <c r="AE330" i="10"/>
  <c r="AD330" i="10"/>
  <c r="AC330" i="10"/>
  <c r="AB330" i="10"/>
  <c r="AA330" i="10"/>
  <c r="Z330" i="10"/>
  <c r="X330" i="10"/>
  <c r="W330" i="10"/>
  <c r="V330" i="10"/>
  <c r="U330" i="10"/>
  <c r="T330" i="10"/>
  <c r="S330" i="10"/>
  <c r="R330" i="10"/>
  <c r="Q330" i="10"/>
  <c r="P330" i="10"/>
  <c r="O330" i="10"/>
  <c r="N330" i="10"/>
  <c r="L330" i="10"/>
  <c r="K330" i="10"/>
  <c r="J330" i="10"/>
  <c r="I330" i="10"/>
  <c r="H330" i="10"/>
  <c r="G330" i="10"/>
  <c r="F330" i="10"/>
  <c r="E330" i="10"/>
  <c r="D330" i="10"/>
  <c r="C330" i="10"/>
  <c r="B330" i="10"/>
  <c r="AH329" i="10"/>
  <c r="AG329" i="10"/>
  <c r="AF329" i="10"/>
  <c r="AE329" i="10"/>
  <c r="AD329" i="10"/>
  <c r="AC329" i="10"/>
  <c r="AB329" i="10"/>
  <c r="AA329" i="10"/>
  <c r="Z329" i="10"/>
  <c r="X329" i="10"/>
  <c r="W329" i="10"/>
  <c r="V329" i="10"/>
  <c r="U329" i="10"/>
  <c r="T329" i="10"/>
  <c r="S329" i="10"/>
  <c r="R329" i="10"/>
  <c r="Q329" i="10"/>
  <c r="P329" i="10"/>
  <c r="O329" i="10"/>
  <c r="N329" i="10"/>
  <c r="L329" i="10"/>
  <c r="K329" i="10"/>
  <c r="J329" i="10"/>
  <c r="I329" i="10"/>
  <c r="H329" i="10"/>
  <c r="G329" i="10"/>
  <c r="F329" i="10"/>
  <c r="E329" i="10"/>
  <c r="D329" i="10"/>
  <c r="C329" i="10"/>
  <c r="B329" i="10"/>
  <c r="AH290" i="10"/>
  <c r="AG290" i="10"/>
  <c r="AF290" i="10"/>
  <c r="AE290" i="10"/>
  <c r="AD290" i="10"/>
  <c r="AC290" i="10"/>
  <c r="AB290" i="10"/>
  <c r="AA290" i="10"/>
  <c r="Z290" i="10"/>
  <c r="X290" i="10"/>
  <c r="W290" i="10"/>
  <c r="V290" i="10"/>
  <c r="U290" i="10"/>
  <c r="T290" i="10"/>
  <c r="S290" i="10"/>
  <c r="R290" i="10"/>
  <c r="Q290" i="10"/>
  <c r="P290" i="10"/>
  <c r="O290" i="10"/>
  <c r="N290" i="10"/>
  <c r="L290" i="10"/>
  <c r="K290" i="10"/>
  <c r="J290" i="10"/>
  <c r="I290" i="10"/>
  <c r="H290" i="10"/>
  <c r="G290" i="10"/>
  <c r="F290" i="10"/>
  <c r="E290" i="10"/>
  <c r="D290" i="10"/>
  <c r="C290" i="10"/>
  <c r="B290" i="10"/>
  <c r="AH289" i="10"/>
  <c r="AG289" i="10"/>
  <c r="AF289" i="10"/>
  <c r="AE289" i="10"/>
  <c r="AD289" i="10"/>
  <c r="AC289" i="10"/>
  <c r="AB289" i="10"/>
  <c r="AA289" i="10"/>
  <c r="Z289" i="10"/>
  <c r="X289" i="10"/>
  <c r="W289" i="10"/>
  <c r="V289" i="10"/>
  <c r="U289" i="10"/>
  <c r="T289" i="10"/>
  <c r="S289" i="10"/>
  <c r="R289" i="10"/>
  <c r="Q289" i="10"/>
  <c r="P289" i="10"/>
  <c r="O289" i="10"/>
  <c r="N289" i="10"/>
  <c r="L289" i="10"/>
  <c r="K289" i="10"/>
  <c r="J289" i="10"/>
  <c r="I289" i="10"/>
  <c r="H289" i="10"/>
  <c r="G289" i="10"/>
  <c r="F289" i="10"/>
  <c r="E289" i="10"/>
  <c r="D289" i="10"/>
  <c r="C289" i="10"/>
  <c r="B289" i="10"/>
  <c r="AH288" i="10"/>
  <c r="AG288" i="10"/>
  <c r="AF288" i="10"/>
  <c r="AE288" i="10"/>
  <c r="AD288" i="10"/>
  <c r="AC288" i="10"/>
  <c r="AB288" i="10"/>
  <c r="AA288" i="10"/>
  <c r="Z288" i="10"/>
  <c r="X288" i="10"/>
  <c r="W288" i="10"/>
  <c r="V288" i="10"/>
  <c r="U288" i="10"/>
  <c r="T288" i="10"/>
  <c r="S288" i="10"/>
  <c r="R288" i="10"/>
  <c r="Q288" i="10"/>
  <c r="P288" i="10"/>
  <c r="O288" i="10"/>
  <c r="N288" i="10"/>
  <c r="L288" i="10"/>
  <c r="K288" i="10"/>
  <c r="J288" i="10"/>
  <c r="I288" i="10"/>
  <c r="H288" i="10"/>
  <c r="G288" i="10"/>
  <c r="F288" i="10"/>
  <c r="E288" i="10"/>
  <c r="D288" i="10"/>
  <c r="C288" i="10"/>
  <c r="B288" i="10"/>
  <c r="AH287" i="10"/>
  <c r="AG287" i="10"/>
  <c r="AF287" i="10"/>
  <c r="AE287" i="10"/>
  <c r="AD287" i="10"/>
  <c r="AC287" i="10"/>
  <c r="AB287" i="10"/>
  <c r="AA287" i="10"/>
  <c r="Z287" i="10"/>
  <c r="X287" i="10"/>
  <c r="W287" i="10"/>
  <c r="V287" i="10"/>
  <c r="U287" i="10"/>
  <c r="T287" i="10"/>
  <c r="S287" i="10"/>
  <c r="R287" i="10"/>
  <c r="Q287" i="10"/>
  <c r="P287" i="10"/>
  <c r="O287" i="10"/>
  <c r="N287" i="10"/>
  <c r="L287" i="10"/>
  <c r="K287" i="10"/>
  <c r="J287" i="10"/>
  <c r="I287" i="10"/>
  <c r="H287" i="10"/>
  <c r="G287" i="10"/>
  <c r="F287" i="10"/>
  <c r="E287" i="10"/>
  <c r="D287" i="10"/>
  <c r="C287" i="10"/>
  <c r="B287" i="10"/>
  <c r="AH248" i="10"/>
  <c r="AG248" i="10"/>
  <c r="AF248" i="10"/>
  <c r="AE248" i="10"/>
  <c r="AD248" i="10"/>
  <c r="AC248" i="10"/>
  <c r="AB248" i="10"/>
  <c r="AA248" i="10"/>
  <c r="Z248" i="10"/>
  <c r="X248" i="10"/>
  <c r="W248" i="10"/>
  <c r="V248" i="10"/>
  <c r="U248" i="10"/>
  <c r="T248" i="10"/>
  <c r="S248" i="10"/>
  <c r="R248" i="10"/>
  <c r="Q248" i="10"/>
  <c r="P248" i="10"/>
  <c r="O248" i="10"/>
  <c r="N248" i="10"/>
  <c r="L248" i="10"/>
  <c r="K248" i="10"/>
  <c r="J248" i="10"/>
  <c r="I248" i="10"/>
  <c r="H248" i="10"/>
  <c r="G248" i="10"/>
  <c r="F248" i="10"/>
  <c r="E248" i="10"/>
  <c r="D248" i="10"/>
  <c r="C248" i="10"/>
  <c r="B248" i="10"/>
  <c r="AH247" i="10"/>
  <c r="AG247" i="10"/>
  <c r="AF247" i="10"/>
  <c r="AE247" i="10"/>
  <c r="AD247" i="10"/>
  <c r="AC247" i="10"/>
  <c r="AB247" i="10"/>
  <c r="AA247" i="10"/>
  <c r="Z247" i="10"/>
  <c r="X247" i="10"/>
  <c r="W247" i="10"/>
  <c r="V247" i="10"/>
  <c r="U247" i="10"/>
  <c r="T247" i="10"/>
  <c r="S247" i="10"/>
  <c r="R247" i="10"/>
  <c r="Q247" i="10"/>
  <c r="P247" i="10"/>
  <c r="O247" i="10"/>
  <c r="N247" i="10"/>
  <c r="L247" i="10"/>
  <c r="K247" i="10"/>
  <c r="J247" i="10"/>
  <c r="I247" i="10"/>
  <c r="H247" i="10"/>
  <c r="G247" i="10"/>
  <c r="F247" i="10"/>
  <c r="E247" i="10"/>
  <c r="D247" i="10"/>
  <c r="C247" i="10"/>
  <c r="B247" i="10"/>
  <c r="AH246" i="10"/>
  <c r="AG246" i="10"/>
  <c r="AF246" i="10"/>
  <c r="AE246" i="10"/>
  <c r="AD246" i="10"/>
  <c r="AC246" i="10"/>
  <c r="AB246" i="10"/>
  <c r="AA246" i="10"/>
  <c r="Z246" i="10"/>
  <c r="X246" i="10"/>
  <c r="W246" i="10"/>
  <c r="V246" i="10"/>
  <c r="U246" i="10"/>
  <c r="T246" i="10"/>
  <c r="S246" i="10"/>
  <c r="R246" i="10"/>
  <c r="Q246" i="10"/>
  <c r="P246" i="10"/>
  <c r="O246" i="10"/>
  <c r="N246" i="10"/>
  <c r="L246" i="10"/>
  <c r="K246" i="10"/>
  <c r="J246" i="10"/>
  <c r="I246" i="10"/>
  <c r="H246" i="10"/>
  <c r="G246" i="10"/>
  <c r="F246" i="10"/>
  <c r="E246" i="10"/>
  <c r="D246" i="10"/>
  <c r="C246" i="10"/>
  <c r="B246" i="10"/>
  <c r="AH245" i="10"/>
  <c r="AG245" i="10"/>
  <c r="AF245" i="10"/>
  <c r="AE245" i="10"/>
  <c r="AD245" i="10"/>
  <c r="AC245" i="10"/>
  <c r="AB245" i="10"/>
  <c r="AA245" i="10"/>
  <c r="Z245" i="10"/>
  <c r="X245" i="10"/>
  <c r="W245" i="10"/>
  <c r="V245" i="10"/>
  <c r="U245" i="10"/>
  <c r="T245" i="10"/>
  <c r="S245" i="10"/>
  <c r="R245" i="10"/>
  <c r="Q245" i="10"/>
  <c r="P245" i="10"/>
  <c r="O245" i="10"/>
  <c r="N245" i="10"/>
  <c r="L245" i="10"/>
  <c r="K245" i="10"/>
  <c r="J245" i="10"/>
  <c r="I245" i="10"/>
  <c r="H245" i="10"/>
  <c r="G245" i="10"/>
  <c r="F245" i="10"/>
  <c r="E245" i="10"/>
  <c r="D245" i="10"/>
  <c r="C245" i="10"/>
  <c r="AH206" i="10"/>
  <c r="AG206" i="10"/>
  <c r="AF206" i="10"/>
  <c r="AE206" i="10"/>
  <c r="AD206" i="10"/>
  <c r="AC206" i="10"/>
  <c r="AB206" i="10"/>
  <c r="AA206" i="10"/>
  <c r="Z206" i="10"/>
  <c r="X206" i="10"/>
  <c r="W206" i="10"/>
  <c r="V206" i="10"/>
  <c r="U206" i="10"/>
  <c r="T206" i="10"/>
  <c r="S206" i="10"/>
  <c r="R206" i="10"/>
  <c r="Q206" i="10"/>
  <c r="P206" i="10"/>
  <c r="O206" i="10"/>
  <c r="N206" i="10"/>
  <c r="L206" i="10"/>
  <c r="K206" i="10"/>
  <c r="J206" i="10"/>
  <c r="I206" i="10"/>
  <c r="H206" i="10"/>
  <c r="G206" i="10"/>
  <c r="F206" i="10"/>
  <c r="E206" i="10"/>
  <c r="D206" i="10"/>
  <c r="C206" i="10"/>
  <c r="B206" i="10"/>
  <c r="AH205" i="10"/>
  <c r="AG205" i="10"/>
  <c r="AF205" i="10"/>
  <c r="AE205" i="10"/>
  <c r="AD205" i="10"/>
  <c r="AC205" i="10"/>
  <c r="AB205" i="10"/>
  <c r="AA205" i="10"/>
  <c r="Z205" i="10"/>
  <c r="X205" i="10"/>
  <c r="W205" i="10"/>
  <c r="V205" i="10"/>
  <c r="U205" i="10"/>
  <c r="T205" i="10"/>
  <c r="S205" i="10"/>
  <c r="R205" i="10"/>
  <c r="Q205" i="10"/>
  <c r="P205" i="10"/>
  <c r="O205" i="10"/>
  <c r="N205" i="10"/>
  <c r="L205" i="10"/>
  <c r="K205" i="10"/>
  <c r="J205" i="10"/>
  <c r="I205" i="10"/>
  <c r="H205" i="10"/>
  <c r="G205" i="10"/>
  <c r="F205" i="10"/>
  <c r="E205" i="10"/>
  <c r="D205" i="10"/>
  <c r="C205" i="10"/>
  <c r="B205" i="10"/>
  <c r="AH204" i="10"/>
  <c r="AG204" i="10"/>
  <c r="AF204" i="10"/>
  <c r="AE204" i="10"/>
  <c r="AD204" i="10"/>
  <c r="AC204" i="10"/>
  <c r="AB204" i="10"/>
  <c r="AA204" i="10"/>
  <c r="Z204" i="10"/>
  <c r="X204" i="10"/>
  <c r="W204" i="10"/>
  <c r="V204" i="10"/>
  <c r="U204" i="10"/>
  <c r="T204" i="10"/>
  <c r="S204" i="10"/>
  <c r="R204" i="10"/>
  <c r="Q204" i="10"/>
  <c r="P204" i="10"/>
  <c r="O204" i="10"/>
  <c r="N204" i="10"/>
  <c r="L204" i="10"/>
  <c r="K204" i="10"/>
  <c r="J204" i="10"/>
  <c r="I204" i="10"/>
  <c r="H204" i="10"/>
  <c r="G204" i="10"/>
  <c r="F204" i="10"/>
  <c r="E204" i="10"/>
  <c r="D204" i="10"/>
  <c r="C204" i="10"/>
  <c r="B204" i="10"/>
  <c r="AH203" i="10"/>
  <c r="AG203" i="10"/>
  <c r="AF203" i="10"/>
  <c r="AE203" i="10"/>
  <c r="AD203" i="10"/>
  <c r="AC203" i="10"/>
  <c r="AB203" i="10"/>
  <c r="AA203" i="10"/>
  <c r="Z203" i="10"/>
  <c r="X203" i="10"/>
  <c r="W203" i="10"/>
  <c r="V203" i="10"/>
  <c r="U203" i="10"/>
  <c r="T203" i="10"/>
  <c r="S203" i="10"/>
  <c r="R203" i="10"/>
  <c r="Q203" i="10"/>
  <c r="P203" i="10"/>
  <c r="O203" i="10"/>
  <c r="N203" i="10"/>
  <c r="L203" i="10"/>
  <c r="K203" i="10"/>
  <c r="J203" i="10"/>
  <c r="I203" i="10"/>
  <c r="H203" i="10"/>
  <c r="G203" i="10"/>
  <c r="F203" i="10"/>
  <c r="E203" i="10"/>
  <c r="D203" i="10"/>
  <c r="C203" i="10"/>
  <c r="B203" i="10"/>
  <c r="AH164" i="10"/>
  <c r="AG164" i="10"/>
  <c r="AF164" i="10"/>
  <c r="AE164" i="10"/>
  <c r="AD164" i="10"/>
  <c r="AC164" i="10"/>
  <c r="AB164" i="10"/>
  <c r="AA164" i="10"/>
  <c r="Z164" i="10"/>
  <c r="X164" i="10"/>
  <c r="W164" i="10"/>
  <c r="V164" i="10"/>
  <c r="U164" i="10"/>
  <c r="T164" i="10"/>
  <c r="S164" i="10"/>
  <c r="R164" i="10"/>
  <c r="Q164" i="10"/>
  <c r="P164" i="10"/>
  <c r="O164" i="10"/>
  <c r="N164" i="10"/>
  <c r="L164" i="10"/>
  <c r="K164" i="10"/>
  <c r="J164" i="10"/>
  <c r="I164" i="10"/>
  <c r="H164" i="10"/>
  <c r="G164" i="10"/>
  <c r="F164" i="10"/>
  <c r="E164" i="10"/>
  <c r="D164" i="10"/>
  <c r="C164" i="10"/>
  <c r="B164" i="10"/>
  <c r="AH163" i="10"/>
  <c r="AG163" i="10"/>
  <c r="AF163" i="10"/>
  <c r="AE163" i="10"/>
  <c r="AD163" i="10"/>
  <c r="AC163" i="10"/>
  <c r="AB163" i="10"/>
  <c r="AA163" i="10"/>
  <c r="Z163" i="10"/>
  <c r="X163" i="10"/>
  <c r="W163" i="10"/>
  <c r="V163" i="10"/>
  <c r="U163" i="10"/>
  <c r="T163" i="10"/>
  <c r="S163" i="10"/>
  <c r="R163" i="10"/>
  <c r="Q163" i="10"/>
  <c r="P163" i="10"/>
  <c r="O163" i="10"/>
  <c r="N163" i="10"/>
  <c r="L163" i="10"/>
  <c r="K163" i="10"/>
  <c r="J163" i="10"/>
  <c r="I163" i="10"/>
  <c r="H163" i="10"/>
  <c r="G163" i="10"/>
  <c r="F163" i="10"/>
  <c r="E163" i="10"/>
  <c r="D163" i="10"/>
  <c r="C163" i="10"/>
  <c r="B163" i="10"/>
  <c r="AH162" i="10"/>
  <c r="AG162" i="10"/>
  <c r="AF162" i="10"/>
  <c r="AE162" i="10"/>
  <c r="AD162" i="10"/>
  <c r="AC162" i="10"/>
  <c r="AB162" i="10"/>
  <c r="AA162" i="10"/>
  <c r="Z162" i="10"/>
  <c r="X162" i="10"/>
  <c r="W162" i="10"/>
  <c r="V162" i="10"/>
  <c r="U162" i="10"/>
  <c r="T162" i="10"/>
  <c r="S162" i="10"/>
  <c r="R162" i="10"/>
  <c r="Q162" i="10"/>
  <c r="P162" i="10"/>
  <c r="O162" i="10"/>
  <c r="N162" i="10"/>
  <c r="L162" i="10"/>
  <c r="K162" i="10"/>
  <c r="J162" i="10"/>
  <c r="I162" i="10"/>
  <c r="H162" i="10"/>
  <c r="G162" i="10"/>
  <c r="F162" i="10"/>
  <c r="E162" i="10"/>
  <c r="D162" i="10"/>
  <c r="C162" i="10"/>
  <c r="B162" i="10"/>
  <c r="AH161" i="10"/>
  <c r="AG161" i="10"/>
  <c r="AF161" i="10"/>
  <c r="AE161" i="10"/>
  <c r="AD161" i="10"/>
  <c r="AC161" i="10"/>
  <c r="AB161" i="10"/>
  <c r="AA161" i="10"/>
  <c r="Z161" i="10"/>
  <c r="X161" i="10"/>
  <c r="W161" i="10"/>
  <c r="V161" i="10"/>
  <c r="U161" i="10"/>
  <c r="T161" i="10"/>
  <c r="S161" i="10"/>
  <c r="R161" i="10"/>
  <c r="Q161" i="10"/>
  <c r="P161" i="10"/>
  <c r="O161" i="10"/>
  <c r="N161" i="10"/>
  <c r="L161" i="10"/>
  <c r="K161" i="10"/>
  <c r="J161" i="10"/>
  <c r="I161" i="10"/>
  <c r="H161" i="10"/>
  <c r="G161" i="10"/>
  <c r="F161" i="10"/>
  <c r="E161" i="10"/>
  <c r="D161" i="10"/>
  <c r="C161" i="10"/>
  <c r="B161" i="10"/>
  <c r="AH122" i="10"/>
  <c r="AG122" i="10"/>
  <c r="AF122" i="10"/>
  <c r="AE122" i="10"/>
  <c r="AD122" i="10"/>
  <c r="AC122" i="10"/>
  <c r="AB122" i="10"/>
  <c r="AA122" i="10"/>
  <c r="Z122" i="10"/>
  <c r="X122" i="10"/>
  <c r="W122" i="10"/>
  <c r="V122" i="10"/>
  <c r="U122" i="10"/>
  <c r="T122" i="10"/>
  <c r="S122" i="10"/>
  <c r="R122" i="10"/>
  <c r="Q122" i="10"/>
  <c r="P122" i="10"/>
  <c r="O122" i="10"/>
  <c r="N122" i="10"/>
  <c r="L122" i="10"/>
  <c r="K122" i="10"/>
  <c r="J122" i="10"/>
  <c r="I122" i="10"/>
  <c r="H122" i="10"/>
  <c r="G122" i="10"/>
  <c r="F122" i="10"/>
  <c r="E122" i="10"/>
  <c r="D122" i="10"/>
  <c r="C122" i="10"/>
  <c r="B122" i="10"/>
  <c r="AH121" i="10"/>
  <c r="AG121" i="10"/>
  <c r="AF121" i="10"/>
  <c r="AE121" i="10"/>
  <c r="AD121" i="10"/>
  <c r="AC121" i="10"/>
  <c r="AB121" i="10"/>
  <c r="AA121" i="10"/>
  <c r="Z121" i="10"/>
  <c r="X121" i="10"/>
  <c r="W121" i="10"/>
  <c r="V121" i="10"/>
  <c r="U121" i="10"/>
  <c r="T121" i="10"/>
  <c r="S121" i="10"/>
  <c r="R121" i="10"/>
  <c r="Q121" i="10"/>
  <c r="P121" i="10"/>
  <c r="O121" i="10"/>
  <c r="N121" i="10"/>
  <c r="L121" i="10"/>
  <c r="K121" i="10"/>
  <c r="J121" i="10"/>
  <c r="I121" i="10"/>
  <c r="H121" i="10"/>
  <c r="G121" i="10"/>
  <c r="F121" i="10"/>
  <c r="E121" i="10"/>
  <c r="D121" i="10"/>
  <c r="C121" i="10"/>
  <c r="B121" i="10"/>
  <c r="AH120" i="10"/>
  <c r="AG120" i="10"/>
  <c r="AF120" i="10"/>
  <c r="AE120" i="10"/>
  <c r="AD120" i="10"/>
  <c r="AC120" i="10"/>
  <c r="AB120" i="10"/>
  <c r="AA120" i="10"/>
  <c r="Z120" i="10"/>
  <c r="X120" i="10"/>
  <c r="W120" i="10"/>
  <c r="V120" i="10"/>
  <c r="U120" i="10"/>
  <c r="T120" i="10"/>
  <c r="S120" i="10"/>
  <c r="R120" i="10"/>
  <c r="Q120" i="10"/>
  <c r="P120" i="10"/>
  <c r="O120" i="10"/>
  <c r="N120" i="10"/>
  <c r="L120" i="10"/>
  <c r="K120" i="10"/>
  <c r="J120" i="10"/>
  <c r="I120" i="10"/>
  <c r="H120" i="10"/>
  <c r="G120" i="10"/>
  <c r="F120" i="10"/>
  <c r="E120" i="10"/>
  <c r="D120" i="10"/>
  <c r="C120" i="10"/>
  <c r="B120" i="10"/>
  <c r="AH119" i="10"/>
  <c r="AG119" i="10"/>
  <c r="AF119" i="10"/>
  <c r="AE119" i="10"/>
  <c r="AD119" i="10"/>
  <c r="AC119" i="10"/>
  <c r="AB119" i="10"/>
  <c r="AA119" i="10"/>
  <c r="Z119" i="10"/>
  <c r="X119" i="10"/>
  <c r="W119" i="10"/>
  <c r="V119" i="10"/>
  <c r="U119" i="10"/>
  <c r="T119" i="10"/>
  <c r="S119" i="10"/>
  <c r="R119" i="10"/>
  <c r="Q119" i="10"/>
  <c r="P119" i="10"/>
  <c r="O119" i="10"/>
  <c r="N119" i="10"/>
  <c r="L119" i="10"/>
  <c r="K119" i="10"/>
  <c r="J119" i="10"/>
  <c r="I119" i="10"/>
  <c r="H119" i="10"/>
  <c r="G119" i="10"/>
  <c r="F119" i="10"/>
  <c r="E119" i="10"/>
  <c r="D119" i="10"/>
  <c r="C119" i="10"/>
  <c r="B119" i="10"/>
  <c r="AH83" i="10"/>
  <c r="AG83" i="10"/>
  <c r="AF83" i="10"/>
  <c r="AE83" i="10"/>
  <c r="AD83" i="10"/>
  <c r="AC83" i="10"/>
  <c r="AB83" i="10"/>
  <c r="AA83" i="10"/>
  <c r="Z83" i="10"/>
  <c r="X83" i="10"/>
  <c r="W83" i="10"/>
  <c r="V83" i="10"/>
  <c r="U83" i="10"/>
  <c r="T83" i="10"/>
  <c r="S83" i="10"/>
  <c r="R83" i="10"/>
  <c r="Q83" i="10"/>
  <c r="P83" i="10"/>
  <c r="O83" i="10"/>
  <c r="N83" i="10"/>
  <c r="L83" i="10"/>
  <c r="K83" i="10"/>
  <c r="J83" i="10"/>
  <c r="I83" i="10"/>
  <c r="H83" i="10"/>
  <c r="G83" i="10"/>
  <c r="F83" i="10"/>
  <c r="E83" i="10"/>
  <c r="D83" i="10"/>
  <c r="C83" i="10"/>
  <c r="B83" i="10"/>
  <c r="AH82" i="10"/>
  <c r="AG82" i="10"/>
  <c r="AF82" i="10"/>
  <c r="AE82" i="10"/>
  <c r="AD82" i="10"/>
  <c r="AC82" i="10"/>
  <c r="AB82" i="10"/>
  <c r="AA82" i="10"/>
  <c r="Z82" i="10"/>
  <c r="X82" i="10"/>
  <c r="W82" i="10"/>
  <c r="V82" i="10"/>
  <c r="U82" i="10"/>
  <c r="T82" i="10"/>
  <c r="S82" i="10"/>
  <c r="R82" i="10"/>
  <c r="Q82" i="10"/>
  <c r="P82" i="10"/>
  <c r="O82" i="10"/>
  <c r="N82" i="10"/>
  <c r="L82" i="10"/>
  <c r="K82" i="10"/>
  <c r="J82" i="10"/>
  <c r="I82" i="10"/>
  <c r="H82" i="10"/>
  <c r="G82" i="10"/>
  <c r="F82" i="10"/>
  <c r="E82" i="10"/>
  <c r="D82" i="10"/>
  <c r="C82" i="10"/>
  <c r="B82" i="10"/>
  <c r="AH81" i="10"/>
  <c r="AG81" i="10"/>
  <c r="AF81" i="10"/>
  <c r="AE81" i="10"/>
  <c r="AD81" i="10"/>
  <c r="AC81" i="10"/>
  <c r="AB81" i="10"/>
  <c r="AA81" i="10"/>
  <c r="Z81" i="10"/>
  <c r="X81" i="10"/>
  <c r="W81" i="10"/>
  <c r="V81" i="10"/>
  <c r="U81" i="10"/>
  <c r="T81" i="10"/>
  <c r="S81" i="10"/>
  <c r="R81" i="10"/>
  <c r="Q81" i="10"/>
  <c r="P81" i="10"/>
  <c r="O81" i="10"/>
  <c r="N81" i="10"/>
  <c r="L81" i="10"/>
  <c r="K81" i="10"/>
  <c r="J81" i="10"/>
  <c r="I81" i="10"/>
  <c r="H81" i="10"/>
  <c r="G81" i="10"/>
  <c r="F81" i="10"/>
  <c r="E81" i="10"/>
  <c r="D81" i="10"/>
  <c r="C81" i="10"/>
  <c r="B81" i="10"/>
  <c r="AH80" i="10"/>
  <c r="AG80" i="10"/>
  <c r="AF80" i="10"/>
  <c r="AE80" i="10"/>
  <c r="AD80" i="10"/>
  <c r="AC80" i="10"/>
  <c r="AB80" i="10"/>
  <c r="AA80" i="10"/>
  <c r="Z80" i="10"/>
  <c r="X80" i="10"/>
  <c r="W80" i="10"/>
  <c r="V80" i="10"/>
  <c r="U80" i="10"/>
  <c r="T80" i="10"/>
  <c r="S80" i="10"/>
  <c r="R80" i="10"/>
  <c r="Q80" i="10"/>
  <c r="P80" i="10"/>
  <c r="O80" i="10"/>
  <c r="N80" i="10"/>
  <c r="L80" i="10"/>
  <c r="K80" i="10"/>
  <c r="J80" i="10"/>
  <c r="I80" i="10"/>
  <c r="H80" i="10"/>
  <c r="G80" i="10"/>
  <c r="F80" i="10"/>
  <c r="E80" i="10"/>
  <c r="D80" i="10"/>
  <c r="C80" i="10"/>
  <c r="B80" i="10"/>
  <c r="AG38" i="10"/>
  <c r="AG39" i="10"/>
  <c r="AG40" i="10"/>
  <c r="AG41" i="10"/>
  <c r="W38" i="10"/>
  <c r="W39" i="10"/>
  <c r="W40" i="10"/>
  <c r="W41" i="10"/>
  <c r="K38" i="10"/>
  <c r="K39" i="10"/>
  <c r="K40" i="10"/>
  <c r="K41" i="10"/>
  <c r="AH543" i="9"/>
  <c r="AG543" i="9"/>
  <c r="AF543" i="9"/>
  <c r="AE543" i="9"/>
  <c r="AD543" i="9"/>
  <c r="AC543" i="9"/>
  <c r="AB543" i="9"/>
  <c r="AA543" i="9"/>
  <c r="Z543" i="9"/>
  <c r="X543" i="9"/>
  <c r="W543" i="9"/>
  <c r="V543" i="9"/>
  <c r="U543" i="9"/>
  <c r="T543" i="9"/>
  <c r="S543" i="9"/>
  <c r="R543" i="9"/>
  <c r="Q543" i="9"/>
  <c r="P543" i="9"/>
  <c r="O543" i="9"/>
  <c r="N543" i="9"/>
  <c r="L543" i="9"/>
  <c r="K543" i="9"/>
  <c r="J543" i="9"/>
  <c r="I543" i="9"/>
  <c r="H543" i="9"/>
  <c r="G543" i="9"/>
  <c r="F543" i="9"/>
  <c r="E543" i="9"/>
  <c r="D543" i="9"/>
  <c r="C543" i="9"/>
  <c r="B543" i="9"/>
  <c r="AH542" i="9"/>
  <c r="AG542" i="9"/>
  <c r="AF542" i="9"/>
  <c r="AE542" i="9"/>
  <c r="AD542" i="9"/>
  <c r="AC542" i="9"/>
  <c r="AB542" i="9"/>
  <c r="AA542" i="9"/>
  <c r="Z542" i="9"/>
  <c r="X542" i="9"/>
  <c r="W542" i="9"/>
  <c r="V542" i="9"/>
  <c r="U542" i="9"/>
  <c r="T542" i="9"/>
  <c r="S542" i="9"/>
  <c r="R542" i="9"/>
  <c r="Q542" i="9"/>
  <c r="P542" i="9"/>
  <c r="O542" i="9"/>
  <c r="N542" i="9"/>
  <c r="L542" i="9"/>
  <c r="K542" i="9"/>
  <c r="J542" i="9"/>
  <c r="I542" i="9"/>
  <c r="H542" i="9"/>
  <c r="G542" i="9"/>
  <c r="F542" i="9"/>
  <c r="E542" i="9"/>
  <c r="D542" i="9"/>
  <c r="C542" i="9"/>
  <c r="B542" i="9"/>
  <c r="AH541" i="9"/>
  <c r="AG541" i="9"/>
  <c r="AF541" i="9"/>
  <c r="AE541" i="9"/>
  <c r="AD541" i="9"/>
  <c r="AC541" i="9"/>
  <c r="AB541" i="9"/>
  <c r="AA541" i="9"/>
  <c r="Z541" i="9"/>
  <c r="X541" i="9"/>
  <c r="W541" i="9"/>
  <c r="V541" i="9"/>
  <c r="U541" i="9"/>
  <c r="T541" i="9"/>
  <c r="S541" i="9"/>
  <c r="R541" i="9"/>
  <c r="Q541" i="9"/>
  <c r="P541" i="9"/>
  <c r="O541" i="9"/>
  <c r="N541" i="9"/>
  <c r="L541" i="9"/>
  <c r="K541" i="9"/>
  <c r="J541" i="9"/>
  <c r="I541" i="9"/>
  <c r="H541" i="9"/>
  <c r="G541" i="9"/>
  <c r="F541" i="9"/>
  <c r="E541" i="9"/>
  <c r="D541" i="9"/>
  <c r="C541" i="9"/>
  <c r="B541" i="9"/>
  <c r="AH540" i="9"/>
  <c r="AG540" i="9"/>
  <c r="AF540" i="9"/>
  <c r="AE540" i="9"/>
  <c r="AD540" i="9"/>
  <c r="AC540" i="9"/>
  <c r="AB540" i="9"/>
  <c r="AA540" i="9"/>
  <c r="Z540" i="9"/>
  <c r="X540" i="9"/>
  <c r="W540" i="9"/>
  <c r="V540" i="9"/>
  <c r="U540" i="9"/>
  <c r="T540" i="9"/>
  <c r="S540" i="9"/>
  <c r="R540" i="9"/>
  <c r="Q540" i="9"/>
  <c r="P540" i="9"/>
  <c r="O540" i="9"/>
  <c r="N540" i="9"/>
  <c r="L540" i="9"/>
  <c r="K540" i="9"/>
  <c r="J540" i="9"/>
  <c r="I540" i="9"/>
  <c r="H540" i="9"/>
  <c r="G540" i="9"/>
  <c r="F540" i="9"/>
  <c r="E540" i="9"/>
  <c r="D540" i="9"/>
  <c r="C540" i="9"/>
  <c r="B540" i="9"/>
  <c r="AH501" i="9"/>
  <c r="AG501" i="9"/>
  <c r="AF501" i="9"/>
  <c r="AE501" i="9"/>
  <c r="AD501" i="9"/>
  <c r="AC501" i="9"/>
  <c r="AB501" i="9"/>
  <c r="AA501" i="9"/>
  <c r="Z501" i="9"/>
  <c r="X501" i="9"/>
  <c r="W501" i="9"/>
  <c r="V501" i="9"/>
  <c r="U501" i="9"/>
  <c r="T501" i="9"/>
  <c r="S501" i="9"/>
  <c r="R501" i="9"/>
  <c r="Q501" i="9"/>
  <c r="P501" i="9"/>
  <c r="O501" i="9"/>
  <c r="N501" i="9"/>
  <c r="L501" i="9"/>
  <c r="K501" i="9"/>
  <c r="J501" i="9"/>
  <c r="I501" i="9"/>
  <c r="H501" i="9"/>
  <c r="G501" i="9"/>
  <c r="F501" i="9"/>
  <c r="E501" i="9"/>
  <c r="D501" i="9"/>
  <c r="C501" i="9"/>
  <c r="B501" i="9"/>
  <c r="AH500" i="9"/>
  <c r="AG500" i="9"/>
  <c r="AF500" i="9"/>
  <c r="AE500" i="9"/>
  <c r="AD500" i="9"/>
  <c r="AC500" i="9"/>
  <c r="AB500" i="9"/>
  <c r="AA500" i="9"/>
  <c r="Z500" i="9"/>
  <c r="X500" i="9"/>
  <c r="W500" i="9"/>
  <c r="V500" i="9"/>
  <c r="U500" i="9"/>
  <c r="T500" i="9"/>
  <c r="S500" i="9"/>
  <c r="R500" i="9"/>
  <c r="Q500" i="9"/>
  <c r="P500" i="9"/>
  <c r="O500" i="9"/>
  <c r="N500" i="9"/>
  <c r="L500" i="9"/>
  <c r="K500" i="9"/>
  <c r="J500" i="9"/>
  <c r="I500" i="9"/>
  <c r="H500" i="9"/>
  <c r="G500" i="9"/>
  <c r="F500" i="9"/>
  <c r="E500" i="9"/>
  <c r="D500" i="9"/>
  <c r="C500" i="9"/>
  <c r="B500" i="9"/>
  <c r="AH499" i="9"/>
  <c r="AG499" i="9"/>
  <c r="AF499" i="9"/>
  <c r="AE499" i="9"/>
  <c r="AD499" i="9"/>
  <c r="AC499" i="9"/>
  <c r="AB499" i="9"/>
  <c r="AA499" i="9"/>
  <c r="Z499" i="9"/>
  <c r="X499" i="9"/>
  <c r="W499" i="9"/>
  <c r="V499" i="9"/>
  <c r="U499" i="9"/>
  <c r="T499" i="9"/>
  <c r="S499" i="9"/>
  <c r="R499" i="9"/>
  <c r="Q499" i="9"/>
  <c r="P499" i="9"/>
  <c r="O499" i="9"/>
  <c r="N499" i="9"/>
  <c r="L499" i="9"/>
  <c r="K499" i="9"/>
  <c r="J499" i="9"/>
  <c r="I499" i="9"/>
  <c r="H499" i="9"/>
  <c r="G499" i="9"/>
  <c r="F499" i="9"/>
  <c r="E499" i="9"/>
  <c r="D499" i="9"/>
  <c r="C499" i="9"/>
  <c r="B499" i="9"/>
  <c r="AH498" i="9"/>
  <c r="AG498" i="9"/>
  <c r="AF498" i="9"/>
  <c r="AE498" i="9"/>
  <c r="AD498" i="9"/>
  <c r="AC498" i="9"/>
  <c r="AB498" i="9"/>
  <c r="AA498" i="9"/>
  <c r="Z498" i="9"/>
  <c r="X498" i="9"/>
  <c r="W498" i="9"/>
  <c r="V498" i="9"/>
  <c r="U498" i="9"/>
  <c r="T498" i="9"/>
  <c r="S498" i="9"/>
  <c r="R498" i="9"/>
  <c r="Q498" i="9"/>
  <c r="P498" i="9"/>
  <c r="O498" i="9"/>
  <c r="N498" i="9"/>
  <c r="L498" i="9"/>
  <c r="K498" i="9"/>
  <c r="J498" i="9"/>
  <c r="I498" i="9"/>
  <c r="H498" i="9"/>
  <c r="G498" i="9"/>
  <c r="F498" i="9"/>
  <c r="E498" i="9"/>
  <c r="D498" i="9"/>
  <c r="C498" i="9"/>
  <c r="B498" i="9"/>
  <c r="AH459" i="9"/>
  <c r="AG459" i="9"/>
  <c r="AF459" i="9"/>
  <c r="AE459" i="9"/>
  <c r="AD459" i="9"/>
  <c r="AC459" i="9"/>
  <c r="AB459" i="9"/>
  <c r="AA459" i="9"/>
  <c r="Z459" i="9"/>
  <c r="X459" i="9"/>
  <c r="W459" i="9"/>
  <c r="V459" i="9"/>
  <c r="U459" i="9"/>
  <c r="T459" i="9"/>
  <c r="S459" i="9"/>
  <c r="R459" i="9"/>
  <c r="Q459" i="9"/>
  <c r="P459" i="9"/>
  <c r="O459" i="9"/>
  <c r="N459" i="9"/>
  <c r="L459" i="9"/>
  <c r="K459" i="9"/>
  <c r="J459" i="9"/>
  <c r="I459" i="9"/>
  <c r="H459" i="9"/>
  <c r="G459" i="9"/>
  <c r="F459" i="9"/>
  <c r="E459" i="9"/>
  <c r="D459" i="9"/>
  <c r="C459" i="9"/>
  <c r="B459" i="9"/>
  <c r="AH458" i="9"/>
  <c r="AG458" i="9"/>
  <c r="AF458" i="9"/>
  <c r="AE458" i="9"/>
  <c r="AD458" i="9"/>
  <c r="AC458" i="9"/>
  <c r="AB458" i="9"/>
  <c r="AA458" i="9"/>
  <c r="Z458" i="9"/>
  <c r="X458" i="9"/>
  <c r="W458" i="9"/>
  <c r="V458" i="9"/>
  <c r="U458" i="9"/>
  <c r="T458" i="9"/>
  <c r="S458" i="9"/>
  <c r="R458" i="9"/>
  <c r="Q458" i="9"/>
  <c r="P458" i="9"/>
  <c r="O458" i="9"/>
  <c r="N458" i="9"/>
  <c r="L458" i="9"/>
  <c r="K458" i="9"/>
  <c r="J458" i="9"/>
  <c r="I458" i="9"/>
  <c r="H458" i="9"/>
  <c r="G458" i="9"/>
  <c r="F458" i="9"/>
  <c r="E458" i="9"/>
  <c r="D458" i="9"/>
  <c r="C458" i="9"/>
  <c r="B458" i="9"/>
  <c r="AH457" i="9"/>
  <c r="AG457" i="9"/>
  <c r="AF457" i="9"/>
  <c r="AE457" i="9"/>
  <c r="AD457" i="9"/>
  <c r="AC457" i="9"/>
  <c r="AB457" i="9"/>
  <c r="AA457" i="9"/>
  <c r="Z457" i="9"/>
  <c r="X457" i="9"/>
  <c r="W457" i="9"/>
  <c r="V457" i="9"/>
  <c r="U457" i="9"/>
  <c r="T457" i="9"/>
  <c r="S457" i="9"/>
  <c r="R457" i="9"/>
  <c r="Q457" i="9"/>
  <c r="P457" i="9"/>
  <c r="O457" i="9"/>
  <c r="N457" i="9"/>
  <c r="L457" i="9"/>
  <c r="K457" i="9"/>
  <c r="J457" i="9"/>
  <c r="I457" i="9"/>
  <c r="H457" i="9"/>
  <c r="G457" i="9"/>
  <c r="F457" i="9"/>
  <c r="E457" i="9"/>
  <c r="D457" i="9"/>
  <c r="C457" i="9"/>
  <c r="B457" i="9"/>
  <c r="AH456" i="9"/>
  <c r="AG456" i="9"/>
  <c r="AF456" i="9"/>
  <c r="AE456" i="9"/>
  <c r="AD456" i="9"/>
  <c r="AC456" i="9"/>
  <c r="AB456" i="9"/>
  <c r="AA456" i="9"/>
  <c r="Z456" i="9"/>
  <c r="X456" i="9"/>
  <c r="W456" i="9"/>
  <c r="V456" i="9"/>
  <c r="U456" i="9"/>
  <c r="T456" i="9"/>
  <c r="S456" i="9"/>
  <c r="R456" i="9"/>
  <c r="Q456" i="9"/>
  <c r="P456" i="9"/>
  <c r="O456" i="9"/>
  <c r="N456" i="9"/>
  <c r="L456" i="9"/>
  <c r="K456" i="9"/>
  <c r="J456" i="9"/>
  <c r="I456" i="9"/>
  <c r="H456" i="9"/>
  <c r="G456" i="9"/>
  <c r="F456" i="9"/>
  <c r="E456" i="9"/>
  <c r="D456" i="9"/>
  <c r="C456" i="9"/>
  <c r="B456" i="9"/>
  <c r="AH417" i="9"/>
  <c r="AG417" i="9"/>
  <c r="AF417" i="9"/>
  <c r="AE417" i="9"/>
  <c r="AD417" i="9"/>
  <c r="AC417" i="9"/>
  <c r="AB417" i="9"/>
  <c r="AA417" i="9"/>
  <c r="Z417" i="9"/>
  <c r="X417" i="9"/>
  <c r="W417" i="9"/>
  <c r="V417" i="9"/>
  <c r="U417" i="9"/>
  <c r="T417" i="9"/>
  <c r="S417" i="9"/>
  <c r="R417" i="9"/>
  <c r="Q417" i="9"/>
  <c r="P417" i="9"/>
  <c r="O417" i="9"/>
  <c r="N417" i="9"/>
  <c r="L417" i="9"/>
  <c r="K417" i="9"/>
  <c r="J417" i="9"/>
  <c r="I417" i="9"/>
  <c r="H417" i="9"/>
  <c r="G417" i="9"/>
  <c r="F417" i="9"/>
  <c r="E417" i="9"/>
  <c r="D417" i="9"/>
  <c r="C417" i="9"/>
  <c r="B417" i="9"/>
  <c r="AH416" i="9"/>
  <c r="AG416" i="9"/>
  <c r="AF416" i="9"/>
  <c r="AE416" i="9"/>
  <c r="AD416" i="9"/>
  <c r="AC416" i="9"/>
  <c r="AB416" i="9"/>
  <c r="AA416" i="9"/>
  <c r="Z416" i="9"/>
  <c r="X416" i="9"/>
  <c r="W416" i="9"/>
  <c r="V416" i="9"/>
  <c r="U416" i="9"/>
  <c r="T416" i="9"/>
  <c r="S416" i="9"/>
  <c r="R416" i="9"/>
  <c r="Q416" i="9"/>
  <c r="P416" i="9"/>
  <c r="O416" i="9"/>
  <c r="N416" i="9"/>
  <c r="L416" i="9"/>
  <c r="K416" i="9"/>
  <c r="J416" i="9"/>
  <c r="I416" i="9"/>
  <c r="H416" i="9"/>
  <c r="G416" i="9"/>
  <c r="F416" i="9"/>
  <c r="E416" i="9"/>
  <c r="D416" i="9"/>
  <c r="C416" i="9"/>
  <c r="B416" i="9"/>
  <c r="AH415" i="9"/>
  <c r="AG415" i="9"/>
  <c r="AF415" i="9"/>
  <c r="AE415" i="9"/>
  <c r="AD415" i="9"/>
  <c r="AC415" i="9"/>
  <c r="AB415" i="9"/>
  <c r="AA415" i="9"/>
  <c r="Z415" i="9"/>
  <c r="X415" i="9"/>
  <c r="W415" i="9"/>
  <c r="V415" i="9"/>
  <c r="U415" i="9"/>
  <c r="T415" i="9"/>
  <c r="S415" i="9"/>
  <c r="R415" i="9"/>
  <c r="Q415" i="9"/>
  <c r="P415" i="9"/>
  <c r="O415" i="9"/>
  <c r="N415" i="9"/>
  <c r="L415" i="9"/>
  <c r="K415" i="9"/>
  <c r="J415" i="9"/>
  <c r="I415" i="9"/>
  <c r="H415" i="9"/>
  <c r="G415" i="9"/>
  <c r="F415" i="9"/>
  <c r="E415" i="9"/>
  <c r="D415" i="9"/>
  <c r="C415" i="9"/>
  <c r="B415" i="9"/>
  <c r="AH414" i="9"/>
  <c r="AG414" i="9"/>
  <c r="AF414" i="9"/>
  <c r="AE414" i="9"/>
  <c r="AD414" i="9"/>
  <c r="AC414" i="9"/>
  <c r="AB414" i="9"/>
  <c r="AA414" i="9"/>
  <c r="Z414" i="9"/>
  <c r="X414" i="9"/>
  <c r="W414" i="9"/>
  <c r="V414" i="9"/>
  <c r="U414" i="9"/>
  <c r="T414" i="9"/>
  <c r="S414" i="9"/>
  <c r="R414" i="9"/>
  <c r="Q414" i="9"/>
  <c r="P414" i="9"/>
  <c r="O414" i="9"/>
  <c r="N414" i="9"/>
  <c r="L414" i="9"/>
  <c r="K414" i="9"/>
  <c r="J414" i="9"/>
  <c r="I414" i="9"/>
  <c r="H414" i="9"/>
  <c r="G414" i="9"/>
  <c r="F414" i="9"/>
  <c r="E414" i="9"/>
  <c r="D414" i="9"/>
  <c r="C414" i="9"/>
  <c r="B414" i="9"/>
  <c r="AH375" i="9"/>
  <c r="AG375" i="9"/>
  <c r="AF375" i="9"/>
  <c r="AE375" i="9"/>
  <c r="AD375" i="9"/>
  <c r="AC375" i="9"/>
  <c r="AB375" i="9"/>
  <c r="AA375" i="9"/>
  <c r="Z375" i="9"/>
  <c r="X375" i="9"/>
  <c r="W375" i="9"/>
  <c r="V375" i="9"/>
  <c r="U375" i="9"/>
  <c r="T375" i="9"/>
  <c r="S375" i="9"/>
  <c r="R375" i="9"/>
  <c r="Q375" i="9"/>
  <c r="P375" i="9"/>
  <c r="O375" i="9"/>
  <c r="N375" i="9"/>
  <c r="L375" i="9"/>
  <c r="K375" i="9"/>
  <c r="J375" i="9"/>
  <c r="I375" i="9"/>
  <c r="H375" i="9"/>
  <c r="G375" i="9"/>
  <c r="F375" i="9"/>
  <c r="E375" i="9"/>
  <c r="D375" i="9"/>
  <c r="C375" i="9"/>
  <c r="B375" i="9"/>
  <c r="AH374" i="9"/>
  <c r="AG374" i="9"/>
  <c r="AF374" i="9"/>
  <c r="AE374" i="9"/>
  <c r="AD374" i="9"/>
  <c r="AC374" i="9"/>
  <c r="AB374" i="9"/>
  <c r="AA374" i="9"/>
  <c r="Z374" i="9"/>
  <c r="X374" i="9"/>
  <c r="W374" i="9"/>
  <c r="V374" i="9"/>
  <c r="U374" i="9"/>
  <c r="T374" i="9"/>
  <c r="S374" i="9"/>
  <c r="R374" i="9"/>
  <c r="Q374" i="9"/>
  <c r="P374" i="9"/>
  <c r="O374" i="9"/>
  <c r="N374" i="9"/>
  <c r="L374" i="9"/>
  <c r="K374" i="9"/>
  <c r="J374" i="9"/>
  <c r="I374" i="9"/>
  <c r="H374" i="9"/>
  <c r="G374" i="9"/>
  <c r="F374" i="9"/>
  <c r="E374" i="9"/>
  <c r="D374" i="9"/>
  <c r="C374" i="9"/>
  <c r="B374" i="9"/>
  <c r="AH373" i="9"/>
  <c r="AG373" i="9"/>
  <c r="AF373" i="9"/>
  <c r="AE373" i="9"/>
  <c r="AD373" i="9"/>
  <c r="AC373" i="9"/>
  <c r="AB373" i="9"/>
  <c r="AA373" i="9"/>
  <c r="Z373" i="9"/>
  <c r="X373" i="9"/>
  <c r="W373" i="9"/>
  <c r="V373" i="9"/>
  <c r="U373" i="9"/>
  <c r="T373" i="9"/>
  <c r="S373" i="9"/>
  <c r="R373" i="9"/>
  <c r="Q373" i="9"/>
  <c r="P373" i="9"/>
  <c r="O373" i="9"/>
  <c r="N373" i="9"/>
  <c r="L373" i="9"/>
  <c r="K373" i="9"/>
  <c r="J373" i="9"/>
  <c r="I373" i="9"/>
  <c r="H373" i="9"/>
  <c r="G373" i="9"/>
  <c r="F373" i="9"/>
  <c r="E373" i="9"/>
  <c r="D373" i="9"/>
  <c r="C373" i="9"/>
  <c r="B373" i="9"/>
  <c r="AH372" i="9"/>
  <c r="AG372" i="9"/>
  <c r="AF372" i="9"/>
  <c r="AE372" i="9"/>
  <c r="AD372" i="9"/>
  <c r="AC372" i="9"/>
  <c r="AB372" i="9"/>
  <c r="AA372" i="9"/>
  <c r="Z372" i="9"/>
  <c r="X372" i="9"/>
  <c r="W372" i="9"/>
  <c r="V372" i="9"/>
  <c r="U372" i="9"/>
  <c r="T372" i="9"/>
  <c r="S372" i="9"/>
  <c r="R372" i="9"/>
  <c r="Q372" i="9"/>
  <c r="P372" i="9"/>
  <c r="O372" i="9"/>
  <c r="N372" i="9"/>
  <c r="L372" i="9"/>
  <c r="K372" i="9"/>
  <c r="J372" i="9"/>
  <c r="I372" i="9"/>
  <c r="H372" i="9"/>
  <c r="G372" i="9"/>
  <c r="F372" i="9"/>
  <c r="E372" i="9"/>
  <c r="D372" i="9"/>
  <c r="C372" i="9"/>
  <c r="B372" i="9"/>
  <c r="AH333" i="9"/>
  <c r="AG333" i="9"/>
  <c r="AF333" i="9"/>
  <c r="AE333" i="9"/>
  <c r="AD333" i="9"/>
  <c r="AC333" i="9"/>
  <c r="AB333" i="9"/>
  <c r="AA333" i="9"/>
  <c r="Z333" i="9"/>
  <c r="X333" i="9"/>
  <c r="W333" i="9"/>
  <c r="V333" i="9"/>
  <c r="U333" i="9"/>
  <c r="T333" i="9"/>
  <c r="S333" i="9"/>
  <c r="R333" i="9"/>
  <c r="Q333" i="9"/>
  <c r="P333" i="9"/>
  <c r="O333" i="9"/>
  <c r="N333" i="9"/>
  <c r="L333" i="9"/>
  <c r="K333" i="9"/>
  <c r="J333" i="9"/>
  <c r="I333" i="9"/>
  <c r="H333" i="9"/>
  <c r="G333" i="9"/>
  <c r="F333" i="9"/>
  <c r="E333" i="9"/>
  <c r="D333" i="9"/>
  <c r="C333" i="9"/>
  <c r="B333" i="9"/>
  <c r="AH332" i="9"/>
  <c r="AG332" i="9"/>
  <c r="AF332" i="9"/>
  <c r="AE332" i="9"/>
  <c r="AD332" i="9"/>
  <c r="AC332" i="9"/>
  <c r="AB332" i="9"/>
  <c r="AA332" i="9"/>
  <c r="Z332" i="9"/>
  <c r="X332" i="9"/>
  <c r="W332" i="9"/>
  <c r="V332" i="9"/>
  <c r="U332" i="9"/>
  <c r="T332" i="9"/>
  <c r="S332" i="9"/>
  <c r="R332" i="9"/>
  <c r="Q332" i="9"/>
  <c r="P332" i="9"/>
  <c r="O332" i="9"/>
  <c r="N332" i="9"/>
  <c r="L332" i="9"/>
  <c r="K332" i="9"/>
  <c r="J332" i="9"/>
  <c r="I332" i="9"/>
  <c r="H332" i="9"/>
  <c r="G332" i="9"/>
  <c r="F332" i="9"/>
  <c r="E332" i="9"/>
  <c r="D332" i="9"/>
  <c r="C332" i="9"/>
  <c r="B332" i="9"/>
  <c r="AH331" i="9"/>
  <c r="AG331" i="9"/>
  <c r="AF331" i="9"/>
  <c r="AE331" i="9"/>
  <c r="AD331" i="9"/>
  <c r="AC331" i="9"/>
  <c r="AB331" i="9"/>
  <c r="AA331" i="9"/>
  <c r="Z331" i="9"/>
  <c r="X331" i="9"/>
  <c r="W331" i="9"/>
  <c r="V331" i="9"/>
  <c r="U331" i="9"/>
  <c r="T331" i="9"/>
  <c r="S331" i="9"/>
  <c r="R331" i="9"/>
  <c r="Q331" i="9"/>
  <c r="P331" i="9"/>
  <c r="O331" i="9"/>
  <c r="N331" i="9"/>
  <c r="L331" i="9"/>
  <c r="K331" i="9"/>
  <c r="J331" i="9"/>
  <c r="I331" i="9"/>
  <c r="H331" i="9"/>
  <c r="G331" i="9"/>
  <c r="F331" i="9"/>
  <c r="E331" i="9"/>
  <c r="D331" i="9"/>
  <c r="C331" i="9"/>
  <c r="B331" i="9"/>
  <c r="AH330" i="9"/>
  <c r="AG330" i="9"/>
  <c r="AF330" i="9"/>
  <c r="AE330" i="9"/>
  <c r="AD330" i="9"/>
  <c r="AC330" i="9"/>
  <c r="AB330" i="9"/>
  <c r="AA330" i="9"/>
  <c r="Z330" i="9"/>
  <c r="X330" i="9"/>
  <c r="W330" i="9"/>
  <c r="V330" i="9"/>
  <c r="U330" i="9"/>
  <c r="T330" i="9"/>
  <c r="S330" i="9"/>
  <c r="R330" i="9"/>
  <c r="Q330" i="9"/>
  <c r="P330" i="9"/>
  <c r="O330" i="9"/>
  <c r="N330" i="9"/>
  <c r="L330" i="9"/>
  <c r="K330" i="9"/>
  <c r="J330" i="9"/>
  <c r="I330" i="9"/>
  <c r="H330" i="9"/>
  <c r="G330" i="9"/>
  <c r="F330" i="9"/>
  <c r="E330" i="9"/>
  <c r="D330" i="9"/>
  <c r="C330" i="9"/>
  <c r="B330" i="9"/>
  <c r="AH291" i="9"/>
  <c r="AG291" i="9"/>
  <c r="AF291" i="9"/>
  <c r="AE291" i="9"/>
  <c r="AD291" i="9"/>
  <c r="AC291" i="9"/>
  <c r="AB291" i="9"/>
  <c r="AA291" i="9"/>
  <c r="Z291" i="9"/>
  <c r="X291" i="9"/>
  <c r="W291" i="9"/>
  <c r="V291" i="9"/>
  <c r="U291" i="9"/>
  <c r="T291" i="9"/>
  <c r="S291" i="9"/>
  <c r="R291" i="9"/>
  <c r="Q291" i="9"/>
  <c r="P291" i="9"/>
  <c r="O291" i="9"/>
  <c r="N291" i="9"/>
  <c r="L291" i="9"/>
  <c r="K291" i="9"/>
  <c r="J291" i="9"/>
  <c r="I291" i="9"/>
  <c r="H291" i="9"/>
  <c r="G291" i="9"/>
  <c r="F291" i="9"/>
  <c r="E291" i="9"/>
  <c r="D291" i="9"/>
  <c r="C291" i="9"/>
  <c r="B291" i="9"/>
  <c r="AH290" i="9"/>
  <c r="AG290" i="9"/>
  <c r="AF290" i="9"/>
  <c r="AE290" i="9"/>
  <c r="AD290" i="9"/>
  <c r="AC290" i="9"/>
  <c r="AB290" i="9"/>
  <c r="AA290" i="9"/>
  <c r="Z290" i="9"/>
  <c r="X290" i="9"/>
  <c r="W290" i="9"/>
  <c r="V290" i="9"/>
  <c r="U290" i="9"/>
  <c r="T290" i="9"/>
  <c r="S290" i="9"/>
  <c r="R290" i="9"/>
  <c r="Q290" i="9"/>
  <c r="P290" i="9"/>
  <c r="O290" i="9"/>
  <c r="N290" i="9"/>
  <c r="L290" i="9"/>
  <c r="K290" i="9"/>
  <c r="J290" i="9"/>
  <c r="I290" i="9"/>
  <c r="H290" i="9"/>
  <c r="G290" i="9"/>
  <c r="F290" i="9"/>
  <c r="E290" i="9"/>
  <c r="D290" i="9"/>
  <c r="C290" i="9"/>
  <c r="B290" i="9"/>
  <c r="AH289" i="9"/>
  <c r="AG289" i="9"/>
  <c r="AF289" i="9"/>
  <c r="AE289" i="9"/>
  <c r="AD289" i="9"/>
  <c r="AC289" i="9"/>
  <c r="AB289" i="9"/>
  <c r="AA289" i="9"/>
  <c r="Z289" i="9"/>
  <c r="X289" i="9"/>
  <c r="W289" i="9"/>
  <c r="V289" i="9"/>
  <c r="U289" i="9"/>
  <c r="T289" i="9"/>
  <c r="S289" i="9"/>
  <c r="R289" i="9"/>
  <c r="Q289" i="9"/>
  <c r="P289" i="9"/>
  <c r="O289" i="9"/>
  <c r="N289" i="9"/>
  <c r="L289" i="9"/>
  <c r="K289" i="9"/>
  <c r="J289" i="9"/>
  <c r="I289" i="9"/>
  <c r="H289" i="9"/>
  <c r="G289" i="9"/>
  <c r="F289" i="9"/>
  <c r="E289" i="9"/>
  <c r="D289" i="9"/>
  <c r="C289" i="9"/>
  <c r="B289" i="9"/>
  <c r="AH288" i="9"/>
  <c r="AG288" i="9"/>
  <c r="AF288" i="9"/>
  <c r="AE288" i="9"/>
  <c r="AD288" i="9"/>
  <c r="AC288" i="9"/>
  <c r="AB288" i="9"/>
  <c r="AA288" i="9"/>
  <c r="Z288" i="9"/>
  <c r="X288" i="9"/>
  <c r="W288" i="9"/>
  <c r="V288" i="9"/>
  <c r="U288" i="9"/>
  <c r="T288" i="9"/>
  <c r="S288" i="9"/>
  <c r="R288" i="9"/>
  <c r="Q288" i="9"/>
  <c r="P288" i="9"/>
  <c r="O288" i="9"/>
  <c r="N288" i="9"/>
  <c r="L288" i="9"/>
  <c r="K288" i="9"/>
  <c r="J288" i="9"/>
  <c r="I288" i="9"/>
  <c r="H288" i="9"/>
  <c r="G288" i="9"/>
  <c r="F288" i="9"/>
  <c r="E288" i="9"/>
  <c r="D288" i="9"/>
  <c r="C288" i="9"/>
  <c r="B288" i="9"/>
  <c r="AH249" i="9"/>
  <c r="AG249" i="9"/>
  <c r="AF249" i="9"/>
  <c r="AE249" i="9"/>
  <c r="AD249" i="9"/>
  <c r="AC249" i="9"/>
  <c r="AB249" i="9"/>
  <c r="AA249" i="9"/>
  <c r="Z249" i="9"/>
  <c r="X249" i="9"/>
  <c r="W249" i="9"/>
  <c r="V249" i="9"/>
  <c r="U249" i="9"/>
  <c r="T249" i="9"/>
  <c r="S249" i="9"/>
  <c r="R249" i="9"/>
  <c r="Q249" i="9"/>
  <c r="P249" i="9"/>
  <c r="O249" i="9"/>
  <c r="N249" i="9"/>
  <c r="L249" i="9"/>
  <c r="K249" i="9"/>
  <c r="J249" i="9"/>
  <c r="I249" i="9"/>
  <c r="H249" i="9"/>
  <c r="G249" i="9"/>
  <c r="F249" i="9"/>
  <c r="E249" i="9"/>
  <c r="D249" i="9"/>
  <c r="C249" i="9"/>
  <c r="B249" i="9"/>
  <c r="AH248" i="9"/>
  <c r="AG248" i="9"/>
  <c r="AF248" i="9"/>
  <c r="AE248" i="9"/>
  <c r="AD248" i="9"/>
  <c r="AC248" i="9"/>
  <c r="AB248" i="9"/>
  <c r="AA248" i="9"/>
  <c r="Z248" i="9"/>
  <c r="X248" i="9"/>
  <c r="W248" i="9"/>
  <c r="V248" i="9"/>
  <c r="U248" i="9"/>
  <c r="T248" i="9"/>
  <c r="S248" i="9"/>
  <c r="R248" i="9"/>
  <c r="Q248" i="9"/>
  <c r="P248" i="9"/>
  <c r="O248" i="9"/>
  <c r="N248" i="9"/>
  <c r="L248" i="9"/>
  <c r="K248" i="9"/>
  <c r="J248" i="9"/>
  <c r="I248" i="9"/>
  <c r="H248" i="9"/>
  <c r="G248" i="9"/>
  <c r="F248" i="9"/>
  <c r="E248" i="9"/>
  <c r="D248" i="9"/>
  <c r="C248" i="9"/>
  <c r="B248" i="9"/>
  <c r="AH247" i="9"/>
  <c r="AG247" i="9"/>
  <c r="AF247" i="9"/>
  <c r="AE247" i="9"/>
  <c r="AD247" i="9"/>
  <c r="AC247" i="9"/>
  <c r="AB247" i="9"/>
  <c r="AA247" i="9"/>
  <c r="Z247" i="9"/>
  <c r="X247" i="9"/>
  <c r="W247" i="9"/>
  <c r="V247" i="9"/>
  <c r="U247" i="9"/>
  <c r="T247" i="9"/>
  <c r="S247" i="9"/>
  <c r="R247" i="9"/>
  <c r="Q247" i="9"/>
  <c r="P247" i="9"/>
  <c r="O247" i="9"/>
  <c r="N247" i="9"/>
  <c r="L247" i="9"/>
  <c r="K247" i="9"/>
  <c r="J247" i="9"/>
  <c r="I247" i="9"/>
  <c r="H247" i="9"/>
  <c r="G247" i="9"/>
  <c r="F247" i="9"/>
  <c r="E247" i="9"/>
  <c r="D247" i="9"/>
  <c r="C247" i="9"/>
  <c r="B247" i="9"/>
  <c r="AH246" i="9"/>
  <c r="AG246" i="9"/>
  <c r="AF246" i="9"/>
  <c r="AE246" i="9"/>
  <c r="AD246" i="9"/>
  <c r="AC246" i="9"/>
  <c r="AB246" i="9"/>
  <c r="AA246" i="9"/>
  <c r="Z246" i="9"/>
  <c r="X246" i="9"/>
  <c r="W246" i="9"/>
  <c r="V246" i="9"/>
  <c r="U246" i="9"/>
  <c r="T246" i="9"/>
  <c r="S246" i="9"/>
  <c r="R246" i="9"/>
  <c r="Q246" i="9"/>
  <c r="P246" i="9"/>
  <c r="O246" i="9"/>
  <c r="N246" i="9"/>
  <c r="L246" i="9"/>
  <c r="K246" i="9"/>
  <c r="J246" i="9"/>
  <c r="I246" i="9"/>
  <c r="H246" i="9"/>
  <c r="G246" i="9"/>
  <c r="F246" i="9"/>
  <c r="E246" i="9"/>
  <c r="D246" i="9"/>
  <c r="C246" i="9"/>
  <c r="B246" i="9"/>
  <c r="AH207" i="9"/>
  <c r="AG207" i="9"/>
  <c r="AF207" i="9"/>
  <c r="AE207" i="9"/>
  <c r="AD207" i="9"/>
  <c r="AC207" i="9"/>
  <c r="AB207" i="9"/>
  <c r="AA207" i="9"/>
  <c r="Z207" i="9"/>
  <c r="X207" i="9"/>
  <c r="W207" i="9"/>
  <c r="V207" i="9"/>
  <c r="U207" i="9"/>
  <c r="T207" i="9"/>
  <c r="S207" i="9"/>
  <c r="R207" i="9"/>
  <c r="Q207" i="9"/>
  <c r="P207" i="9"/>
  <c r="O207" i="9"/>
  <c r="N207" i="9"/>
  <c r="L207" i="9"/>
  <c r="K207" i="9"/>
  <c r="J207" i="9"/>
  <c r="I207" i="9"/>
  <c r="H207" i="9"/>
  <c r="G207" i="9"/>
  <c r="F207" i="9"/>
  <c r="E207" i="9"/>
  <c r="D207" i="9"/>
  <c r="C207" i="9"/>
  <c r="B207" i="9"/>
  <c r="AH206" i="9"/>
  <c r="AG206" i="9"/>
  <c r="AF206" i="9"/>
  <c r="AE206" i="9"/>
  <c r="AD206" i="9"/>
  <c r="AC206" i="9"/>
  <c r="AB206" i="9"/>
  <c r="AA206" i="9"/>
  <c r="Z206" i="9"/>
  <c r="X206" i="9"/>
  <c r="W206" i="9"/>
  <c r="V206" i="9"/>
  <c r="U206" i="9"/>
  <c r="T206" i="9"/>
  <c r="S206" i="9"/>
  <c r="R206" i="9"/>
  <c r="Q206" i="9"/>
  <c r="P206" i="9"/>
  <c r="O206" i="9"/>
  <c r="N206" i="9"/>
  <c r="L206" i="9"/>
  <c r="K206" i="9"/>
  <c r="J206" i="9"/>
  <c r="I206" i="9"/>
  <c r="H206" i="9"/>
  <c r="G206" i="9"/>
  <c r="F206" i="9"/>
  <c r="E206" i="9"/>
  <c r="D206" i="9"/>
  <c r="C206" i="9"/>
  <c r="B206" i="9"/>
  <c r="AH205" i="9"/>
  <c r="AG205" i="9"/>
  <c r="AF205" i="9"/>
  <c r="AE205" i="9"/>
  <c r="AD205" i="9"/>
  <c r="AC205" i="9"/>
  <c r="AB205" i="9"/>
  <c r="AA205" i="9"/>
  <c r="Z205" i="9"/>
  <c r="X205" i="9"/>
  <c r="W205" i="9"/>
  <c r="V205" i="9"/>
  <c r="U205" i="9"/>
  <c r="T205" i="9"/>
  <c r="S205" i="9"/>
  <c r="R205" i="9"/>
  <c r="Q205" i="9"/>
  <c r="P205" i="9"/>
  <c r="O205" i="9"/>
  <c r="N205" i="9"/>
  <c r="L205" i="9"/>
  <c r="K205" i="9"/>
  <c r="J205" i="9"/>
  <c r="I205" i="9"/>
  <c r="H205" i="9"/>
  <c r="G205" i="9"/>
  <c r="F205" i="9"/>
  <c r="E205" i="9"/>
  <c r="D205" i="9"/>
  <c r="C205" i="9"/>
  <c r="B205" i="9"/>
  <c r="AH204" i="9"/>
  <c r="AG204" i="9"/>
  <c r="AF204" i="9"/>
  <c r="AE204" i="9"/>
  <c r="AD204" i="9"/>
  <c r="AC204" i="9"/>
  <c r="AB204" i="9"/>
  <c r="AA204" i="9"/>
  <c r="Z204" i="9"/>
  <c r="X204" i="9"/>
  <c r="W204" i="9"/>
  <c r="V204" i="9"/>
  <c r="U204" i="9"/>
  <c r="T204" i="9"/>
  <c r="S204" i="9"/>
  <c r="R204" i="9"/>
  <c r="Q204" i="9"/>
  <c r="P204" i="9"/>
  <c r="O204" i="9"/>
  <c r="N204" i="9"/>
  <c r="L204" i="9"/>
  <c r="K204" i="9"/>
  <c r="J204" i="9"/>
  <c r="I204" i="9"/>
  <c r="H204" i="9"/>
  <c r="G204" i="9"/>
  <c r="F204" i="9"/>
  <c r="E204" i="9"/>
  <c r="D204" i="9"/>
  <c r="C204" i="9"/>
  <c r="B204" i="9"/>
  <c r="AH165" i="9"/>
  <c r="AG165" i="9"/>
  <c r="AF165" i="9"/>
  <c r="AE165" i="9"/>
  <c r="AD165" i="9"/>
  <c r="AC165" i="9"/>
  <c r="AB165" i="9"/>
  <c r="AA165" i="9"/>
  <c r="Z165" i="9"/>
  <c r="X165" i="9"/>
  <c r="W165" i="9"/>
  <c r="V165" i="9"/>
  <c r="U165" i="9"/>
  <c r="T165" i="9"/>
  <c r="S165" i="9"/>
  <c r="R165" i="9"/>
  <c r="Q165" i="9"/>
  <c r="P165" i="9"/>
  <c r="O165" i="9"/>
  <c r="N165" i="9"/>
  <c r="L165" i="9"/>
  <c r="K165" i="9"/>
  <c r="J165" i="9"/>
  <c r="I165" i="9"/>
  <c r="H165" i="9"/>
  <c r="G165" i="9"/>
  <c r="F165" i="9"/>
  <c r="E165" i="9"/>
  <c r="D165" i="9"/>
  <c r="C165" i="9"/>
  <c r="B165" i="9"/>
  <c r="AH164" i="9"/>
  <c r="AG164" i="9"/>
  <c r="AF164" i="9"/>
  <c r="AE164" i="9"/>
  <c r="AD164" i="9"/>
  <c r="AC164" i="9"/>
  <c r="AB164" i="9"/>
  <c r="AA164" i="9"/>
  <c r="Z164" i="9"/>
  <c r="X164" i="9"/>
  <c r="W164" i="9"/>
  <c r="V164" i="9"/>
  <c r="U164" i="9"/>
  <c r="T164" i="9"/>
  <c r="S164" i="9"/>
  <c r="R164" i="9"/>
  <c r="Q164" i="9"/>
  <c r="P164" i="9"/>
  <c r="O164" i="9"/>
  <c r="N164" i="9"/>
  <c r="L164" i="9"/>
  <c r="K164" i="9"/>
  <c r="J164" i="9"/>
  <c r="I164" i="9"/>
  <c r="H164" i="9"/>
  <c r="G164" i="9"/>
  <c r="F164" i="9"/>
  <c r="E164" i="9"/>
  <c r="D164" i="9"/>
  <c r="C164" i="9"/>
  <c r="B164" i="9"/>
  <c r="AH163" i="9"/>
  <c r="AG163" i="9"/>
  <c r="AF163" i="9"/>
  <c r="AE163" i="9"/>
  <c r="AD163" i="9"/>
  <c r="AC163" i="9"/>
  <c r="AB163" i="9"/>
  <c r="AA163" i="9"/>
  <c r="Z163" i="9"/>
  <c r="X163" i="9"/>
  <c r="W163" i="9"/>
  <c r="V163" i="9"/>
  <c r="U163" i="9"/>
  <c r="T163" i="9"/>
  <c r="S163" i="9"/>
  <c r="R163" i="9"/>
  <c r="Q163" i="9"/>
  <c r="P163" i="9"/>
  <c r="O163" i="9"/>
  <c r="N163" i="9"/>
  <c r="L163" i="9"/>
  <c r="K163" i="9"/>
  <c r="J163" i="9"/>
  <c r="I163" i="9"/>
  <c r="H163" i="9"/>
  <c r="G163" i="9"/>
  <c r="F163" i="9"/>
  <c r="E163" i="9"/>
  <c r="D163" i="9"/>
  <c r="C163" i="9"/>
  <c r="B163" i="9"/>
  <c r="AH162" i="9"/>
  <c r="AG162" i="9"/>
  <c r="AF162" i="9"/>
  <c r="AE162" i="9"/>
  <c r="AD162" i="9"/>
  <c r="AC162" i="9"/>
  <c r="AB162" i="9"/>
  <c r="AA162" i="9"/>
  <c r="Z162" i="9"/>
  <c r="X162" i="9"/>
  <c r="W162" i="9"/>
  <c r="V162" i="9"/>
  <c r="U162" i="9"/>
  <c r="T162" i="9"/>
  <c r="S162" i="9"/>
  <c r="R162" i="9"/>
  <c r="Q162" i="9"/>
  <c r="P162" i="9"/>
  <c r="O162" i="9"/>
  <c r="N162" i="9"/>
  <c r="L162" i="9"/>
  <c r="K162" i="9"/>
  <c r="J162" i="9"/>
  <c r="I162" i="9"/>
  <c r="H162" i="9"/>
  <c r="G162" i="9"/>
  <c r="F162" i="9"/>
  <c r="E162" i="9"/>
  <c r="D162" i="9"/>
  <c r="C162" i="9"/>
  <c r="B162" i="9"/>
  <c r="AH123" i="9"/>
  <c r="AG123" i="9"/>
  <c r="AF123" i="9"/>
  <c r="AE123" i="9"/>
  <c r="AD123" i="9"/>
  <c r="AC123" i="9"/>
  <c r="AB123" i="9"/>
  <c r="AA123" i="9"/>
  <c r="Z123" i="9"/>
  <c r="X123" i="9"/>
  <c r="W123" i="9"/>
  <c r="V123" i="9"/>
  <c r="U123" i="9"/>
  <c r="T123" i="9"/>
  <c r="S123" i="9"/>
  <c r="R123" i="9"/>
  <c r="Q123" i="9"/>
  <c r="P123" i="9"/>
  <c r="O123" i="9"/>
  <c r="N123" i="9"/>
  <c r="L123" i="9"/>
  <c r="K123" i="9"/>
  <c r="J123" i="9"/>
  <c r="I123" i="9"/>
  <c r="H123" i="9"/>
  <c r="G123" i="9"/>
  <c r="F123" i="9"/>
  <c r="E123" i="9"/>
  <c r="D123" i="9"/>
  <c r="C123" i="9"/>
  <c r="B123" i="9"/>
  <c r="AH122" i="9"/>
  <c r="AG122" i="9"/>
  <c r="AF122" i="9"/>
  <c r="AE122" i="9"/>
  <c r="AD122" i="9"/>
  <c r="AC122" i="9"/>
  <c r="AB122" i="9"/>
  <c r="AA122" i="9"/>
  <c r="Z122" i="9"/>
  <c r="X122" i="9"/>
  <c r="W122" i="9"/>
  <c r="V122" i="9"/>
  <c r="U122" i="9"/>
  <c r="T122" i="9"/>
  <c r="S122" i="9"/>
  <c r="R122" i="9"/>
  <c r="Q122" i="9"/>
  <c r="P122" i="9"/>
  <c r="O122" i="9"/>
  <c r="N122" i="9"/>
  <c r="L122" i="9"/>
  <c r="K122" i="9"/>
  <c r="J122" i="9"/>
  <c r="I122" i="9"/>
  <c r="H122" i="9"/>
  <c r="G122" i="9"/>
  <c r="F122" i="9"/>
  <c r="E122" i="9"/>
  <c r="D122" i="9"/>
  <c r="C122" i="9"/>
  <c r="B122" i="9"/>
  <c r="AH121" i="9"/>
  <c r="AG121" i="9"/>
  <c r="AF121" i="9"/>
  <c r="AE121" i="9"/>
  <c r="AD121" i="9"/>
  <c r="AC121" i="9"/>
  <c r="AB121" i="9"/>
  <c r="AA121" i="9"/>
  <c r="Z121" i="9"/>
  <c r="X121" i="9"/>
  <c r="W121" i="9"/>
  <c r="V121" i="9"/>
  <c r="U121" i="9"/>
  <c r="T121" i="9"/>
  <c r="S121" i="9"/>
  <c r="R121" i="9"/>
  <c r="Q121" i="9"/>
  <c r="P121" i="9"/>
  <c r="O121" i="9"/>
  <c r="N121" i="9"/>
  <c r="L121" i="9"/>
  <c r="K121" i="9"/>
  <c r="J121" i="9"/>
  <c r="I121" i="9"/>
  <c r="H121" i="9"/>
  <c r="G121" i="9"/>
  <c r="F121" i="9"/>
  <c r="E121" i="9"/>
  <c r="D121" i="9"/>
  <c r="C121" i="9"/>
  <c r="B121" i="9"/>
  <c r="AH120" i="9"/>
  <c r="AG120" i="9"/>
  <c r="AF120" i="9"/>
  <c r="AE120" i="9"/>
  <c r="AD120" i="9"/>
  <c r="AC120" i="9"/>
  <c r="AB120" i="9"/>
  <c r="AA120" i="9"/>
  <c r="Z120" i="9"/>
  <c r="X120" i="9"/>
  <c r="W120" i="9"/>
  <c r="V120" i="9"/>
  <c r="U120" i="9"/>
  <c r="T120" i="9"/>
  <c r="S120" i="9"/>
  <c r="R120" i="9"/>
  <c r="Q120" i="9"/>
  <c r="P120" i="9"/>
  <c r="O120" i="9"/>
  <c r="N120" i="9"/>
  <c r="L120" i="9"/>
  <c r="K120" i="9"/>
  <c r="J120" i="9"/>
  <c r="I120" i="9"/>
  <c r="H120" i="9"/>
  <c r="G120" i="9"/>
  <c r="F120" i="9"/>
  <c r="E120" i="9"/>
  <c r="D120" i="9"/>
  <c r="C120" i="9"/>
  <c r="B120" i="9"/>
  <c r="AH84" i="9"/>
  <c r="AG84" i="9"/>
  <c r="AF84" i="9"/>
  <c r="AE84" i="9"/>
  <c r="AD84" i="9"/>
  <c r="AC84" i="9"/>
  <c r="AB84" i="9"/>
  <c r="AA84" i="9"/>
  <c r="Z84" i="9"/>
  <c r="X84" i="9"/>
  <c r="W84" i="9"/>
  <c r="V84" i="9"/>
  <c r="U84" i="9"/>
  <c r="T84" i="9"/>
  <c r="S84" i="9"/>
  <c r="R84" i="9"/>
  <c r="Q84" i="9"/>
  <c r="P84" i="9"/>
  <c r="O84" i="9"/>
  <c r="N84" i="9"/>
  <c r="L84" i="9"/>
  <c r="K84" i="9"/>
  <c r="J84" i="9"/>
  <c r="I84" i="9"/>
  <c r="H84" i="9"/>
  <c r="G84" i="9"/>
  <c r="F84" i="9"/>
  <c r="E84" i="9"/>
  <c r="D84" i="9"/>
  <c r="C84" i="9"/>
  <c r="B84" i="9"/>
  <c r="AH83" i="9"/>
  <c r="AG83" i="9"/>
  <c r="AF83" i="9"/>
  <c r="AE83" i="9"/>
  <c r="AD83" i="9"/>
  <c r="AC83" i="9"/>
  <c r="AB83" i="9"/>
  <c r="AA83" i="9"/>
  <c r="Z83" i="9"/>
  <c r="X83" i="9"/>
  <c r="W83" i="9"/>
  <c r="V83" i="9"/>
  <c r="U83" i="9"/>
  <c r="T83" i="9"/>
  <c r="S83" i="9"/>
  <c r="R83" i="9"/>
  <c r="Q83" i="9"/>
  <c r="P83" i="9"/>
  <c r="O83" i="9"/>
  <c r="N83" i="9"/>
  <c r="L83" i="9"/>
  <c r="K83" i="9"/>
  <c r="J83" i="9"/>
  <c r="I83" i="9"/>
  <c r="H83" i="9"/>
  <c r="G83" i="9"/>
  <c r="F83" i="9"/>
  <c r="E83" i="9"/>
  <c r="D83" i="9"/>
  <c r="C83" i="9"/>
  <c r="B83" i="9"/>
  <c r="AH82" i="9"/>
  <c r="AG82" i="9"/>
  <c r="AF82" i="9"/>
  <c r="AE82" i="9"/>
  <c r="AD82" i="9"/>
  <c r="AC82" i="9"/>
  <c r="AB82" i="9"/>
  <c r="AA82" i="9"/>
  <c r="Z82" i="9"/>
  <c r="X82" i="9"/>
  <c r="W82" i="9"/>
  <c r="V82" i="9"/>
  <c r="U82" i="9"/>
  <c r="T82" i="9"/>
  <c r="S82" i="9"/>
  <c r="R82" i="9"/>
  <c r="Q82" i="9"/>
  <c r="P82" i="9"/>
  <c r="O82" i="9"/>
  <c r="N82" i="9"/>
  <c r="L82" i="9"/>
  <c r="K82" i="9"/>
  <c r="J82" i="9"/>
  <c r="I82" i="9"/>
  <c r="H82" i="9"/>
  <c r="G82" i="9"/>
  <c r="F82" i="9"/>
  <c r="E82" i="9"/>
  <c r="D82" i="9"/>
  <c r="C82" i="9"/>
  <c r="B82" i="9"/>
  <c r="AH81" i="9"/>
  <c r="AG81" i="9"/>
  <c r="AF81" i="9"/>
  <c r="AE81" i="9"/>
  <c r="AD81" i="9"/>
  <c r="AC81" i="9"/>
  <c r="AB81" i="9"/>
  <c r="AA81" i="9"/>
  <c r="Z81" i="9"/>
  <c r="X81" i="9"/>
  <c r="W81" i="9"/>
  <c r="V81" i="9"/>
  <c r="U81" i="9"/>
  <c r="T81" i="9"/>
  <c r="S81" i="9"/>
  <c r="R81" i="9"/>
  <c r="Q81" i="9"/>
  <c r="P81" i="9"/>
  <c r="O81" i="9"/>
  <c r="N81" i="9"/>
  <c r="L81" i="9"/>
  <c r="K81" i="9"/>
  <c r="J81" i="9"/>
  <c r="I81" i="9"/>
  <c r="H81" i="9"/>
  <c r="G81" i="9"/>
  <c r="F81" i="9"/>
  <c r="E81" i="9"/>
  <c r="D81" i="9"/>
  <c r="C81" i="9"/>
  <c r="B81" i="9"/>
  <c r="AB38" i="9"/>
  <c r="AC38" i="9"/>
  <c r="AD38" i="9"/>
  <c r="AE38" i="9"/>
  <c r="AF38" i="9"/>
  <c r="AG38" i="9"/>
  <c r="AB39" i="9"/>
  <c r="AC39" i="9"/>
  <c r="AD39" i="9"/>
  <c r="AE39" i="9"/>
  <c r="AF39" i="9"/>
  <c r="AG39" i="9"/>
  <c r="AB40" i="9"/>
  <c r="AC40" i="9"/>
  <c r="AD40" i="9"/>
  <c r="AE40" i="9"/>
  <c r="AF40" i="9"/>
  <c r="AG40" i="9"/>
  <c r="AB41" i="9"/>
  <c r="AC41" i="9"/>
  <c r="AD41" i="9"/>
  <c r="AE41" i="9"/>
  <c r="AF41" i="9"/>
  <c r="AG41" i="9"/>
  <c r="T38" i="9"/>
  <c r="U38" i="9"/>
  <c r="V38" i="9"/>
  <c r="W38" i="9"/>
  <c r="T39" i="9"/>
  <c r="U39" i="9"/>
  <c r="V39" i="9"/>
  <c r="W39" i="9"/>
  <c r="T40" i="9"/>
  <c r="U40" i="9"/>
  <c r="V40" i="9"/>
  <c r="W40" i="9"/>
  <c r="T41" i="9"/>
  <c r="U41" i="9"/>
  <c r="V41" i="9"/>
  <c r="W41" i="9"/>
  <c r="H38" i="9"/>
  <c r="I38" i="9"/>
  <c r="J38" i="9"/>
  <c r="K38" i="9"/>
  <c r="H39" i="9"/>
  <c r="I39" i="9"/>
  <c r="J39" i="9"/>
  <c r="K39" i="9"/>
  <c r="H40" i="9"/>
  <c r="I40" i="9"/>
  <c r="J40" i="9"/>
  <c r="K40" i="9"/>
  <c r="H41" i="9"/>
  <c r="I41" i="9"/>
  <c r="J41" i="9"/>
  <c r="K41" i="9"/>
  <c r="F4" i="8"/>
  <c r="P78" i="13"/>
  <c r="P79" i="13"/>
  <c r="P80" i="13"/>
  <c r="P81" i="13"/>
  <c r="O78" i="13" l="1"/>
  <c r="O79" i="13"/>
  <c r="O80" i="13"/>
  <c r="O81" i="13"/>
  <c r="A88" i="13"/>
  <c r="B88" i="13" s="1"/>
  <c r="P37" i="13"/>
  <c r="P38" i="13"/>
  <c r="P39" i="13"/>
  <c r="P40" i="13"/>
  <c r="O37" i="13"/>
  <c r="O38" i="13"/>
  <c r="O39" i="13"/>
  <c r="O40" i="13"/>
  <c r="N37" i="13" l="1"/>
  <c r="N38" i="13"/>
  <c r="N39" i="13"/>
  <c r="N40" i="13"/>
  <c r="AF518" i="13" l="1"/>
  <c r="AE518" i="13"/>
  <c r="AD518" i="13"/>
  <c r="AC518" i="13"/>
  <c r="AB518" i="13"/>
  <c r="AA518" i="13"/>
  <c r="Z518" i="13"/>
  <c r="Y518" i="13"/>
  <c r="X518" i="13"/>
  <c r="W518" i="13"/>
  <c r="V518" i="13"/>
  <c r="U518" i="13"/>
  <c r="T518" i="13"/>
  <c r="S518" i="13"/>
  <c r="R518" i="13"/>
  <c r="Q518" i="13"/>
  <c r="P518" i="13"/>
  <c r="O518" i="13"/>
  <c r="N518" i="13"/>
  <c r="M518" i="13"/>
  <c r="L518" i="13"/>
  <c r="K518" i="13"/>
  <c r="J518" i="13"/>
  <c r="I518" i="13"/>
  <c r="H518" i="13"/>
  <c r="G518" i="13"/>
  <c r="F518" i="13"/>
  <c r="E518" i="13"/>
  <c r="D518" i="13"/>
  <c r="C518" i="13"/>
  <c r="AF517" i="13"/>
  <c r="AE517" i="13"/>
  <c r="AD517" i="13"/>
  <c r="AC517" i="13"/>
  <c r="AB517" i="13"/>
  <c r="AA517" i="13"/>
  <c r="Z517" i="13"/>
  <c r="Y517" i="13"/>
  <c r="X517" i="13"/>
  <c r="W517" i="13"/>
  <c r="V517" i="13"/>
  <c r="U517" i="13"/>
  <c r="T517" i="13"/>
  <c r="S517" i="13"/>
  <c r="R517" i="13"/>
  <c r="Q517" i="13"/>
  <c r="P517" i="13"/>
  <c r="O517" i="13"/>
  <c r="N517" i="13"/>
  <c r="M517" i="13"/>
  <c r="L517" i="13"/>
  <c r="K517" i="13"/>
  <c r="J517" i="13"/>
  <c r="I517" i="13"/>
  <c r="H517" i="13"/>
  <c r="G517" i="13"/>
  <c r="F517" i="13"/>
  <c r="E517" i="13"/>
  <c r="D517" i="13"/>
  <c r="C517" i="13"/>
  <c r="AF516" i="13"/>
  <c r="AE516" i="13"/>
  <c r="AD516" i="13"/>
  <c r="AC516" i="13"/>
  <c r="AB516" i="13"/>
  <c r="AA516" i="13"/>
  <c r="Z516" i="13"/>
  <c r="Y516" i="13"/>
  <c r="X516" i="13"/>
  <c r="W516" i="13"/>
  <c r="V516" i="13"/>
  <c r="U516" i="13"/>
  <c r="T516" i="13"/>
  <c r="S516" i="13"/>
  <c r="R516" i="13"/>
  <c r="Q516" i="13"/>
  <c r="P516" i="13"/>
  <c r="O516" i="13"/>
  <c r="N516" i="13"/>
  <c r="M516" i="13"/>
  <c r="L516" i="13"/>
  <c r="K516" i="13"/>
  <c r="J516" i="13"/>
  <c r="I516" i="13"/>
  <c r="H516" i="13"/>
  <c r="G516" i="13"/>
  <c r="F516" i="13"/>
  <c r="E516" i="13"/>
  <c r="D516" i="13"/>
  <c r="C516" i="13"/>
  <c r="AF515" i="13"/>
  <c r="AE515" i="13"/>
  <c r="AD515" i="13"/>
  <c r="AC515" i="13"/>
  <c r="AB515" i="13"/>
  <c r="AA515" i="13"/>
  <c r="Z515" i="13"/>
  <c r="Y515" i="13"/>
  <c r="X515" i="13"/>
  <c r="W515" i="13"/>
  <c r="V515" i="13"/>
  <c r="U515" i="13"/>
  <c r="T515" i="13"/>
  <c r="S515" i="13"/>
  <c r="R515" i="13"/>
  <c r="Q515" i="13"/>
  <c r="P515" i="13"/>
  <c r="O515" i="13"/>
  <c r="N515" i="13"/>
  <c r="M515" i="13"/>
  <c r="L515" i="13"/>
  <c r="K515" i="13"/>
  <c r="J515" i="13"/>
  <c r="I515" i="13"/>
  <c r="H515" i="13"/>
  <c r="G515" i="13"/>
  <c r="F515" i="13"/>
  <c r="E515" i="13"/>
  <c r="D515" i="13"/>
  <c r="C515" i="13"/>
  <c r="A485" i="13"/>
  <c r="B485" i="13" s="1"/>
  <c r="A47" i="13"/>
  <c r="B47" i="13" s="1"/>
  <c r="A508" i="12"/>
  <c r="A509" i="12" s="1"/>
  <c r="A510" i="12" s="1"/>
  <c r="A511" i="12" s="1"/>
  <c r="A512" i="12" s="1"/>
  <c r="A513" i="12" s="1"/>
  <c r="A514" i="12" s="1"/>
  <c r="A515" i="12" s="1"/>
  <c r="A516" i="12" s="1"/>
  <c r="A517" i="12" s="1"/>
  <c r="A518" i="12" s="1"/>
  <c r="A519" i="12" s="1"/>
  <c r="A520" i="12" s="1"/>
  <c r="A521" i="12" s="1"/>
  <c r="A522" i="12" s="1"/>
  <c r="A523" i="12" s="1"/>
  <c r="A524" i="12" s="1"/>
  <c r="A525" i="12" s="1"/>
  <c r="A526" i="12" s="1"/>
  <c r="A527" i="12" s="1"/>
  <c r="A528" i="12" s="1"/>
  <c r="A529" i="12" s="1"/>
  <c r="A530" i="12" s="1"/>
  <c r="A531" i="12" s="1"/>
  <c r="A532" i="12" s="1"/>
  <c r="A533" i="12" s="1"/>
  <c r="A534" i="12" s="1"/>
  <c r="A535" i="12" s="1"/>
  <c r="A536" i="12" s="1"/>
  <c r="A537" i="12" s="1"/>
  <c r="A538" i="12" s="1"/>
  <c r="A466" i="12"/>
  <c r="A467" i="12" s="1"/>
  <c r="A468" i="12" s="1"/>
  <c r="A469" i="12" s="1"/>
  <c r="A470" i="12" s="1"/>
  <c r="A471" i="12" s="1"/>
  <c r="A472" i="12" s="1"/>
  <c r="A473" i="12" s="1"/>
  <c r="A474" i="12" s="1"/>
  <c r="A475" i="12" s="1"/>
  <c r="A476" i="12" s="1"/>
  <c r="A477" i="12" s="1"/>
  <c r="A478" i="12" s="1"/>
  <c r="A479" i="12" s="1"/>
  <c r="A480" i="12" s="1"/>
  <c r="A481" i="12" s="1"/>
  <c r="A482" i="12" s="1"/>
  <c r="A483" i="12" s="1"/>
  <c r="A484" i="12" s="1"/>
  <c r="A485" i="12" s="1"/>
  <c r="A486" i="12" s="1"/>
  <c r="A487" i="12" s="1"/>
  <c r="A488" i="12" s="1"/>
  <c r="A489" i="12" s="1"/>
  <c r="A490" i="12" s="1"/>
  <c r="A491" i="12" s="1"/>
  <c r="A492" i="12" s="1"/>
  <c r="A493" i="12" s="1"/>
  <c r="A494" i="12" s="1"/>
  <c r="A495" i="12" s="1"/>
  <c r="A496" i="12" s="1"/>
  <c r="A424" i="12"/>
  <c r="A425" i="12" s="1"/>
  <c r="A426" i="12" s="1"/>
  <c r="A427" i="12" s="1"/>
  <c r="A428" i="12" s="1"/>
  <c r="A429" i="12" s="1"/>
  <c r="A430" i="12" s="1"/>
  <c r="A431" i="12" s="1"/>
  <c r="A432" i="12" s="1"/>
  <c r="A433" i="12" s="1"/>
  <c r="A434" i="12" s="1"/>
  <c r="A435" i="12" s="1"/>
  <c r="A436" i="12" s="1"/>
  <c r="A437" i="12" s="1"/>
  <c r="A438" i="12" s="1"/>
  <c r="A439" i="12" s="1"/>
  <c r="A440" i="12" s="1"/>
  <c r="A441" i="12" s="1"/>
  <c r="A442" i="12" s="1"/>
  <c r="A443" i="12" s="1"/>
  <c r="A444" i="12" s="1"/>
  <c r="A445" i="12" s="1"/>
  <c r="A446" i="12" s="1"/>
  <c r="A447" i="12" s="1"/>
  <c r="A448" i="12" s="1"/>
  <c r="A449" i="12" s="1"/>
  <c r="A450" i="12" s="1"/>
  <c r="A451" i="12" s="1"/>
  <c r="A452" i="12" s="1"/>
  <c r="A453" i="12" s="1"/>
  <c r="A454" i="12" s="1"/>
  <c r="A382" i="12"/>
  <c r="A383" i="12" s="1"/>
  <c r="A384" i="12" s="1"/>
  <c r="A385" i="12" s="1"/>
  <c r="A386" i="12" s="1"/>
  <c r="A387" i="12" s="1"/>
  <c r="A388" i="12" s="1"/>
  <c r="A389" i="12" s="1"/>
  <c r="A390" i="12" s="1"/>
  <c r="A391" i="12" s="1"/>
  <c r="A392" i="12" s="1"/>
  <c r="A393" i="12" s="1"/>
  <c r="A394" i="12" s="1"/>
  <c r="A395" i="12" s="1"/>
  <c r="A396" i="12" s="1"/>
  <c r="A397" i="12" s="1"/>
  <c r="A398" i="12" s="1"/>
  <c r="A399" i="12" s="1"/>
  <c r="A400" i="12" s="1"/>
  <c r="A401" i="12" s="1"/>
  <c r="A402" i="12" s="1"/>
  <c r="A403" i="12" s="1"/>
  <c r="A404" i="12" s="1"/>
  <c r="A405" i="12" s="1"/>
  <c r="A406" i="12" s="1"/>
  <c r="A407" i="12" s="1"/>
  <c r="A408" i="12" s="1"/>
  <c r="A409" i="12" s="1"/>
  <c r="A410" i="12" s="1"/>
  <c r="A411" i="12" s="1"/>
  <c r="A412" i="12" s="1"/>
  <c r="A340" i="12"/>
  <c r="A341" i="12" s="1"/>
  <c r="A342" i="12" s="1"/>
  <c r="A343" i="12" s="1"/>
  <c r="A344" i="12" s="1"/>
  <c r="A345" i="12" s="1"/>
  <c r="A346" i="12" s="1"/>
  <c r="A347" i="12" s="1"/>
  <c r="A348" i="12" s="1"/>
  <c r="A349" i="12" s="1"/>
  <c r="A350" i="12" s="1"/>
  <c r="A351" i="12" s="1"/>
  <c r="A352" i="12" s="1"/>
  <c r="A353" i="12" s="1"/>
  <c r="A354" i="12" s="1"/>
  <c r="A355" i="12" s="1"/>
  <c r="A356" i="12" s="1"/>
  <c r="A357" i="12" s="1"/>
  <c r="A358" i="12" s="1"/>
  <c r="A359" i="12" s="1"/>
  <c r="A360" i="12" s="1"/>
  <c r="A361" i="12" s="1"/>
  <c r="A362" i="12" s="1"/>
  <c r="A363" i="12" s="1"/>
  <c r="A364" i="12" s="1"/>
  <c r="A365" i="12" s="1"/>
  <c r="A366" i="12" s="1"/>
  <c r="A367" i="12" s="1"/>
  <c r="A368" i="12" s="1"/>
  <c r="A369" i="12" s="1"/>
  <c r="A370" i="12" s="1"/>
  <c r="A298" i="12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A318" i="12" s="1"/>
  <c r="A319" i="12" s="1"/>
  <c r="A320" i="12" s="1"/>
  <c r="A321" i="12" s="1"/>
  <c r="A322" i="12" s="1"/>
  <c r="A323" i="12" s="1"/>
  <c r="A324" i="12" s="1"/>
  <c r="A325" i="12" s="1"/>
  <c r="A326" i="12" s="1"/>
  <c r="A327" i="12" s="1"/>
  <c r="A328" i="12" s="1"/>
  <c r="A256" i="12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14" i="12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172" i="12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130" i="12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91" i="12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49" i="12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H545" i="11"/>
  <c r="AF545" i="11"/>
  <c r="AE545" i="11"/>
  <c r="AD545" i="11"/>
  <c r="AC545" i="11"/>
  <c r="AB545" i="11"/>
  <c r="AA545" i="11"/>
  <c r="Z545" i="11"/>
  <c r="X545" i="11"/>
  <c r="V545" i="11"/>
  <c r="U545" i="11"/>
  <c r="T545" i="11"/>
  <c r="S545" i="11"/>
  <c r="R545" i="11"/>
  <c r="Q545" i="11"/>
  <c r="P545" i="11"/>
  <c r="O545" i="11"/>
  <c r="N545" i="11"/>
  <c r="L545" i="11"/>
  <c r="J545" i="11"/>
  <c r="I545" i="11"/>
  <c r="H545" i="11"/>
  <c r="G545" i="11"/>
  <c r="F545" i="11"/>
  <c r="E545" i="11"/>
  <c r="D545" i="11"/>
  <c r="C545" i="11"/>
  <c r="B545" i="11"/>
  <c r="AH544" i="11"/>
  <c r="AF544" i="11"/>
  <c r="AE544" i="11"/>
  <c r="AD544" i="11"/>
  <c r="AC544" i="11"/>
  <c r="AB544" i="11"/>
  <c r="AA544" i="11"/>
  <c r="Z544" i="11"/>
  <c r="X544" i="11"/>
  <c r="V544" i="11"/>
  <c r="U544" i="11"/>
  <c r="T544" i="11"/>
  <c r="S544" i="11"/>
  <c r="R544" i="11"/>
  <c r="Q544" i="11"/>
  <c r="P544" i="11"/>
  <c r="O544" i="11"/>
  <c r="N544" i="11"/>
  <c r="L544" i="11"/>
  <c r="J544" i="11"/>
  <c r="I544" i="11"/>
  <c r="H544" i="11"/>
  <c r="G544" i="11"/>
  <c r="F544" i="11"/>
  <c r="E544" i="11"/>
  <c r="D544" i="11"/>
  <c r="C544" i="11"/>
  <c r="B544" i="11"/>
  <c r="AH543" i="11"/>
  <c r="AF543" i="11"/>
  <c r="AE543" i="11"/>
  <c r="AD543" i="11"/>
  <c r="AC543" i="11"/>
  <c r="AB543" i="11"/>
  <c r="AA543" i="11"/>
  <c r="Z543" i="11"/>
  <c r="X543" i="11"/>
  <c r="V543" i="11"/>
  <c r="U543" i="11"/>
  <c r="T543" i="11"/>
  <c r="S543" i="11"/>
  <c r="R543" i="11"/>
  <c r="Q543" i="11"/>
  <c r="P543" i="11"/>
  <c r="O543" i="11"/>
  <c r="N543" i="11"/>
  <c r="L543" i="11"/>
  <c r="J543" i="11"/>
  <c r="I543" i="11"/>
  <c r="H543" i="11"/>
  <c r="G543" i="11"/>
  <c r="F543" i="11"/>
  <c r="E543" i="11"/>
  <c r="D543" i="11"/>
  <c r="C543" i="11"/>
  <c r="B543" i="11"/>
  <c r="AH542" i="11"/>
  <c r="AF542" i="11"/>
  <c r="AE542" i="11"/>
  <c r="AD542" i="11"/>
  <c r="AC542" i="11"/>
  <c r="AB542" i="11"/>
  <c r="AA542" i="11"/>
  <c r="Z542" i="11"/>
  <c r="X542" i="11"/>
  <c r="V542" i="11"/>
  <c r="U542" i="11"/>
  <c r="T542" i="11"/>
  <c r="S542" i="11"/>
  <c r="R542" i="11"/>
  <c r="Q542" i="11"/>
  <c r="P542" i="11"/>
  <c r="O542" i="11"/>
  <c r="N542" i="11"/>
  <c r="L542" i="11"/>
  <c r="J542" i="11"/>
  <c r="I542" i="11"/>
  <c r="H542" i="11"/>
  <c r="G542" i="11"/>
  <c r="F542" i="11"/>
  <c r="E542" i="11"/>
  <c r="D542" i="11"/>
  <c r="C542" i="11"/>
  <c r="B542" i="11"/>
  <c r="A511" i="11"/>
  <c r="A512" i="11" s="1"/>
  <c r="A513" i="11" s="1"/>
  <c r="A514" i="11" s="1"/>
  <c r="A515" i="11" s="1"/>
  <c r="A516" i="11" s="1"/>
  <c r="A517" i="11" s="1"/>
  <c r="A518" i="11" s="1"/>
  <c r="A519" i="11" s="1"/>
  <c r="A520" i="11" s="1"/>
  <c r="A521" i="11" s="1"/>
  <c r="A522" i="11" s="1"/>
  <c r="A523" i="11" s="1"/>
  <c r="A524" i="11" s="1"/>
  <c r="A525" i="11" s="1"/>
  <c r="A526" i="11" s="1"/>
  <c r="A527" i="11" s="1"/>
  <c r="A528" i="11" s="1"/>
  <c r="A529" i="11" s="1"/>
  <c r="A530" i="11" s="1"/>
  <c r="A531" i="11" s="1"/>
  <c r="A532" i="11" s="1"/>
  <c r="A533" i="11" s="1"/>
  <c r="A534" i="11" s="1"/>
  <c r="A535" i="11" s="1"/>
  <c r="A536" i="11" s="1"/>
  <c r="A537" i="11" s="1"/>
  <c r="A538" i="11" s="1"/>
  <c r="A539" i="11" s="1"/>
  <c r="A540" i="11" s="1"/>
  <c r="A541" i="11" s="1"/>
  <c r="AH503" i="11"/>
  <c r="AF503" i="11"/>
  <c r="AE503" i="11"/>
  <c r="AD503" i="11"/>
  <c r="AC503" i="11"/>
  <c r="AB503" i="11"/>
  <c r="AA503" i="11"/>
  <c r="Z503" i="11"/>
  <c r="X503" i="11"/>
  <c r="V503" i="11"/>
  <c r="U503" i="11"/>
  <c r="T503" i="11"/>
  <c r="S503" i="11"/>
  <c r="R503" i="11"/>
  <c r="Q503" i="11"/>
  <c r="P503" i="11"/>
  <c r="O503" i="11"/>
  <c r="N503" i="11"/>
  <c r="L503" i="11"/>
  <c r="J503" i="11"/>
  <c r="I503" i="11"/>
  <c r="H503" i="11"/>
  <c r="G503" i="11"/>
  <c r="F503" i="11"/>
  <c r="E503" i="11"/>
  <c r="D503" i="11"/>
  <c r="C503" i="11"/>
  <c r="B503" i="11"/>
  <c r="AH502" i="11"/>
  <c r="AF502" i="11"/>
  <c r="AE502" i="11"/>
  <c r="AD502" i="11"/>
  <c r="AC502" i="11"/>
  <c r="AB502" i="11"/>
  <c r="AA502" i="11"/>
  <c r="Z502" i="11"/>
  <c r="X502" i="11"/>
  <c r="V502" i="11"/>
  <c r="U502" i="11"/>
  <c r="T502" i="11"/>
  <c r="S502" i="11"/>
  <c r="R502" i="11"/>
  <c r="Q502" i="11"/>
  <c r="P502" i="11"/>
  <c r="O502" i="11"/>
  <c r="N502" i="11"/>
  <c r="L502" i="11"/>
  <c r="J502" i="11"/>
  <c r="I502" i="11"/>
  <c r="H502" i="11"/>
  <c r="G502" i="11"/>
  <c r="F502" i="11"/>
  <c r="E502" i="11"/>
  <c r="D502" i="11"/>
  <c r="C502" i="11"/>
  <c r="B502" i="11"/>
  <c r="AH501" i="11"/>
  <c r="AF501" i="11"/>
  <c r="AE501" i="11"/>
  <c r="AD501" i="11"/>
  <c r="AC501" i="11"/>
  <c r="AB501" i="11"/>
  <c r="AA501" i="11"/>
  <c r="Z501" i="11"/>
  <c r="X501" i="11"/>
  <c r="V501" i="11"/>
  <c r="U501" i="11"/>
  <c r="T501" i="11"/>
  <c r="S501" i="11"/>
  <c r="R501" i="11"/>
  <c r="Q501" i="11"/>
  <c r="P501" i="11"/>
  <c r="O501" i="11"/>
  <c r="N501" i="11"/>
  <c r="L501" i="11"/>
  <c r="J501" i="11"/>
  <c r="I501" i="11"/>
  <c r="H501" i="11"/>
  <c r="G501" i="11"/>
  <c r="F501" i="11"/>
  <c r="E501" i="11"/>
  <c r="D501" i="11"/>
  <c r="C501" i="11"/>
  <c r="B501" i="11"/>
  <c r="AH500" i="11"/>
  <c r="AF500" i="11"/>
  <c r="AE500" i="11"/>
  <c r="AD500" i="11"/>
  <c r="AC500" i="11"/>
  <c r="AB500" i="11"/>
  <c r="AA500" i="11"/>
  <c r="Z500" i="11"/>
  <c r="X500" i="11"/>
  <c r="V500" i="11"/>
  <c r="U500" i="11"/>
  <c r="T500" i="11"/>
  <c r="S500" i="11"/>
  <c r="R500" i="11"/>
  <c r="Q500" i="11"/>
  <c r="P500" i="11"/>
  <c r="O500" i="11"/>
  <c r="N500" i="11"/>
  <c r="L500" i="11"/>
  <c r="J500" i="11"/>
  <c r="I500" i="11"/>
  <c r="H500" i="11"/>
  <c r="G500" i="11"/>
  <c r="F500" i="11"/>
  <c r="E500" i="11"/>
  <c r="D500" i="11"/>
  <c r="C500" i="11"/>
  <c r="B500" i="11"/>
  <c r="A469" i="11"/>
  <c r="A470" i="11" s="1"/>
  <c r="A471" i="11" s="1"/>
  <c r="A472" i="11" s="1"/>
  <c r="A473" i="11" s="1"/>
  <c r="A474" i="11" s="1"/>
  <c r="A475" i="11" s="1"/>
  <c r="A476" i="11" s="1"/>
  <c r="A477" i="11" s="1"/>
  <c r="A478" i="11" s="1"/>
  <c r="A479" i="11" s="1"/>
  <c r="A480" i="11" s="1"/>
  <c r="A481" i="11" s="1"/>
  <c r="A482" i="11" s="1"/>
  <c r="A483" i="11" s="1"/>
  <c r="A484" i="11" s="1"/>
  <c r="A485" i="11" s="1"/>
  <c r="A486" i="11" s="1"/>
  <c r="A487" i="11" s="1"/>
  <c r="A488" i="11" s="1"/>
  <c r="A489" i="11" s="1"/>
  <c r="A490" i="11" s="1"/>
  <c r="A491" i="11" s="1"/>
  <c r="A492" i="11" s="1"/>
  <c r="A493" i="11" s="1"/>
  <c r="A494" i="11" s="1"/>
  <c r="A495" i="11" s="1"/>
  <c r="A496" i="11" s="1"/>
  <c r="A497" i="11" s="1"/>
  <c r="A498" i="11" s="1"/>
  <c r="A499" i="11" s="1"/>
  <c r="AH461" i="11"/>
  <c r="AF461" i="11"/>
  <c r="AE461" i="11"/>
  <c r="AD461" i="11"/>
  <c r="AC461" i="11"/>
  <c r="AB461" i="11"/>
  <c r="AA461" i="11"/>
  <c r="Z461" i="11"/>
  <c r="X461" i="11"/>
  <c r="V461" i="11"/>
  <c r="U461" i="11"/>
  <c r="T461" i="11"/>
  <c r="S461" i="11"/>
  <c r="R461" i="11"/>
  <c r="Q461" i="11"/>
  <c r="P461" i="11"/>
  <c r="O461" i="11"/>
  <c r="N461" i="11"/>
  <c r="L461" i="11"/>
  <c r="J461" i="11"/>
  <c r="I461" i="11"/>
  <c r="H461" i="11"/>
  <c r="G461" i="11"/>
  <c r="F461" i="11"/>
  <c r="E461" i="11"/>
  <c r="D461" i="11"/>
  <c r="C461" i="11"/>
  <c r="B461" i="11"/>
  <c r="AH460" i="11"/>
  <c r="AF460" i="11"/>
  <c r="AE460" i="11"/>
  <c r="AD460" i="11"/>
  <c r="AC460" i="11"/>
  <c r="AB460" i="11"/>
  <c r="AA460" i="11"/>
  <c r="Z460" i="11"/>
  <c r="X460" i="11"/>
  <c r="V460" i="11"/>
  <c r="U460" i="11"/>
  <c r="T460" i="11"/>
  <c r="S460" i="11"/>
  <c r="R460" i="11"/>
  <c r="Q460" i="11"/>
  <c r="P460" i="11"/>
  <c r="O460" i="11"/>
  <c r="N460" i="11"/>
  <c r="L460" i="11"/>
  <c r="J460" i="11"/>
  <c r="I460" i="11"/>
  <c r="H460" i="11"/>
  <c r="G460" i="11"/>
  <c r="F460" i="11"/>
  <c r="E460" i="11"/>
  <c r="D460" i="11"/>
  <c r="C460" i="11"/>
  <c r="B460" i="11"/>
  <c r="AH459" i="11"/>
  <c r="AF459" i="11"/>
  <c r="AE459" i="11"/>
  <c r="AD459" i="11"/>
  <c r="AC459" i="11"/>
  <c r="AB459" i="11"/>
  <c r="AA459" i="11"/>
  <c r="Z459" i="11"/>
  <c r="X459" i="11"/>
  <c r="V459" i="11"/>
  <c r="U459" i="11"/>
  <c r="T459" i="11"/>
  <c r="S459" i="11"/>
  <c r="R459" i="11"/>
  <c r="Q459" i="11"/>
  <c r="P459" i="11"/>
  <c r="O459" i="11"/>
  <c r="N459" i="11"/>
  <c r="L459" i="11"/>
  <c r="J459" i="11"/>
  <c r="I459" i="11"/>
  <c r="H459" i="11"/>
  <c r="G459" i="11"/>
  <c r="F459" i="11"/>
  <c r="E459" i="11"/>
  <c r="D459" i="11"/>
  <c r="C459" i="11"/>
  <c r="B459" i="11"/>
  <c r="AH458" i="11"/>
  <c r="AF458" i="11"/>
  <c r="AE458" i="11"/>
  <c r="AD458" i="11"/>
  <c r="AC458" i="11"/>
  <c r="AB458" i="11"/>
  <c r="AA458" i="11"/>
  <c r="Z458" i="11"/>
  <c r="X458" i="11"/>
  <c r="V458" i="11"/>
  <c r="U458" i="11"/>
  <c r="T458" i="11"/>
  <c r="S458" i="11"/>
  <c r="R458" i="11"/>
  <c r="Q458" i="11"/>
  <c r="P458" i="11"/>
  <c r="O458" i="11"/>
  <c r="N458" i="11"/>
  <c r="L458" i="11"/>
  <c r="J458" i="11"/>
  <c r="I458" i="11"/>
  <c r="H458" i="11"/>
  <c r="G458" i="11"/>
  <c r="F458" i="11"/>
  <c r="E458" i="11"/>
  <c r="D458" i="11"/>
  <c r="C458" i="11"/>
  <c r="B458" i="11"/>
  <c r="A427" i="11"/>
  <c r="A428" i="11" s="1"/>
  <c r="A429" i="11" s="1"/>
  <c r="A430" i="11" s="1"/>
  <c r="A431" i="11" s="1"/>
  <c r="A432" i="11" s="1"/>
  <c r="A433" i="11" s="1"/>
  <c r="A434" i="11" s="1"/>
  <c r="A435" i="11" s="1"/>
  <c r="A436" i="11" s="1"/>
  <c r="A437" i="11" s="1"/>
  <c r="A438" i="11" s="1"/>
  <c r="A439" i="11" s="1"/>
  <c r="A440" i="11" s="1"/>
  <c r="A441" i="11" s="1"/>
  <c r="A442" i="11" s="1"/>
  <c r="A443" i="11" s="1"/>
  <c r="A444" i="11" s="1"/>
  <c r="A445" i="11" s="1"/>
  <c r="A446" i="11" s="1"/>
  <c r="A447" i="11" s="1"/>
  <c r="A448" i="11" s="1"/>
  <c r="A449" i="11" s="1"/>
  <c r="A450" i="11" s="1"/>
  <c r="A451" i="11" s="1"/>
  <c r="A452" i="11" s="1"/>
  <c r="A453" i="11" s="1"/>
  <c r="A454" i="11" s="1"/>
  <c r="A455" i="11" s="1"/>
  <c r="A456" i="11" s="1"/>
  <c r="A457" i="11" s="1"/>
  <c r="AH419" i="11"/>
  <c r="AF419" i="11"/>
  <c r="AE419" i="11"/>
  <c r="AD419" i="11"/>
  <c r="AC419" i="11"/>
  <c r="AB419" i="11"/>
  <c r="AA419" i="11"/>
  <c r="Z419" i="11"/>
  <c r="X419" i="11"/>
  <c r="V419" i="11"/>
  <c r="U419" i="11"/>
  <c r="T419" i="11"/>
  <c r="S419" i="11"/>
  <c r="R419" i="11"/>
  <c r="Q419" i="11"/>
  <c r="P419" i="11"/>
  <c r="O419" i="11"/>
  <c r="N419" i="11"/>
  <c r="L419" i="11"/>
  <c r="J419" i="11"/>
  <c r="I419" i="11"/>
  <c r="H419" i="11"/>
  <c r="G419" i="11"/>
  <c r="F419" i="11"/>
  <c r="E419" i="11"/>
  <c r="D419" i="11"/>
  <c r="C419" i="11"/>
  <c r="B419" i="11"/>
  <c r="AH418" i="11"/>
  <c r="AF418" i="11"/>
  <c r="AE418" i="11"/>
  <c r="AD418" i="11"/>
  <c r="AC418" i="11"/>
  <c r="AB418" i="11"/>
  <c r="AA418" i="11"/>
  <c r="Z418" i="11"/>
  <c r="X418" i="11"/>
  <c r="V418" i="11"/>
  <c r="U418" i="11"/>
  <c r="T418" i="11"/>
  <c r="S418" i="11"/>
  <c r="R418" i="11"/>
  <c r="Q418" i="11"/>
  <c r="P418" i="11"/>
  <c r="O418" i="11"/>
  <c r="N418" i="11"/>
  <c r="L418" i="11"/>
  <c r="J418" i="11"/>
  <c r="I418" i="11"/>
  <c r="H418" i="11"/>
  <c r="G418" i="11"/>
  <c r="F418" i="11"/>
  <c r="E418" i="11"/>
  <c r="D418" i="11"/>
  <c r="C418" i="11"/>
  <c r="B418" i="11"/>
  <c r="AH417" i="11"/>
  <c r="AF417" i="11"/>
  <c r="AE417" i="11"/>
  <c r="AD417" i="11"/>
  <c r="AC417" i="11"/>
  <c r="AB417" i="11"/>
  <c r="AA417" i="11"/>
  <c r="Z417" i="11"/>
  <c r="X417" i="11"/>
  <c r="V417" i="11"/>
  <c r="U417" i="11"/>
  <c r="T417" i="11"/>
  <c r="S417" i="11"/>
  <c r="R417" i="11"/>
  <c r="Q417" i="11"/>
  <c r="P417" i="11"/>
  <c r="O417" i="11"/>
  <c r="N417" i="11"/>
  <c r="L417" i="11"/>
  <c r="J417" i="11"/>
  <c r="I417" i="11"/>
  <c r="H417" i="11"/>
  <c r="G417" i="11"/>
  <c r="F417" i="11"/>
  <c r="E417" i="11"/>
  <c r="D417" i="11"/>
  <c r="C417" i="11"/>
  <c r="B417" i="11"/>
  <c r="AH416" i="11"/>
  <c r="AF416" i="11"/>
  <c r="AE416" i="11"/>
  <c r="AD416" i="11"/>
  <c r="AC416" i="11"/>
  <c r="AB416" i="11"/>
  <c r="AA416" i="11"/>
  <c r="Z416" i="11"/>
  <c r="X416" i="11"/>
  <c r="V416" i="11"/>
  <c r="U416" i="11"/>
  <c r="T416" i="11"/>
  <c r="S416" i="11"/>
  <c r="R416" i="11"/>
  <c r="Q416" i="11"/>
  <c r="P416" i="11"/>
  <c r="O416" i="11"/>
  <c r="N416" i="11"/>
  <c r="L416" i="11"/>
  <c r="J416" i="11"/>
  <c r="I416" i="11"/>
  <c r="H416" i="11"/>
  <c r="G416" i="11"/>
  <c r="F416" i="11"/>
  <c r="E416" i="11"/>
  <c r="D416" i="11"/>
  <c r="C416" i="11"/>
  <c r="B416" i="11"/>
  <c r="A385" i="11"/>
  <c r="A386" i="11" s="1"/>
  <c r="A387" i="11" s="1"/>
  <c r="A388" i="11" s="1"/>
  <c r="A389" i="11" s="1"/>
  <c r="A390" i="11" s="1"/>
  <c r="A391" i="11" s="1"/>
  <c r="A392" i="11" s="1"/>
  <c r="A393" i="11" s="1"/>
  <c r="A394" i="11" s="1"/>
  <c r="A395" i="11" s="1"/>
  <c r="A396" i="11" s="1"/>
  <c r="A397" i="11" s="1"/>
  <c r="A398" i="11" s="1"/>
  <c r="A399" i="11" s="1"/>
  <c r="A400" i="11" s="1"/>
  <c r="A401" i="11" s="1"/>
  <c r="A402" i="11" s="1"/>
  <c r="A403" i="11" s="1"/>
  <c r="A404" i="11" s="1"/>
  <c r="A405" i="11" s="1"/>
  <c r="A406" i="11" s="1"/>
  <c r="A407" i="11" s="1"/>
  <c r="A408" i="11" s="1"/>
  <c r="A409" i="11" s="1"/>
  <c r="A410" i="11" s="1"/>
  <c r="A411" i="11" s="1"/>
  <c r="A412" i="11" s="1"/>
  <c r="A413" i="11" s="1"/>
  <c r="A414" i="11" s="1"/>
  <c r="A415" i="11" s="1"/>
  <c r="AH377" i="11"/>
  <c r="AF377" i="11"/>
  <c r="AE377" i="11"/>
  <c r="AD377" i="11"/>
  <c r="AC377" i="11"/>
  <c r="AB377" i="11"/>
  <c r="AA377" i="11"/>
  <c r="Z377" i="11"/>
  <c r="X377" i="11"/>
  <c r="V377" i="11"/>
  <c r="U377" i="11"/>
  <c r="T377" i="11"/>
  <c r="S377" i="11"/>
  <c r="R377" i="11"/>
  <c r="Q377" i="11"/>
  <c r="P377" i="11"/>
  <c r="O377" i="11"/>
  <c r="N377" i="11"/>
  <c r="L377" i="11"/>
  <c r="J377" i="11"/>
  <c r="I377" i="11"/>
  <c r="H377" i="11"/>
  <c r="G377" i="11"/>
  <c r="F377" i="11"/>
  <c r="E377" i="11"/>
  <c r="D377" i="11"/>
  <c r="C377" i="11"/>
  <c r="B377" i="11"/>
  <c r="AH376" i="11"/>
  <c r="AF376" i="11"/>
  <c r="AE376" i="11"/>
  <c r="AD376" i="11"/>
  <c r="AC376" i="11"/>
  <c r="AB376" i="11"/>
  <c r="AA376" i="11"/>
  <c r="Z376" i="11"/>
  <c r="X376" i="11"/>
  <c r="V376" i="11"/>
  <c r="U376" i="11"/>
  <c r="T376" i="11"/>
  <c r="S376" i="11"/>
  <c r="R376" i="11"/>
  <c r="Q376" i="11"/>
  <c r="P376" i="11"/>
  <c r="O376" i="11"/>
  <c r="N376" i="11"/>
  <c r="L376" i="11"/>
  <c r="J376" i="11"/>
  <c r="I376" i="11"/>
  <c r="H376" i="11"/>
  <c r="G376" i="11"/>
  <c r="F376" i="11"/>
  <c r="E376" i="11"/>
  <c r="D376" i="11"/>
  <c r="C376" i="11"/>
  <c r="B376" i="11"/>
  <c r="AH375" i="11"/>
  <c r="AF375" i="11"/>
  <c r="AE375" i="11"/>
  <c r="AD375" i="11"/>
  <c r="AC375" i="11"/>
  <c r="AB375" i="11"/>
  <c r="AA375" i="11"/>
  <c r="Z375" i="11"/>
  <c r="X375" i="11"/>
  <c r="V375" i="11"/>
  <c r="U375" i="11"/>
  <c r="T375" i="11"/>
  <c r="S375" i="11"/>
  <c r="R375" i="11"/>
  <c r="Q375" i="11"/>
  <c r="P375" i="11"/>
  <c r="O375" i="11"/>
  <c r="N375" i="11"/>
  <c r="L375" i="11"/>
  <c r="J375" i="11"/>
  <c r="I375" i="11"/>
  <c r="H375" i="11"/>
  <c r="G375" i="11"/>
  <c r="F375" i="11"/>
  <c r="E375" i="11"/>
  <c r="D375" i="11"/>
  <c r="C375" i="11"/>
  <c r="B375" i="11"/>
  <c r="AH374" i="11"/>
  <c r="AF374" i="11"/>
  <c r="AE374" i="11"/>
  <c r="AD374" i="11"/>
  <c r="AC374" i="11"/>
  <c r="AB374" i="11"/>
  <c r="AA374" i="11"/>
  <c r="Z374" i="11"/>
  <c r="X374" i="11"/>
  <c r="V374" i="11"/>
  <c r="U374" i="11"/>
  <c r="T374" i="11"/>
  <c r="S374" i="11"/>
  <c r="R374" i="11"/>
  <c r="Q374" i="11"/>
  <c r="P374" i="11"/>
  <c r="O374" i="11"/>
  <c r="N374" i="11"/>
  <c r="L374" i="11"/>
  <c r="J374" i="11"/>
  <c r="I374" i="11"/>
  <c r="H374" i="11"/>
  <c r="G374" i="11"/>
  <c r="F374" i="11"/>
  <c r="E374" i="11"/>
  <c r="D374" i="11"/>
  <c r="C374" i="11"/>
  <c r="B374" i="11"/>
  <c r="A343" i="11"/>
  <c r="A344" i="11" s="1"/>
  <c r="A345" i="11" s="1"/>
  <c r="A346" i="11" s="1"/>
  <c r="A347" i="11" s="1"/>
  <c r="A348" i="11" s="1"/>
  <c r="A349" i="11" s="1"/>
  <c r="A350" i="11" s="1"/>
  <c r="A351" i="11" s="1"/>
  <c r="A352" i="11" s="1"/>
  <c r="A353" i="11" s="1"/>
  <c r="A354" i="11" s="1"/>
  <c r="A355" i="11" s="1"/>
  <c r="A356" i="11" s="1"/>
  <c r="A357" i="11" s="1"/>
  <c r="A358" i="11" s="1"/>
  <c r="A359" i="11" s="1"/>
  <c r="A360" i="11" s="1"/>
  <c r="A361" i="11" s="1"/>
  <c r="A362" i="11" s="1"/>
  <c r="A363" i="11" s="1"/>
  <c r="A364" i="11" s="1"/>
  <c r="A365" i="11" s="1"/>
  <c r="A366" i="11" s="1"/>
  <c r="A367" i="11" s="1"/>
  <c r="A368" i="11" s="1"/>
  <c r="A369" i="11" s="1"/>
  <c r="A370" i="11" s="1"/>
  <c r="A371" i="11" s="1"/>
  <c r="A372" i="11" s="1"/>
  <c r="A373" i="11" s="1"/>
  <c r="AH335" i="11"/>
  <c r="AF335" i="11"/>
  <c r="AE335" i="11"/>
  <c r="AD335" i="11"/>
  <c r="AC335" i="11"/>
  <c r="AB335" i="11"/>
  <c r="AA335" i="11"/>
  <c r="Z335" i="11"/>
  <c r="X335" i="11"/>
  <c r="V335" i="11"/>
  <c r="U335" i="11"/>
  <c r="T335" i="11"/>
  <c r="S335" i="11"/>
  <c r="R335" i="11"/>
  <c r="Q335" i="11"/>
  <c r="P335" i="11"/>
  <c r="O335" i="11"/>
  <c r="N335" i="11"/>
  <c r="L335" i="11"/>
  <c r="J335" i="11"/>
  <c r="I335" i="11"/>
  <c r="H335" i="11"/>
  <c r="G335" i="11"/>
  <c r="F335" i="11"/>
  <c r="E335" i="11"/>
  <c r="D335" i="11"/>
  <c r="C335" i="11"/>
  <c r="B335" i="11"/>
  <c r="AH334" i="11"/>
  <c r="AF334" i="11"/>
  <c r="AE334" i="11"/>
  <c r="AD334" i="11"/>
  <c r="AC334" i="11"/>
  <c r="AB334" i="11"/>
  <c r="AA334" i="11"/>
  <c r="Z334" i="11"/>
  <c r="X334" i="11"/>
  <c r="V334" i="11"/>
  <c r="U334" i="11"/>
  <c r="T334" i="11"/>
  <c r="S334" i="11"/>
  <c r="R334" i="11"/>
  <c r="Q334" i="11"/>
  <c r="P334" i="11"/>
  <c r="O334" i="11"/>
  <c r="N334" i="11"/>
  <c r="L334" i="11"/>
  <c r="J334" i="11"/>
  <c r="I334" i="11"/>
  <c r="H334" i="11"/>
  <c r="G334" i="11"/>
  <c r="F334" i="11"/>
  <c r="E334" i="11"/>
  <c r="D334" i="11"/>
  <c r="C334" i="11"/>
  <c r="B334" i="11"/>
  <c r="AH333" i="11"/>
  <c r="AF333" i="11"/>
  <c r="AE333" i="11"/>
  <c r="AD333" i="11"/>
  <c r="AC333" i="11"/>
  <c r="AB333" i="11"/>
  <c r="AA333" i="11"/>
  <c r="Z333" i="11"/>
  <c r="X333" i="11"/>
  <c r="V333" i="11"/>
  <c r="U333" i="11"/>
  <c r="T333" i="11"/>
  <c r="S333" i="11"/>
  <c r="R333" i="11"/>
  <c r="Q333" i="11"/>
  <c r="P333" i="11"/>
  <c r="O333" i="11"/>
  <c r="N333" i="11"/>
  <c r="L333" i="11"/>
  <c r="J333" i="11"/>
  <c r="I333" i="11"/>
  <c r="H333" i="11"/>
  <c r="G333" i="11"/>
  <c r="F333" i="11"/>
  <c r="E333" i="11"/>
  <c r="D333" i="11"/>
  <c r="C333" i="11"/>
  <c r="B333" i="11"/>
  <c r="AH332" i="11"/>
  <c r="AF332" i="11"/>
  <c r="AE332" i="11"/>
  <c r="AD332" i="11"/>
  <c r="AC332" i="11"/>
  <c r="AB332" i="11"/>
  <c r="AA332" i="11"/>
  <c r="Z332" i="11"/>
  <c r="X332" i="11"/>
  <c r="V332" i="11"/>
  <c r="U332" i="11"/>
  <c r="T332" i="11"/>
  <c r="S332" i="11"/>
  <c r="R332" i="11"/>
  <c r="Q332" i="11"/>
  <c r="P332" i="11"/>
  <c r="O332" i="11"/>
  <c r="N332" i="11"/>
  <c r="L332" i="11"/>
  <c r="J332" i="11"/>
  <c r="I332" i="11"/>
  <c r="H332" i="11"/>
  <c r="G332" i="11"/>
  <c r="F332" i="11"/>
  <c r="E332" i="11"/>
  <c r="D332" i="11"/>
  <c r="C332" i="11"/>
  <c r="B332" i="11"/>
  <c r="A301" i="11"/>
  <c r="A302" i="11" s="1"/>
  <c r="A303" i="11" s="1"/>
  <c r="A304" i="11" s="1"/>
  <c r="A305" i="11" s="1"/>
  <c r="A306" i="11" s="1"/>
  <c r="A307" i="11" s="1"/>
  <c r="A308" i="11" s="1"/>
  <c r="A309" i="11" s="1"/>
  <c r="A310" i="11" s="1"/>
  <c r="A311" i="11" s="1"/>
  <c r="A312" i="11" s="1"/>
  <c r="A313" i="11" s="1"/>
  <c r="A314" i="11" s="1"/>
  <c r="A315" i="11" s="1"/>
  <c r="A316" i="11" s="1"/>
  <c r="A317" i="11" s="1"/>
  <c r="A318" i="11" s="1"/>
  <c r="A319" i="11" s="1"/>
  <c r="A320" i="11" s="1"/>
  <c r="A321" i="11" s="1"/>
  <c r="A322" i="11" s="1"/>
  <c r="A323" i="11" s="1"/>
  <c r="A324" i="11" s="1"/>
  <c r="A325" i="11" s="1"/>
  <c r="A326" i="11" s="1"/>
  <c r="A327" i="11" s="1"/>
  <c r="A328" i="11" s="1"/>
  <c r="A329" i="11" s="1"/>
  <c r="A330" i="11" s="1"/>
  <c r="A331" i="11" s="1"/>
  <c r="AH293" i="11"/>
  <c r="AF293" i="11"/>
  <c r="AE293" i="11"/>
  <c r="AD293" i="11"/>
  <c r="AC293" i="11"/>
  <c r="AB293" i="11"/>
  <c r="AA293" i="11"/>
  <c r="Z293" i="11"/>
  <c r="X293" i="11"/>
  <c r="V293" i="11"/>
  <c r="U293" i="11"/>
  <c r="T293" i="11"/>
  <c r="S293" i="11"/>
  <c r="R293" i="11"/>
  <c r="Q293" i="11"/>
  <c r="P293" i="11"/>
  <c r="O293" i="11"/>
  <c r="N293" i="11"/>
  <c r="L293" i="11"/>
  <c r="J293" i="11"/>
  <c r="I293" i="11"/>
  <c r="H293" i="11"/>
  <c r="G293" i="11"/>
  <c r="F293" i="11"/>
  <c r="E293" i="11"/>
  <c r="D293" i="11"/>
  <c r="C293" i="11"/>
  <c r="B293" i="11"/>
  <c r="AH292" i="11"/>
  <c r="AF292" i="11"/>
  <c r="AE292" i="11"/>
  <c r="AD292" i="11"/>
  <c r="AC292" i="11"/>
  <c r="AB292" i="11"/>
  <c r="AA292" i="11"/>
  <c r="Z292" i="11"/>
  <c r="X292" i="11"/>
  <c r="V292" i="11"/>
  <c r="U292" i="11"/>
  <c r="T292" i="11"/>
  <c r="S292" i="11"/>
  <c r="R292" i="11"/>
  <c r="Q292" i="11"/>
  <c r="P292" i="11"/>
  <c r="O292" i="11"/>
  <c r="N292" i="11"/>
  <c r="L292" i="11"/>
  <c r="J292" i="11"/>
  <c r="I292" i="11"/>
  <c r="H292" i="11"/>
  <c r="G292" i="11"/>
  <c r="F292" i="11"/>
  <c r="E292" i="11"/>
  <c r="D292" i="11"/>
  <c r="C292" i="11"/>
  <c r="B292" i="11"/>
  <c r="AH291" i="11"/>
  <c r="AF291" i="11"/>
  <c r="AE291" i="11"/>
  <c r="AD291" i="11"/>
  <c r="AC291" i="11"/>
  <c r="AB291" i="11"/>
  <c r="AA291" i="11"/>
  <c r="Z291" i="11"/>
  <c r="X291" i="11"/>
  <c r="V291" i="11"/>
  <c r="U291" i="11"/>
  <c r="T291" i="11"/>
  <c r="S291" i="11"/>
  <c r="R291" i="11"/>
  <c r="Q291" i="11"/>
  <c r="P291" i="11"/>
  <c r="O291" i="11"/>
  <c r="N291" i="11"/>
  <c r="L291" i="11"/>
  <c r="J291" i="11"/>
  <c r="I291" i="11"/>
  <c r="H291" i="11"/>
  <c r="G291" i="11"/>
  <c r="F291" i="11"/>
  <c r="E291" i="11"/>
  <c r="D291" i="11"/>
  <c r="C291" i="11"/>
  <c r="B291" i="11"/>
  <c r="AH290" i="11"/>
  <c r="AF290" i="11"/>
  <c r="AE290" i="11"/>
  <c r="AD290" i="11"/>
  <c r="AC290" i="11"/>
  <c r="AB290" i="11"/>
  <c r="AA290" i="11"/>
  <c r="Z290" i="11"/>
  <c r="X290" i="11"/>
  <c r="V290" i="11"/>
  <c r="U290" i="11"/>
  <c r="T290" i="11"/>
  <c r="S290" i="11"/>
  <c r="R290" i="11"/>
  <c r="Q290" i="11"/>
  <c r="P290" i="11"/>
  <c r="O290" i="11"/>
  <c r="N290" i="11"/>
  <c r="L290" i="11"/>
  <c r="J290" i="11"/>
  <c r="I290" i="11"/>
  <c r="H290" i="11"/>
  <c r="G290" i="11"/>
  <c r="F290" i="11"/>
  <c r="E290" i="11"/>
  <c r="D290" i="11"/>
  <c r="C290" i="11"/>
  <c r="B290" i="11"/>
  <c r="A259" i="1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289" i="11" s="1"/>
  <c r="AH251" i="11"/>
  <c r="AF251" i="11"/>
  <c r="AE251" i="11"/>
  <c r="AD251" i="11"/>
  <c r="AC251" i="11"/>
  <c r="AB251" i="11"/>
  <c r="AA251" i="11"/>
  <c r="Z251" i="11"/>
  <c r="X251" i="11"/>
  <c r="V251" i="11"/>
  <c r="U251" i="11"/>
  <c r="T251" i="11"/>
  <c r="S251" i="11"/>
  <c r="R251" i="11"/>
  <c r="Q251" i="11"/>
  <c r="P251" i="11"/>
  <c r="O251" i="11"/>
  <c r="N251" i="11"/>
  <c r="L251" i="11"/>
  <c r="J251" i="11"/>
  <c r="I251" i="11"/>
  <c r="H251" i="11"/>
  <c r="G251" i="11"/>
  <c r="F251" i="11"/>
  <c r="E251" i="11"/>
  <c r="D251" i="11"/>
  <c r="C251" i="11"/>
  <c r="B251" i="11"/>
  <c r="AH250" i="11"/>
  <c r="AF250" i="11"/>
  <c r="AE250" i="11"/>
  <c r="AD250" i="11"/>
  <c r="AC250" i="11"/>
  <c r="AB250" i="11"/>
  <c r="AA250" i="11"/>
  <c r="Z250" i="11"/>
  <c r="X250" i="11"/>
  <c r="V250" i="11"/>
  <c r="U250" i="11"/>
  <c r="T250" i="11"/>
  <c r="S250" i="11"/>
  <c r="R250" i="11"/>
  <c r="Q250" i="11"/>
  <c r="P250" i="11"/>
  <c r="O250" i="11"/>
  <c r="N250" i="11"/>
  <c r="L250" i="11"/>
  <c r="J250" i="11"/>
  <c r="I250" i="11"/>
  <c r="H250" i="11"/>
  <c r="G250" i="11"/>
  <c r="F250" i="11"/>
  <c r="E250" i="11"/>
  <c r="D250" i="11"/>
  <c r="C250" i="11"/>
  <c r="B250" i="11"/>
  <c r="AH249" i="11"/>
  <c r="AF249" i="11"/>
  <c r="AE249" i="11"/>
  <c r="AD249" i="11"/>
  <c r="AC249" i="11"/>
  <c r="AB249" i="11"/>
  <c r="AA249" i="11"/>
  <c r="Z249" i="11"/>
  <c r="X249" i="11"/>
  <c r="V249" i="11"/>
  <c r="U249" i="11"/>
  <c r="T249" i="11"/>
  <c r="S249" i="11"/>
  <c r="R249" i="11"/>
  <c r="Q249" i="11"/>
  <c r="P249" i="11"/>
  <c r="O249" i="11"/>
  <c r="N249" i="11"/>
  <c r="L249" i="11"/>
  <c r="J249" i="11"/>
  <c r="I249" i="11"/>
  <c r="H249" i="11"/>
  <c r="G249" i="11"/>
  <c r="F249" i="11"/>
  <c r="E249" i="11"/>
  <c r="D249" i="11"/>
  <c r="C249" i="11"/>
  <c r="B249" i="11"/>
  <c r="AH248" i="11"/>
  <c r="AF248" i="11"/>
  <c r="AE248" i="11"/>
  <c r="AD248" i="11"/>
  <c r="AC248" i="11"/>
  <c r="AB248" i="11"/>
  <c r="AA248" i="11"/>
  <c r="Z248" i="11"/>
  <c r="X248" i="11"/>
  <c r="V248" i="11"/>
  <c r="U248" i="11"/>
  <c r="T248" i="11"/>
  <c r="S248" i="11"/>
  <c r="R248" i="11"/>
  <c r="Q248" i="11"/>
  <c r="P248" i="11"/>
  <c r="O248" i="11"/>
  <c r="N248" i="11"/>
  <c r="L248" i="11"/>
  <c r="J248" i="11"/>
  <c r="I248" i="11"/>
  <c r="H248" i="11"/>
  <c r="G248" i="11"/>
  <c r="F248" i="11"/>
  <c r="E248" i="11"/>
  <c r="D248" i="11"/>
  <c r="C248" i="11"/>
  <c r="B248" i="11"/>
  <c r="A217" i="1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H209" i="11"/>
  <c r="AF209" i="11"/>
  <c r="AE209" i="11"/>
  <c r="AD209" i="11"/>
  <c r="AC209" i="11"/>
  <c r="AB209" i="11"/>
  <c r="AA209" i="11"/>
  <c r="Z209" i="11"/>
  <c r="X209" i="11"/>
  <c r="V209" i="11"/>
  <c r="U209" i="11"/>
  <c r="T209" i="11"/>
  <c r="S209" i="11"/>
  <c r="R209" i="11"/>
  <c r="Q209" i="11"/>
  <c r="P209" i="11"/>
  <c r="O209" i="11"/>
  <c r="N209" i="11"/>
  <c r="L209" i="11"/>
  <c r="J209" i="11"/>
  <c r="I209" i="11"/>
  <c r="H209" i="11"/>
  <c r="G209" i="11"/>
  <c r="F209" i="11"/>
  <c r="E209" i="11"/>
  <c r="D209" i="11"/>
  <c r="C209" i="11"/>
  <c r="B209" i="11"/>
  <c r="AH208" i="11"/>
  <c r="AF208" i="11"/>
  <c r="AE208" i="11"/>
  <c r="AD208" i="11"/>
  <c r="AC208" i="11"/>
  <c r="AB208" i="11"/>
  <c r="AA208" i="11"/>
  <c r="Z208" i="11"/>
  <c r="X208" i="11"/>
  <c r="V208" i="11"/>
  <c r="U208" i="11"/>
  <c r="T208" i="11"/>
  <c r="S208" i="11"/>
  <c r="R208" i="11"/>
  <c r="Q208" i="11"/>
  <c r="P208" i="11"/>
  <c r="O208" i="11"/>
  <c r="N208" i="11"/>
  <c r="L208" i="11"/>
  <c r="J208" i="11"/>
  <c r="I208" i="11"/>
  <c r="H208" i="11"/>
  <c r="G208" i="11"/>
  <c r="F208" i="11"/>
  <c r="E208" i="11"/>
  <c r="D208" i="11"/>
  <c r="C208" i="11"/>
  <c r="B208" i="11"/>
  <c r="AH207" i="11"/>
  <c r="AF207" i="11"/>
  <c r="AE207" i="11"/>
  <c r="AD207" i="11"/>
  <c r="AC207" i="11"/>
  <c r="AB207" i="11"/>
  <c r="AA207" i="11"/>
  <c r="Z207" i="11"/>
  <c r="X207" i="11"/>
  <c r="V207" i="11"/>
  <c r="U207" i="11"/>
  <c r="T207" i="11"/>
  <c r="S207" i="11"/>
  <c r="R207" i="11"/>
  <c r="Q207" i="11"/>
  <c r="P207" i="11"/>
  <c r="O207" i="11"/>
  <c r="N207" i="11"/>
  <c r="L207" i="11"/>
  <c r="J207" i="11"/>
  <c r="I207" i="11"/>
  <c r="H207" i="11"/>
  <c r="G207" i="11"/>
  <c r="F207" i="11"/>
  <c r="E207" i="11"/>
  <c r="D207" i="11"/>
  <c r="C207" i="11"/>
  <c r="B207" i="11"/>
  <c r="AH206" i="11"/>
  <c r="AF206" i="11"/>
  <c r="AE206" i="11"/>
  <c r="AD206" i="11"/>
  <c r="AC206" i="11"/>
  <c r="AB206" i="11"/>
  <c r="AA206" i="11"/>
  <c r="Z206" i="11"/>
  <c r="X206" i="11"/>
  <c r="V206" i="11"/>
  <c r="U206" i="11"/>
  <c r="T206" i="11"/>
  <c r="S206" i="11"/>
  <c r="R206" i="11"/>
  <c r="Q206" i="11"/>
  <c r="P206" i="11"/>
  <c r="O206" i="11"/>
  <c r="N206" i="11"/>
  <c r="L206" i="11"/>
  <c r="J206" i="11"/>
  <c r="I206" i="11"/>
  <c r="H206" i="11"/>
  <c r="G206" i="11"/>
  <c r="F206" i="11"/>
  <c r="E206" i="11"/>
  <c r="D206" i="11"/>
  <c r="C206" i="11"/>
  <c r="B206" i="11"/>
  <c r="A175" i="1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H167" i="11"/>
  <c r="AF167" i="11"/>
  <c r="AE167" i="11"/>
  <c r="AD167" i="11"/>
  <c r="AC167" i="11"/>
  <c r="AB167" i="11"/>
  <c r="AA167" i="11"/>
  <c r="Z167" i="11"/>
  <c r="X167" i="11"/>
  <c r="V167" i="11"/>
  <c r="U167" i="11"/>
  <c r="T167" i="11"/>
  <c r="S167" i="11"/>
  <c r="R167" i="11"/>
  <c r="Q167" i="11"/>
  <c r="P167" i="11"/>
  <c r="O167" i="11"/>
  <c r="N167" i="11"/>
  <c r="L167" i="11"/>
  <c r="J167" i="11"/>
  <c r="I167" i="11"/>
  <c r="H167" i="11"/>
  <c r="G167" i="11"/>
  <c r="F167" i="11"/>
  <c r="E167" i="11"/>
  <c r="D167" i="11"/>
  <c r="C167" i="11"/>
  <c r="B167" i="11"/>
  <c r="AH166" i="11"/>
  <c r="AF166" i="11"/>
  <c r="AE166" i="11"/>
  <c r="AD166" i="11"/>
  <c r="AC166" i="11"/>
  <c r="AB166" i="11"/>
  <c r="AA166" i="11"/>
  <c r="Z166" i="11"/>
  <c r="X166" i="11"/>
  <c r="V166" i="11"/>
  <c r="U166" i="11"/>
  <c r="T166" i="11"/>
  <c r="S166" i="11"/>
  <c r="R166" i="11"/>
  <c r="Q166" i="11"/>
  <c r="P166" i="11"/>
  <c r="O166" i="11"/>
  <c r="N166" i="11"/>
  <c r="L166" i="11"/>
  <c r="J166" i="11"/>
  <c r="I166" i="11"/>
  <c r="H166" i="11"/>
  <c r="G166" i="11"/>
  <c r="F166" i="11"/>
  <c r="E166" i="11"/>
  <c r="D166" i="11"/>
  <c r="C166" i="11"/>
  <c r="B166" i="11"/>
  <c r="AH165" i="11"/>
  <c r="AF165" i="11"/>
  <c r="AE165" i="11"/>
  <c r="AD165" i="11"/>
  <c r="AC165" i="11"/>
  <c r="AB165" i="11"/>
  <c r="AA165" i="11"/>
  <c r="Z165" i="11"/>
  <c r="X165" i="11"/>
  <c r="V165" i="11"/>
  <c r="U165" i="11"/>
  <c r="T165" i="11"/>
  <c r="S165" i="11"/>
  <c r="R165" i="11"/>
  <c r="Q165" i="11"/>
  <c r="P165" i="11"/>
  <c r="O165" i="11"/>
  <c r="N165" i="11"/>
  <c r="L165" i="11"/>
  <c r="J165" i="11"/>
  <c r="I165" i="11"/>
  <c r="H165" i="11"/>
  <c r="G165" i="11"/>
  <c r="F165" i="11"/>
  <c r="E165" i="11"/>
  <c r="D165" i="11"/>
  <c r="C165" i="11"/>
  <c r="B165" i="11"/>
  <c r="AH164" i="11"/>
  <c r="AF164" i="11"/>
  <c r="AE164" i="11"/>
  <c r="AD164" i="11"/>
  <c r="AC164" i="11"/>
  <c r="AB164" i="11"/>
  <c r="AA164" i="11"/>
  <c r="Z164" i="11"/>
  <c r="X164" i="11"/>
  <c r="V164" i="11"/>
  <c r="U164" i="11"/>
  <c r="T164" i="11"/>
  <c r="S164" i="11"/>
  <c r="R164" i="11"/>
  <c r="Q164" i="11"/>
  <c r="P164" i="11"/>
  <c r="O164" i="11"/>
  <c r="N164" i="11"/>
  <c r="L164" i="11"/>
  <c r="J164" i="11"/>
  <c r="I164" i="11"/>
  <c r="H164" i="11"/>
  <c r="G164" i="11"/>
  <c r="F164" i="11"/>
  <c r="E164" i="11"/>
  <c r="D164" i="11"/>
  <c r="C164" i="11"/>
  <c r="B164" i="11"/>
  <c r="A133" i="1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H125" i="11"/>
  <c r="AF125" i="11"/>
  <c r="AE125" i="11"/>
  <c r="AD125" i="11"/>
  <c r="AC125" i="11"/>
  <c r="AB125" i="11"/>
  <c r="AA125" i="11"/>
  <c r="Z125" i="11"/>
  <c r="X125" i="11"/>
  <c r="V125" i="11"/>
  <c r="U125" i="11"/>
  <c r="T125" i="11"/>
  <c r="S125" i="11"/>
  <c r="R125" i="11"/>
  <c r="Q125" i="11"/>
  <c r="P125" i="11"/>
  <c r="O125" i="11"/>
  <c r="N125" i="11"/>
  <c r="L125" i="11"/>
  <c r="J125" i="11"/>
  <c r="I125" i="11"/>
  <c r="H125" i="11"/>
  <c r="G125" i="11"/>
  <c r="F125" i="11"/>
  <c r="E125" i="11"/>
  <c r="D125" i="11"/>
  <c r="C125" i="11"/>
  <c r="B125" i="11"/>
  <c r="AH124" i="11"/>
  <c r="AF124" i="11"/>
  <c r="AE124" i="11"/>
  <c r="AD124" i="11"/>
  <c r="AC124" i="11"/>
  <c r="AB124" i="11"/>
  <c r="AA124" i="11"/>
  <c r="Z124" i="11"/>
  <c r="X124" i="11"/>
  <c r="V124" i="11"/>
  <c r="U124" i="11"/>
  <c r="T124" i="11"/>
  <c r="S124" i="11"/>
  <c r="R124" i="11"/>
  <c r="Q124" i="11"/>
  <c r="P124" i="11"/>
  <c r="O124" i="11"/>
  <c r="N124" i="11"/>
  <c r="L124" i="11"/>
  <c r="J124" i="11"/>
  <c r="I124" i="11"/>
  <c r="H124" i="11"/>
  <c r="G124" i="11"/>
  <c r="F124" i="11"/>
  <c r="E124" i="11"/>
  <c r="D124" i="11"/>
  <c r="C124" i="11"/>
  <c r="B124" i="11"/>
  <c r="AH123" i="11"/>
  <c r="AF123" i="11"/>
  <c r="AE123" i="11"/>
  <c r="AD123" i="11"/>
  <c r="AC123" i="11"/>
  <c r="AB123" i="11"/>
  <c r="AA123" i="11"/>
  <c r="Z123" i="11"/>
  <c r="X123" i="11"/>
  <c r="V123" i="11"/>
  <c r="U123" i="11"/>
  <c r="T123" i="11"/>
  <c r="S123" i="11"/>
  <c r="R123" i="11"/>
  <c r="Q123" i="11"/>
  <c r="P123" i="11"/>
  <c r="O123" i="11"/>
  <c r="N123" i="11"/>
  <c r="L123" i="11"/>
  <c r="J123" i="11"/>
  <c r="I123" i="11"/>
  <c r="H123" i="11"/>
  <c r="G123" i="11"/>
  <c r="F123" i="11"/>
  <c r="E123" i="11"/>
  <c r="D123" i="11"/>
  <c r="C123" i="11"/>
  <c r="B123" i="11"/>
  <c r="AH122" i="11"/>
  <c r="AF122" i="11"/>
  <c r="AE122" i="11"/>
  <c r="AD122" i="11"/>
  <c r="AC122" i="11"/>
  <c r="AB122" i="11"/>
  <c r="AA122" i="11"/>
  <c r="Z122" i="11"/>
  <c r="X122" i="11"/>
  <c r="V122" i="11"/>
  <c r="U122" i="11"/>
  <c r="T122" i="11"/>
  <c r="S122" i="11"/>
  <c r="R122" i="11"/>
  <c r="Q122" i="11"/>
  <c r="P122" i="11"/>
  <c r="O122" i="11"/>
  <c r="N122" i="11"/>
  <c r="L122" i="11"/>
  <c r="J122" i="11"/>
  <c r="I122" i="11"/>
  <c r="H122" i="11"/>
  <c r="G122" i="11"/>
  <c r="F122" i="11"/>
  <c r="E122" i="11"/>
  <c r="D122" i="11"/>
  <c r="C122" i="11"/>
  <c r="B122" i="11"/>
  <c r="A91" i="1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H83" i="11"/>
  <c r="AF83" i="11"/>
  <c r="AE83" i="11"/>
  <c r="AD83" i="11"/>
  <c r="AC83" i="11"/>
  <c r="AB83" i="11"/>
  <c r="AA83" i="11"/>
  <c r="Z83" i="11"/>
  <c r="X83" i="11"/>
  <c r="V83" i="11"/>
  <c r="U83" i="11"/>
  <c r="T83" i="11"/>
  <c r="S83" i="11"/>
  <c r="R83" i="11"/>
  <c r="Q83" i="11"/>
  <c r="P83" i="11"/>
  <c r="O83" i="11"/>
  <c r="N83" i="11"/>
  <c r="L83" i="11"/>
  <c r="J83" i="11"/>
  <c r="I83" i="11"/>
  <c r="H83" i="11"/>
  <c r="G83" i="11"/>
  <c r="F83" i="11"/>
  <c r="E83" i="11"/>
  <c r="D83" i="11"/>
  <c r="C83" i="11"/>
  <c r="B83" i="11"/>
  <c r="AH82" i="11"/>
  <c r="AF82" i="11"/>
  <c r="AE82" i="11"/>
  <c r="AD82" i="11"/>
  <c r="AC82" i="11"/>
  <c r="AB82" i="11"/>
  <c r="AA82" i="11"/>
  <c r="Z82" i="11"/>
  <c r="X82" i="11"/>
  <c r="V82" i="11"/>
  <c r="U82" i="11"/>
  <c r="T82" i="11"/>
  <c r="S82" i="11"/>
  <c r="R82" i="11"/>
  <c r="Q82" i="11"/>
  <c r="P82" i="11"/>
  <c r="O82" i="11"/>
  <c r="N82" i="11"/>
  <c r="L82" i="11"/>
  <c r="J82" i="11"/>
  <c r="I82" i="11"/>
  <c r="H82" i="11"/>
  <c r="G82" i="11"/>
  <c r="F82" i="11"/>
  <c r="E82" i="11"/>
  <c r="D82" i="11"/>
  <c r="C82" i="11"/>
  <c r="B82" i="11"/>
  <c r="AH81" i="11"/>
  <c r="AF81" i="11"/>
  <c r="AE81" i="11"/>
  <c r="AD81" i="11"/>
  <c r="AC81" i="11"/>
  <c r="AB81" i="11"/>
  <c r="AA81" i="11"/>
  <c r="Z81" i="11"/>
  <c r="X81" i="11"/>
  <c r="V81" i="11"/>
  <c r="U81" i="11"/>
  <c r="T81" i="11"/>
  <c r="S81" i="11"/>
  <c r="R81" i="11"/>
  <c r="Q81" i="11"/>
  <c r="P81" i="11"/>
  <c r="O81" i="11"/>
  <c r="N81" i="11"/>
  <c r="L81" i="11"/>
  <c r="J81" i="11"/>
  <c r="I81" i="11"/>
  <c r="H81" i="11"/>
  <c r="G81" i="11"/>
  <c r="F81" i="11"/>
  <c r="E81" i="11"/>
  <c r="D81" i="11"/>
  <c r="C81" i="11"/>
  <c r="B81" i="11"/>
  <c r="AH80" i="11"/>
  <c r="AF80" i="11"/>
  <c r="AE80" i="11"/>
  <c r="AD80" i="11"/>
  <c r="AC80" i="11"/>
  <c r="AB80" i="11"/>
  <c r="AA80" i="11"/>
  <c r="Z80" i="11"/>
  <c r="X80" i="11"/>
  <c r="V80" i="11"/>
  <c r="U80" i="11"/>
  <c r="T80" i="11"/>
  <c r="S80" i="11"/>
  <c r="R80" i="11"/>
  <c r="Q80" i="11"/>
  <c r="P80" i="11"/>
  <c r="O80" i="11"/>
  <c r="N80" i="11"/>
  <c r="L80" i="11"/>
  <c r="J80" i="11"/>
  <c r="I80" i="11"/>
  <c r="H80" i="11"/>
  <c r="G80" i="11"/>
  <c r="F80" i="11"/>
  <c r="E80" i="11"/>
  <c r="D80" i="11"/>
  <c r="C80" i="11"/>
  <c r="B80" i="11"/>
  <c r="A49" i="1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508" i="10"/>
  <c r="A509" i="10" s="1"/>
  <c r="A510" i="10" s="1"/>
  <c r="A511" i="10" s="1"/>
  <c r="A512" i="10" s="1"/>
  <c r="A513" i="10" s="1"/>
  <c r="A514" i="10" s="1"/>
  <c r="A515" i="10" s="1"/>
  <c r="A516" i="10" s="1"/>
  <c r="A517" i="10" s="1"/>
  <c r="A518" i="10" s="1"/>
  <c r="A519" i="10" s="1"/>
  <c r="A520" i="10" s="1"/>
  <c r="A521" i="10" s="1"/>
  <c r="A522" i="10" s="1"/>
  <c r="A523" i="10" s="1"/>
  <c r="A524" i="10" s="1"/>
  <c r="A525" i="10" s="1"/>
  <c r="A526" i="10" s="1"/>
  <c r="A527" i="10" s="1"/>
  <c r="A528" i="10" s="1"/>
  <c r="A529" i="10" s="1"/>
  <c r="A530" i="10" s="1"/>
  <c r="A531" i="10" s="1"/>
  <c r="A532" i="10" s="1"/>
  <c r="A533" i="10" s="1"/>
  <c r="A534" i="10" s="1"/>
  <c r="A535" i="10" s="1"/>
  <c r="A536" i="10" s="1"/>
  <c r="A537" i="10" s="1"/>
  <c r="A538" i="10" s="1"/>
  <c r="A466" i="10"/>
  <c r="A467" i="10" s="1"/>
  <c r="A468" i="10" s="1"/>
  <c r="A469" i="10" s="1"/>
  <c r="A470" i="10" s="1"/>
  <c r="A471" i="10" s="1"/>
  <c r="A472" i="10" s="1"/>
  <c r="A473" i="10" s="1"/>
  <c r="A474" i="10" s="1"/>
  <c r="A475" i="10" s="1"/>
  <c r="A476" i="10" s="1"/>
  <c r="A477" i="10" s="1"/>
  <c r="A478" i="10" s="1"/>
  <c r="A479" i="10" s="1"/>
  <c r="A480" i="10" s="1"/>
  <c r="A481" i="10" s="1"/>
  <c r="A482" i="10" s="1"/>
  <c r="A483" i="10" s="1"/>
  <c r="A484" i="10" s="1"/>
  <c r="A485" i="10" s="1"/>
  <c r="A486" i="10" s="1"/>
  <c r="A487" i="10" s="1"/>
  <c r="A488" i="10" s="1"/>
  <c r="A489" i="10" s="1"/>
  <c r="A490" i="10" s="1"/>
  <c r="A491" i="10" s="1"/>
  <c r="A492" i="10" s="1"/>
  <c r="A493" i="10" s="1"/>
  <c r="A494" i="10" s="1"/>
  <c r="A495" i="10" s="1"/>
  <c r="A424" i="10"/>
  <c r="A425" i="10" s="1"/>
  <c r="A426" i="10" s="1"/>
  <c r="A427" i="10" s="1"/>
  <c r="A428" i="10" s="1"/>
  <c r="A429" i="10" s="1"/>
  <c r="A430" i="10" s="1"/>
  <c r="A431" i="10" s="1"/>
  <c r="A432" i="10" s="1"/>
  <c r="A433" i="10" s="1"/>
  <c r="A434" i="10" s="1"/>
  <c r="A435" i="10" s="1"/>
  <c r="A436" i="10" s="1"/>
  <c r="A437" i="10" s="1"/>
  <c r="A438" i="10" s="1"/>
  <c r="A439" i="10" s="1"/>
  <c r="A440" i="10" s="1"/>
  <c r="A441" i="10" s="1"/>
  <c r="A442" i="10" s="1"/>
  <c r="A443" i="10" s="1"/>
  <c r="A444" i="10" s="1"/>
  <c r="A445" i="10" s="1"/>
  <c r="A446" i="10" s="1"/>
  <c r="A447" i="10" s="1"/>
  <c r="A448" i="10" s="1"/>
  <c r="A449" i="10" s="1"/>
  <c r="A450" i="10" s="1"/>
  <c r="A451" i="10" s="1"/>
  <c r="A452" i="10" s="1"/>
  <c r="A453" i="10" s="1"/>
  <c r="A454" i="10" s="1"/>
  <c r="A382" i="10"/>
  <c r="A383" i="10" s="1"/>
  <c r="A384" i="10" s="1"/>
  <c r="A385" i="10" s="1"/>
  <c r="A386" i="10" s="1"/>
  <c r="A387" i="10" s="1"/>
  <c r="A388" i="10" s="1"/>
  <c r="A389" i="10" s="1"/>
  <c r="A390" i="10" s="1"/>
  <c r="A391" i="10" s="1"/>
  <c r="A392" i="10" s="1"/>
  <c r="A393" i="10" s="1"/>
  <c r="A394" i="10" s="1"/>
  <c r="A395" i="10" s="1"/>
  <c r="A396" i="10" s="1"/>
  <c r="A397" i="10" s="1"/>
  <c r="A398" i="10" s="1"/>
  <c r="A399" i="10" s="1"/>
  <c r="A400" i="10" s="1"/>
  <c r="A401" i="10" s="1"/>
  <c r="A402" i="10" s="1"/>
  <c r="A403" i="10" s="1"/>
  <c r="A404" i="10" s="1"/>
  <c r="A405" i="10" s="1"/>
  <c r="A406" i="10" s="1"/>
  <c r="A407" i="10" s="1"/>
  <c r="A408" i="10" s="1"/>
  <c r="A409" i="10" s="1"/>
  <c r="A410" i="10" s="1"/>
  <c r="A411" i="10" s="1"/>
  <c r="A412" i="10" s="1"/>
  <c r="A340" i="10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298" i="10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256" i="10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14" i="10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172" i="10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130" i="10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91" i="10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49" i="10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509" i="9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467" i="9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25" i="9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383" i="9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341" i="9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299" i="9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257" i="9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15" i="9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173" i="9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131" i="9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92" i="9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50" i="9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F479" i="13"/>
  <c r="AE479" i="13"/>
  <c r="AD479" i="13"/>
  <c r="AC479" i="13"/>
  <c r="AB479" i="13"/>
  <c r="AA479" i="13"/>
  <c r="Z479" i="13"/>
  <c r="Y479" i="13"/>
  <c r="X479" i="13"/>
  <c r="W479" i="13"/>
  <c r="V479" i="13"/>
  <c r="U479" i="13"/>
  <c r="T479" i="13"/>
  <c r="S479" i="13"/>
  <c r="R479" i="13"/>
  <c r="Q479" i="13"/>
  <c r="P479" i="13"/>
  <c r="O479" i="13"/>
  <c r="N479" i="13"/>
  <c r="M479" i="13"/>
  <c r="L479" i="13"/>
  <c r="K479" i="13"/>
  <c r="J479" i="13"/>
  <c r="I479" i="13"/>
  <c r="H479" i="13"/>
  <c r="G479" i="13"/>
  <c r="F479" i="13"/>
  <c r="E479" i="13"/>
  <c r="D479" i="13"/>
  <c r="C479" i="13"/>
  <c r="AF478" i="13"/>
  <c r="AE478" i="13"/>
  <c r="AD478" i="13"/>
  <c r="AC478" i="13"/>
  <c r="AB478" i="13"/>
  <c r="AA478" i="13"/>
  <c r="Z478" i="13"/>
  <c r="Y478" i="13"/>
  <c r="X478" i="13"/>
  <c r="W478" i="13"/>
  <c r="V478" i="13"/>
  <c r="U478" i="13"/>
  <c r="T478" i="13"/>
  <c r="S478" i="13"/>
  <c r="R478" i="13"/>
  <c r="Q478" i="13"/>
  <c r="P478" i="13"/>
  <c r="O478" i="13"/>
  <c r="N478" i="13"/>
  <c r="M478" i="13"/>
  <c r="L478" i="13"/>
  <c r="K478" i="13"/>
  <c r="J478" i="13"/>
  <c r="I478" i="13"/>
  <c r="H478" i="13"/>
  <c r="G478" i="13"/>
  <c r="F478" i="13"/>
  <c r="E478" i="13"/>
  <c r="D478" i="13"/>
  <c r="C478" i="13"/>
  <c r="AF477" i="13"/>
  <c r="AE477" i="13"/>
  <c r="AD477" i="13"/>
  <c r="AC477" i="13"/>
  <c r="AB477" i="13"/>
  <c r="AA477" i="13"/>
  <c r="Z477" i="13"/>
  <c r="Y477" i="13"/>
  <c r="X477" i="13"/>
  <c r="W477" i="13"/>
  <c r="V477" i="13"/>
  <c r="U477" i="13"/>
  <c r="T477" i="13"/>
  <c r="S477" i="13"/>
  <c r="R477" i="13"/>
  <c r="Q477" i="13"/>
  <c r="P477" i="13"/>
  <c r="O477" i="13"/>
  <c r="N477" i="13"/>
  <c r="M477" i="13"/>
  <c r="L477" i="13"/>
  <c r="K477" i="13"/>
  <c r="J477" i="13"/>
  <c r="I477" i="13"/>
  <c r="H477" i="13"/>
  <c r="G477" i="13"/>
  <c r="F477" i="13"/>
  <c r="E477" i="13"/>
  <c r="D477" i="13"/>
  <c r="C477" i="13"/>
  <c r="AF476" i="13"/>
  <c r="AE476" i="13"/>
  <c r="AD476" i="13"/>
  <c r="AC476" i="13"/>
  <c r="AB476" i="13"/>
  <c r="AA476" i="13"/>
  <c r="Z476" i="13"/>
  <c r="Y476" i="13"/>
  <c r="X476" i="13"/>
  <c r="W476" i="13"/>
  <c r="V476" i="13"/>
  <c r="U476" i="13"/>
  <c r="T476" i="13"/>
  <c r="S476" i="13"/>
  <c r="R476" i="13"/>
  <c r="Q476" i="13"/>
  <c r="P476" i="13"/>
  <c r="O476" i="13"/>
  <c r="N476" i="13"/>
  <c r="M476" i="13"/>
  <c r="L476" i="13"/>
  <c r="K476" i="13"/>
  <c r="J476" i="13"/>
  <c r="I476" i="13"/>
  <c r="H476" i="13"/>
  <c r="G476" i="13"/>
  <c r="F476" i="13"/>
  <c r="E476" i="13"/>
  <c r="D476" i="13"/>
  <c r="C476" i="13"/>
  <c r="A446" i="13"/>
  <c r="B446" i="13" s="1"/>
  <c r="AF439" i="13"/>
  <c r="AE439" i="13"/>
  <c r="AD439" i="13"/>
  <c r="AC439" i="13"/>
  <c r="AB439" i="13"/>
  <c r="AA439" i="13"/>
  <c r="Z439" i="13"/>
  <c r="Y439" i="13"/>
  <c r="X439" i="13"/>
  <c r="W439" i="13"/>
  <c r="V439" i="13"/>
  <c r="U439" i="13"/>
  <c r="T439" i="13"/>
  <c r="S439" i="13"/>
  <c r="R439" i="13"/>
  <c r="Q439" i="13"/>
  <c r="P439" i="13"/>
  <c r="O439" i="13"/>
  <c r="N439" i="13"/>
  <c r="M439" i="13"/>
  <c r="L439" i="13"/>
  <c r="K439" i="13"/>
  <c r="J439" i="13"/>
  <c r="I439" i="13"/>
  <c r="H439" i="13"/>
  <c r="G439" i="13"/>
  <c r="F439" i="13"/>
  <c r="E439" i="13"/>
  <c r="D439" i="13"/>
  <c r="C439" i="13"/>
  <c r="AF438" i="13"/>
  <c r="AE438" i="13"/>
  <c r="AD438" i="13"/>
  <c r="AC438" i="13"/>
  <c r="AB438" i="13"/>
  <c r="AA438" i="13"/>
  <c r="Z438" i="13"/>
  <c r="Y438" i="13"/>
  <c r="X438" i="13"/>
  <c r="W438" i="13"/>
  <c r="V438" i="13"/>
  <c r="U438" i="13"/>
  <c r="T438" i="13"/>
  <c r="S438" i="13"/>
  <c r="R438" i="13"/>
  <c r="Q438" i="13"/>
  <c r="P438" i="13"/>
  <c r="O438" i="13"/>
  <c r="N438" i="13"/>
  <c r="M438" i="13"/>
  <c r="L438" i="13"/>
  <c r="K438" i="13"/>
  <c r="J438" i="13"/>
  <c r="I438" i="13"/>
  <c r="H438" i="13"/>
  <c r="G438" i="13"/>
  <c r="F438" i="13"/>
  <c r="E438" i="13"/>
  <c r="D438" i="13"/>
  <c r="C438" i="13"/>
  <c r="AF437" i="13"/>
  <c r="AE437" i="13"/>
  <c r="AD437" i="13"/>
  <c r="AC437" i="13"/>
  <c r="AB437" i="13"/>
  <c r="AA437" i="13"/>
  <c r="Z437" i="13"/>
  <c r="Y437" i="13"/>
  <c r="X437" i="13"/>
  <c r="W437" i="13"/>
  <c r="V437" i="13"/>
  <c r="U437" i="13"/>
  <c r="T437" i="13"/>
  <c r="S437" i="13"/>
  <c r="R437" i="13"/>
  <c r="Q437" i="13"/>
  <c r="P437" i="13"/>
  <c r="O437" i="13"/>
  <c r="N437" i="13"/>
  <c r="M437" i="13"/>
  <c r="L437" i="13"/>
  <c r="K437" i="13"/>
  <c r="J437" i="13"/>
  <c r="I437" i="13"/>
  <c r="H437" i="13"/>
  <c r="G437" i="13"/>
  <c r="F437" i="13"/>
  <c r="E437" i="13"/>
  <c r="D437" i="13"/>
  <c r="C437" i="13"/>
  <c r="AF436" i="13"/>
  <c r="AE436" i="13"/>
  <c r="AD436" i="13"/>
  <c r="AC436" i="13"/>
  <c r="AB436" i="13"/>
  <c r="AA436" i="13"/>
  <c r="Z436" i="13"/>
  <c r="Y436" i="13"/>
  <c r="X436" i="13"/>
  <c r="W436" i="13"/>
  <c r="V436" i="13"/>
  <c r="U436" i="13"/>
  <c r="T436" i="13"/>
  <c r="S436" i="13"/>
  <c r="R436" i="13"/>
  <c r="Q436" i="13"/>
  <c r="P436" i="13"/>
  <c r="O436" i="13"/>
  <c r="N436" i="13"/>
  <c r="M436" i="13"/>
  <c r="L436" i="13"/>
  <c r="K436" i="13"/>
  <c r="J436" i="13"/>
  <c r="I436" i="13"/>
  <c r="H436" i="13"/>
  <c r="G436" i="13"/>
  <c r="F436" i="13"/>
  <c r="E436" i="13"/>
  <c r="D436" i="13"/>
  <c r="C436" i="13"/>
  <c r="A406" i="13"/>
  <c r="B406" i="13" s="1"/>
  <c r="AF399" i="13"/>
  <c r="AE399" i="13"/>
  <c r="AD399" i="13"/>
  <c r="AC399" i="13"/>
  <c r="AB399" i="13"/>
  <c r="AA399" i="13"/>
  <c r="Z399" i="13"/>
  <c r="Y399" i="13"/>
  <c r="X399" i="13"/>
  <c r="W399" i="13"/>
  <c r="V399" i="13"/>
  <c r="U399" i="13"/>
  <c r="T399" i="13"/>
  <c r="S399" i="13"/>
  <c r="R399" i="13"/>
  <c r="Q399" i="13"/>
  <c r="P399" i="13"/>
  <c r="O399" i="13"/>
  <c r="N399" i="13"/>
  <c r="M399" i="13"/>
  <c r="L399" i="13"/>
  <c r="K399" i="13"/>
  <c r="J399" i="13"/>
  <c r="I399" i="13"/>
  <c r="H399" i="13"/>
  <c r="G399" i="13"/>
  <c r="F399" i="13"/>
  <c r="E399" i="13"/>
  <c r="D399" i="13"/>
  <c r="C399" i="13"/>
  <c r="AF398" i="13"/>
  <c r="AE398" i="13"/>
  <c r="AD398" i="13"/>
  <c r="AC398" i="13"/>
  <c r="AB398" i="13"/>
  <c r="AA398" i="13"/>
  <c r="Z398" i="13"/>
  <c r="Y398" i="13"/>
  <c r="X398" i="13"/>
  <c r="W398" i="13"/>
  <c r="V398" i="13"/>
  <c r="U398" i="13"/>
  <c r="T398" i="13"/>
  <c r="S398" i="13"/>
  <c r="R398" i="13"/>
  <c r="Q398" i="13"/>
  <c r="P398" i="13"/>
  <c r="O398" i="13"/>
  <c r="N398" i="13"/>
  <c r="M398" i="13"/>
  <c r="L398" i="13"/>
  <c r="K398" i="13"/>
  <c r="J398" i="13"/>
  <c r="I398" i="13"/>
  <c r="H398" i="13"/>
  <c r="G398" i="13"/>
  <c r="F398" i="13"/>
  <c r="E398" i="13"/>
  <c r="D398" i="13"/>
  <c r="C398" i="13"/>
  <c r="AF397" i="13"/>
  <c r="AE397" i="13"/>
  <c r="AD397" i="13"/>
  <c r="AC397" i="13"/>
  <c r="AB397" i="13"/>
  <c r="AA397" i="13"/>
  <c r="Z397" i="13"/>
  <c r="Y397" i="13"/>
  <c r="X397" i="13"/>
  <c r="W397" i="13"/>
  <c r="V397" i="13"/>
  <c r="U397" i="13"/>
  <c r="T397" i="13"/>
  <c r="S397" i="13"/>
  <c r="R397" i="13"/>
  <c r="Q397" i="13"/>
  <c r="P397" i="13"/>
  <c r="O397" i="13"/>
  <c r="N397" i="13"/>
  <c r="M397" i="13"/>
  <c r="L397" i="13"/>
  <c r="K397" i="13"/>
  <c r="J397" i="13"/>
  <c r="I397" i="13"/>
  <c r="H397" i="13"/>
  <c r="G397" i="13"/>
  <c r="F397" i="13"/>
  <c r="E397" i="13"/>
  <c r="D397" i="13"/>
  <c r="C397" i="13"/>
  <c r="AF396" i="13"/>
  <c r="AE396" i="13"/>
  <c r="AD396" i="13"/>
  <c r="AC396" i="13"/>
  <c r="AB396" i="13"/>
  <c r="AA396" i="13"/>
  <c r="Z396" i="13"/>
  <c r="Y396" i="13"/>
  <c r="X396" i="13"/>
  <c r="W396" i="13"/>
  <c r="V396" i="13"/>
  <c r="U396" i="13"/>
  <c r="T396" i="13"/>
  <c r="S396" i="13"/>
  <c r="R396" i="13"/>
  <c r="Q396" i="13"/>
  <c r="P396" i="13"/>
  <c r="O396" i="13"/>
  <c r="N396" i="13"/>
  <c r="M396" i="13"/>
  <c r="L396" i="13"/>
  <c r="K396" i="13"/>
  <c r="J396" i="13"/>
  <c r="I396" i="13"/>
  <c r="H396" i="13"/>
  <c r="G396" i="13"/>
  <c r="F396" i="13"/>
  <c r="E396" i="13"/>
  <c r="D396" i="13"/>
  <c r="C396" i="13"/>
  <c r="A366" i="13"/>
  <c r="A367" i="13" s="1"/>
  <c r="A368" i="13" s="1"/>
  <c r="AF359" i="13"/>
  <c r="AE359" i="13"/>
  <c r="AD359" i="13"/>
  <c r="AC359" i="13"/>
  <c r="AB359" i="13"/>
  <c r="AA359" i="13"/>
  <c r="Z359" i="13"/>
  <c r="Y359" i="13"/>
  <c r="X359" i="13"/>
  <c r="W359" i="13"/>
  <c r="V359" i="13"/>
  <c r="U359" i="13"/>
  <c r="T359" i="13"/>
  <c r="S359" i="13"/>
  <c r="R359" i="13"/>
  <c r="Q359" i="13"/>
  <c r="P359" i="13"/>
  <c r="O359" i="13"/>
  <c r="N359" i="13"/>
  <c r="M359" i="13"/>
  <c r="L359" i="13"/>
  <c r="K359" i="13"/>
  <c r="J359" i="13"/>
  <c r="I359" i="13"/>
  <c r="H359" i="13"/>
  <c r="G359" i="13"/>
  <c r="F359" i="13"/>
  <c r="E359" i="13"/>
  <c r="D359" i="13"/>
  <c r="C359" i="13"/>
  <c r="AF358" i="13"/>
  <c r="AE358" i="13"/>
  <c r="AD358" i="13"/>
  <c r="AC358" i="13"/>
  <c r="AB358" i="13"/>
  <c r="AA358" i="13"/>
  <c r="Z358" i="13"/>
  <c r="Y358" i="13"/>
  <c r="X358" i="13"/>
  <c r="W358" i="13"/>
  <c r="V358" i="13"/>
  <c r="U358" i="13"/>
  <c r="T358" i="13"/>
  <c r="S358" i="13"/>
  <c r="R358" i="13"/>
  <c r="Q358" i="13"/>
  <c r="P358" i="13"/>
  <c r="O358" i="13"/>
  <c r="N358" i="13"/>
  <c r="M358" i="13"/>
  <c r="L358" i="13"/>
  <c r="K358" i="13"/>
  <c r="J358" i="13"/>
  <c r="I358" i="13"/>
  <c r="H358" i="13"/>
  <c r="G358" i="13"/>
  <c r="F358" i="13"/>
  <c r="E358" i="13"/>
  <c r="D358" i="13"/>
  <c r="C358" i="13"/>
  <c r="AF357" i="13"/>
  <c r="AE357" i="13"/>
  <c r="AD357" i="13"/>
  <c r="AC357" i="13"/>
  <c r="AB357" i="13"/>
  <c r="AA357" i="13"/>
  <c r="Z357" i="13"/>
  <c r="Y357" i="13"/>
  <c r="X357" i="13"/>
  <c r="W357" i="13"/>
  <c r="V357" i="13"/>
  <c r="U357" i="13"/>
  <c r="T357" i="13"/>
  <c r="S357" i="13"/>
  <c r="R357" i="13"/>
  <c r="Q357" i="13"/>
  <c r="P357" i="13"/>
  <c r="O357" i="13"/>
  <c r="N357" i="13"/>
  <c r="M357" i="13"/>
  <c r="L357" i="13"/>
  <c r="K357" i="13"/>
  <c r="J357" i="13"/>
  <c r="I357" i="13"/>
  <c r="H357" i="13"/>
  <c r="G357" i="13"/>
  <c r="F357" i="13"/>
  <c r="E357" i="13"/>
  <c r="D357" i="13"/>
  <c r="C357" i="13"/>
  <c r="AF356" i="13"/>
  <c r="AE356" i="13"/>
  <c r="AD356" i="13"/>
  <c r="AC356" i="13"/>
  <c r="AB356" i="13"/>
  <c r="AA356" i="13"/>
  <c r="Z356" i="13"/>
  <c r="Y356" i="13"/>
  <c r="X356" i="13"/>
  <c r="W356" i="13"/>
  <c r="V356" i="13"/>
  <c r="U356" i="13"/>
  <c r="T356" i="13"/>
  <c r="S356" i="13"/>
  <c r="R356" i="13"/>
  <c r="Q356" i="13"/>
  <c r="P356" i="13"/>
  <c r="O356" i="13"/>
  <c r="N356" i="13"/>
  <c r="M356" i="13"/>
  <c r="L356" i="13"/>
  <c r="K356" i="13"/>
  <c r="J356" i="13"/>
  <c r="I356" i="13"/>
  <c r="H356" i="13"/>
  <c r="G356" i="13"/>
  <c r="F356" i="13"/>
  <c r="E356" i="13"/>
  <c r="D356" i="13"/>
  <c r="C356" i="13"/>
  <c r="A326" i="13"/>
  <c r="B326" i="13" s="1"/>
  <c r="AF319" i="13"/>
  <c r="AE319" i="13"/>
  <c r="AD319" i="13"/>
  <c r="AC319" i="13"/>
  <c r="AB319" i="13"/>
  <c r="AA319" i="13"/>
  <c r="Z319" i="13"/>
  <c r="Y319" i="13"/>
  <c r="X319" i="13"/>
  <c r="W319" i="13"/>
  <c r="V319" i="13"/>
  <c r="U319" i="13"/>
  <c r="T319" i="13"/>
  <c r="S319" i="13"/>
  <c r="R319" i="13"/>
  <c r="Q319" i="13"/>
  <c r="P319" i="13"/>
  <c r="O319" i="13"/>
  <c r="N319" i="13"/>
  <c r="M319" i="13"/>
  <c r="L319" i="13"/>
  <c r="K319" i="13"/>
  <c r="J319" i="13"/>
  <c r="I319" i="13"/>
  <c r="H319" i="13"/>
  <c r="G319" i="13"/>
  <c r="F319" i="13"/>
  <c r="E319" i="13"/>
  <c r="D319" i="13"/>
  <c r="C319" i="13"/>
  <c r="AF318" i="13"/>
  <c r="AE318" i="13"/>
  <c r="AD318" i="13"/>
  <c r="AC318" i="13"/>
  <c r="AB318" i="13"/>
  <c r="AA318" i="13"/>
  <c r="Z318" i="13"/>
  <c r="Y318" i="13"/>
  <c r="X318" i="13"/>
  <c r="W318" i="13"/>
  <c r="V318" i="13"/>
  <c r="U318" i="13"/>
  <c r="T318" i="13"/>
  <c r="S318" i="13"/>
  <c r="R318" i="13"/>
  <c r="Q318" i="13"/>
  <c r="P318" i="13"/>
  <c r="O318" i="13"/>
  <c r="N318" i="13"/>
  <c r="M318" i="13"/>
  <c r="L318" i="13"/>
  <c r="K318" i="13"/>
  <c r="J318" i="13"/>
  <c r="I318" i="13"/>
  <c r="H318" i="13"/>
  <c r="G318" i="13"/>
  <c r="F318" i="13"/>
  <c r="E318" i="13"/>
  <c r="D318" i="13"/>
  <c r="C318" i="13"/>
  <c r="AF317" i="13"/>
  <c r="AE317" i="13"/>
  <c r="AD317" i="13"/>
  <c r="AC317" i="13"/>
  <c r="AB317" i="13"/>
  <c r="AA317" i="13"/>
  <c r="Z317" i="13"/>
  <c r="Y317" i="13"/>
  <c r="X317" i="13"/>
  <c r="W317" i="13"/>
  <c r="V317" i="13"/>
  <c r="U317" i="13"/>
  <c r="T317" i="13"/>
  <c r="S317" i="13"/>
  <c r="R317" i="13"/>
  <c r="Q317" i="13"/>
  <c r="P317" i="13"/>
  <c r="O317" i="13"/>
  <c r="N317" i="13"/>
  <c r="M317" i="13"/>
  <c r="L317" i="13"/>
  <c r="K317" i="13"/>
  <c r="J317" i="13"/>
  <c r="I317" i="13"/>
  <c r="H317" i="13"/>
  <c r="G317" i="13"/>
  <c r="F317" i="13"/>
  <c r="E317" i="13"/>
  <c r="D317" i="13"/>
  <c r="C317" i="13"/>
  <c r="AF316" i="13"/>
  <c r="AE316" i="13"/>
  <c r="AD316" i="13"/>
  <c r="AC316" i="13"/>
  <c r="AB316" i="13"/>
  <c r="AA316" i="13"/>
  <c r="Z316" i="13"/>
  <c r="Y316" i="13"/>
  <c r="X316" i="13"/>
  <c r="W316" i="13"/>
  <c r="V316" i="13"/>
  <c r="U316" i="13"/>
  <c r="T316" i="13"/>
  <c r="S316" i="13"/>
  <c r="R316" i="13"/>
  <c r="Q316" i="13"/>
  <c r="P316" i="13"/>
  <c r="O316" i="13"/>
  <c r="N316" i="13"/>
  <c r="M316" i="13"/>
  <c r="L316" i="13"/>
  <c r="K316" i="13"/>
  <c r="J316" i="13"/>
  <c r="I316" i="13"/>
  <c r="H316" i="13"/>
  <c r="G316" i="13"/>
  <c r="F316" i="13"/>
  <c r="E316" i="13"/>
  <c r="D316" i="13"/>
  <c r="C316" i="13"/>
  <c r="A286" i="13"/>
  <c r="B286" i="13" s="1"/>
  <c r="AF279" i="13"/>
  <c r="AE279" i="13"/>
  <c r="AD279" i="13"/>
  <c r="AC279" i="13"/>
  <c r="AB279" i="13"/>
  <c r="AA279" i="13"/>
  <c r="Z279" i="13"/>
  <c r="Y279" i="13"/>
  <c r="X279" i="13"/>
  <c r="W279" i="13"/>
  <c r="V279" i="13"/>
  <c r="U279" i="13"/>
  <c r="T279" i="13"/>
  <c r="S279" i="13"/>
  <c r="R279" i="13"/>
  <c r="Q279" i="13"/>
  <c r="P279" i="13"/>
  <c r="O279" i="13"/>
  <c r="N279" i="13"/>
  <c r="M279" i="13"/>
  <c r="L279" i="13"/>
  <c r="K279" i="13"/>
  <c r="J279" i="13"/>
  <c r="I279" i="13"/>
  <c r="H279" i="13"/>
  <c r="G279" i="13"/>
  <c r="F279" i="13"/>
  <c r="E279" i="13"/>
  <c r="D279" i="13"/>
  <c r="C279" i="13"/>
  <c r="AF278" i="13"/>
  <c r="AE278" i="13"/>
  <c r="AD278" i="13"/>
  <c r="AC278" i="13"/>
  <c r="AB278" i="13"/>
  <c r="AA278" i="13"/>
  <c r="Z278" i="13"/>
  <c r="Y278" i="13"/>
  <c r="X278" i="13"/>
  <c r="W278" i="13"/>
  <c r="V278" i="13"/>
  <c r="U278" i="13"/>
  <c r="T278" i="13"/>
  <c r="S278" i="13"/>
  <c r="R278" i="13"/>
  <c r="Q278" i="13"/>
  <c r="P278" i="13"/>
  <c r="O278" i="13"/>
  <c r="N278" i="13"/>
  <c r="M278" i="13"/>
  <c r="L278" i="13"/>
  <c r="K278" i="13"/>
  <c r="J278" i="13"/>
  <c r="I278" i="13"/>
  <c r="H278" i="13"/>
  <c r="G278" i="13"/>
  <c r="F278" i="13"/>
  <c r="E278" i="13"/>
  <c r="D278" i="13"/>
  <c r="C278" i="13"/>
  <c r="AF277" i="13"/>
  <c r="AE277" i="13"/>
  <c r="AD277" i="13"/>
  <c r="AC277" i="13"/>
  <c r="AB277" i="13"/>
  <c r="AA277" i="13"/>
  <c r="Z277" i="13"/>
  <c r="Y277" i="13"/>
  <c r="X277" i="13"/>
  <c r="W277" i="13"/>
  <c r="V277" i="13"/>
  <c r="U277" i="13"/>
  <c r="T277" i="13"/>
  <c r="S277" i="13"/>
  <c r="R277" i="13"/>
  <c r="Q277" i="13"/>
  <c r="P277" i="13"/>
  <c r="O277" i="13"/>
  <c r="N277" i="13"/>
  <c r="M277" i="13"/>
  <c r="L277" i="13"/>
  <c r="K277" i="13"/>
  <c r="J277" i="13"/>
  <c r="I277" i="13"/>
  <c r="H277" i="13"/>
  <c r="G277" i="13"/>
  <c r="F277" i="13"/>
  <c r="E277" i="13"/>
  <c r="D277" i="13"/>
  <c r="C277" i="13"/>
  <c r="AF276" i="13"/>
  <c r="AE276" i="13"/>
  <c r="AD276" i="13"/>
  <c r="AC276" i="13"/>
  <c r="AB276" i="13"/>
  <c r="AA276" i="13"/>
  <c r="Z276" i="13"/>
  <c r="Y276" i="13"/>
  <c r="X276" i="13"/>
  <c r="W276" i="13"/>
  <c r="V276" i="13"/>
  <c r="U276" i="13"/>
  <c r="T276" i="13"/>
  <c r="S276" i="13"/>
  <c r="R276" i="13"/>
  <c r="Q276" i="13"/>
  <c r="P276" i="13"/>
  <c r="O276" i="13"/>
  <c r="N276" i="13"/>
  <c r="M276" i="13"/>
  <c r="L276" i="13"/>
  <c r="K276" i="13"/>
  <c r="J276" i="13"/>
  <c r="I276" i="13"/>
  <c r="H276" i="13"/>
  <c r="G276" i="13"/>
  <c r="F276" i="13"/>
  <c r="E276" i="13"/>
  <c r="D276" i="13"/>
  <c r="C276" i="13"/>
  <c r="A246" i="13"/>
  <c r="B246" i="13" s="1"/>
  <c r="AF239" i="13"/>
  <c r="AE239" i="13"/>
  <c r="AD239" i="13"/>
  <c r="AC239" i="13"/>
  <c r="AB239" i="13"/>
  <c r="AA239" i="13"/>
  <c r="Z239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AF238" i="13"/>
  <c r="AE238" i="13"/>
  <c r="AD238" i="13"/>
  <c r="AC238" i="13"/>
  <c r="AB238" i="13"/>
  <c r="AA238" i="13"/>
  <c r="Z238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AF237" i="13"/>
  <c r="AE237" i="13"/>
  <c r="AD237" i="13"/>
  <c r="AC237" i="13"/>
  <c r="AB237" i="13"/>
  <c r="AA237" i="13"/>
  <c r="Z237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AF236" i="13"/>
  <c r="AE236" i="13"/>
  <c r="AD236" i="13"/>
  <c r="AC236" i="13"/>
  <c r="AB236" i="13"/>
  <c r="AA236" i="13"/>
  <c r="Z236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A206" i="13"/>
  <c r="B206" i="13" s="1"/>
  <c r="AF199" i="13"/>
  <c r="AE199" i="13"/>
  <c r="AD199" i="13"/>
  <c r="AC199" i="13"/>
  <c r="AB199" i="13"/>
  <c r="AA199" i="13"/>
  <c r="Z199" i="13"/>
  <c r="Y199" i="13"/>
  <c r="X199" i="13"/>
  <c r="W199" i="13"/>
  <c r="V199" i="13"/>
  <c r="U199" i="13"/>
  <c r="T199" i="13"/>
  <c r="S199" i="13"/>
  <c r="R199" i="13"/>
  <c r="Q199" i="13"/>
  <c r="P199" i="13"/>
  <c r="O199" i="13"/>
  <c r="N199" i="13"/>
  <c r="M199" i="13"/>
  <c r="L199" i="13"/>
  <c r="K199" i="13"/>
  <c r="J199" i="13"/>
  <c r="I199" i="13"/>
  <c r="H199" i="13"/>
  <c r="G199" i="13"/>
  <c r="F199" i="13"/>
  <c r="E199" i="13"/>
  <c r="D199" i="13"/>
  <c r="C199" i="13"/>
  <c r="AF198" i="13"/>
  <c r="AE198" i="13"/>
  <c r="AD198" i="13"/>
  <c r="AC198" i="13"/>
  <c r="AB198" i="13"/>
  <c r="AA198" i="13"/>
  <c r="Z198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AF197" i="13"/>
  <c r="AE197" i="13"/>
  <c r="AD197" i="13"/>
  <c r="AC197" i="13"/>
  <c r="AB197" i="13"/>
  <c r="AA197" i="13"/>
  <c r="Z197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AF196" i="13"/>
  <c r="AE196" i="13"/>
  <c r="AD196" i="13"/>
  <c r="AC196" i="13"/>
  <c r="AB196" i="13"/>
  <c r="AA196" i="13"/>
  <c r="Z196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A166" i="13"/>
  <c r="A167" i="13" s="1"/>
  <c r="B167" i="13" s="1"/>
  <c r="AF159" i="13"/>
  <c r="AE159" i="13"/>
  <c r="AD159" i="13"/>
  <c r="AC159" i="13"/>
  <c r="AB159" i="13"/>
  <c r="AA159" i="13"/>
  <c r="Z159" i="13"/>
  <c r="Y159" i="13"/>
  <c r="X159" i="13"/>
  <c r="W159" i="13"/>
  <c r="V159" i="13"/>
  <c r="U159" i="13"/>
  <c r="T159" i="13"/>
  <c r="S159" i="13"/>
  <c r="R159" i="13"/>
  <c r="Q159" i="13"/>
  <c r="P159" i="13"/>
  <c r="O159" i="13"/>
  <c r="N159" i="13"/>
  <c r="M159" i="13"/>
  <c r="L159" i="13"/>
  <c r="K159" i="13"/>
  <c r="J159" i="13"/>
  <c r="I159" i="13"/>
  <c r="H159" i="13"/>
  <c r="G159" i="13"/>
  <c r="F159" i="13"/>
  <c r="E159" i="13"/>
  <c r="D159" i="13"/>
  <c r="C159" i="13"/>
  <c r="AF158" i="13"/>
  <c r="AE158" i="13"/>
  <c r="AD158" i="13"/>
  <c r="AC158" i="13"/>
  <c r="AB158" i="13"/>
  <c r="AA158" i="13"/>
  <c r="Z158" i="13"/>
  <c r="Y158" i="13"/>
  <c r="X158" i="13"/>
  <c r="W158" i="13"/>
  <c r="V158" i="13"/>
  <c r="U158" i="13"/>
  <c r="T158" i="13"/>
  <c r="S158" i="13"/>
  <c r="R158" i="13"/>
  <c r="Q158" i="13"/>
  <c r="P158" i="13"/>
  <c r="O158" i="13"/>
  <c r="N158" i="13"/>
  <c r="M158" i="13"/>
  <c r="L158" i="13"/>
  <c r="K158" i="13"/>
  <c r="J158" i="13"/>
  <c r="I158" i="13"/>
  <c r="H158" i="13"/>
  <c r="G158" i="13"/>
  <c r="F158" i="13"/>
  <c r="E158" i="13"/>
  <c r="D158" i="13"/>
  <c r="C158" i="13"/>
  <c r="AF157" i="13"/>
  <c r="AE157" i="13"/>
  <c r="AD157" i="13"/>
  <c r="AC157" i="13"/>
  <c r="AB157" i="13"/>
  <c r="AA157" i="13"/>
  <c r="Z157" i="13"/>
  <c r="Y157" i="13"/>
  <c r="X157" i="13"/>
  <c r="W157" i="13"/>
  <c r="V157" i="13"/>
  <c r="U157" i="13"/>
  <c r="T157" i="13"/>
  <c r="S157" i="13"/>
  <c r="R157" i="13"/>
  <c r="Q157" i="13"/>
  <c r="P157" i="13"/>
  <c r="O157" i="13"/>
  <c r="N157" i="13"/>
  <c r="M157" i="13"/>
  <c r="L157" i="13"/>
  <c r="K157" i="13"/>
  <c r="J157" i="13"/>
  <c r="I157" i="13"/>
  <c r="H157" i="13"/>
  <c r="G157" i="13"/>
  <c r="F157" i="13"/>
  <c r="E157" i="13"/>
  <c r="D157" i="13"/>
  <c r="C157" i="13"/>
  <c r="AF156" i="13"/>
  <c r="AE156" i="13"/>
  <c r="AD156" i="13"/>
  <c r="AC156" i="13"/>
  <c r="AB156" i="13"/>
  <c r="AA156" i="13"/>
  <c r="Z156" i="13"/>
  <c r="Y156" i="13"/>
  <c r="X156" i="13"/>
  <c r="W156" i="13"/>
  <c r="V156" i="13"/>
  <c r="U156" i="13"/>
  <c r="T156" i="13"/>
  <c r="S156" i="13"/>
  <c r="R156" i="13"/>
  <c r="Q156" i="13"/>
  <c r="P156" i="13"/>
  <c r="O156" i="13"/>
  <c r="N156" i="13"/>
  <c r="M156" i="13"/>
  <c r="L156" i="13"/>
  <c r="K156" i="13"/>
  <c r="J156" i="13"/>
  <c r="I156" i="13"/>
  <c r="H156" i="13"/>
  <c r="G156" i="13"/>
  <c r="F156" i="13"/>
  <c r="E156" i="13"/>
  <c r="D156" i="13"/>
  <c r="C156" i="13"/>
  <c r="A126" i="13"/>
  <c r="B126" i="13" s="1"/>
  <c r="AF119" i="13"/>
  <c r="AE119" i="13"/>
  <c r="AD119" i="13"/>
  <c r="AC119" i="13"/>
  <c r="AB119" i="13"/>
  <c r="AA119" i="13"/>
  <c r="Z119" i="13"/>
  <c r="Y119" i="13"/>
  <c r="X119" i="13"/>
  <c r="W119" i="13"/>
  <c r="V119" i="13"/>
  <c r="U119" i="13"/>
  <c r="T119" i="13"/>
  <c r="S119" i="13"/>
  <c r="R119" i="13"/>
  <c r="Q119" i="13"/>
  <c r="P119" i="13"/>
  <c r="O119" i="13"/>
  <c r="N119" i="13"/>
  <c r="M119" i="13"/>
  <c r="L119" i="13"/>
  <c r="K119" i="13"/>
  <c r="J119" i="13"/>
  <c r="I119" i="13"/>
  <c r="H119" i="13"/>
  <c r="G119" i="13"/>
  <c r="F119" i="13"/>
  <c r="E119" i="13"/>
  <c r="D119" i="13"/>
  <c r="C119" i="13"/>
  <c r="AF118" i="13"/>
  <c r="AE118" i="13"/>
  <c r="AD118" i="13"/>
  <c r="AC118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C118" i="13"/>
  <c r="AF117" i="13"/>
  <c r="AE117" i="13"/>
  <c r="AD117" i="13"/>
  <c r="AC117" i="13"/>
  <c r="AB117" i="13"/>
  <c r="AA117" i="13"/>
  <c r="Z117" i="13"/>
  <c r="Y117" i="13"/>
  <c r="X117" i="13"/>
  <c r="W117" i="13"/>
  <c r="V117" i="13"/>
  <c r="U117" i="13"/>
  <c r="T117" i="13"/>
  <c r="S117" i="13"/>
  <c r="R117" i="13"/>
  <c r="Q117" i="13"/>
  <c r="P117" i="13"/>
  <c r="O117" i="13"/>
  <c r="N117" i="13"/>
  <c r="M117" i="13"/>
  <c r="L117" i="13"/>
  <c r="K117" i="13"/>
  <c r="J117" i="13"/>
  <c r="I117" i="13"/>
  <c r="H117" i="13"/>
  <c r="G117" i="13"/>
  <c r="F117" i="13"/>
  <c r="E117" i="13"/>
  <c r="D117" i="13"/>
  <c r="C117" i="13"/>
  <c r="AF116" i="13"/>
  <c r="AE116" i="13"/>
  <c r="AD116" i="13"/>
  <c r="AC116" i="13"/>
  <c r="AB116" i="13"/>
  <c r="AA116" i="13"/>
  <c r="Z116" i="13"/>
  <c r="Y116" i="13"/>
  <c r="X116" i="13"/>
  <c r="W116" i="13"/>
  <c r="V116" i="13"/>
  <c r="U116" i="13"/>
  <c r="T116" i="13"/>
  <c r="S116" i="13"/>
  <c r="R116" i="13"/>
  <c r="Q116" i="13"/>
  <c r="P116" i="13"/>
  <c r="O116" i="13"/>
  <c r="N116" i="13"/>
  <c r="M116" i="13"/>
  <c r="L116" i="13"/>
  <c r="K116" i="13"/>
  <c r="J116" i="13"/>
  <c r="I116" i="13"/>
  <c r="H116" i="13"/>
  <c r="G116" i="13"/>
  <c r="F116" i="13"/>
  <c r="E116" i="13"/>
  <c r="D116" i="13"/>
  <c r="C116" i="13"/>
  <c r="AF81" i="13"/>
  <c r="AE81" i="13"/>
  <c r="AD81" i="13"/>
  <c r="AC81" i="13"/>
  <c r="AB81" i="13"/>
  <c r="AA81" i="13"/>
  <c r="Z81" i="13"/>
  <c r="Y81" i="13"/>
  <c r="X81" i="13"/>
  <c r="W81" i="13"/>
  <c r="V81" i="13"/>
  <c r="U81" i="13"/>
  <c r="T81" i="13"/>
  <c r="S81" i="13"/>
  <c r="R81" i="13"/>
  <c r="Q81" i="13"/>
  <c r="N81" i="13"/>
  <c r="M81" i="13"/>
  <c r="L81" i="13"/>
  <c r="K81" i="13"/>
  <c r="J81" i="13"/>
  <c r="I81" i="13"/>
  <c r="H81" i="13"/>
  <c r="G81" i="13"/>
  <c r="F81" i="13"/>
  <c r="E81" i="13"/>
  <c r="D81" i="13"/>
  <c r="C81" i="13"/>
  <c r="AF80" i="13"/>
  <c r="AE80" i="13"/>
  <c r="AD80" i="13"/>
  <c r="AC80" i="13"/>
  <c r="AB80" i="13"/>
  <c r="AA80" i="13"/>
  <c r="Z80" i="13"/>
  <c r="Y80" i="13"/>
  <c r="X80" i="13"/>
  <c r="W80" i="13"/>
  <c r="V80" i="13"/>
  <c r="U80" i="13"/>
  <c r="T80" i="13"/>
  <c r="S80" i="13"/>
  <c r="R80" i="13"/>
  <c r="Q80" i="13"/>
  <c r="N80" i="13"/>
  <c r="M80" i="13"/>
  <c r="L80" i="13"/>
  <c r="K80" i="13"/>
  <c r="J80" i="13"/>
  <c r="I80" i="13"/>
  <c r="H80" i="13"/>
  <c r="G80" i="13"/>
  <c r="F80" i="13"/>
  <c r="E80" i="13"/>
  <c r="D80" i="13"/>
  <c r="C80" i="13"/>
  <c r="AF79" i="13"/>
  <c r="AE79" i="13"/>
  <c r="AD79" i="13"/>
  <c r="AC79" i="13"/>
  <c r="AB79" i="13"/>
  <c r="AA79" i="13"/>
  <c r="Z79" i="13"/>
  <c r="Y79" i="13"/>
  <c r="X79" i="13"/>
  <c r="W79" i="13"/>
  <c r="V79" i="13"/>
  <c r="U79" i="13"/>
  <c r="T79" i="13"/>
  <c r="S79" i="13"/>
  <c r="R79" i="13"/>
  <c r="Q79" i="13"/>
  <c r="N79" i="13"/>
  <c r="M79" i="13"/>
  <c r="L79" i="13"/>
  <c r="K79" i="13"/>
  <c r="J79" i="13"/>
  <c r="I79" i="13"/>
  <c r="H79" i="13"/>
  <c r="G79" i="13"/>
  <c r="F79" i="13"/>
  <c r="E79" i="13"/>
  <c r="D79" i="13"/>
  <c r="C79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M37" i="13"/>
  <c r="M38" i="13"/>
  <c r="M39" i="13"/>
  <c r="M40" i="13"/>
  <c r="L37" i="13"/>
  <c r="L38" i="13"/>
  <c r="L39" i="13"/>
  <c r="L40" i="13"/>
  <c r="K37" i="13"/>
  <c r="K38" i="13"/>
  <c r="K39" i="13"/>
  <c r="K40" i="13"/>
  <c r="J37" i="13"/>
  <c r="J38" i="13"/>
  <c r="J39" i="13"/>
  <c r="J40" i="13"/>
  <c r="I37" i="13"/>
  <c r="I38" i="13"/>
  <c r="I39" i="13"/>
  <c r="I40" i="13"/>
  <c r="H37" i="13"/>
  <c r="H38" i="13"/>
  <c r="H39" i="13"/>
  <c r="H40" i="13"/>
  <c r="G37" i="13"/>
  <c r="G38" i="13"/>
  <c r="G39" i="13"/>
  <c r="G40" i="13"/>
  <c r="F37" i="13"/>
  <c r="F38" i="13"/>
  <c r="F39" i="13"/>
  <c r="F40" i="13"/>
  <c r="E37" i="13"/>
  <c r="E38" i="13"/>
  <c r="E39" i="13"/>
  <c r="E40" i="13"/>
  <c r="A113" i="12" l="1"/>
  <c r="A114" i="12" s="1"/>
  <c r="A115" i="12" s="1"/>
  <c r="A116" i="12" s="1"/>
  <c r="A117" i="12" s="1"/>
  <c r="A118" i="12" s="1"/>
  <c r="A486" i="13"/>
  <c r="A487" i="13" s="1"/>
  <c r="B487" i="13" s="1"/>
  <c r="A447" i="13"/>
  <c r="B447" i="13" s="1"/>
  <c r="A127" i="13"/>
  <c r="A128" i="13" s="1"/>
  <c r="B128" i="13" s="1"/>
  <c r="A407" i="13"/>
  <c r="A408" i="13" s="1"/>
  <c r="B408" i="13" s="1"/>
  <c r="B366" i="13"/>
  <c r="A327" i="13"/>
  <c r="A328" i="13" s="1"/>
  <c r="B328" i="13" s="1"/>
  <c r="A287" i="13"/>
  <c r="A288" i="13" s="1"/>
  <c r="A289" i="13" s="1"/>
  <c r="A247" i="13"/>
  <c r="A248" i="13" s="1"/>
  <c r="B248" i="13" s="1"/>
  <c r="A207" i="13"/>
  <c r="A208" i="13" s="1"/>
  <c r="B208" i="13" s="1"/>
  <c r="B166" i="13"/>
  <c r="A448" i="13"/>
  <c r="B407" i="13"/>
  <c r="B368" i="13"/>
  <c r="A369" i="13"/>
  <c r="B367" i="13"/>
  <c r="A168" i="13"/>
  <c r="A129" i="13"/>
  <c r="A48" i="13"/>
  <c r="AH41" i="12"/>
  <c r="AF41" i="12"/>
  <c r="AE41" i="12"/>
  <c r="AD41" i="12"/>
  <c r="AC41" i="12"/>
  <c r="AB41" i="12"/>
  <c r="AA41" i="12"/>
  <c r="Z41" i="12"/>
  <c r="X41" i="12"/>
  <c r="V41" i="12"/>
  <c r="U41" i="12"/>
  <c r="T41" i="12"/>
  <c r="S41" i="12"/>
  <c r="R41" i="12"/>
  <c r="Q41" i="12"/>
  <c r="P41" i="12"/>
  <c r="O41" i="12"/>
  <c r="N41" i="12"/>
  <c r="L41" i="12"/>
  <c r="J41" i="12"/>
  <c r="I41" i="12"/>
  <c r="H41" i="12"/>
  <c r="G41" i="12"/>
  <c r="F41" i="12"/>
  <c r="E41" i="12"/>
  <c r="D41" i="12"/>
  <c r="C41" i="12"/>
  <c r="B41" i="12"/>
  <c r="AH40" i="12"/>
  <c r="AF40" i="12"/>
  <c r="AE40" i="12"/>
  <c r="AD40" i="12"/>
  <c r="AC40" i="12"/>
  <c r="AB40" i="12"/>
  <c r="AA40" i="12"/>
  <c r="Z40" i="12"/>
  <c r="X40" i="12"/>
  <c r="V40" i="12"/>
  <c r="U40" i="12"/>
  <c r="T40" i="12"/>
  <c r="S40" i="12"/>
  <c r="R40" i="12"/>
  <c r="Q40" i="12"/>
  <c r="P40" i="12"/>
  <c r="O40" i="12"/>
  <c r="N40" i="12"/>
  <c r="L40" i="12"/>
  <c r="J40" i="12"/>
  <c r="I40" i="12"/>
  <c r="H40" i="12"/>
  <c r="G40" i="12"/>
  <c r="F40" i="12"/>
  <c r="E40" i="12"/>
  <c r="D40" i="12"/>
  <c r="C40" i="12"/>
  <c r="B40" i="12"/>
  <c r="AH39" i="12"/>
  <c r="AF39" i="12"/>
  <c r="AE39" i="12"/>
  <c r="AD39" i="12"/>
  <c r="AC39" i="12"/>
  <c r="AB39" i="12"/>
  <c r="AA39" i="12"/>
  <c r="Z39" i="12"/>
  <c r="X39" i="12"/>
  <c r="V39" i="12"/>
  <c r="U39" i="12"/>
  <c r="T39" i="12"/>
  <c r="S39" i="12"/>
  <c r="R39" i="12"/>
  <c r="Q39" i="12"/>
  <c r="P39" i="12"/>
  <c r="O39" i="12"/>
  <c r="N39" i="12"/>
  <c r="L39" i="12"/>
  <c r="J39" i="12"/>
  <c r="I39" i="12"/>
  <c r="H39" i="12"/>
  <c r="G39" i="12"/>
  <c r="F39" i="12"/>
  <c r="E39" i="12"/>
  <c r="D39" i="12"/>
  <c r="C39" i="12"/>
  <c r="B39" i="12"/>
  <c r="AH38" i="12"/>
  <c r="AF38" i="12"/>
  <c r="AE38" i="12"/>
  <c r="AD38" i="12"/>
  <c r="AC38" i="12"/>
  <c r="AB38" i="12"/>
  <c r="AA38" i="12"/>
  <c r="Z38" i="12"/>
  <c r="X38" i="12"/>
  <c r="V38" i="12"/>
  <c r="U38" i="12"/>
  <c r="T38" i="12"/>
  <c r="S38" i="12"/>
  <c r="R38" i="12"/>
  <c r="Q38" i="12"/>
  <c r="P38" i="12"/>
  <c r="O38" i="12"/>
  <c r="N38" i="12"/>
  <c r="L38" i="12"/>
  <c r="J38" i="12"/>
  <c r="I38" i="12"/>
  <c r="H38" i="12"/>
  <c r="G38" i="12"/>
  <c r="F38" i="12"/>
  <c r="E38" i="12"/>
  <c r="D38" i="12"/>
  <c r="C38" i="12"/>
  <c r="B38" i="12"/>
  <c r="A7" i="12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H41" i="11"/>
  <c r="AF41" i="11"/>
  <c r="AE41" i="11"/>
  <c r="AD41" i="11"/>
  <c r="AC41" i="11"/>
  <c r="AB41" i="11"/>
  <c r="AA41" i="11"/>
  <c r="Z41" i="11"/>
  <c r="X41" i="11"/>
  <c r="V41" i="11"/>
  <c r="U41" i="11"/>
  <c r="T41" i="11"/>
  <c r="S41" i="11"/>
  <c r="R41" i="11"/>
  <c r="Q41" i="11"/>
  <c r="P41" i="11"/>
  <c r="O41" i="11"/>
  <c r="N41" i="11"/>
  <c r="L41" i="11"/>
  <c r="J41" i="11"/>
  <c r="I41" i="11"/>
  <c r="H41" i="11"/>
  <c r="G41" i="11"/>
  <c r="F41" i="11"/>
  <c r="E41" i="11"/>
  <c r="D41" i="11"/>
  <c r="C41" i="11"/>
  <c r="B41" i="11"/>
  <c r="AH40" i="11"/>
  <c r="AF40" i="11"/>
  <c r="AE40" i="11"/>
  <c r="AD40" i="11"/>
  <c r="AC40" i="11"/>
  <c r="AB40" i="11"/>
  <c r="AA40" i="11"/>
  <c r="Z40" i="11"/>
  <c r="X40" i="11"/>
  <c r="V40" i="11"/>
  <c r="U40" i="11"/>
  <c r="T40" i="11"/>
  <c r="S40" i="11"/>
  <c r="R40" i="11"/>
  <c r="Q40" i="11"/>
  <c r="P40" i="11"/>
  <c r="O40" i="11"/>
  <c r="N40" i="11"/>
  <c r="L40" i="11"/>
  <c r="J40" i="11"/>
  <c r="I40" i="11"/>
  <c r="H40" i="11"/>
  <c r="G40" i="11"/>
  <c r="F40" i="11"/>
  <c r="E40" i="11"/>
  <c r="D40" i="11"/>
  <c r="C40" i="11"/>
  <c r="B40" i="11"/>
  <c r="AH39" i="11"/>
  <c r="AF39" i="11"/>
  <c r="AE39" i="11"/>
  <c r="AD39" i="11"/>
  <c r="AC39" i="11"/>
  <c r="AB39" i="11"/>
  <c r="AA39" i="11"/>
  <c r="Z39" i="11"/>
  <c r="X39" i="11"/>
  <c r="V39" i="11"/>
  <c r="U39" i="11"/>
  <c r="T39" i="11"/>
  <c r="S39" i="11"/>
  <c r="R39" i="11"/>
  <c r="Q39" i="11"/>
  <c r="P39" i="11"/>
  <c r="O39" i="11"/>
  <c r="N39" i="11"/>
  <c r="L39" i="11"/>
  <c r="J39" i="11"/>
  <c r="I39" i="11"/>
  <c r="H39" i="11"/>
  <c r="G39" i="11"/>
  <c r="F39" i="11"/>
  <c r="E39" i="11"/>
  <c r="D39" i="11"/>
  <c r="C39" i="11"/>
  <c r="B39" i="11"/>
  <c r="AH38" i="11"/>
  <c r="AF38" i="11"/>
  <c r="AE38" i="11"/>
  <c r="AD38" i="11"/>
  <c r="AC38" i="11"/>
  <c r="AB38" i="11"/>
  <c r="AA38" i="11"/>
  <c r="Z38" i="11"/>
  <c r="X38" i="11"/>
  <c r="V38" i="11"/>
  <c r="U38" i="11"/>
  <c r="T38" i="11"/>
  <c r="S38" i="11"/>
  <c r="R38" i="11"/>
  <c r="Q38" i="11"/>
  <c r="P38" i="11"/>
  <c r="O38" i="11"/>
  <c r="N38" i="11"/>
  <c r="L38" i="11"/>
  <c r="J38" i="11"/>
  <c r="I38" i="11"/>
  <c r="H38" i="11"/>
  <c r="G38" i="11"/>
  <c r="F38" i="11"/>
  <c r="E38" i="11"/>
  <c r="D38" i="11"/>
  <c r="C38" i="11"/>
  <c r="B38" i="11"/>
  <c r="A7" i="1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H41" i="10"/>
  <c r="AF41" i="10"/>
  <c r="AE41" i="10"/>
  <c r="AD41" i="10"/>
  <c r="AC41" i="10"/>
  <c r="AB41" i="10"/>
  <c r="AA41" i="10"/>
  <c r="Z41" i="10"/>
  <c r="X41" i="10"/>
  <c r="V41" i="10"/>
  <c r="U41" i="10"/>
  <c r="T41" i="10"/>
  <c r="S41" i="10"/>
  <c r="R41" i="10"/>
  <c r="Q41" i="10"/>
  <c r="P41" i="10"/>
  <c r="O41" i="10"/>
  <c r="N41" i="10"/>
  <c r="L41" i="10"/>
  <c r="J41" i="10"/>
  <c r="I41" i="10"/>
  <c r="H41" i="10"/>
  <c r="G41" i="10"/>
  <c r="F41" i="10"/>
  <c r="E41" i="10"/>
  <c r="D41" i="10"/>
  <c r="C41" i="10"/>
  <c r="B41" i="10"/>
  <c r="AH40" i="10"/>
  <c r="AF40" i="10"/>
  <c r="AE40" i="10"/>
  <c r="AD40" i="10"/>
  <c r="AC40" i="10"/>
  <c r="AB40" i="10"/>
  <c r="AA40" i="10"/>
  <c r="Z40" i="10"/>
  <c r="X40" i="10"/>
  <c r="V40" i="10"/>
  <c r="U40" i="10"/>
  <c r="T40" i="10"/>
  <c r="S40" i="10"/>
  <c r="R40" i="10"/>
  <c r="Q40" i="10"/>
  <c r="P40" i="10"/>
  <c r="O40" i="10"/>
  <c r="N40" i="10"/>
  <c r="L40" i="10"/>
  <c r="J40" i="10"/>
  <c r="I40" i="10"/>
  <c r="H40" i="10"/>
  <c r="G40" i="10"/>
  <c r="F40" i="10"/>
  <c r="E40" i="10"/>
  <c r="D40" i="10"/>
  <c r="C40" i="10"/>
  <c r="B40" i="10"/>
  <c r="AH39" i="10"/>
  <c r="AF39" i="10"/>
  <c r="AE39" i="10"/>
  <c r="AD39" i="10"/>
  <c r="AC39" i="10"/>
  <c r="AB39" i="10"/>
  <c r="AA39" i="10"/>
  <c r="Z39" i="10"/>
  <c r="X39" i="10"/>
  <c r="V39" i="10"/>
  <c r="U39" i="10"/>
  <c r="T39" i="10"/>
  <c r="S39" i="10"/>
  <c r="R39" i="10"/>
  <c r="Q39" i="10"/>
  <c r="P39" i="10"/>
  <c r="O39" i="10"/>
  <c r="N39" i="10"/>
  <c r="L39" i="10"/>
  <c r="J39" i="10"/>
  <c r="I39" i="10"/>
  <c r="H39" i="10"/>
  <c r="G39" i="10"/>
  <c r="F39" i="10"/>
  <c r="E39" i="10"/>
  <c r="D39" i="10"/>
  <c r="C39" i="10"/>
  <c r="B39" i="10"/>
  <c r="AH38" i="10"/>
  <c r="AF38" i="10"/>
  <c r="AE38" i="10"/>
  <c r="AD38" i="10"/>
  <c r="AC38" i="10"/>
  <c r="AB38" i="10"/>
  <c r="AA38" i="10"/>
  <c r="Z38" i="10"/>
  <c r="X38" i="10"/>
  <c r="V38" i="10"/>
  <c r="U38" i="10"/>
  <c r="T38" i="10"/>
  <c r="S38" i="10"/>
  <c r="R38" i="10"/>
  <c r="Q38" i="10"/>
  <c r="P38" i="10"/>
  <c r="O38" i="10"/>
  <c r="N38" i="10"/>
  <c r="L38" i="10"/>
  <c r="J38" i="10"/>
  <c r="I38" i="10"/>
  <c r="H38" i="10"/>
  <c r="G38" i="10"/>
  <c r="F38" i="10"/>
  <c r="E38" i="10"/>
  <c r="D38" i="10"/>
  <c r="C38" i="10"/>
  <c r="B38" i="10"/>
  <c r="A7" i="10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H41" i="9"/>
  <c r="AA41" i="9"/>
  <c r="Z41" i="9"/>
  <c r="X41" i="9"/>
  <c r="S41" i="9"/>
  <c r="R41" i="9"/>
  <c r="Q41" i="9"/>
  <c r="P41" i="9"/>
  <c r="O41" i="9"/>
  <c r="N41" i="9"/>
  <c r="L41" i="9"/>
  <c r="G41" i="9"/>
  <c r="F41" i="9"/>
  <c r="E41" i="9"/>
  <c r="D41" i="9"/>
  <c r="C41" i="9"/>
  <c r="B41" i="9"/>
  <c r="AH40" i="9"/>
  <c r="AA40" i="9"/>
  <c r="Z40" i="9"/>
  <c r="X40" i="9"/>
  <c r="S40" i="9"/>
  <c r="R40" i="9"/>
  <c r="Q40" i="9"/>
  <c r="P40" i="9"/>
  <c r="O40" i="9"/>
  <c r="N40" i="9"/>
  <c r="L40" i="9"/>
  <c r="G40" i="9"/>
  <c r="F40" i="9"/>
  <c r="E40" i="9"/>
  <c r="D40" i="9"/>
  <c r="C40" i="9"/>
  <c r="B40" i="9"/>
  <c r="AH39" i="9"/>
  <c r="AA39" i="9"/>
  <c r="Z39" i="9"/>
  <c r="X39" i="9"/>
  <c r="S39" i="9"/>
  <c r="R39" i="9"/>
  <c r="Q39" i="9"/>
  <c r="P39" i="9"/>
  <c r="O39" i="9"/>
  <c r="N39" i="9"/>
  <c r="L39" i="9"/>
  <c r="G39" i="9"/>
  <c r="F39" i="9"/>
  <c r="E39" i="9"/>
  <c r="D39" i="9"/>
  <c r="C39" i="9"/>
  <c r="B39" i="9"/>
  <c r="AH38" i="9"/>
  <c r="AA38" i="9"/>
  <c r="Z38" i="9"/>
  <c r="X38" i="9"/>
  <c r="S38" i="9"/>
  <c r="R38" i="9"/>
  <c r="Q38" i="9"/>
  <c r="P38" i="9"/>
  <c r="O38" i="9"/>
  <c r="N38" i="9"/>
  <c r="L38" i="9"/>
  <c r="G38" i="9"/>
  <c r="F38" i="9"/>
  <c r="E38" i="9"/>
  <c r="D38" i="9"/>
  <c r="C38" i="9"/>
  <c r="B38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D40" i="13"/>
  <c r="C40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D39" i="13"/>
  <c r="C39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D38" i="13"/>
  <c r="C38" i="13"/>
  <c r="AF37" i="13"/>
  <c r="AE37" i="13"/>
  <c r="AD37" i="13"/>
  <c r="AC37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D37" i="13"/>
  <c r="C37" i="13"/>
  <c r="A6" i="13"/>
  <c r="A7" i="13" s="1"/>
  <c r="Q15" i="8"/>
  <c r="B127" i="13" l="1"/>
  <c r="B288" i="13"/>
  <c r="B486" i="13"/>
  <c r="A488" i="13"/>
  <c r="B488" i="13" s="1"/>
  <c r="B247" i="13"/>
  <c r="A209" i="13"/>
  <c r="A249" i="13"/>
  <c r="A250" i="13" s="1"/>
  <c r="A489" i="13"/>
  <c r="A329" i="13"/>
  <c r="B327" i="13"/>
  <c r="A409" i="13"/>
  <c r="B409" i="13" s="1"/>
  <c r="B287" i="13"/>
  <c r="B207" i="13"/>
  <c r="B448" i="13"/>
  <c r="A449" i="13"/>
  <c r="A370" i="13"/>
  <c r="B369" i="13"/>
  <c r="A330" i="13"/>
  <c r="B329" i="13"/>
  <c r="A290" i="13"/>
  <c r="B289" i="13"/>
  <c r="B249" i="13"/>
  <c r="A210" i="13"/>
  <c r="B209" i="13"/>
  <c r="B168" i="13"/>
  <c r="A169" i="13"/>
  <c r="B129" i="13"/>
  <c r="A130" i="13"/>
  <c r="B48" i="13"/>
  <c r="A49" i="13"/>
  <c r="A8" i="13"/>
  <c r="B7" i="13"/>
  <c r="B6" i="13"/>
  <c r="A410" i="13" l="1"/>
  <c r="B489" i="13"/>
  <c r="A490" i="13"/>
  <c r="A450" i="13"/>
  <c r="B449" i="13"/>
  <c r="B410" i="13"/>
  <c r="A411" i="13"/>
  <c r="B370" i="13"/>
  <c r="A371" i="13"/>
  <c r="B330" i="13"/>
  <c r="A331" i="13"/>
  <c r="B290" i="13"/>
  <c r="A291" i="13"/>
  <c r="B250" i="13"/>
  <c r="A251" i="13"/>
  <c r="B210" i="13"/>
  <c r="A211" i="13"/>
  <c r="A170" i="13"/>
  <c r="B169" i="13"/>
  <c r="B130" i="13"/>
  <c r="A131" i="13"/>
  <c r="B49" i="13"/>
  <c r="A50" i="13"/>
  <c r="A9" i="13"/>
  <c r="B8" i="13"/>
  <c r="A491" i="13" l="1"/>
  <c r="B490" i="13"/>
  <c r="B450" i="13"/>
  <c r="A451" i="13"/>
  <c r="A412" i="13"/>
  <c r="B411" i="13"/>
  <c r="A372" i="13"/>
  <c r="B371" i="13"/>
  <c r="A332" i="13"/>
  <c r="B331" i="13"/>
  <c r="A292" i="13"/>
  <c r="B291" i="13"/>
  <c r="A252" i="13"/>
  <c r="B251" i="13"/>
  <c r="A212" i="13"/>
  <c r="B211" i="13"/>
  <c r="B170" i="13"/>
  <c r="A171" i="13"/>
  <c r="A132" i="13"/>
  <c r="B131" i="13"/>
  <c r="A51" i="13"/>
  <c r="B50" i="13"/>
  <c r="A10" i="13"/>
  <c r="B9" i="13"/>
  <c r="B491" i="13" l="1"/>
  <c r="A492" i="13"/>
  <c r="A452" i="13"/>
  <c r="B451" i="13"/>
  <c r="B412" i="13"/>
  <c r="A413" i="13"/>
  <c r="B372" i="13"/>
  <c r="A373" i="13"/>
  <c r="B332" i="13"/>
  <c r="A333" i="13"/>
  <c r="B292" i="13"/>
  <c r="A293" i="13"/>
  <c r="B252" i="13"/>
  <c r="A253" i="13"/>
  <c r="B212" i="13"/>
  <c r="A213" i="13"/>
  <c r="B171" i="13"/>
  <c r="A172" i="13"/>
  <c r="B132" i="13"/>
  <c r="A133" i="13"/>
  <c r="B51" i="13"/>
  <c r="A52" i="13"/>
  <c r="A11" i="13"/>
  <c r="B10" i="13"/>
  <c r="A493" i="13" l="1"/>
  <c r="B492" i="13"/>
  <c r="B452" i="13"/>
  <c r="A453" i="13"/>
  <c r="A414" i="13"/>
  <c r="B413" i="13"/>
  <c r="A374" i="13"/>
  <c r="B373" i="13"/>
  <c r="A334" i="13"/>
  <c r="B333" i="13"/>
  <c r="A294" i="13"/>
  <c r="B293" i="13"/>
  <c r="B253" i="13"/>
  <c r="A254" i="13"/>
  <c r="A214" i="13"/>
  <c r="B213" i="13"/>
  <c r="B172" i="13"/>
  <c r="A173" i="13"/>
  <c r="B133" i="13"/>
  <c r="A134" i="13"/>
  <c r="A53" i="13"/>
  <c r="B52" i="13"/>
  <c r="A12" i="13"/>
  <c r="B11" i="13"/>
  <c r="B493" i="13" l="1"/>
  <c r="A494" i="13"/>
  <c r="A454" i="13"/>
  <c r="B453" i="13"/>
  <c r="B414" i="13"/>
  <c r="A415" i="13"/>
  <c r="B374" i="13"/>
  <c r="A375" i="13"/>
  <c r="B334" i="13"/>
  <c r="A335" i="13"/>
  <c r="B294" i="13"/>
  <c r="A295" i="13"/>
  <c r="B254" i="13"/>
  <c r="A255" i="13"/>
  <c r="B214" i="13"/>
  <c r="A215" i="13"/>
  <c r="A174" i="13"/>
  <c r="B173" i="13"/>
  <c r="B134" i="13"/>
  <c r="A135" i="13"/>
  <c r="B53" i="13"/>
  <c r="A54" i="13"/>
  <c r="A13" i="13"/>
  <c r="B12" i="13"/>
  <c r="A495" i="13" l="1"/>
  <c r="B494" i="13"/>
  <c r="B454" i="13"/>
  <c r="A455" i="13"/>
  <c r="A416" i="13"/>
  <c r="B415" i="13"/>
  <c r="A376" i="13"/>
  <c r="B375" i="13"/>
  <c r="A336" i="13"/>
  <c r="B335" i="13"/>
  <c r="A296" i="13"/>
  <c r="B295" i="13"/>
  <c r="A256" i="13"/>
  <c r="B255" i="13"/>
  <c r="A216" i="13"/>
  <c r="B215" i="13"/>
  <c r="B174" i="13"/>
  <c r="A175" i="13"/>
  <c r="A136" i="13"/>
  <c r="B135" i="13"/>
  <c r="B54" i="13"/>
  <c r="A55" i="13"/>
  <c r="B13" i="13"/>
  <c r="A14" i="13"/>
  <c r="B495" i="13" l="1"/>
  <c r="A496" i="13"/>
  <c r="A456" i="13"/>
  <c r="B455" i="13"/>
  <c r="B416" i="13"/>
  <c r="A417" i="13"/>
  <c r="B376" i="13"/>
  <c r="A377" i="13"/>
  <c r="B336" i="13"/>
  <c r="A337" i="13"/>
  <c r="B296" i="13"/>
  <c r="A297" i="13"/>
  <c r="B256" i="13"/>
  <c r="A257" i="13"/>
  <c r="B216" i="13"/>
  <c r="A217" i="13"/>
  <c r="B175" i="13"/>
  <c r="A176" i="13"/>
  <c r="B136" i="13"/>
  <c r="A137" i="13"/>
  <c r="B55" i="13"/>
  <c r="A56" i="13"/>
  <c r="A15" i="13"/>
  <c r="B14" i="13"/>
  <c r="A497" i="13" l="1"/>
  <c r="B496" i="13"/>
  <c r="B456" i="13"/>
  <c r="A457" i="13"/>
  <c r="A418" i="13"/>
  <c r="B417" i="13"/>
  <c r="A378" i="13"/>
  <c r="B377" i="13"/>
  <c r="A338" i="13"/>
  <c r="B337" i="13"/>
  <c r="A298" i="13"/>
  <c r="B297" i="13"/>
  <c r="B257" i="13"/>
  <c r="A258" i="13"/>
  <c r="A218" i="13"/>
  <c r="B217" i="13"/>
  <c r="B176" i="13"/>
  <c r="A177" i="13"/>
  <c r="B137" i="13"/>
  <c r="A138" i="13"/>
  <c r="A57" i="13"/>
  <c r="B56" i="13"/>
  <c r="A16" i="13"/>
  <c r="B15" i="13"/>
  <c r="B497" i="13" l="1"/>
  <c r="A498" i="13"/>
  <c r="A458" i="13"/>
  <c r="B457" i="13"/>
  <c r="B418" i="13"/>
  <c r="A419" i="13"/>
  <c r="B378" i="13"/>
  <c r="A379" i="13"/>
  <c r="B338" i="13"/>
  <c r="A339" i="13"/>
  <c r="B298" i="13"/>
  <c r="A299" i="13"/>
  <c r="B258" i="13"/>
  <c r="A259" i="13"/>
  <c r="B218" i="13"/>
  <c r="A219" i="13"/>
  <c r="A178" i="13"/>
  <c r="B177" i="13"/>
  <c r="B138" i="13"/>
  <c r="A139" i="13"/>
  <c r="B57" i="13"/>
  <c r="A58" i="13"/>
  <c r="A17" i="13"/>
  <c r="B16" i="13"/>
  <c r="A499" i="13" l="1"/>
  <c r="B498" i="13"/>
  <c r="B458" i="13"/>
  <c r="A459" i="13"/>
  <c r="A420" i="13"/>
  <c r="B419" i="13"/>
  <c r="A380" i="13"/>
  <c r="B379" i="13"/>
  <c r="A340" i="13"/>
  <c r="B339" i="13"/>
  <c r="A300" i="13"/>
  <c r="B299" i="13"/>
  <c r="A260" i="13"/>
  <c r="B259" i="13"/>
  <c r="A220" i="13"/>
  <c r="B219" i="13"/>
  <c r="B178" i="13"/>
  <c r="A179" i="13"/>
  <c r="A140" i="13"/>
  <c r="B139" i="13"/>
  <c r="B58" i="13"/>
  <c r="A59" i="13"/>
  <c r="A18" i="13"/>
  <c r="B17" i="13"/>
  <c r="B499" i="13" l="1"/>
  <c r="A500" i="13"/>
  <c r="A460" i="13"/>
  <c r="B459" i="13"/>
  <c r="B420" i="13"/>
  <c r="A421" i="13"/>
  <c r="B380" i="13"/>
  <c r="A381" i="13"/>
  <c r="B340" i="13"/>
  <c r="A341" i="13"/>
  <c r="B300" i="13"/>
  <c r="A301" i="13"/>
  <c r="B260" i="13"/>
  <c r="A261" i="13"/>
  <c r="B220" i="13"/>
  <c r="A221" i="13"/>
  <c r="B179" i="13"/>
  <c r="A180" i="13"/>
  <c r="B140" i="13"/>
  <c r="A141" i="13"/>
  <c r="B59" i="13"/>
  <c r="A60" i="13"/>
  <c r="A19" i="13"/>
  <c r="B18" i="13"/>
  <c r="A501" i="13" l="1"/>
  <c r="B500" i="13"/>
  <c r="B460" i="13"/>
  <c r="A461" i="13"/>
  <c r="A422" i="13"/>
  <c r="B421" i="13"/>
  <c r="A382" i="13"/>
  <c r="B381" i="13"/>
  <c r="A342" i="13"/>
  <c r="B341" i="13"/>
  <c r="A302" i="13"/>
  <c r="B301" i="13"/>
  <c r="B261" i="13"/>
  <c r="A262" i="13"/>
  <c r="A222" i="13"/>
  <c r="B221" i="13"/>
  <c r="B180" i="13"/>
  <c r="A181" i="13"/>
  <c r="B141" i="13"/>
  <c r="A142" i="13"/>
  <c r="A61" i="13"/>
  <c r="B60" i="13"/>
  <c r="A20" i="13"/>
  <c r="B19" i="13"/>
  <c r="B501" i="13" l="1"/>
  <c r="A502" i="13"/>
  <c r="A462" i="13"/>
  <c r="B461" i="13"/>
  <c r="B422" i="13"/>
  <c r="A423" i="13"/>
  <c r="B382" i="13"/>
  <c r="A383" i="13"/>
  <c r="B342" i="13"/>
  <c r="A343" i="13"/>
  <c r="B302" i="13"/>
  <c r="A303" i="13"/>
  <c r="B262" i="13"/>
  <c r="A263" i="13"/>
  <c r="B222" i="13"/>
  <c r="A223" i="13"/>
  <c r="A182" i="13"/>
  <c r="B181" i="13"/>
  <c r="B142" i="13"/>
  <c r="A143" i="13"/>
  <c r="B61" i="13"/>
  <c r="A62" i="13"/>
  <c r="A21" i="13"/>
  <c r="B20" i="13"/>
  <c r="A503" i="13" l="1"/>
  <c r="B502" i="13"/>
  <c r="B462" i="13"/>
  <c r="A463" i="13"/>
  <c r="A424" i="13"/>
  <c r="B423" i="13"/>
  <c r="A384" i="13"/>
  <c r="B383" i="13"/>
  <c r="A344" i="13"/>
  <c r="B343" i="13"/>
  <c r="A304" i="13"/>
  <c r="B303" i="13"/>
  <c r="A264" i="13"/>
  <c r="B263" i="13"/>
  <c r="A224" i="13"/>
  <c r="B223" i="13"/>
  <c r="B182" i="13"/>
  <c r="A183" i="13"/>
  <c r="A144" i="13"/>
  <c r="B143" i="13"/>
  <c r="B62" i="13"/>
  <c r="A63" i="13"/>
  <c r="B21" i="13"/>
  <c r="A22" i="13"/>
  <c r="B503" i="13" l="1"/>
  <c r="A504" i="13"/>
  <c r="A464" i="13"/>
  <c r="B463" i="13"/>
  <c r="B424" i="13"/>
  <c r="A425" i="13"/>
  <c r="B384" i="13"/>
  <c r="A385" i="13"/>
  <c r="B344" i="13"/>
  <c r="A345" i="13"/>
  <c r="B304" i="13"/>
  <c r="A305" i="13"/>
  <c r="B264" i="13"/>
  <c r="A265" i="13"/>
  <c r="B224" i="13"/>
  <c r="A225" i="13"/>
  <c r="B183" i="13"/>
  <c r="A184" i="13"/>
  <c r="B144" i="13"/>
  <c r="A145" i="13"/>
  <c r="B63" i="13"/>
  <c r="A64" i="13"/>
  <c r="A23" i="13"/>
  <c r="B22" i="13"/>
  <c r="A505" i="13" l="1"/>
  <c r="B504" i="13"/>
  <c r="B464" i="13"/>
  <c r="A465" i="13"/>
  <c r="A426" i="13"/>
  <c r="B425" i="13"/>
  <c r="A386" i="13"/>
  <c r="B385" i="13"/>
  <c r="A346" i="13"/>
  <c r="B345" i="13"/>
  <c r="A306" i="13"/>
  <c r="B305" i="13"/>
  <c r="A266" i="13"/>
  <c r="B265" i="13"/>
  <c r="A226" i="13"/>
  <c r="B225" i="13"/>
  <c r="B184" i="13"/>
  <c r="A185" i="13"/>
  <c r="B145" i="13"/>
  <c r="A146" i="13"/>
  <c r="A65" i="13"/>
  <c r="B64" i="13"/>
  <c r="A24" i="13"/>
  <c r="B23" i="13"/>
  <c r="B505" i="13" l="1"/>
  <c r="A506" i="13"/>
  <c r="A466" i="13"/>
  <c r="B465" i="13"/>
  <c r="B426" i="13"/>
  <c r="A427" i="13"/>
  <c r="B386" i="13"/>
  <c r="A387" i="13"/>
  <c r="B346" i="13"/>
  <c r="A347" i="13"/>
  <c r="B306" i="13"/>
  <c r="A307" i="13"/>
  <c r="B266" i="13"/>
  <c r="A267" i="13"/>
  <c r="B226" i="13"/>
  <c r="A227" i="13"/>
  <c r="A186" i="13"/>
  <c r="B185" i="13"/>
  <c r="B146" i="13"/>
  <c r="A147" i="13"/>
  <c r="B65" i="13"/>
  <c r="A66" i="13"/>
  <c r="A25" i="13"/>
  <c r="B24" i="13"/>
  <c r="A507" i="13" l="1"/>
  <c r="B506" i="13"/>
  <c r="B466" i="13"/>
  <c r="A467" i="13"/>
  <c r="A428" i="13"/>
  <c r="B427" i="13"/>
  <c r="A388" i="13"/>
  <c r="B387" i="13"/>
  <c r="A348" i="13"/>
  <c r="B347" i="13"/>
  <c r="A308" i="13"/>
  <c r="B307" i="13"/>
  <c r="A268" i="13"/>
  <c r="B267" i="13"/>
  <c r="A228" i="13"/>
  <c r="B227" i="13"/>
  <c r="B186" i="13"/>
  <c r="A187" i="13"/>
  <c r="B147" i="13"/>
  <c r="A148" i="13"/>
  <c r="A67" i="13"/>
  <c r="B66" i="13"/>
  <c r="A26" i="13"/>
  <c r="B25" i="13"/>
  <c r="B507" i="13" l="1"/>
  <c r="A508" i="13"/>
  <c r="A468" i="13"/>
  <c r="B467" i="13"/>
  <c r="B428" i="13"/>
  <c r="A429" i="13"/>
  <c r="B388" i="13"/>
  <c r="A389" i="13"/>
  <c r="B348" i="13"/>
  <c r="A349" i="13"/>
  <c r="B308" i="13"/>
  <c r="A309" i="13"/>
  <c r="B268" i="13"/>
  <c r="A269" i="13"/>
  <c r="B228" i="13"/>
  <c r="A229" i="13"/>
  <c r="B187" i="13"/>
  <c r="A188" i="13"/>
  <c r="B148" i="13"/>
  <c r="A149" i="13"/>
  <c r="B67" i="13"/>
  <c r="A68" i="13"/>
  <c r="A27" i="13"/>
  <c r="B26" i="13"/>
  <c r="A509" i="13" l="1"/>
  <c r="B508" i="13"/>
  <c r="B468" i="13"/>
  <c r="A469" i="13"/>
  <c r="A430" i="13"/>
  <c r="B429" i="13"/>
  <c r="A390" i="13"/>
  <c r="B389" i="13"/>
  <c r="A350" i="13"/>
  <c r="B349" i="13"/>
  <c r="A310" i="13"/>
  <c r="B309" i="13"/>
  <c r="A270" i="13"/>
  <c r="B269" i="13"/>
  <c r="A230" i="13"/>
  <c r="B229" i="13"/>
  <c r="B188" i="13"/>
  <c r="A189" i="13"/>
  <c r="A150" i="13"/>
  <c r="B149" i="13"/>
  <c r="B68" i="13"/>
  <c r="A69" i="13"/>
  <c r="A28" i="13"/>
  <c r="B27" i="13"/>
  <c r="B509" i="13" l="1"/>
  <c r="A510" i="13"/>
  <c r="A470" i="13"/>
  <c r="B469" i="13"/>
  <c r="B430" i="13"/>
  <c r="A431" i="13"/>
  <c r="B390" i="13"/>
  <c r="A391" i="13"/>
  <c r="B350" i="13"/>
  <c r="A351" i="13"/>
  <c r="B310" i="13"/>
  <c r="A311" i="13"/>
  <c r="B270" i="13"/>
  <c r="A271" i="13"/>
  <c r="B230" i="13"/>
  <c r="A231" i="13"/>
  <c r="A190" i="13"/>
  <c r="B189" i="13"/>
  <c r="B150" i="13"/>
  <c r="A151" i="13"/>
  <c r="B69" i="13"/>
  <c r="A70" i="13"/>
  <c r="A29" i="13"/>
  <c r="B28" i="13"/>
  <c r="A511" i="13" l="1"/>
  <c r="B510" i="13"/>
  <c r="B470" i="13"/>
  <c r="A471" i="13"/>
  <c r="A432" i="13"/>
  <c r="B431" i="13"/>
  <c r="A392" i="13"/>
  <c r="B391" i="13"/>
  <c r="A352" i="13"/>
  <c r="B351" i="13"/>
  <c r="A312" i="13"/>
  <c r="B311" i="13"/>
  <c r="A272" i="13"/>
  <c r="B271" i="13"/>
  <c r="A232" i="13"/>
  <c r="B231" i="13"/>
  <c r="B190" i="13"/>
  <c r="A191" i="13"/>
  <c r="B151" i="13"/>
  <c r="A152" i="13"/>
  <c r="A71" i="13"/>
  <c r="B70" i="13"/>
  <c r="B29" i="13"/>
  <c r="A30" i="13"/>
  <c r="B511" i="13" l="1"/>
  <c r="A512" i="13"/>
  <c r="A472" i="13"/>
  <c r="B471" i="13"/>
  <c r="B432" i="13"/>
  <c r="A433" i="13"/>
  <c r="B392" i="13"/>
  <c r="A393" i="13"/>
  <c r="B352" i="13"/>
  <c r="A353" i="13"/>
  <c r="B312" i="13"/>
  <c r="A313" i="13"/>
  <c r="B272" i="13"/>
  <c r="A273" i="13"/>
  <c r="B232" i="13"/>
  <c r="A233" i="13"/>
  <c r="B191" i="13"/>
  <c r="A192" i="13"/>
  <c r="B152" i="13"/>
  <c r="A153" i="13"/>
  <c r="B71" i="13"/>
  <c r="A72" i="13"/>
  <c r="A31" i="13"/>
  <c r="B30" i="13"/>
  <c r="A513" i="13" l="1"/>
  <c r="B513" i="13" s="1"/>
  <c r="B512" i="13"/>
  <c r="B472" i="13"/>
  <c r="A473" i="13"/>
  <c r="A434" i="13"/>
  <c r="B434" i="13" s="1"/>
  <c r="B433" i="13"/>
  <c r="B393" i="13"/>
  <c r="A394" i="13"/>
  <c r="B394" i="13" s="1"/>
  <c r="A354" i="13"/>
  <c r="B354" i="13" s="1"/>
  <c r="B353" i="13"/>
  <c r="A314" i="13"/>
  <c r="B314" i="13" s="1"/>
  <c r="B313" i="13"/>
  <c r="A274" i="13"/>
  <c r="B274" i="13" s="1"/>
  <c r="B273" i="13"/>
  <c r="A234" i="13"/>
  <c r="B234" i="13" s="1"/>
  <c r="B233" i="13"/>
  <c r="B192" i="13"/>
  <c r="A193" i="13"/>
  <c r="B153" i="13"/>
  <c r="A154" i="13"/>
  <c r="B154" i="13" s="1"/>
  <c r="A73" i="13"/>
  <c r="B72" i="13"/>
  <c r="A32" i="13"/>
  <c r="B31" i="13"/>
  <c r="A474" i="13" l="1"/>
  <c r="B474" i="13" s="1"/>
  <c r="B473" i="13"/>
  <c r="A194" i="13"/>
  <c r="B194" i="13" s="1"/>
  <c r="B193" i="13"/>
  <c r="B73" i="13"/>
  <c r="A74" i="13"/>
  <c r="A33" i="13"/>
  <c r="B32" i="13"/>
  <c r="B74" i="13" l="1"/>
  <c r="A75" i="13"/>
  <c r="A76" i="13" s="1"/>
  <c r="A34" i="13"/>
  <c r="B33" i="13"/>
  <c r="B76" i="13" l="1"/>
  <c r="A77" i="13"/>
  <c r="B77" i="13" s="1"/>
  <c r="B75" i="13"/>
  <c r="A35" i="13"/>
  <c r="B34" i="13"/>
  <c r="B35" i="13" l="1"/>
  <c r="A36" i="13"/>
  <c r="B36" i="13" s="1"/>
  <c r="A89" i="13" l="1"/>
  <c r="B89" i="13" l="1"/>
  <c r="A90" i="13"/>
  <c r="B90" i="13" l="1"/>
  <c r="A91" i="13"/>
  <c r="B91" i="13" l="1"/>
  <c r="A92" i="13"/>
  <c r="B92" i="13" l="1"/>
  <c r="A93" i="13"/>
  <c r="B93" i="13" l="1"/>
  <c r="A94" i="13"/>
  <c r="B94" i="13" l="1"/>
  <c r="A95" i="13"/>
  <c r="B95" i="13" l="1"/>
  <c r="A96" i="13"/>
  <c r="A97" i="13" l="1"/>
  <c r="B96" i="13"/>
  <c r="B97" i="13" l="1"/>
  <c r="A98" i="13"/>
  <c r="A99" i="13" l="1"/>
  <c r="B98" i="13"/>
  <c r="B99" i="13" l="1"/>
  <c r="A100" i="13"/>
  <c r="A101" i="13" l="1"/>
  <c r="B100" i="13"/>
  <c r="B101" i="13" l="1"/>
  <c r="A102" i="13"/>
  <c r="A103" i="13" l="1"/>
  <c r="B102" i="13"/>
  <c r="B103" i="13" l="1"/>
  <c r="A104" i="13"/>
  <c r="A105" i="13" l="1"/>
  <c r="B104" i="13"/>
  <c r="B105" i="13" l="1"/>
  <c r="A106" i="13"/>
  <c r="A107" i="13" l="1"/>
  <c r="B106" i="13"/>
  <c r="B107" i="13" l="1"/>
  <c r="A108" i="13"/>
  <c r="A109" i="13" l="1"/>
  <c r="B108" i="13"/>
  <c r="B109" i="13" l="1"/>
  <c r="A110" i="13"/>
  <c r="A111" i="13" l="1"/>
  <c r="B110" i="13"/>
  <c r="B111" i="13" l="1"/>
  <c r="A112" i="13"/>
  <c r="A113" i="13" l="1"/>
  <c r="B112" i="13"/>
  <c r="B113" i="13" l="1"/>
  <c r="A114" i="13"/>
  <c r="A115" i="13" l="1"/>
  <c r="B115" i="13" s="1"/>
  <c r="B114" i="13"/>
</calcChain>
</file>

<file path=xl/sharedStrings.xml><?xml version="1.0" encoding="utf-8"?>
<sst xmlns="http://schemas.openxmlformats.org/spreadsheetml/2006/main" count="13040" uniqueCount="184">
  <si>
    <t>LAKE CEMENT LIMITED</t>
  </si>
  <si>
    <t xml:space="preserve">                                                        QUALITY REPORT</t>
  </si>
  <si>
    <t>DATE</t>
  </si>
  <si>
    <t>PHYSICAL LAB REPORT :</t>
  </si>
  <si>
    <t xml:space="preserve">COAL MILL: DAY AVERAGE </t>
  </si>
  <si>
    <t xml:space="preserve"> TBS REQUIREMENT</t>
  </si>
  <si>
    <r>
      <rPr>
        <b/>
        <sz val="11"/>
        <color theme="1"/>
        <rFont val="Calibri"/>
        <family val="2"/>
        <scheme val="minor"/>
      </rPr>
      <t>Blaine (M</t>
    </r>
    <r>
      <rPr>
        <b/>
        <vertAlign val="superscript"/>
        <sz val="11"/>
        <color indexed="8"/>
        <rFont val="Calibri"/>
        <family val="2"/>
        <scheme val="minor"/>
      </rPr>
      <t>2</t>
    </r>
    <r>
      <rPr>
        <b/>
        <sz val="11"/>
        <color indexed="8"/>
        <rFont val="Calibri"/>
        <family val="2"/>
        <scheme val="minor"/>
      </rPr>
      <t>/Kg)</t>
    </r>
  </si>
  <si>
    <t>R45 (Micron)</t>
  </si>
  <si>
    <t>L/C Expansion IN MM</t>
  </si>
  <si>
    <t>1 Day (Mpa)</t>
  </si>
  <si>
    <t>2 Days (Mpa)</t>
  </si>
  <si>
    <t>7 Days (Mpa)</t>
  </si>
  <si>
    <t>28 Days (Mpa)</t>
  </si>
  <si>
    <t>Time (HRS)</t>
  </si>
  <si>
    <t>Mill Inlet</t>
  </si>
  <si>
    <t>Mill Outlet (Fine Coal)</t>
  </si>
  <si>
    <t>Residue  %</t>
  </si>
  <si>
    <t>380 to 410</t>
  </si>
  <si>
    <t>&lt; 16% for 42.5R &amp; N, &lt; 20% for 32.5N</t>
  </si>
  <si>
    <t xml:space="preserve">&lt;10 </t>
  </si>
  <si>
    <t>NO LIMIT</t>
  </si>
  <si>
    <t>&gt;20 for 42.5R, &gt;10 for 42.5N</t>
  </si>
  <si>
    <t xml:space="preserve"> &gt;16 for 32.5N</t>
  </si>
  <si>
    <t>&gt;42.5 for 42.5 R &amp; N &gt;32.5 for 32.5N</t>
  </si>
  <si>
    <t>M.C %</t>
  </si>
  <si>
    <t>IM %</t>
  </si>
  <si>
    <t>ASH %</t>
  </si>
  <si>
    <t>UHV</t>
  </si>
  <si>
    <t>90 Mic.</t>
  </si>
  <si>
    <t>212 Mic.</t>
  </si>
  <si>
    <t>Cement mill-1</t>
  </si>
  <si>
    <t>MIN</t>
  </si>
  <si>
    <t>G - 42.5R</t>
  </si>
  <si>
    <t>MAX</t>
  </si>
  <si>
    <t>G - 42.5N</t>
  </si>
  <si>
    <t>--</t>
  </si>
  <si>
    <t>AVG</t>
  </si>
  <si>
    <t>G -32.5N</t>
  </si>
  <si>
    <t>STD</t>
  </si>
  <si>
    <t>SPOT</t>
  </si>
  <si>
    <t>G - OPC</t>
  </si>
  <si>
    <t>DAY AVERAGE FINE COAL</t>
  </si>
  <si>
    <t>B/Mill</t>
  </si>
  <si>
    <t>Date</t>
  </si>
  <si>
    <t>IM</t>
  </si>
  <si>
    <t>VM</t>
  </si>
  <si>
    <t>ASH</t>
  </si>
  <si>
    <t>GCV-ADB</t>
  </si>
  <si>
    <t>GCV-ARB</t>
  </si>
  <si>
    <t>NCV-ADB</t>
  </si>
  <si>
    <t>NCV-ARB</t>
  </si>
  <si>
    <t>SULPHUR</t>
  </si>
  <si>
    <t>Cement mill-2</t>
  </si>
  <si>
    <t>%</t>
  </si>
  <si>
    <t>K.cal/Kg</t>
  </si>
  <si>
    <t>G - 32.5N</t>
  </si>
  <si>
    <t>Loading</t>
  </si>
  <si>
    <t>L - 42.5R</t>
  </si>
  <si>
    <t>L - 42.5N</t>
  </si>
  <si>
    <t>L - 32.5N</t>
  </si>
  <si>
    <t>L - OPC</t>
  </si>
  <si>
    <t>RAWMILL: 4HRS AVG</t>
  </si>
  <si>
    <t>Time</t>
  </si>
  <si>
    <t>Feed Set point (%)</t>
  </si>
  <si>
    <t>Chemical results (%)</t>
  </si>
  <si>
    <t>Fineness (%)</t>
  </si>
  <si>
    <t>Moduli (%)</t>
  </si>
  <si>
    <t>RM-1</t>
  </si>
  <si>
    <t>RM-2</t>
  </si>
  <si>
    <t>LST</t>
  </si>
  <si>
    <t>SG</t>
  </si>
  <si>
    <t>SAND</t>
  </si>
  <si>
    <t>CLAY</t>
  </si>
  <si>
    <t>IRON ORE</t>
  </si>
  <si>
    <t>SiO2</t>
  </si>
  <si>
    <t>Al2O3</t>
  </si>
  <si>
    <t>Fe2O3</t>
  </si>
  <si>
    <t>CaO</t>
  </si>
  <si>
    <t>MgO</t>
  </si>
  <si>
    <t>K2O</t>
  </si>
  <si>
    <t>Na2O</t>
  </si>
  <si>
    <t>SO3</t>
  </si>
  <si>
    <t>Cl</t>
  </si>
  <si>
    <t>LOI</t>
  </si>
  <si>
    <t>SUM</t>
  </si>
  <si>
    <t>R90</t>
  </si>
  <si>
    <t>R212</t>
  </si>
  <si>
    <t>LSF</t>
  </si>
  <si>
    <t>SM</t>
  </si>
  <si>
    <t>AM</t>
  </si>
  <si>
    <t>1 to 4</t>
  </si>
  <si>
    <t>5 to 8</t>
  </si>
  <si>
    <t>9 to 12</t>
  </si>
  <si>
    <t>13 to 16</t>
  </si>
  <si>
    <t>17 to 20</t>
  </si>
  <si>
    <t>21 to 24</t>
  </si>
  <si>
    <t>Chemical Results (%)</t>
  </si>
  <si>
    <t>Total</t>
  </si>
  <si>
    <t>Bogue Phase Composition (%)</t>
  </si>
  <si>
    <t>LTR. WT.</t>
  </si>
  <si>
    <t>F.CaO</t>
  </si>
  <si>
    <t>C3S</t>
  </si>
  <si>
    <t>C2S</t>
  </si>
  <si>
    <t>C3A</t>
  </si>
  <si>
    <t>C4AF</t>
  </si>
  <si>
    <t>Liquid</t>
  </si>
  <si>
    <t xml:space="preserve">                                              QUALITY REPORT</t>
  </si>
  <si>
    <t>Month</t>
  </si>
  <si>
    <t xml:space="preserve">Day Avearage clinker ball mill analysis </t>
  </si>
  <si>
    <t>Day Average CLINKER ANALYSIS</t>
  </si>
  <si>
    <t xml:space="preserve">Date of sample </t>
  </si>
  <si>
    <t>Date of Sample Test</t>
  </si>
  <si>
    <t>Blaine</t>
  </si>
  <si>
    <t>NC</t>
  </si>
  <si>
    <t>IST</t>
  </si>
  <si>
    <t>FST</t>
  </si>
  <si>
    <t>% R/45</t>
  </si>
  <si>
    <t>% R/90</t>
  </si>
  <si>
    <t>% R/212</t>
  </si>
  <si>
    <t>Lechat Expa     ( mm)</t>
  </si>
  <si>
    <t>2 Day (Mpa)</t>
  </si>
  <si>
    <t>7 Day (Mpa)</t>
  </si>
  <si>
    <t>28 Day (Mpa)</t>
  </si>
  <si>
    <t>LT.WT</t>
  </si>
  <si>
    <t>UOM</t>
  </si>
  <si>
    <t>M2/Kg</t>
  </si>
  <si>
    <t>Min</t>
  </si>
  <si>
    <t>MM</t>
  </si>
  <si>
    <t>Mpa</t>
  </si>
  <si>
    <t>Gr</t>
  </si>
  <si>
    <t>STDV</t>
  </si>
  <si>
    <t xml:space="preserve">                                                             QUALITY REPORT   (CEM-II/A-L-42.5R)</t>
  </si>
  <si>
    <t>CEMENT GRINDING STAGE-CM1</t>
  </si>
  <si>
    <t>CEMENT GRINDING STAGE-CM2</t>
  </si>
  <si>
    <t>CEMENT LOADING STAGE</t>
  </si>
  <si>
    <t>CaO % OF LST</t>
  </si>
  <si>
    <t>% OF LST ADDITION</t>
  </si>
  <si>
    <t>1-DAY</t>
  </si>
  <si>
    <t>2-DAYS</t>
  </si>
  <si>
    <t>7-DAYS</t>
  </si>
  <si>
    <t>28-DAYS</t>
  </si>
  <si>
    <t>Blain</t>
  </si>
  <si>
    <t>R45</t>
  </si>
  <si>
    <t>L/C</t>
  </si>
  <si>
    <t xml:space="preserve">LOI </t>
  </si>
  <si>
    <t>OUM</t>
  </si>
  <si>
    <t xml:space="preserve"> %</t>
  </si>
  <si>
    <t>TARGET</t>
  </si>
  <si>
    <t>&lt; 40</t>
  </si>
  <si>
    <t>Max 21%</t>
  </si>
  <si>
    <t>12 ± 1</t>
  </si>
  <si>
    <r>
      <rPr>
        <sz val="10"/>
        <color theme="1"/>
        <rFont val="Calibri"/>
        <family val="2"/>
        <scheme val="minor"/>
      </rPr>
      <t xml:space="preserve">21 </t>
    </r>
    <r>
      <rPr>
        <sz val="8"/>
        <color indexed="8"/>
        <rFont val="Calibri"/>
        <family val="2"/>
      </rPr>
      <t>± 1</t>
    </r>
  </si>
  <si>
    <t>33 ± 1</t>
  </si>
  <si>
    <r>
      <rPr>
        <sz val="10"/>
        <color theme="1"/>
        <rFont val="Calibri"/>
        <family val="2"/>
        <scheme val="minor"/>
      </rPr>
      <t xml:space="preserve">46 </t>
    </r>
    <r>
      <rPr>
        <sz val="8"/>
        <color indexed="8"/>
        <rFont val="Calibri"/>
        <family val="2"/>
      </rPr>
      <t>± 1</t>
    </r>
  </si>
  <si>
    <t>&gt; 450</t>
  </si>
  <si>
    <t>&lt; 10</t>
  </si>
  <si>
    <t>≤ 10MM</t>
  </si>
  <si>
    <t>9 ± 2%</t>
  </si>
  <si>
    <t>21 ± 1</t>
  </si>
  <si>
    <t>46 ± 1</t>
  </si>
  <si>
    <t xml:space="preserve">                                                             QUALITY REPORT   (CEM-II/A-L-42.5N)</t>
  </si>
  <si>
    <t>10 ± 1</t>
  </si>
  <si>
    <t>18 ± 1</t>
  </si>
  <si>
    <t>30 ± 1</t>
  </si>
  <si>
    <t>45 ± 1</t>
  </si>
  <si>
    <t xml:space="preserve">                                                             QUALITY REPORT   (CEM-II/B-L-32.5N)</t>
  </si>
  <si>
    <t>MAX 35%</t>
  </si>
  <si>
    <t>8 ± 1</t>
  </si>
  <si>
    <t>16 ± 1</t>
  </si>
  <si>
    <t>27 ± 1</t>
  </si>
  <si>
    <t>41 ± 1</t>
  </si>
  <si>
    <t>10 ± 2</t>
  </si>
  <si>
    <t xml:space="preserve">                                                             QUALITY REPORT   (CEM-I-42.5N- OPC)</t>
  </si>
  <si>
    <t>&lt;35</t>
  </si>
  <si>
    <t>MAX 5%</t>
  </si>
  <si>
    <t>53 ± 1</t>
  </si>
  <si>
    <t>&gt; 400</t>
  </si>
  <si>
    <t>&lt; 5</t>
  </si>
  <si>
    <t>CLINKER : 4 HRS AVG</t>
  </si>
  <si>
    <t>≤ 3.50</t>
  </si>
  <si>
    <t>2..36</t>
  </si>
  <si>
    <t>14 ± 1</t>
  </si>
  <si>
    <t>24± 1</t>
  </si>
  <si>
    <t>40 ±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</si>
</sst>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[$-409]d\-mmm\-yy;@"/>
    <numFmt numFmtId="166" formatCode="0.0"/>
    <numFmt numFmtId="167" formatCode="[$-409]dd\-mmm\-yy;@"/>
    <numFmt numFmtId="168" formatCode="m/d;@"/>
    <numFmt numFmtId="169" formatCode="[$-409]mmm\-yy;@"/>
    <numFmt numFmtId="170" formatCode="[$-409]d\-mmm;@"/>
  </numFmts>
  <fonts count="3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</font>
    <font>
      <sz val="8"/>
      <color theme="1"/>
      <name val="Times New Roman"/>
      <family val="1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8"/>
      <name val="Calibri"/>
      <family val="2"/>
    </font>
    <font>
      <b/>
      <vertAlign val="superscript"/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rgb="FFFFFF00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40">
    <xf numFmtId="0" fontId="0" fillId="0" borderId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5" fillId="0" borderId="0"/>
    <xf numFmtId="0" fontId="31" fillId="0" borderId="0"/>
    <xf numFmtId="0" fontId="4" fillId="0" borderId="0"/>
  </cellStyleXfs>
  <cellXfs count="364">
    <xf numFmtId="0" fontId="0" fillId="0" borderId="0" xfId="0"/>
    <xf numFmtId="0" fontId="0" fillId="0" borderId="0" xfId="0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165" fontId="12" fillId="3" borderId="10" xfId="0" applyNumberFormat="1" applyFont="1" applyFill="1" applyBorder="1" applyAlignment="1">
      <alignment horizontal="center" vertical="center" wrapText="1"/>
    </xf>
    <xf numFmtId="165" fontId="12" fillId="3" borderId="11" xfId="0" applyNumberFormat="1" applyFont="1" applyFill="1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165" fontId="12" fillId="0" borderId="14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165" fontId="12" fillId="0" borderId="16" xfId="0" applyNumberFormat="1" applyFont="1" applyBorder="1" applyAlignment="1">
      <alignment horizontal="center" vertical="center"/>
    </xf>
    <xf numFmtId="165" fontId="12" fillId="0" borderId="17" xfId="0" applyNumberFormat="1" applyFont="1" applyBorder="1" applyAlignment="1">
      <alignment horizontal="center" vertical="center"/>
    </xf>
    <xf numFmtId="165" fontId="12" fillId="4" borderId="18" xfId="0" applyNumberFormat="1" applyFont="1" applyFill="1" applyBorder="1" applyAlignment="1">
      <alignment horizontal="center" vertical="center"/>
    </xf>
    <xf numFmtId="2" fontId="13" fillId="4" borderId="19" xfId="0" applyNumberFormat="1" applyFont="1" applyFill="1" applyBorder="1" applyAlignment="1">
      <alignment horizontal="center" vertical="center"/>
    </xf>
    <xf numFmtId="165" fontId="12" fillId="4" borderId="15" xfId="0" applyNumberFormat="1" applyFont="1" applyFill="1" applyBorder="1" applyAlignment="1">
      <alignment horizontal="center" vertical="center"/>
    </xf>
    <xf numFmtId="2" fontId="13" fillId="4" borderId="9" xfId="0" applyNumberFormat="1" applyFont="1" applyFill="1" applyBorder="1" applyAlignment="1">
      <alignment horizontal="center" vertical="center"/>
    </xf>
    <xf numFmtId="165" fontId="12" fillId="4" borderId="12" xfId="0" applyNumberFormat="1" applyFont="1" applyFill="1" applyBorder="1" applyAlignment="1">
      <alignment horizontal="center" vertical="center"/>
    </xf>
    <xf numFmtId="2" fontId="13" fillId="4" borderId="13" xfId="0" applyNumberFormat="1" applyFont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2" fillId="3" borderId="24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/>
    </xf>
    <xf numFmtId="2" fontId="13" fillId="0" borderId="27" xfId="0" applyNumberFormat="1" applyFont="1" applyBorder="1" applyAlignment="1">
      <alignment horizontal="center" vertical="center"/>
    </xf>
    <xf numFmtId="2" fontId="13" fillId="0" borderId="19" xfId="0" applyNumberFormat="1" applyFont="1" applyBorder="1" applyAlignment="1">
      <alignment horizontal="center" vertical="center"/>
    </xf>
    <xf numFmtId="2" fontId="13" fillId="0" borderId="28" xfId="0" applyNumberFormat="1" applyFont="1" applyBorder="1" applyAlignment="1">
      <alignment horizontal="center" vertical="center"/>
    </xf>
    <xf numFmtId="2" fontId="13" fillId="4" borderId="29" xfId="0" applyNumberFormat="1" applyFont="1" applyFill="1" applyBorder="1" applyAlignment="1">
      <alignment horizontal="center" vertical="center"/>
    </xf>
    <xf numFmtId="2" fontId="13" fillId="4" borderId="24" xfId="0" applyNumberFormat="1" applyFont="1" applyFill="1" applyBorder="1" applyAlignment="1">
      <alignment horizontal="center" vertical="center"/>
    </xf>
    <xf numFmtId="2" fontId="13" fillId="4" borderId="26" xfId="0" applyNumberFormat="1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wrapText="1"/>
    </xf>
    <xf numFmtId="2" fontId="13" fillId="0" borderId="29" xfId="0" applyNumberFormat="1" applyFont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1" fontId="13" fillId="0" borderId="9" xfId="0" applyNumberFormat="1" applyFont="1" applyBorder="1" applyAlignment="1">
      <alignment horizontal="center" vertical="center"/>
    </xf>
    <xf numFmtId="2" fontId="13" fillId="0" borderId="24" xfId="0" applyNumberFormat="1" applyFont="1" applyBorder="1" applyAlignment="1">
      <alignment horizontal="center" vertical="center"/>
    </xf>
    <xf numFmtId="2" fontId="13" fillId="0" borderId="15" xfId="0" applyNumberFormat="1" applyFont="1" applyBorder="1" applyAlignment="1">
      <alignment horizontal="center" vertical="center"/>
    </xf>
    <xf numFmtId="2" fontId="13" fillId="0" borderId="7" xfId="0" applyNumberFormat="1" applyFont="1" applyBorder="1" applyAlignment="1">
      <alignment horizontal="center" vertical="center"/>
    </xf>
    <xf numFmtId="2" fontId="13" fillId="4" borderId="18" xfId="0" applyNumberFormat="1" applyFont="1" applyFill="1" applyBorder="1" applyAlignment="1">
      <alignment horizontal="center" vertical="center"/>
    </xf>
    <xf numFmtId="2" fontId="13" fillId="4" borderId="15" xfId="0" applyNumberFormat="1" applyFont="1" applyFill="1" applyBorder="1" applyAlignment="1">
      <alignment horizontal="center" vertical="center"/>
    </xf>
    <xf numFmtId="2" fontId="13" fillId="4" borderId="12" xfId="0" applyNumberFormat="1" applyFont="1" applyFill="1" applyBorder="1" applyAlignment="1">
      <alignment horizontal="center" vertical="center"/>
    </xf>
    <xf numFmtId="0" fontId="14" fillId="2" borderId="31" xfId="0" applyFont="1" applyFill="1" applyBorder="1" applyAlignment="1">
      <alignment vertical="center" wrapText="1"/>
    </xf>
    <xf numFmtId="2" fontId="13" fillId="0" borderId="29" xfId="0" applyNumberFormat="1" applyFont="1" applyBorder="1" applyAlignment="1">
      <alignment horizontal="center"/>
    </xf>
    <xf numFmtId="2" fontId="13" fillId="0" borderId="24" xfId="0" applyNumberFormat="1" applyFont="1" applyBorder="1" applyAlignment="1">
      <alignment horizontal="center"/>
    </xf>
    <xf numFmtId="2" fontId="13" fillId="5" borderId="24" xfId="0" applyNumberFormat="1" applyFont="1" applyFill="1" applyBorder="1" applyAlignment="1">
      <alignment horizontal="center"/>
    </xf>
    <xf numFmtId="2" fontId="13" fillId="0" borderId="8" xfId="0" applyNumberFormat="1" applyFont="1" applyBorder="1" applyAlignment="1">
      <alignment horizontal="center" vertical="center"/>
    </xf>
    <xf numFmtId="2" fontId="13" fillId="0" borderId="34" xfId="0" applyNumberFormat="1" applyFont="1" applyBorder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2" fontId="13" fillId="5" borderId="9" xfId="0" applyNumberFormat="1" applyFont="1" applyFill="1" applyBorder="1" applyAlignment="1">
      <alignment horizontal="center" vertical="center"/>
    </xf>
    <xf numFmtId="2" fontId="13" fillId="5" borderId="24" xfId="0" applyNumberFormat="1" applyFont="1" applyFill="1" applyBorder="1" applyAlignment="1">
      <alignment horizontal="center" vertical="center"/>
    </xf>
    <xf numFmtId="1" fontId="13" fillId="0" borderId="8" xfId="0" applyNumberFormat="1" applyFont="1" applyBorder="1" applyAlignment="1">
      <alignment horizontal="center" vertical="center"/>
    </xf>
    <xf numFmtId="2" fontId="13" fillId="0" borderId="35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2" fontId="13" fillId="0" borderId="25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66" fontId="13" fillId="0" borderId="9" xfId="0" applyNumberFormat="1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2" fontId="12" fillId="0" borderId="28" xfId="0" applyNumberFormat="1" applyFont="1" applyBorder="1" applyAlignment="1">
      <alignment horizontal="center" vertical="center"/>
    </xf>
    <xf numFmtId="1" fontId="13" fillId="0" borderId="19" xfId="0" applyNumberFormat="1" applyFont="1" applyBorder="1" applyAlignment="1">
      <alignment horizontal="center" vertical="center"/>
    </xf>
    <xf numFmtId="2" fontId="13" fillId="0" borderId="5" xfId="0" applyNumberFormat="1" applyFont="1" applyBorder="1" applyAlignment="1">
      <alignment horizontal="center" vertical="center"/>
    </xf>
    <xf numFmtId="2" fontId="12" fillId="3" borderId="9" xfId="0" applyNumberFormat="1" applyFont="1" applyFill="1" applyBorder="1" applyAlignment="1">
      <alignment horizontal="center" vertical="center" wrapText="1"/>
    </xf>
    <xf numFmtId="2" fontId="17" fillId="3" borderId="12" xfId="0" applyNumberFormat="1" applyFont="1" applyFill="1" applyBorder="1" applyAlignment="1">
      <alignment horizontal="center" vertical="center" wrapText="1"/>
    </xf>
    <xf numFmtId="2" fontId="12" fillId="3" borderId="13" xfId="0" applyNumberFormat="1" applyFont="1" applyFill="1" applyBorder="1" applyAlignment="1">
      <alignment horizontal="center" vertical="center" wrapText="1"/>
    </xf>
    <xf numFmtId="2" fontId="18" fillId="0" borderId="15" xfId="0" applyNumberFormat="1" applyFont="1" applyBorder="1" applyAlignment="1">
      <alignment horizontal="center" vertical="center"/>
    </xf>
    <xf numFmtId="2" fontId="18" fillId="0" borderId="5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2" fontId="18" fillId="0" borderId="9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/>
    </xf>
    <xf numFmtId="0" fontId="18" fillId="0" borderId="21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2" fontId="18" fillId="0" borderId="27" xfId="0" applyNumberFormat="1" applyFont="1" applyBorder="1" applyAlignment="1">
      <alignment horizontal="center" vertical="center"/>
    </xf>
    <xf numFmtId="2" fontId="18" fillId="0" borderId="19" xfId="0" applyNumberFormat="1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2" fontId="18" fillId="0" borderId="28" xfId="0" applyNumberFormat="1" applyFont="1" applyBorder="1" applyAlignment="1">
      <alignment horizontal="center" vertical="center"/>
    </xf>
    <xf numFmtId="2" fontId="18" fillId="5" borderId="9" xfId="0" applyNumberFormat="1" applyFont="1" applyFill="1" applyBorder="1" applyAlignment="1">
      <alignment horizontal="center" vertical="center"/>
    </xf>
    <xf numFmtId="2" fontId="12" fillId="0" borderId="9" xfId="0" applyNumberFormat="1" applyFont="1" applyBorder="1" applyAlignment="1">
      <alignment horizontal="center"/>
    </xf>
    <xf numFmtId="2" fontId="18" fillId="0" borderId="18" xfId="0" applyNumberFormat="1" applyFont="1" applyBorder="1" applyAlignment="1">
      <alignment horizontal="center" vertical="center"/>
    </xf>
    <xf numFmtId="1" fontId="18" fillId="0" borderId="9" xfId="0" applyNumberFormat="1" applyFont="1" applyBorder="1" applyAlignment="1">
      <alignment horizontal="center" vertical="center"/>
    </xf>
    <xf numFmtId="2" fontId="18" fillId="0" borderId="24" xfId="0" applyNumberFormat="1" applyFont="1" applyBorder="1" applyAlignment="1">
      <alignment horizontal="center" vertical="center"/>
    </xf>
    <xf numFmtId="2" fontId="18" fillId="5" borderId="24" xfId="0" applyNumberFormat="1" applyFont="1" applyFill="1" applyBorder="1" applyAlignment="1">
      <alignment horizontal="center" vertical="center"/>
    </xf>
    <xf numFmtId="1" fontId="18" fillId="0" borderId="19" xfId="0" applyNumberFormat="1" applyFont="1" applyBorder="1" applyAlignment="1">
      <alignment horizontal="center" vertical="center"/>
    </xf>
    <xf numFmtId="2" fontId="18" fillId="0" borderId="29" xfId="0" applyNumberFormat="1" applyFont="1" applyBorder="1" applyAlignment="1">
      <alignment horizontal="center"/>
    </xf>
    <xf numFmtId="2" fontId="18" fillId="0" borderId="24" xfId="0" applyNumberFormat="1" applyFont="1" applyBorder="1" applyAlignment="1">
      <alignment horizontal="center"/>
    </xf>
    <xf numFmtId="2" fontId="18" fillId="5" borderId="24" xfId="0" applyNumberFormat="1" applyFont="1" applyFill="1" applyBorder="1" applyAlignment="1">
      <alignment horizontal="center"/>
    </xf>
    <xf numFmtId="1" fontId="12" fillId="3" borderId="9" xfId="0" applyNumberFormat="1" applyFont="1" applyFill="1" applyBorder="1" applyAlignment="1">
      <alignment horizontal="center" vertical="center" wrapText="1"/>
    </xf>
    <xf numFmtId="167" fontId="12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/>
    </xf>
    <xf numFmtId="2" fontId="12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2" fontId="12" fillId="5" borderId="9" xfId="0" applyNumberFormat="1" applyFont="1" applyFill="1" applyBorder="1" applyAlignment="1">
      <alignment horizontal="center" vertical="center"/>
    </xf>
    <xf numFmtId="2" fontId="12" fillId="4" borderId="9" xfId="0" applyNumberFormat="1" applyFont="1" applyFill="1" applyBorder="1" applyAlignment="1">
      <alignment horizontal="center" vertical="center"/>
    </xf>
    <xf numFmtId="1" fontId="12" fillId="4" borderId="9" xfId="0" applyNumberFormat="1" applyFont="1" applyFill="1" applyBorder="1" applyAlignment="1">
      <alignment horizontal="center" vertical="center"/>
    </xf>
    <xf numFmtId="2" fontId="12" fillId="5" borderId="9" xfId="0" applyNumberFormat="1" applyFont="1" applyFill="1" applyBorder="1" applyAlignment="1">
      <alignment horizontal="center"/>
    </xf>
    <xf numFmtId="2" fontId="19" fillId="0" borderId="9" xfId="0" applyNumberFormat="1" applyFont="1" applyBorder="1" applyAlignment="1">
      <alignment horizontal="center"/>
    </xf>
    <xf numFmtId="1" fontId="12" fillId="0" borderId="9" xfId="0" applyNumberFormat="1" applyFont="1" applyBorder="1" applyAlignment="1">
      <alignment horizontal="center" vertical="center" wrapText="1"/>
    </xf>
    <xf numFmtId="2" fontId="19" fillId="5" borderId="9" xfId="0" applyNumberFormat="1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4" fillId="0" borderId="0" xfId="0" applyFont="1"/>
    <xf numFmtId="0" fontId="21" fillId="0" borderId="0" xfId="0" applyFont="1"/>
    <xf numFmtId="0" fontId="22" fillId="0" borderId="0" xfId="0" applyFont="1" applyAlignment="1">
      <alignment horizontal="left"/>
    </xf>
    <xf numFmtId="0" fontId="23" fillId="8" borderId="9" xfId="0" applyFont="1" applyFill="1" applyBorder="1" applyAlignment="1">
      <alignment horizontal="center" vertical="center" wrapText="1"/>
    </xf>
    <xf numFmtId="1" fontId="0" fillId="0" borderId="9" xfId="0" applyNumberFormat="1" applyBorder="1" applyAlignment="1">
      <alignment horizontal="center" vertical="center"/>
    </xf>
    <xf numFmtId="0" fontId="25" fillId="8" borderId="13" xfId="0" applyFont="1" applyFill="1" applyBorder="1" applyAlignment="1">
      <alignment horizontal="center" vertical="center"/>
    </xf>
    <xf numFmtId="0" fontId="25" fillId="8" borderId="13" xfId="0" applyFont="1" applyFill="1" applyBorder="1" applyAlignment="1">
      <alignment horizontal="center" vertical="center" wrapText="1"/>
    </xf>
    <xf numFmtId="2" fontId="25" fillId="8" borderId="13" xfId="0" applyNumberFormat="1" applyFont="1" applyFill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2" fontId="14" fillId="8" borderId="13" xfId="0" applyNumberFormat="1" applyFont="1" applyFill="1" applyBorder="1" applyAlignment="1">
      <alignment horizontal="center" vertical="center"/>
    </xf>
    <xf numFmtId="0" fontId="14" fillId="8" borderId="13" xfId="0" applyFont="1" applyFill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50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22" fillId="0" borderId="0" xfId="0" applyFont="1"/>
    <xf numFmtId="0" fontId="21" fillId="0" borderId="54" xfId="0" applyFont="1" applyBorder="1"/>
    <xf numFmtId="1" fontId="0" fillId="0" borderId="13" xfId="0" applyNumberFormat="1" applyBorder="1" applyAlignment="1">
      <alignment horizontal="center" vertical="center"/>
    </xf>
    <xf numFmtId="164" fontId="0" fillId="0" borderId="0" xfId="1" applyFont="1"/>
    <xf numFmtId="0" fontId="23" fillId="8" borderId="9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horizontal="center" vertical="center"/>
    </xf>
    <xf numFmtId="170" fontId="30" fillId="0" borderId="12" xfId="12" applyNumberFormat="1" applyBorder="1" applyAlignment="1">
      <alignment horizontal="center" vertical="center"/>
    </xf>
    <xf numFmtId="0" fontId="21" fillId="0" borderId="41" xfId="0" applyFont="1" applyBorder="1"/>
    <xf numFmtId="0" fontId="0" fillId="0" borderId="20" xfId="0" applyBorder="1" applyAlignment="1">
      <alignment vertical="center"/>
    </xf>
    <xf numFmtId="0" fontId="14" fillId="8" borderId="26" xfId="0" applyFont="1" applyFill="1" applyBorder="1" applyAlignment="1">
      <alignment horizontal="center" vertical="center"/>
    </xf>
    <xf numFmtId="0" fontId="23" fillId="8" borderId="13" xfId="0" applyFont="1" applyFill="1" applyBorder="1" applyAlignment="1">
      <alignment horizontal="center" vertical="center"/>
    </xf>
    <xf numFmtId="0" fontId="23" fillId="8" borderId="59" xfId="0" applyFont="1" applyFill="1" applyBorder="1" applyAlignment="1">
      <alignment horizontal="center" vertical="center"/>
    </xf>
    <xf numFmtId="2" fontId="0" fillId="0" borderId="36" xfId="0" applyNumberFormat="1" applyBorder="1" applyAlignment="1">
      <alignment horizontal="center" vertical="center"/>
    </xf>
    <xf numFmtId="2" fontId="0" fillId="0" borderId="59" xfId="0" applyNumberFormat="1" applyBorder="1" applyAlignment="1">
      <alignment horizontal="center" vertical="center"/>
    </xf>
    <xf numFmtId="0" fontId="0" fillId="0" borderId="22" xfId="0" applyBorder="1" applyAlignment="1">
      <alignment vertical="center"/>
    </xf>
    <xf numFmtId="2" fontId="30" fillId="0" borderId="26" xfId="12" applyNumberFormat="1" applyBorder="1" applyAlignment="1">
      <alignment horizontal="center" vertical="center"/>
    </xf>
    <xf numFmtId="0" fontId="21" fillId="0" borderId="22" xfId="0" applyFont="1" applyBorder="1"/>
    <xf numFmtId="0" fontId="0" fillId="0" borderId="61" xfId="0" applyBorder="1" applyAlignment="1">
      <alignment vertical="center"/>
    </xf>
    <xf numFmtId="0" fontId="25" fillId="8" borderId="26" xfId="0" applyFont="1" applyFill="1" applyBorder="1" applyAlignment="1">
      <alignment horizontal="center" vertical="center"/>
    </xf>
    <xf numFmtId="2" fontId="0" fillId="0" borderId="53" xfId="0" applyNumberFormat="1" applyBorder="1" applyAlignment="1">
      <alignment horizontal="center" vertical="center"/>
    </xf>
    <xf numFmtId="2" fontId="0" fillId="0" borderId="15" xfId="0" quotePrefix="1" applyNumberFormat="1" applyBorder="1" applyAlignment="1">
      <alignment horizontal="center" vertical="center"/>
    </xf>
    <xf numFmtId="1" fontId="0" fillId="0" borderId="9" xfId="0" quotePrefix="1" applyNumberFormat="1" applyBorder="1" applyAlignment="1">
      <alignment horizontal="center" vertical="center"/>
    </xf>
    <xf numFmtId="2" fontId="0" fillId="0" borderId="12" xfId="0" quotePrefix="1" applyNumberFormat="1" applyBorder="1" applyAlignment="1">
      <alignment horizontal="center" vertical="center"/>
    </xf>
    <xf numFmtId="2" fontId="0" fillId="0" borderId="14" xfId="0" quotePrefix="1" applyNumberFormat="1" applyBorder="1" applyAlignment="1">
      <alignment horizontal="center" vertical="center"/>
    </xf>
    <xf numFmtId="2" fontId="0" fillId="0" borderId="16" xfId="0" quotePrefix="1" applyNumberFormat="1" applyBorder="1" applyAlignment="1">
      <alignment horizontal="center" vertical="center"/>
    </xf>
    <xf numFmtId="2" fontId="0" fillId="0" borderId="49" xfId="0" quotePrefix="1" applyNumberFormat="1" applyBorder="1" applyAlignment="1">
      <alignment horizontal="center" vertical="center"/>
    </xf>
    <xf numFmtId="2" fontId="13" fillId="0" borderId="15" xfId="0" quotePrefix="1" applyNumberFormat="1" applyFont="1" applyBorder="1" applyAlignment="1">
      <alignment horizontal="center" vertical="center"/>
    </xf>
    <xf numFmtId="0" fontId="13" fillId="0" borderId="15" xfId="0" quotePrefix="1" applyFont="1" applyBorder="1" applyAlignment="1">
      <alignment horizontal="center" vertical="center"/>
    </xf>
    <xf numFmtId="0" fontId="13" fillId="0" borderId="24" xfId="0" quotePrefix="1" applyFont="1" applyBorder="1" applyAlignment="1">
      <alignment horizontal="center" vertical="center"/>
    </xf>
    <xf numFmtId="1" fontId="12" fillId="0" borderId="9" xfId="36" applyNumberFormat="1" applyFont="1" applyBorder="1" applyAlignment="1">
      <alignment horizontal="center"/>
    </xf>
    <xf numFmtId="2" fontId="12" fillId="0" borderId="9" xfId="36" applyNumberFormat="1" applyFont="1" applyBorder="1" applyAlignment="1">
      <alignment horizontal="center"/>
    </xf>
    <xf numFmtId="2" fontId="12" fillId="5" borderId="9" xfId="36" applyNumberFormat="1" applyFont="1" applyFill="1" applyBorder="1" applyAlignment="1">
      <alignment horizontal="center"/>
    </xf>
    <xf numFmtId="2" fontId="13" fillId="0" borderId="4" xfId="0" applyNumberFormat="1" applyFont="1" applyBorder="1" applyAlignment="1">
      <alignment horizontal="center" vertical="center"/>
    </xf>
    <xf numFmtId="2" fontId="13" fillId="0" borderId="21" xfId="0" applyNumberFormat="1" applyFont="1" applyBorder="1" applyAlignment="1">
      <alignment horizontal="center"/>
    </xf>
    <xf numFmtId="0" fontId="0" fillId="0" borderId="52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21" fillId="0" borderId="30" xfId="0" applyFont="1" applyBorder="1"/>
    <xf numFmtId="2" fontId="18" fillId="0" borderId="15" xfId="0" quotePrefix="1" applyNumberFormat="1" applyFont="1" applyBorder="1" applyAlignment="1">
      <alignment horizontal="center" vertical="center"/>
    </xf>
    <xf numFmtId="2" fontId="13" fillId="0" borderId="28" xfId="0" quotePrefix="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1" fillId="0" borderId="20" xfId="0" applyFont="1" applyBorder="1"/>
    <xf numFmtId="1" fontId="13" fillId="0" borderId="5" xfId="0" applyNumberFormat="1" applyFont="1" applyBorder="1" applyAlignment="1">
      <alignment horizontal="center" vertical="center"/>
    </xf>
    <xf numFmtId="2" fontId="13" fillId="0" borderId="21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/>
    </xf>
    <xf numFmtId="1" fontId="13" fillId="0" borderId="9" xfId="0" applyNumberFormat="1" applyFont="1" applyBorder="1" applyAlignment="1">
      <alignment horizontal="center"/>
    </xf>
    <xf numFmtId="0" fontId="23" fillId="8" borderId="19" xfId="0" applyFont="1" applyFill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1" fontId="0" fillId="0" borderId="50" xfId="0" applyNumberFormat="1" applyBorder="1" applyAlignment="1">
      <alignment horizontal="center" vertical="center"/>
    </xf>
    <xf numFmtId="2" fontId="0" fillId="0" borderId="64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2" fontId="0" fillId="0" borderId="51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1" fontId="16" fillId="0" borderId="9" xfId="0" applyNumberFormat="1" applyFont="1" applyBorder="1" applyAlignment="1">
      <alignment horizontal="center"/>
    </xf>
    <xf numFmtId="2" fontId="16" fillId="0" borderId="9" xfId="0" applyNumberFormat="1" applyFont="1" applyBorder="1" applyAlignment="1">
      <alignment horizontal="center"/>
    </xf>
    <xf numFmtId="2" fontId="0" fillId="0" borderId="28" xfId="0" quotePrefix="1" applyNumberFormat="1" applyBorder="1" applyAlignment="1">
      <alignment horizontal="center" vertical="center"/>
    </xf>
    <xf numFmtId="2" fontId="12" fillId="0" borderId="9" xfId="0" quotePrefix="1" applyNumberFormat="1" applyFont="1" applyBorder="1" applyAlignment="1">
      <alignment horizontal="center"/>
    </xf>
    <xf numFmtId="1" fontId="13" fillId="5" borderId="9" xfId="0" applyNumberFormat="1" applyFont="1" applyFill="1" applyBorder="1" applyAlignment="1">
      <alignment horizontal="center" vertical="center"/>
    </xf>
    <xf numFmtId="2" fontId="12" fillId="5" borderId="9" xfId="0" quotePrefix="1" applyNumberFormat="1" applyFont="1" applyFill="1" applyBorder="1" applyAlignment="1">
      <alignment horizontal="center" vertical="center"/>
    </xf>
    <xf numFmtId="2" fontId="12" fillId="0" borderId="9" xfId="0" quotePrefix="1" applyNumberFormat="1" applyFont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 wrapText="1"/>
    </xf>
    <xf numFmtId="2" fontId="13" fillId="0" borderId="24" xfId="0" quotePrefix="1" applyNumberFormat="1" applyFont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 wrapText="1"/>
    </xf>
    <xf numFmtId="0" fontId="17" fillId="3" borderId="59" xfId="0" applyFont="1" applyFill="1" applyBorder="1" applyAlignment="1">
      <alignment horizontal="center" vertical="center" wrapText="1"/>
    </xf>
    <xf numFmtId="0" fontId="13" fillId="0" borderId="46" xfId="0" applyFont="1" applyBorder="1" applyAlignment="1">
      <alignment horizontal="center" vertical="center"/>
    </xf>
    <xf numFmtId="2" fontId="13" fillId="0" borderId="36" xfId="0" applyNumberFormat="1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166" fontId="13" fillId="0" borderId="36" xfId="0" applyNumberFormat="1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2" fontId="13" fillId="4" borderId="40" xfId="0" applyNumberFormat="1" applyFont="1" applyFill="1" applyBorder="1" applyAlignment="1">
      <alignment horizontal="center" vertical="center"/>
    </xf>
    <xf numFmtId="2" fontId="13" fillId="4" borderId="36" xfId="0" applyNumberFormat="1" applyFont="1" applyFill="1" applyBorder="1" applyAlignment="1">
      <alignment horizontal="center" vertical="center"/>
    </xf>
    <xf numFmtId="2" fontId="13" fillId="4" borderId="59" xfId="0" applyNumberFormat="1" applyFont="1" applyFill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2" fontId="18" fillId="0" borderId="36" xfId="0" applyNumberFormat="1" applyFont="1" applyBorder="1" applyAlignment="1">
      <alignment horizontal="center" vertical="center"/>
    </xf>
    <xf numFmtId="2" fontId="13" fillId="0" borderId="40" xfId="0" applyNumberFormat="1" applyFont="1" applyBorder="1" applyAlignment="1">
      <alignment horizontal="center" vertical="center"/>
    </xf>
    <xf numFmtId="2" fontId="18" fillId="0" borderId="40" xfId="0" applyNumberFormat="1" applyFont="1" applyBorder="1" applyAlignment="1">
      <alignment horizontal="center" vertical="center"/>
    </xf>
    <xf numFmtId="2" fontId="13" fillId="0" borderId="36" xfId="0" quotePrefix="1" applyNumberFormat="1" applyFont="1" applyBorder="1" applyAlignment="1">
      <alignment horizontal="center" vertical="center"/>
    </xf>
    <xf numFmtId="0" fontId="13" fillId="0" borderId="35" xfId="0" quotePrefix="1" applyFont="1" applyBorder="1" applyAlignment="1">
      <alignment horizontal="center" vertical="center"/>
    </xf>
    <xf numFmtId="1" fontId="13" fillId="4" borderId="19" xfId="0" applyNumberFormat="1" applyFont="1" applyFill="1" applyBorder="1" applyAlignment="1">
      <alignment horizontal="center" vertical="center"/>
    </xf>
    <xf numFmtId="1" fontId="13" fillId="4" borderId="9" xfId="0" applyNumberFormat="1" applyFont="1" applyFill="1" applyBorder="1" applyAlignment="1">
      <alignment horizontal="center" vertical="center"/>
    </xf>
    <xf numFmtId="1" fontId="13" fillId="4" borderId="13" xfId="0" applyNumberFormat="1" applyFont="1" applyFill="1" applyBorder="1" applyAlignment="1">
      <alignment horizontal="center" vertical="center"/>
    </xf>
    <xf numFmtId="2" fontId="18" fillId="0" borderId="21" xfId="0" applyNumberFormat="1" applyFont="1" applyBorder="1" applyAlignment="1">
      <alignment horizontal="center" vertical="center"/>
    </xf>
    <xf numFmtId="2" fontId="18" fillId="0" borderId="51" xfId="0" applyNumberFormat="1" applyFont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 wrapText="1"/>
    </xf>
    <xf numFmtId="0" fontId="23" fillId="8" borderId="19" xfId="0" applyFont="1" applyFill="1" applyBorder="1" applyAlignment="1">
      <alignment horizontal="center" vertical="center"/>
    </xf>
    <xf numFmtId="0" fontId="23" fillId="8" borderId="29" xfId="0" applyFont="1" applyFill="1" applyBorder="1" applyAlignment="1">
      <alignment horizontal="center" vertical="center"/>
    </xf>
    <xf numFmtId="2" fontId="18" fillId="0" borderId="10" xfId="0" quotePrefix="1" applyNumberFormat="1" applyFont="1" applyBorder="1" applyAlignment="1">
      <alignment horizontal="center" vertical="center"/>
    </xf>
    <xf numFmtId="2" fontId="18" fillId="0" borderId="9" xfId="0" quotePrefix="1" applyNumberFormat="1" applyFont="1" applyBorder="1" applyAlignment="1">
      <alignment horizontal="center" vertical="center"/>
    </xf>
    <xf numFmtId="0" fontId="18" fillId="0" borderId="24" xfId="0" quotePrefix="1" applyFont="1" applyBorder="1" applyAlignment="1">
      <alignment horizontal="center" vertical="center"/>
    </xf>
    <xf numFmtId="2" fontId="13" fillId="5" borderId="24" xfId="0" quotePrefix="1" applyNumberFormat="1" applyFont="1" applyFill="1" applyBorder="1" applyAlignment="1">
      <alignment horizontal="center" vertical="center"/>
    </xf>
    <xf numFmtId="2" fontId="4" fillId="0" borderId="13" xfId="39" applyNumberFormat="1" applyBorder="1" applyAlignment="1">
      <alignment horizontal="center" vertical="center"/>
    </xf>
    <xf numFmtId="0" fontId="4" fillId="0" borderId="13" xfId="39" applyBorder="1" applyAlignment="1">
      <alignment horizontal="center" vertical="center"/>
    </xf>
    <xf numFmtId="1" fontId="4" fillId="0" borderId="13" xfId="39" applyNumberFormat="1" applyBorder="1" applyAlignment="1">
      <alignment horizontal="center" vertical="center"/>
    </xf>
    <xf numFmtId="1" fontId="18" fillId="0" borderId="9" xfId="0" quotePrefix="1" applyNumberFormat="1" applyFont="1" applyBorder="1" applyAlignment="1">
      <alignment horizontal="center" vertical="center"/>
    </xf>
    <xf numFmtId="1" fontId="3" fillId="0" borderId="9" xfId="0" quotePrefix="1" applyNumberFormat="1" applyFont="1" applyBorder="1" applyAlignment="1">
      <alignment horizontal="center" vertical="center"/>
    </xf>
    <xf numFmtId="1" fontId="0" fillId="0" borderId="13" xfId="0" quotePrefix="1" applyNumberForma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6" borderId="58" xfId="0" applyFont="1" applyFill="1" applyBorder="1" applyAlignment="1">
      <alignment horizontal="center" vertical="center" wrapText="1"/>
    </xf>
    <xf numFmtId="0" fontId="14" fillId="6" borderId="52" xfId="0" applyFont="1" applyFill="1" applyBorder="1" applyAlignment="1">
      <alignment horizontal="center" vertical="center" wrapText="1"/>
    </xf>
    <xf numFmtId="0" fontId="14" fillId="6" borderId="30" xfId="0" applyFont="1" applyFill="1" applyBorder="1" applyAlignment="1">
      <alignment horizontal="center" vertical="center" wrapText="1"/>
    </xf>
    <xf numFmtId="0" fontId="14" fillId="6" borderId="55" xfId="0" applyFont="1" applyFill="1" applyBorder="1" applyAlignment="1">
      <alignment horizontal="center" vertical="center" wrapText="1"/>
    </xf>
    <xf numFmtId="170" fontId="14" fillId="6" borderId="56" xfId="0" applyNumberFormat="1" applyFont="1" applyFill="1" applyBorder="1" applyAlignment="1">
      <alignment horizontal="center" vertical="center" wrapText="1"/>
    </xf>
    <xf numFmtId="170" fontId="14" fillId="6" borderId="2" xfId="0" applyNumberFormat="1" applyFont="1" applyFill="1" applyBorder="1" applyAlignment="1">
      <alignment horizontal="center" vertical="center" wrapText="1"/>
    </xf>
    <xf numFmtId="170" fontId="14" fillId="6" borderId="58" xfId="0" applyNumberFormat="1" applyFont="1" applyFill="1" applyBorder="1" applyAlignment="1">
      <alignment horizontal="center" vertical="center" wrapText="1"/>
    </xf>
    <xf numFmtId="0" fontId="23" fillId="7" borderId="38" xfId="0" applyFont="1" applyFill="1" applyBorder="1" applyAlignment="1">
      <alignment horizontal="right" vertical="center"/>
    </xf>
    <xf numFmtId="0" fontId="23" fillId="7" borderId="39" xfId="0" applyFont="1" applyFill="1" applyBorder="1" applyAlignment="1">
      <alignment horizontal="right" vertical="center"/>
    </xf>
    <xf numFmtId="0" fontId="23" fillId="7" borderId="27" xfId="0" applyFont="1" applyFill="1" applyBorder="1" applyAlignment="1">
      <alignment horizontal="right" vertical="center"/>
    </xf>
    <xf numFmtId="170" fontId="23" fillId="7" borderId="40" xfId="0" applyNumberFormat="1" applyFont="1" applyFill="1" applyBorder="1" applyAlignment="1">
      <alignment horizontal="left" vertical="center"/>
    </xf>
    <xf numFmtId="170" fontId="23" fillId="7" borderId="39" xfId="0" applyNumberFormat="1" applyFont="1" applyFill="1" applyBorder="1" applyAlignment="1">
      <alignment horizontal="left" vertical="center"/>
    </xf>
    <xf numFmtId="170" fontId="23" fillId="7" borderId="51" xfId="0" applyNumberFormat="1" applyFont="1" applyFill="1" applyBorder="1" applyAlignment="1">
      <alignment horizontal="left" vertical="center"/>
    </xf>
    <xf numFmtId="0" fontId="23" fillId="7" borderId="42" xfId="0" applyFont="1" applyFill="1" applyBorder="1" applyAlignment="1">
      <alignment horizontal="center" vertical="center"/>
    </xf>
    <xf numFmtId="0" fontId="23" fillId="7" borderId="57" xfId="0" applyFont="1" applyFill="1" applyBorder="1" applyAlignment="1">
      <alignment horizontal="center" vertical="center"/>
    </xf>
    <xf numFmtId="0" fontId="23" fillId="7" borderId="19" xfId="0" applyFont="1" applyFill="1" applyBorder="1" applyAlignment="1">
      <alignment horizontal="center" vertical="center"/>
    </xf>
    <xf numFmtId="0" fontId="23" fillId="7" borderId="29" xfId="0" applyFont="1" applyFill="1" applyBorder="1" applyAlignment="1">
      <alignment horizontal="center" vertical="center"/>
    </xf>
    <xf numFmtId="0" fontId="23" fillId="8" borderId="36" xfId="0" applyFont="1" applyFill="1" applyBorder="1" applyAlignment="1">
      <alignment horizontal="center" vertical="center" wrapText="1"/>
    </xf>
    <xf numFmtId="0" fontId="23" fillId="8" borderId="28" xfId="0" applyFont="1" applyFill="1" applyBorder="1" applyAlignment="1">
      <alignment horizontal="center" vertical="center" wrapText="1"/>
    </xf>
    <xf numFmtId="166" fontId="23" fillId="8" borderId="36" xfId="0" applyNumberFormat="1" applyFont="1" applyFill="1" applyBorder="1" applyAlignment="1">
      <alignment horizontal="center" vertical="center" wrapText="1"/>
    </xf>
    <xf numFmtId="166" fontId="23" fillId="8" borderId="28" xfId="0" applyNumberFormat="1" applyFont="1" applyFill="1" applyBorder="1" applyAlignment="1">
      <alignment horizontal="center" vertical="center" wrapText="1"/>
    </xf>
    <xf numFmtId="0" fontId="23" fillId="8" borderId="36" xfId="0" applyFont="1" applyFill="1" applyBorder="1" applyAlignment="1">
      <alignment horizontal="center" vertical="center"/>
    </xf>
    <xf numFmtId="0" fontId="23" fillId="8" borderId="28" xfId="0" applyFont="1" applyFill="1" applyBorder="1" applyAlignment="1">
      <alignment horizontal="center" vertical="center"/>
    </xf>
    <xf numFmtId="0" fontId="23" fillId="8" borderId="53" xfId="0" applyFont="1" applyFill="1" applyBorder="1" applyAlignment="1">
      <alignment horizontal="center" vertical="center"/>
    </xf>
    <xf numFmtId="0" fontId="23" fillId="8" borderId="19" xfId="0" applyFont="1" applyFill="1" applyBorder="1" applyAlignment="1">
      <alignment horizontal="center" vertical="center"/>
    </xf>
    <xf numFmtId="0" fontId="23" fillId="8" borderId="29" xfId="0" applyFont="1" applyFill="1" applyBorder="1" applyAlignment="1">
      <alignment horizontal="center" vertical="center"/>
    </xf>
    <xf numFmtId="0" fontId="23" fillId="8" borderId="53" xfId="0" applyFont="1" applyFill="1" applyBorder="1" applyAlignment="1">
      <alignment horizontal="center" vertical="center" wrapText="1"/>
    </xf>
    <xf numFmtId="0" fontId="22" fillId="9" borderId="10" xfId="0" applyFont="1" applyFill="1" applyBorder="1" applyAlignment="1">
      <alignment horizontal="center" vertical="center"/>
    </xf>
    <xf numFmtId="0" fontId="22" fillId="9" borderId="37" xfId="0" applyFont="1" applyFill="1" applyBorder="1" applyAlignment="1">
      <alignment horizontal="center" vertical="center"/>
    </xf>
    <xf numFmtId="0" fontId="22" fillId="9" borderId="53" xfId="0" applyFont="1" applyFill="1" applyBorder="1" applyAlignment="1">
      <alignment horizontal="center" vertical="center"/>
    </xf>
    <xf numFmtId="2" fontId="3" fillId="5" borderId="36" xfId="0" quotePrefix="1" applyNumberFormat="1" applyFont="1" applyFill="1" applyBorder="1" applyAlignment="1">
      <alignment horizontal="center" vertical="center"/>
    </xf>
    <xf numFmtId="2" fontId="0" fillId="5" borderId="28" xfId="0" applyNumberFormat="1" applyFill="1" applyBorder="1" applyAlignment="1">
      <alignment horizontal="center" vertical="center"/>
    </xf>
    <xf numFmtId="2" fontId="0" fillId="5" borderId="36" xfId="0" quotePrefix="1" applyNumberFormat="1" applyFill="1" applyBorder="1" applyAlignment="1">
      <alignment horizontal="center" vertical="center"/>
    </xf>
    <xf numFmtId="2" fontId="0" fillId="5" borderId="53" xfId="0" applyNumberFormat="1" applyFill="1" applyBorder="1" applyAlignment="1">
      <alignment horizontal="center" vertical="center"/>
    </xf>
    <xf numFmtId="0" fontId="23" fillId="7" borderId="60" xfId="0" applyFont="1" applyFill="1" applyBorder="1" applyAlignment="1">
      <alignment horizontal="center" vertical="center"/>
    </xf>
    <xf numFmtId="2" fontId="22" fillId="9" borderId="38" xfId="0" applyNumberFormat="1" applyFont="1" applyFill="1" applyBorder="1" applyAlignment="1">
      <alignment horizontal="center" vertical="center"/>
    </xf>
    <xf numFmtId="2" fontId="22" fillId="9" borderId="39" xfId="0" applyNumberFormat="1" applyFont="1" applyFill="1" applyBorder="1" applyAlignment="1">
      <alignment horizontal="center" vertical="center"/>
    </xf>
    <xf numFmtId="2" fontId="22" fillId="9" borderId="51" xfId="0" applyNumberFormat="1" applyFont="1" applyFill="1" applyBorder="1" applyAlignment="1">
      <alignment horizontal="center" vertical="center"/>
    </xf>
    <xf numFmtId="2" fontId="0" fillId="5" borderId="28" xfId="0" quotePrefix="1" applyNumberFormat="1" applyFill="1" applyBorder="1" applyAlignment="1">
      <alignment horizontal="center" vertical="center"/>
    </xf>
    <xf numFmtId="2" fontId="6" fillId="5" borderId="36" xfId="0" quotePrefix="1" applyNumberFormat="1" applyFont="1" applyFill="1" applyBorder="1" applyAlignment="1">
      <alignment horizontal="center" vertical="center"/>
    </xf>
    <xf numFmtId="2" fontId="0" fillId="5" borderId="53" xfId="0" quotePrefix="1" applyNumberFormat="1" applyFill="1" applyBorder="1" applyAlignment="1">
      <alignment horizontal="center" vertical="center"/>
    </xf>
    <xf numFmtId="2" fontId="2" fillId="5" borderId="36" xfId="0" quotePrefix="1" applyNumberFormat="1" applyFont="1" applyFill="1" applyBorder="1" applyAlignment="1">
      <alignment horizontal="center" vertical="center"/>
    </xf>
    <xf numFmtId="2" fontId="1" fillId="5" borderId="36" xfId="0" quotePrefix="1" applyNumberFormat="1" applyFont="1" applyFill="1" applyBorder="1" applyAlignment="1">
      <alignment horizontal="center" vertical="center"/>
    </xf>
    <xf numFmtId="2" fontId="0" fillId="5" borderId="59" xfId="0" quotePrefix="1" applyNumberFormat="1" applyFill="1" applyBorder="1" applyAlignment="1">
      <alignment horizontal="center" vertical="center"/>
    </xf>
    <xf numFmtId="2" fontId="0" fillId="5" borderId="64" xfId="0" applyNumberFormat="1" applyFill="1" applyBorder="1" applyAlignment="1">
      <alignment horizontal="center" vertical="center"/>
    </xf>
    <xf numFmtId="0" fontId="23" fillId="7" borderId="41" xfId="0" applyFont="1" applyFill="1" applyBorder="1" applyAlignment="1">
      <alignment horizontal="left" vertical="center"/>
    </xf>
    <xf numFmtId="0" fontId="23" fillId="7" borderId="20" xfId="0" applyFont="1" applyFill="1" applyBorder="1" applyAlignment="1">
      <alignment horizontal="left" vertical="center"/>
    </xf>
    <xf numFmtId="0" fontId="23" fillId="7" borderId="61" xfId="0" applyFont="1" applyFill="1" applyBorder="1" applyAlignment="1">
      <alignment horizontal="left" vertical="center"/>
    </xf>
    <xf numFmtId="0" fontId="24" fillId="8" borderId="40" xfId="0" applyFont="1" applyFill="1" applyBorder="1" applyAlignment="1">
      <alignment horizontal="center" vertical="center"/>
    </xf>
    <xf numFmtId="0" fontId="24" fillId="8" borderId="39" xfId="0" applyFont="1" applyFill="1" applyBorder="1" applyAlignment="1">
      <alignment horizontal="center" vertical="center"/>
    </xf>
    <xf numFmtId="0" fontId="24" fillId="8" borderId="27" xfId="0" applyFont="1" applyFill="1" applyBorder="1" applyAlignment="1">
      <alignment horizontal="center" vertical="center"/>
    </xf>
    <xf numFmtId="0" fontId="24" fillId="8" borderId="36" xfId="0" applyFont="1" applyFill="1" applyBorder="1" applyAlignment="1">
      <alignment horizontal="center" vertical="center"/>
    </xf>
    <xf numFmtId="0" fontId="24" fillId="8" borderId="28" xfId="0" applyFont="1" applyFill="1" applyBorder="1" applyAlignment="1">
      <alignment horizontal="center" vertical="center"/>
    </xf>
    <xf numFmtId="0" fontId="14" fillId="8" borderId="40" xfId="0" applyFont="1" applyFill="1" applyBorder="1" applyAlignment="1">
      <alignment horizontal="center" vertical="center"/>
    </xf>
    <xf numFmtId="0" fontId="14" fillId="8" borderId="39" xfId="0" applyFont="1" applyFill="1" applyBorder="1" applyAlignment="1">
      <alignment horizontal="center" vertical="center"/>
    </xf>
    <xf numFmtId="0" fontId="14" fillId="8" borderId="27" xfId="0" applyFont="1" applyFill="1" applyBorder="1" applyAlignment="1">
      <alignment horizontal="center" vertical="center"/>
    </xf>
    <xf numFmtId="0" fontId="23" fillId="8" borderId="40" xfId="0" applyFont="1" applyFill="1" applyBorder="1" applyAlignment="1">
      <alignment horizontal="center" vertical="center"/>
    </xf>
    <xf numFmtId="0" fontId="23" fillId="8" borderId="27" xfId="0" applyFont="1" applyFill="1" applyBorder="1" applyAlignment="1">
      <alignment horizontal="center" vertical="center"/>
    </xf>
    <xf numFmtId="0" fontId="23" fillId="8" borderId="39" xfId="0" applyFont="1" applyFill="1" applyBorder="1" applyAlignment="1">
      <alignment horizontal="center" vertical="center"/>
    </xf>
    <xf numFmtId="0" fontId="23" fillId="8" borderId="5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left" vertical="center"/>
    </xf>
    <xf numFmtId="0" fontId="23" fillId="7" borderId="2" xfId="0" applyFont="1" applyFill="1" applyBorder="1" applyAlignment="1">
      <alignment horizontal="left" vertical="center"/>
    </xf>
    <xf numFmtId="0" fontId="23" fillId="7" borderId="58" xfId="0" applyFont="1" applyFill="1" applyBorder="1" applyAlignment="1">
      <alignment horizontal="left" vertical="center"/>
    </xf>
    <xf numFmtId="0" fontId="24" fillId="8" borderId="7" xfId="0" applyFont="1" applyFill="1" applyBorder="1" applyAlignment="1">
      <alignment horizontal="left" vertical="center" wrapText="1"/>
    </xf>
    <xf numFmtId="0" fontId="24" fillId="8" borderId="4" xfId="0" applyFont="1" applyFill="1" applyBorder="1" applyAlignment="1">
      <alignment horizontal="left" vertical="center" wrapText="1"/>
    </xf>
    <xf numFmtId="0" fontId="24" fillId="8" borderId="42" xfId="0" applyFont="1" applyFill="1" applyBorder="1" applyAlignment="1">
      <alignment horizontal="center" vertical="center"/>
    </xf>
    <xf numFmtId="0" fontId="24" fillId="8" borderId="45" xfId="0" applyFont="1" applyFill="1" applyBorder="1" applyAlignment="1">
      <alignment horizontal="center" vertical="center"/>
    </xf>
    <xf numFmtId="0" fontId="24" fillId="8" borderId="48" xfId="0" applyFont="1" applyFill="1" applyBorder="1" applyAlignment="1">
      <alignment horizontal="center" vertical="center"/>
    </xf>
    <xf numFmtId="0" fontId="24" fillId="8" borderId="42" xfId="0" applyFont="1" applyFill="1" applyBorder="1" applyAlignment="1">
      <alignment horizontal="left" vertical="center" wrapText="1"/>
    </xf>
    <xf numFmtId="0" fontId="24" fillId="8" borderId="48" xfId="0" applyFont="1" applyFill="1" applyBorder="1" applyAlignment="1">
      <alignment horizontal="left" vertical="center" wrapText="1"/>
    </xf>
    <xf numFmtId="0" fontId="23" fillId="8" borderId="42" xfId="0" applyFont="1" applyFill="1" applyBorder="1" applyAlignment="1">
      <alignment horizontal="center" vertical="center" wrapText="1"/>
    </xf>
    <xf numFmtId="0" fontId="23" fillId="8" borderId="4" xfId="0" applyFont="1" applyFill="1" applyBorder="1" applyAlignment="1">
      <alignment horizontal="center" vertical="center" wrapText="1"/>
    </xf>
    <xf numFmtId="0" fontId="24" fillId="8" borderId="43" xfId="0" applyFont="1" applyFill="1" applyBorder="1" applyAlignment="1">
      <alignment horizontal="center" vertical="center"/>
    </xf>
    <xf numFmtId="0" fontId="24" fillId="8" borderId="30" xfId="0" applyFont="1" applyFill="1" applyBorder="1" applyAlignment="1">
      <alignment horizontal="center" vertical="center"/>
    </xf>
    <xf numFmtId="0" fontId="24" fillId="8" borderId="62" xfId="0" applyFont="1" applyFill="1" applyBorder="1" applyAlignment="1">
      <alignment horizontal="center" vertical="center"/>
    </xf>
    <xf numFmtId="0" fontId="24" fillId="8" borderId="46" xfId="0" applyFont="1" applyFill="1" applyBorder="1" applyAlignment="1">
      <alignment horizontal="center" vertical="center"/>
    </xf>
    <xf numFmtId="0" fontId="24" fillId="8" borderId="47" xfId="0" applyFont="1" applyFill="1" applyBorder="1" applyAlignment="1">
      <alignment horizontal="center" vertical="center"/>
    </xf>
    <xf numFmtId="0" fontId="24" fillId="8" borderId="63" xfId="0" applyFont="1" applyFill="1" applyBorder="1" applyAlignment="1">
      <alignment horizontal="center" vertical="center"/>
    </xf>
    <xf numFmtId="0" fontId="23" fillId="0" borderId="52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62" xfId="0" applyFont="1" applyBorder="1" applyAlignment="1">
      <alignment horizontal="center" vertical="center" wrapText="1"/>
    </xf>
    <xf numFmtId="0" fontId="23" fillId="0" borderId="54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6" fillId="0" borderId="62" xfId="0" applyFont="1" applyBorder="1" applyAlignment="1">
      <alignment horizontal="center" vertical="center"/>
    </xf>
    <xf numFmtId="0" fontId="26" fillId="0" borderId="54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61" xfId="0" applyFont="1" applyBorder="1" applyAlignment="1">
      <alignment horizontal="center" vertical="center"/>
    </xf>
    <xf numFmtId="0" fontId="25" fillId="8" borderId="43" xfId="0" applyFont="1" applyFill="1" applyBorder="1" applyAlignment="1">
      <alignment horizontal="center" vertical="center"/>
    </xf>
    <xf numFmtId="0" fontId="25" fillId="8" borderId="30" xfId="0" applyFont="1" applyFill="1" applyBorder="1" applyAlignment="1">
      <alignment horizontal="center" vertical="center"/>
    </xf>
    <xf numFmtId="0" fontId="25" fillId="8" borderId="44" xfId="0" applyFont="1" applyFill="1" applyBorder="1" applyAlignment="1">
      <alignment horizontal="center" vertical="center"/>
    </xf>
    <xf numFmtId="0" fontId="25" fillId="8" borderId="46" xfId="0" applyFont="1" applyFill="1" applyBorder="1" applyAlignment="1">
      <alignment horizontal="center" vertical="center"/>
    </xf>
    <xf numFmtId="0" fontId="25" fillId="8" borderId="47" xfId="0" applyFont="1" applyFill="1" applyBorder="1" applyAlignment="1">
      <alignment horizontal="center" vertical="center"/>
    </xf>
    <xf numFmtId="0" fontId="25" fillId="8" borderId="23" xfId="0" applyFont="1" applyFill="1" applyBorder="1" applyAlignment="1">
      <alignment horizontal="center" vertical="center"/>
    </xf>
    <xf numFmtId="2" fontId="0" fillId="5" borderId="50" xfId="0" applyNumberFormat="1" applyFill="1" applyBorder="1" applyAlignment="1">
      <alignment horizontal="center" vertical="center"/>
    </xf>
    <xf numFmtId="2" fontId="3" fillId="5" borderId="59" xfId="0" quotePrefix="1" applyNumberFormat="1" applyFont="1" applyFill="1" applyBorder="1" applyAlignment="1">
      <alignment horizontal="center" vertical="center"/>
    </xf>
    <xf numFmtId="2" fontId="1" fillId="5" borderId="59" xfId="0" quotePrefix="1" applyNumberFormat="1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 wrapText="1"/>
    </xf>
    <xf numFmtId="0" fontId="12" fillId="3" borderId="28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 wrapText="1"/>
    </xf>
    <xf numFmtId="169" fontId="14" fillId="2" borderId="9" xfId="0" applyNumberFormat="1" applyFont="1" applyFill="1" applyBorder="1" applyAlignment="1">
      <alignment horizontal="center" vertical="center" wrapText="1"/>
    </xf>
    <xf numFmtId="0" fontId="19" fillId="3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168" fontId="20" fillId="3" borderId="9" xfId="0" applyNumberFormat="1" applyFont="1" applyFill="1" applyBorder="1" applyAlignment="1">
      <alignment horizontal="center" vertical="center"/>
    </xf>
    <xf numFmtId="0" fontId="19" fillId="3" borderId="36" xfId="0" applyFont="1" applyFill="1" applyBorder="1" applyAlignment="1">
      <alignment horizontal="center" vertical="center"/>
    </xf>
    <xf numFmtId="0" fontId="19" fillId="3" borderId="28" xfId="0" applyFont="1" applyFill="1" applyBorder="1" applyAlignment="1">
      <alignment horizontal="center" vertical="center"/>
    </xf>
    <xf numFmtId="0" fontId="20" fillId="3" borderId="36" xfId="0" applyFont="1" applyFill="1" applyBorder="1" applyAlignment="1">
      <alignment horizontal="center" vertical="center"/>
    </xf>
    <xf numFmtId="0" fontId="20" fillId="3" borderId="37" xfId="0" applyFont="1" applyFill="1" applyBorder="1" applyAlignment="1">
      <alignment horizontal="center" vertical="center"/>
    </xf>
    <xf numFmtId="0" fontId="20" fillId="3" borderId="28" xfId="0" applyFont="1" applyFill="1" applyBorder="1" applyAlignment="1">
      <alignment horizontal="center" vertical="center"/>
    </xf>
    <xf numFmtId="168" fontId="20" fillId="3" borderId="36" xfId="0" applyNumberFormat="1" applyFont="1" applyFill="1" applyBorder="1" applyAlignment="1">
      <alignment horizontal="center" vertical="center"/>
    </xf>
    <xf numFmtId="168" fontId="20" fillId="3" borderId="37" xfId="0" applyNumberFormat="1" applyFont="1" applyFill="1" applyBorder="1" applyAlignment="1">
      <alignment horizontal="center" vertical="center"/>
    </xf>
    <xf numFmtId="168" fontId="20" fillId="3" borderId="28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0" xfId="0" applyFont="1" applyFill="1" applyBorder="1" applyAlignment="1">
      <alignment horizontal="center" vertical="center" wrapText="1"/>
    </xf>
    <xf numFmtId="17" fontId="14" fillId="2" borderId="32" xfId="0" applyNumberFormat="1" applyFont="1" applyFill="1" applyBorder="1" applyAlignment="1">
      <alignment horizontal="center" vertical="center" wrapText="1"/>
    </xf>
    <xf numFmtId="17" fontId="14" fillId="2" borderId="56" xfId="0" applyNumberFormat="1" applyFont="1" applyFill="1" applyBorder="1" applyAlignment="1">
      <alignment horizontal="center" vertical="center" wrapText="1"/>
    </xf>
    <xf numFmtId="0" fontId="14" fillId="2" borderId="33" xfId="0" applyFont="1" applyFill="1" applyBorder="1" applyAlignment="1">
      <alignment horizontal="center" vertical="center" wrapText="1"/>
    </xf>
    <xf numFmtId="165" fontId="12" fillId="3" borderId="3" xfId="0" applyNumberFormat="1" applyFont="1" applyFill="1" applyBorder="1" applyAlignment="1">
      <alignment horizontal="center" vertical="center" wrapText="1"/>
    </xf>
    <xf numFmtId="165" fontId="12" fillId="3" borderId="6" xfId="0" applyNumberFormat="1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46" xfId="0" applyFont="1" applyFill="1" applyBorder="1" applyAlignment="1">
      <alignment horizontal="center" vertical="center"/>
    </xf>
    <xf numFmtId="0" fontId="15" fillId="3" borderId="21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2" fontId="12" fillId="3" borderId="7" xfId="0" applyNumberFormat="1" applyFont="1" applyFill="1" applyBorder="1" applyAlignment="1">
      <alignment horizontal="center" vertical="center" wrapText="1"/>
    </xf>
    <xf numFmtId="2" fontId="12" fillId="3" borderId="4" xfId="0" applyNumberFormat="1" applyFont="1" applyFill="1" applyBorder="1" applyAlignment="1">
      <alignment horizontal="center" vertical="center" wrapText="1"/>
    </xf>
    <xf numFmtId="2" fontId="16" fillId="3" borderId="8" xfId="0" applyNumberFormat="1" applyFont="1" applyFill="1" applyBorder="1" applyAlignment="1">
      <alignment horizontal="center" vertical="center" wrapText="1"/>
    </xf>
    <xf numFmtId="2" fontId="16" fillId="3" borderId="5" xfId="0" applyNumberFormat="1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4" fillId="2" borderId="58" xfId="0" applyFont="1" applyFill="1" applyBorder="1" applyAlignment="1">
      <alignment horizontal="center" vertical="center" wrapText="1"/>
    </xf>
  </cellXfs>
  <cellStyles count="40">
    <cellStyle name="Comma" xfId="1" builtinId="3"/>
    <cellStyle name="Comma 2" xfId="2" xr:uid="{00000000-0005-0000-0000-000031000000}"/>
    <cellStyle name="Normal" xfId="0" builtinId="0"/>
    <cellStyle name="Normal 10" xfId="3" xr:uid="{00000000-0005-0000-0000-000032000000}"/>
    <cellStyle name="Normal 10 2" xfId="4" xr:uid="{00000000-0005-0000-0000-000033000000}"/>
    <cellStyle name="Normal 11" xfId="5" xr:uid="{00000000-0005-0000-0000-000034000000}"/>
    <cellStyle name="Normal 11 2" xfId="6" xr:uid="{00000000-0005-0000-0000-000035000000}"/>
    <cellStyle name="Normal 12" xfId="7" xr:uid="{00000000-0005-0000-0000-000036000000}"/>
    <cellStyle name="Normal 12 2" xfId="8" xr:uid="{00000000-0005-0000-0000-000037000000}"/>
    <cellStyle name="Normal 13" xfId="9" xr:uid="{00000000-0005-0000-0000-000038000000}"/>
    <cellStyle name="Normal 13 2" xfId="10" xr:uid="{00000000-0005-0000-0000-000039000000}"/>
    <cellStyle name="Normal 14" xfId="11" xr:uid="{00000000-0005-0000-0000-00003A000000}"/>
    <cellStyle name="Normal 15" xfId="12" xr:uid="{00000000-0005-0000-0000-00003B000000}"/>
    <cellStyle name="Normal 16" xfId="13" xr:uid="{00000000-0005-0000-0000-00003C000000}"/>
    <cellStyle name="Normal 17" xfId="14" xr:uid="{00000000-0005-0000-0000-00003D000000}"/>
    <cellStyle name="Normal 18" xfId="15" xr:uid="{00000000-0005-0000-0000-00003E000000}"/>
    <cellStyle name="Normal 19" xfId="32" xr:uid="{C6BF4999-BA6A-4333-ACF7-FEE75DAD148A}"/>
    <cellStyle name="Normal 2" xfId="16" xr:uid="{00000000-0005-0000-0000-00003F000000}"/>
    <cellStyle name="Normal 2 2" xfId="17" xr:uid="{00000000-0005-0000-0000-000040000000}"/>
    <cellStyle name="Normal 2 3" xfId="38" xr:uid="{F17978CD-2CAD-4D2C-B415-537FDB1A6EC0}"/>
    <cellStyle name="Normal 20" xfId="33" xr:uid="{7F78A11F-E9B6-411A-B69B-A08A66E16E9E}"/>
    <cellStyle name="Normal 21" xfId="34" xr:uid="{28C4E1B7-61C8-4A60-AFD9-ACB64A65B2CC}"/>
    <cellStyle name="Normal 22" xfId="35" xr:uid="{D45F66B6-37BD-416D-98E5-1F297AB5F81E}"/>
    <cellStyle name="Normal 23" xfId="36" xr:uid="{F3220284-35E2-4752-8790-5A1D7F5313A8}"/>
    <cellStyle name="Normal 24" xfId="37" xr:uid="{2AC753D1-DC38-423F-9662-85775D0241F9}"/>
    <cellStyle name="Normal 25" xfId="39" xr:uid="{3BF77084-163A-4E03-A586-181CA6301D23}"/>
    <cellStyle name="Normal 3" xfId="18" xr:uid="{00000000-0005-0000-0000-000041000000}"/>
    <cellStyle name="Normal 3 2" xfId="19" xr:uid="{00000000-0005-0000-0000-000042000000}"/>
    <cellStyle name="Normal 4" xfId="20" xr:uid="{00000000-0005-0000-0000-000043000000}"/>
    <cellStyle name="Normal 4 2" xfId="21" xr:uid="{00000000-0005-0000-0000-000044000000}"/>
    <cellStyle name="Normal 5" xfId="22" xr:uid="{00000000-0005-0000-0000-000045000000}"/>
    <cellStyle name="Normal 5 2" xfId="23" xr:uid="{00000000-0005-0000-0000-000046000000}"/>
    <cellStyle name="Normal 6" xfId="24" xr:uid="{00000000-0005-0000-0000-000047000000}"/>
    <cellStyle name="Normal 6 2" xfId="25" xr:uid="{00000000-0005-0000-0000-000048000000}"/>
    <cellStyle name="Normal 7" xfId="26" xr:uid="{00000000-0005-0000-0000-000049000000}"/>
    <cellStyle name="Normal 7 2" xfId="27" xr:uid="{00000000-0005-0000-0000-00004A000000}"/>
    <cellStyle name="Normal 8" xfId="28" xr:uid="{00000000-0005-0000-0000-00004B000000}"/>
    <cellStyle name="Normal 8 2" xfId="29" xr:uid="{00000000-0005-0000-0000-00004C000000}"/>
    <cellStyle name="Normal 9" xfId="30" xr:uid="{00000000-0005-0000-0000-00004D000000}"/>
    <cellStyle name="Normal 9 2" xfId="31" xr:uid="{00000000-0005-0000-0000-00004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</xdr:colOff>
      <xdr:row>1</xdr:row>
      <xdr:rowOff>35717</xdr:rowOff>
    </xdr:from>
    <xdr:to>
      <xdr:col>2</xdr:col>
      <xdr:colOff>380998</xdr:colOff>
      <xdr:row>2</xdr:row>
      <xdr:rowOff>333374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318770" y="235585"/>
          <a:ext cx="995045" cy="716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12701</xdr:colOff>
      <xdr:row>0</xdr:row>
      <xdr:rowOff>0</xdr:rowOff>
    </xdr:from>
    <xdr:ext cx="619548" cy="593211"/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0" y="13335"/>
          <a:ext cx="619125" cy="593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0</xdr:row>
      <xdr:rowOff>0</xdr:rowOff>
    </xdr:from>
    <xdr:ext cx="619548" cy="593211"/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0" y="7928610"/>
          <a:ext cx="619125" cy="593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0</xdr:row>
      <xdr:rowOff>0</xdr:rowOff>
    </xdr:from>
    <xdr:ext cx="619548" cy="593211"/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0" y="16034385"/>
          <a:ext cx="619125" cy="593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0</xdr:row>
      <xdr:rowOff>0</xdr:rowOff>
    </xdr:from>
    <xdr:ext cx="619548" cy="593211"/>
    <xdr:pic>
      <xdr:nvPicPr>
        <xdr:cNvPr id="5" name="Picture 10" descr="http://www.lakecement.com/images/logo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0" y="23949660"/>
          <a:ext cx="619125" cy="593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0</xdr:row>
      <xdr:rowOff>0</xdr:rowOff>
    </xdr:from>
    <xdr:ext cx="619548" cy="593211"/>
    <xdr:pic>
      <xdr:nvPicPr>
        <xdr:cNvPr id="6" name="Picture 10" descr="http://www.lakecement.com/images/logo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0" y="32055435"/>
          <a:ext cx="619125" cy="593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0</xdr:row>
      <xdr:rowOff>0</xdr:rowOff>
    </xdr:from>
    <xdr:ext cx="619548" cy="593211"/>
    <xdr:pic>
      <xdr:nvPicPr>
        <xdr:cNvPr id="7" name="Picture 10" descr="http://www.lakecement.com/images/logo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0" y="40161210"/>
          <a:ext cx="619125" cy="593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0</xdr:row>
      <xdr:rowOff>0</xdr:rowOff>
    </xdr:from>
    <xdr:ext cx="619548" cy="593211"/>
    <xdr:pic>
      <xdr:nvPicPr>
        <xdr:cNvPr id="8" name="Picture 10" descr="http://www.lakecement.com/images/logo.jp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0" y="48076485"/>
          <a:ext cx="619125" cy="593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0</xdr:row>
      <xdr:rowOff>0</xdr:rowOff>
    </xdr:from>
    <xdr:ext cx="619548" cy="593211"/>
    <xdr:pic>
      <xdr:nvPicPr>
        <xdr:cNvPr id="9" name="Picture 10" descr="http://www.lakecement.com/images/logo.jp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0" y="55991760"/>
          <a:ext cx="619125" cy="593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0</xdr:row>
      <xdr:rowOff>13758</xdr:rowOff>
    </xdr:from>
    <xdr:ext cx="619548" cy="593211"/>
    <xdr:pic>
      <xdr:nvPicPr>
        <xdr:cNvPr id="10" name="Picture 10" descr="http://www.lakecement.com/images/logo.jp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0" y="63907035"/>
          <a:ext cx="619125" cy="593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41</xdr:row>
      <xdr:rowOff>13758</xdr:rowOff>
    </xdr:from>
    <xdr:ext cx="619548" cy="593211"/>
    <xdr:pic>
      <xdr:nvPicPr>
        <xdr:cNvPr id="11" name="Picture 10" descr="http://www.lakecement.com/images/logo.jpg">
          <a:extLst>
            <a:ext uri="{FF2B5EF4-FFF2-40B4-BE49-F238E27FC236}">
              <a16:creationId xmlns:a16="http://schemas.microsoft.com/office/drawing/2014/main" id="{D11094E2-21F3-4861-865D-125C3E02A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1" y="13758"/>
          <a:ext cx="619548" cy="593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82</xdr:row>
      <xdr:rowOff>13758</xdr:rowOff>
    </xdr:from>
    <xdr:ext cx="619548" cy="593211"/>
    <xdr:pic>
      <xdr:nvPicPr>
        <xdr:cNvPr id="12" name="Picture 11" descr="http://www.lakecement.com/images/logo.jpg">
          <a:extLst>
            <a:ext uri="{FF2B5EF4-FFF2-40B4-BE49-F238E27FC236}">
              <a16:creationId xmlns:a16="http://schemas.microsoft.com/office/drawing/2014/main" id="{F380FCE6-EB2E-441C-84D3-7D04FD2C7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1" y="8120591"/>
          <a:ext cx="619548" cy="593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120</xdr:row>
      <xdr:rowOff>13758</xdr:rowOff>
    </xdr:from>
    <xdr:ext cx="619548" cy="593211"/>
    <xdr:pic>
      <xdr:nvPicPr>
        <xdr:cNvPr id="13" name="Picture 12" descr="http://www.lakecement.com/images/logo.jpg">
          <a:extLst>
            <a:ext uri="{FF2B5EF4-FFF2-40B4-BE49-F238E27FC236}">
              <a16:creationId xmlns:a16="http://schemas.microsoft.com/office/drawing/2014/main" id="{594A0CE0-A232-42A7-8E21-6D7A776E0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1" y="8120591"/>
          <a:ext cx="619548" cy="593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160</xdr:row>
      <xdr:rowOff>13758</xdr:rowOff>
    </xdr:from>
    <xdr:ext cx="619548" cy="593211"/>
    <xdr:pic>
      <xdr:nvPicPr>
        <xdr:cNvPr id="14" name="Picture 13" descr="http://www.lakecement.com/images/logo.jpg">
          <a:extLst>
            <a:ext uri="{FF2B5EF4-FFF2-40B4-BE49-F238E27FC236}">
              <a16:creationId xmlns:a16="http://schemas.microsoft.com/office/drawing/2014/main" id="{C30E1CDB-5764-4AA5-BB95-0D6A6D013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1" y="8120591"/>
          <a:ext cx="619548" cy="593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200</xdr:row>
      <xdr:rowOff>13758</xdr:rowOff>
    </xdr:from>
    <xdr:ext cx="619548" cy="593211"/>
    <xdr:pic>
      <xdr:nvPicPr>
        <xdr:cNvPr id="15" name="Picture 14" descr="http://www.lakecement.com/images/logo.jpg">
          <a:extLst>
            <a:ext uri="{FF2B5EF4-FFF2-40B4-BE49-F238E27FC236}">
              <a16:creationId xmlns:a16="http://schemas.microsoft.com/office/drawing/2014/main" id="{311C4DAF-43C1-4A89-84DA-886F23D64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1" y="8120591"/>
          <a:ext cx="619548" cy="593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240</xdr:row>
      <xdr:rowOff>13758</xdr:rowOff>
    </xdr:from>
    <xdr:ext cx="619548" cy="593211"/>
    <xdr:pic>
      <xdr:nvPicPr>
        <xdr:cNvPr id="16" name="Picture 15" descr="http://www.lakecement.com/images/logo.jpg">
          <a:extLst>
            <a:ext uri="{FF2B5EF4-FFF2-40B4-BE49-F238E27FC236}">
              <a16:creationId xmlns:a16="http://schemas.microsoft.com/office/drawing/2014/main" id="{C8AE4004-8650-4396-BBF4-772D19C67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1" y="8120591"/>
          <a:ext cx="619548" cy="593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280</xdr:row>
      <xdr:rowOff>13758</xdr:rowOff>
    </xdr:from>
    <xdr:ext cx="619548" cy="593211"/>
    <xdr:pic>
      <xdr:nvPicPr>
        <xdr:cNvPr id="17" name="Picture 16" descr="http://www.lakecement.com/images/logo.jpg">
          <a:extLst>
            <a:ext uri="{FF2B5EF4-FFF2-40B4-BE49-F238E27FC236}">
              <a16:creationId xmlns:a16="http://schemas.microsoft.com/office/drawing/2014/main" id="{676A52C1-A73E-474F-A81C-3AAB4326C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1" y="8120591"/>
          <a:ext cx="619548" cy="593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320</xdr:row>
      <xdr:rowOff>13758</xdr:rowOff>
    </xdr:from>
    <xdr:ext cx="619548" cy="593211"/>
    <xdr:pic>
      <xdr:nvPicPr>
        <xdr:cNvPr id="18" name="Picture 17" descr="http://www.lakecement.com/images/logo.jpg">
          <a:extLst>
            <a:ext uri="{FF2B5EF4-FFF2-40B4-BE49-F238E27FC236}">
              <a16:creationId xmlns:a16="http://schemas.microsoft.com/office/drawing/2014/main" id="{DE109567-327F-4C4E-9DD2-A041BDDA5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1" y="8120591"/>
          <a:ext cx="619548" cy="593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360</xdr:row>
      <xdr:rowOff>13758</xdr:rowOff>
    </xdr:from>
    <xdr:ext cx="619548" cy="593211"/>
    <xdr:pic>
      <xdr:nvPicPr>
        <xdr:cNvPr id="19" name="Picture 18" descr="http://www.lakecement.com/images/logo.jpg">
          <a:extLst>
            <a:ext uri="{FF2B5EF4-FFF2-40B4-BE49-F238E27FC236}">
              <a16:creationId xmlns:a16="http://schemas.microsoft.com/office/drawing/2014/main" id="{674D6E0E-4003-4E80-BE47-215E3751A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1" y="8120591"/>
          <a:ext cx="619548" cy="593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400</xdr:row>
      <xdr:rowOff>13758</xdr:rowOff>
    </xdr:from>
    <xdr:ext cx="619548" cy="593211"/>
    <xdr:pic>
      <xdr:nvPicPr>
        <xdr:cNvPr id="20" name="Picture 19" descr="http://www.lakecement.com/images/logo.jpg">
          <a:extLst>
            <a:ext uri="{FF2B5EF4-FFF2-40B4-BE49-F238E27FC236}">
              <a16:creationId xmlns:a16="http://schemas.microsoft.com/office/drawing/2014/main" id="{31D13711-3079-4DD4-98EF-4D22DBD5B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1" y="8120591"/>
          <a:ext cx="619548" cy="593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440</xdr:row>
      <xdr:rowOff>13758</xdr:rowOff>
    </xdr:from>
    <xdr:ext cx="619548" cy="593211"/>
    <xdr:pic>
      <xdr:nvPicPr>
        <xdr:cNvPr id="21" name="Picture 20" descr="http://www.lakecement.com/images/logo.jpg">
          <a:extLst>
            <a:ext uri="{FF2B5EF4-FFF2-40B4-BE49-F238E27FC236}">
              <a16:creationId xmlns:a16="http://schemas.microsoft.com/office/drawing/2014/main" id="{A4EAC744-786C-47F3-8C91-3B596555D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1" y="8120591"/>
          <a:ext cx="619548" cy="593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12701</xdr:colOff>
      <xdr:row>479</xdr:row>
      <xdr:rowOff>13758</xdr:rowOff>
    </xdr:from>
    <xdr:ext cx="619548" cy="593211"/>
    <xdr:pic>
      <xdr:nvPicPr>
        <xdr:cNvPr id="22" name="Picture 21" descr="http://www.lakecement.com/images/logo.jpg">
          <a:extLst>
            <a:ext uri="{FF2B5EF4-FFF2-40B4-BE49-F238E27FC236}">
              <a16:creationId xmlns:a16="http://schemas.microsoft.com/office/drawing/2014/main" id="{155635EF-6D34-4E29-A640-47C293019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12701" y="87283925"/>
          <a:ext cx="619548" cy="593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28576</xdr:colOff>
      <xdr:row>0</xdr:row>
      <xdr:rowOff>0</xdr:rowOff>
    </xdr:from>
    <xdr:ext cx="685800" cy="873003"/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575" y="8347075"/>
          <a:ext cx="6858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28576</xdr:colOff>
      <xdr:row>0</xdr:row>
      <xdr:rowOff>0</xdr:rowOff>
    </xdr:from>
    <xdr:ext cx="685800" cy="873003"/>
    <xdr:pic>
      <xdr:nvPicPr>
        <xdr:cNvPr id="36" name="Picture 10" descr="http://www.lakecement.com/images/logo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575" y="16671925"/>
          <a:ext cx="6858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28576</xdr:colOff>
      <xdr:row>0</xdr:row>
      <xdr:rowOff>0</xdr:rowOff>
    </xdr:from>
    <xdr:ext cx="685800" cy="873003"/>
    <xdr:pic>
      <xdr:nvPicPr>
        <xdr:cNvPr id="37" name="Picture 10" descr="http://www.lakecement.com/images/logo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575" y="24806275"/>
          <a:ext cx="6858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38101</xdr:colOff>
      <xdr:row>0</xdr:row>
      <xdr:rowOff>0</xdr:rowOff>
    </xdr:from>
    <xdr:ext cx="685800" cy="873003"/>
    <xdr:pic>
      <xdr:nvPicPr>
        <xdr:cNvPr id="38" name="Picture 10" descr="http://www.lakecement.com/images/logo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38100" y="33178750"/>
          <a:ext cx="6858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28576</xdr:colOff>
      <xdr:row>0</xdr:row>
      <xdr:rowOff>0</xdr:rowOff>
    </xdr:from>
    <xdr:ext cx="685800" cy="873003"/>
    <xdr:pic>
      <xdr:nvPicPr>
        <xdr:cNvPr id="39" name="Picture 10" descr="http://www.lakecement.com/images/logo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575" y="41475025"/>
          <a:ext cx="6858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28576</xdr:colOff>
      <xdr:row>0</xdr:row>
      <xdr:rowOff>0</xdr:rowOff>
    </xdr:from>
    <xdr:ext cx="685800" cy="873003"/>
    <xdr:pic>
      <xdr:nvPicPr>
        <xdr:cNvPr id="40" name="Picture 10" descr="http://www.lakecement.com/images/logo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575" y="49609375"/>
          <a:ext cx="6858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0</xdr:row>
      <xdr:rowOff>0</xdr:rowOff>
    </xdr:from>
    <xdr:ext cx="685800" cy="873003"/>
    <xdr:pic>
      <xdr:nvPicPr>
        <xdr:cNvPr id="41" name="Picture 10" descr="http://www.lakecement.com/images/logo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57553347"/>
          <a:ext cx="68580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28576</xdr:colOff>
      <xdr:row>0</xdr:row>
      <xdr:rowOff>22347</xdr:rowOff>
    </xdr:from>
    <xdr:ext cx="685800" cy="873003"/>
    <xdr:pic>
      <xdr:nvPicPr>
        <xdr:cNvPr id="42" name="Picture 10" descr="http://www.lakecement.com/images/logo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575" y="66259075"/>
          <a:ext cx="6858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28576</xdr:colOff>
      <xdr:row>0</xdr:row>
      <xdr:rowOff>0</xdr:rowOff>
    </xdr:from>
    <xdr:ext cx="685800" cy="873003"/>
    <xdr:pic>
      <xdr:nvPicPr>
        <xdr:cNvPr id="43" name="Picture 10" descr="http://www.lakecement.com/images/logo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575" y="22225"/>
          <a:ext cx="6858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42</xdr:row>
      <xdr:rowOff>190500</xdr:rowOff>
    </xdr:from>
    <xdr:ext cx="666750" cy="904875"/>
    <xdr:pic>
      <xdr:nvPicPr>
        <xdr:cNvPr id="12" name="Picture 11" descr="http://www.lakecement.com/images/logo.jpg">
          <a:extLst>
            <a:ext uri="{FF2B5EF4-FFF2-40B4-BE49-F238E27FC236}">
              <a16:creationId xmlns:a16="http://schemas.microsoft.com/office/drawing/2014/main" id="{1548F3BF-3E29-4B86-9B27-C250A46EC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8477250"/>
          <a:ext cx="66675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85</xdr:row>
      <xdr:rowOff>9525</xdr:rowOff>
    </xdr:from>
    <xdr:ext cx="657225" cy="962025"/>
    <xdr:pic>
      <xdr:nvPicPr>
        <xdr:cNvPr id="13" name="Picture 12" descr="http://www.lakecement.com/images/logo.jpg">
          <a:extLst>
            <a:ext uri="{FF2B5EF4-FFF2-40B4-BE49-F238E27FC236}">
              <a16:creationId xmlns:a16="http://schemas.microsoft.com/office/drawing/2014/main" id="{24075894-C1EC-41E5-A78F-C0EADA1EE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17116425"/>
          <a:ext cx="6572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124</xdr:row>
      <xdr:rowOff>9525</xdr:rowOff>
    </xdr:from>
    <xdr:ext cx="657225" cy="904875"/>
    <xdr:pic>
      <xdr:nvPicPr>
        <xdr:cNvPr id="14" name="Picture 13" descr="http://www.lakecement.com/images/logo.jpg">
          <a:extLst>
            <a:ext uri="{FF2B5EF4-FFF2-40B4-BE49-F238E27FC236}">
              <a16:creationId xmlns:a16="http://schemas.microsoft.com/office/drawing/2014/main" id="{11B7CFA7-BF9C-4EEE-837F-043F6D7DE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25003125"/>
          <a:ext cx="65722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165</xdr:row>
      <xdr:rowOff>190501</xdr:rowOff>
    </xdr:from>
    <xdr:ext cx="657225" cy="914400"/>
    <xdr:pic>
      <xdr:nvPicPr>
        <xdr:cNvPr id="15" name="Picture 14" descr="http://www.lakecement.com/images/logo.jpg">
          <a:extLst>
            <a:ext uri="{FF2B5EF4-FFF2-40B4-BE49-F238E27FC236}">
              <a16:creationId xmlns:a16="http://schemas.microsoft.com/office/drawing/2014/main" id="{657A538A-20C4-4396-84FF-A7ECCA165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33442276"/>
          <a:ext cx="657225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207</xdr:row>
      <xdr:rowOff>180975</xdr:rowOff>
    </xdr:from>
    <xdr:ext cx="657225" cy="962025"/>
    <xdr:pic>
      <xdr:nvPicPr>
        <xdr:cNvPr id="16" name="Picture 15" descr="http://www.lakecement.com/images/logo.jpg">
          <a:extLst>
            <a:ext uri="{FF2B5EF4-FFF2-40B4-BE49-F238E27FC236}">
              <a16:creationId xmlns:a16="http://schemas.microsoft.com/office/drawing/2014/main" id="{5BC5FA7A-2282-40FF-B2EC-D72EDB6FC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41890950"/>
          <a:ext cx="6572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250</xdr:row>
      <xdr:rowOff>19051</xdr:rowOff>
    </xdr:from>
    <xdr:ext cx="657225" cy="914400"/>
    <xdr:pic>
      <xdr:nvPicPr>
        <xdr:cNvPr id="17" name="Picture 16" descr="http://www.lakecement.com/images/logo.jpg">
          <a:extLst>
            <a:ext uri="{FF2B5EF4-FFF2-40B4-BE49-F238E27FC236}">
              <a16:creationId xmlns:a16="http://schemas.microsoft.com/office/drawing/2014/main" id="{92D0BB25-31B8-43D0-B6F0-30E786DFE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50387251"/>
          <a:ext cx="657225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292</xdr:row>
      <xdr:rowOff>9526</xdr:rowOff>
    </xdr:from>
    <xdr:ext cx="657225" cy="952500"/>
    <xdr:pic>
      <xdr:nvPicPr>
        <xdr:cNvPr id="18" name="Picture 17" descr="http://www.lakecement.com/images/logo.jpg">
          <a:extLst>
            <a:ext uri="{FF2B5EF4-FFF2-40B4-BE49-F238E27FC236}">
              <a16:creationId xmlns:a16="http://schemas.microsoft.com/office/drawing/2014/main" id="{C7748966-CD30-4FCF-B2EF-4E3EE8ED5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58835926"/>
          <a:ext cx="6572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334</xdr:row>
      <xdr:rowOff>9526</xdr:rowOff>
    </xdr:from>
    <xdr:ext cx="657225" cy="952500"/>
    <xdr:pic>
      <xdr:nvPicPr>
        <xdr:cNvPr id="19" name="Picture 18" descr="http://www.lakecement.com/images/logo.jpg">
          <a:extLst>
            <a:ext uri="{FF2B5EF4-FFF2-40B4-BE49-F238E27FC236}">
              <a16:creationId xmlns:a16="http://schemas.microsoft.com/office/drawing/2014/main" id="{0289C6A1-1D77-4EC5-B590-8D2B9F30A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67294126"/>
          <a:ext cx="6572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376</xdr:row>
      <xdr:rowOff>19051</xdr:rowOff>
    </xdr:from>
    <xdr:ext cx="657225" cy="895350"/>
    <xdr:pic>
      <xdr:nvPicPr>
        <xdr:cNvPr id="20" name="Picture 19" descr="http://www.lakecement.com/images/logo.jpg">
          <a:extLst>
            <a:ext uri="{FF2B5EF4-FFF2-40B4-BE49-F238E27FC236}">
              <a16:creationId xmlns:a16="http://schemas.microsoft.com/office/drawing/2014/main" id="{E3B6526F-34B4-45C9-8732-1E4897482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75761851"/>
          <a:ext cx="6572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418</xdr:row>
      <xdr:rowOff>19051</xdr:rowOff>
    </xdr:from>
    <xdr:ext cx="657225" cy="914400"/>
    <xdr:pic>
      <xdr:nvPicPr>
        <xdr:cNvPr id="21" name="Picture 20" descr="http://www.lakecement.com/images/logo.jpg">
          <a:extLst>
            <a:ext uri="{FF2B5EF4-FFF2-40B4-BE49-F238E27FC236}">
              <a16:creationId xmlns:a16="http://schemas.microsoft.com/office/drawing/2014/main" id="{4BEF399D-C882-4050-B8B8-C78C8E1C0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84220051"/>
          <a:ext cx="657225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460</xdr:row>
      <xdr:rowOff>0</xdr:rowOff>
    </xdr:from>
    <xdr:ext cx="657225" cy="904875"/>
    <xdr:pic>
      <xdr:nvPicPr>
        <xdr:cNvPr id="22" name="Picture 21" descr="http://www.lakecement.com/images/logo.jpg">
          <a:extLst>
            <a:ext uri="{FF2B5EF4-FFF2-40B4-BE49-F238E27FC236}">
              <a16:creationId xmlns:a16="http://schemas.microsoft.com/office/drawing/2014/main" id="{52C92B9A-50F5-4DC2-BFBE-587566977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92659200"/>
          <a:ext cx="65722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502</xdr:row>
      <xdr:rowOff>9526</xdr:rowOff>
    </xdr:from>
    <xdr:ext cx="657225" cy="876300"/>
    <xdr:pic>
      <xdr:nvPicPr>
        <xdr:cNvPr id="23" name="Picture 22" descr="http://www.lakecement.com/images/logo.jpg">
          <a:extLst>
            <a:ext uri="{FF2B5EF4-FFF2-40B4-BE49-F238E27FC236}">
              <a16:creationId xmlns:a16="http://schemas.microsoft.com/office/drawing/2014/main" id="{024A8B28-91A5-4788-AA9F-9D420BFB8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101126926"/>
          <a:ext cx="65722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28576</xdr:colOff>
      <xdr:row>0</xdr:row>
      <xdr:rowOff>0</xdr:rowOff>
    </xdr:from>
    <xdr:ext cx="685800" cy="873003"/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575" y="8642350"/>
          <a:ext cx="6858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28576</xdr:colOff>
      <xdr:row>0</xdr:row>
      <xdr:rowOff>0</xdr:rowOff>
    </xdr:from>
    <xdr:ext cx="685800" cy="873003"/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575" y="17262475"/>
          <a:ext cx="6858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28576</xdr:colOff>
      <xdr:row>0</xdr:row>
      <xdr:rowOff>0</xdr:rowOff>
    </xdr:from>
    <xdr:ext cx="685800" cy="873003"/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575" y="25692100"/>
          <a:ext cx="6858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28576</xdr:colOff>
      <xdr:row>0</xdr:row>
      <xdr:rowOff>0</xdr:rowOff>
    </xdr:from>
    <xdr:ext cx="685800" cy="873003"/>
    <xdr:pic>
      <xdr:nvPicPr>
        <xdr:cNvPr id="5" name="Picture 10" descr="http://www.lakecement.com/images/logo.jp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575" y="34312225"/>
          <a:ext cx="6858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28576</xdr:colOff>
      <xdr:row>0</xdr:row>
      <xdr:rowOff>0</xdr:rowOff>
    </xdr:from>
    <xdr:ext cx="685800" cy="873003"/>
    <xdr:pic>
      <xdr:nvPicPr>
        <xdr:cNvPr id="6" name="Picture 10" descr="http://www.lakecement.com/images/logo.jp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575" y="42932350"/>
          <a:ext cx="6858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28576</xdr:colOff>
      <xdr:row>0</xdr:row>
      <xdr:rowOff>0</xdr:rowOff>
    </xdr:from>
    <xdr:ext cx="685800" cy="873003"/>
    <xdr:pic>
      <xdr:nvPicPr>
        <xdr:cNvPr id="7" name="Picture 10" descr="http://www.lakecement.com/images/logo.jp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575" y="51361975"/>
          <a:ext cx="6858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28576</xdr:colOff>
      <xdr:row>0</xdr:row>
      <xdr:rowOff>0</xdr:rowOff>
    </xdr:from>
    <xdr:ext cx="685800" cy="873003"/>
    <xdr:pic>
      <xdr:nvPicPr>
        <xdr:cNvPr id="8" name="Picture 10" descr="http://www.lakecement.com/images/logo.jp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575" y="59982100"/>
          <a:ext cx="6858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28576</xdr:colOff>
      <xdr:row>0</xdr:row>
      <xdr:rowOff>22347</xdr:rowOff>
    </xdr:from>
    <xdr:ext cx="685800" cy="873003"/>
    <xdr:pic>
      <xdr:nvPicPr>
        <xdr:cNvPr id="9" name="Picture 10" descr="http://www.lakecement.com/images/logo.jp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575" y="68602225"/>
          <a:ext cx="6858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28576</xdr:colOff>
      <xdr:row>0</xdr:row>
      <xdr:rowOff>0</xdr:rowOff>
    </xdr:from>
    <xdr:ext cx="609599" cy="873003"/>
    <xdr:pic>
      <xdr:nvPicPr>
        <xdr:cNvPr id="10" name="Picture 10" descr="http://www.lakecement.com/images/logo.jp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576" y="0"/>
          <a:ext cx="609599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41</xdr:row>
      <xdr:rowOff>193797</xdr:rowOff>
    </xdr:from>
    <xdr:ext cx="628650" cy="873003"/>
    <xdr:pic>
      <xdr:nvPicPr>
        <xdr:cNvPr id="11" name="Picture 10" descr="http://www.lakecement.com/images/logo.jpg">
          <a:extLst>
            <a:ext uri="{FF2B5EF4-FFF2-40B4-BE49-F238E27FC236}">
              <a16:creationId xmlns:a16="http://schemas.microsoft.com/office/drawing/2014/main" id="{3ACE0F67-089C-4793-8917-47E686BD4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8461497"/>
          <a:ext cx="62865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83</xdr:row>
      <xdr:rowOff>193797</xdr:rowOff>
    </xdr:from>
    <xdr:ext cx="638174" cy="1025403"/>
    <xdr:pic>
      <xdr:nvPicPr>
        <xdr:cNvPr id="13" name="Picture 12" descr="http://www.lakecement.com/images/logo.jpg">
          <a:extLst>
            <a:ext uri="{FF2B5EF4-FFF2-40B4-BE49-F238E27FC236}">
              <a16:creationId xmlns:a16="http://schemas.microsoft.com/office/drawing/2014/main" id="{879D413A-4D06-472F-A20D-F87DD5C4A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16967322"/>
          <a:ext cx="638174" cy="10254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123</xdr:row>
      <xdr:rowOff>22347</xdr:rowOff>
    </xdr:from>
    <xdr:ext cx="619125" cy="873003"/>
    <xdr:pic>
      <xdr:nvPicPr>
        <xdr:cNvPr id="14" name="Picture 13" descr="http://www.lakecement.com/images/logo.jpg">
          <a:extLst>
            <a:ext uri="{FF2B5EF4-FFF2-40B4-BE49-F238E27FC236}">
              <a16:creationId xmlns:a16="http://schemas.microsoft.com/office/drawing/2014/main" id="{AE9AC21E-3075-4166-BCCE-B45B49F33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25101672"/>
          <a:ext cx="619125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165</xdr:row>
      <xdr:rowOff>31872</xdr:rowOff>
    </xdr:from>
    <xdr:ext cx="638175" cy="873003"/>
    <xdr:pic>
      <xdr:nvPicPr>
        <xdr:cNvPr id="15" name="Picture 14" descr="http://www.lakecement.com/images/logo.jpg">
          <a:extLst>
            <a:ext uri="{FF2B5EF4-FFF2-40B4-BE49-F238E27FC236}">
              <a16:creationId xmlns:a16="http://schemas.microsoft.com/office/drawing/2014/main" id="{447A7371-AC25-48CE-8684-C67262399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33407472"/>
          <a:ext cx="638175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207</xdr:row>
      <xdr:rowOff>3297</xdr:rowOff>
    </xdr:from>
    <xdr:ext cx="638175" cy="873003"/>
    <xdr:pic>
      <xdr:nvPicPr>
        <xdr:cNvPr id="16" name="Picture 15" descr="http://www.lakecement.com/images/logo.jpg">
          <a:extLst>
            <a:ext uri="{FF2B5EF4-FFF2-40B4-BE49-F238E27FC236}">
              <a16:creationId xmlns:a16="http://schemas.microsoft.com/office/drawing/2014/main" id="{FA8D2FE5-DB1D-4BE0-B7C0-6C8DEA7C2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41675172"/>
          <a:ext cx="638175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249</xdr:row>
      <xdr:rowOff>3297</xdr:rowOff>
    </xdr:from>
    <xdr:ext cx="628650" cy="873003"/>
    <xdr:pic>
      <xdr:nvPicPr>
        <xdr:cNvPr id="17" name="Picture 16" descr="http://www.lakecement.com/images/logo.jpg">
          <a:extLst>
            <a:ext uri="{FF2B5EF4-FFF2-40B4-BE49-F238E27FC236}">
              <a16:creationId xmlns:a16="http://schemas.microsoft.com/office/drawing/2014/main" id="{DA82BDC0-A769-4CE6-A25B-002774D29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49971447"/>
          <a:ext cx="62865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291</xdr:row>
      <xdr:rowOff>12822</xdr:rowOff>
    </xdr:from>
    <xdr:ext cx="628650" cy="873003"/>
    <xdr:pic>
      <xdr:nvPicPr>
        <xdr:cNvPr id="18" name="Picture 17" descr="http://www.lakecement.com/images/logo.jpg">
          <a:extLst>
            <a:ext uri="{FF2B5EF4-FFF2-40B4-BE49-F238E27FC236}">
              <a16:creationId xmlns:a16="http://schemas.microsoft.com/office/drawing/2014/main" id="{39005CF1-1569-40B0-892A-4BA0FFE0A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58277247"/>
          <a:ext cx="62865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333</xdr:row>
      <xdr:rowOff>22347</xdr:rowOff>
    </xdr:from>
    <xdr:ext cx="628650" cy="873003"/>
    <xdr:pic>
      <xdr:nvPicPr>
        <xdr:cNvPr id="19" name="Picture 18" descr="http://www.lakecement.com/images/logo.jpg">
          <a:extLst>
            <a:ext uri="{FF2B5EF4-FFF2-40B4-BE49-F238E27FC236}">
              <a16:creationId xmlns:a16="http://schemas.microsoft.com/office/drawing/2014/main" id="{01959DD1-A92B-4394-80A7-D8AEE2110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66583047"/>
          <a:ext cx="62865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375</xdr:row>
      <xdr:rowOff>12822</xdr:rowOff>
    </xdr:from>
    <xdr:ext cx="638175" cy="873003"/>
    <xdr:pic>
      <xdr:nvPicPr>
        <xdr:cNvPr id="20" name="Picture 19" descr="http://www.lakecement.com/images/logo.jpg">
          <a:extLst>
            <a:ext uri="{FF2B5EF4-FFF2-40B4-BE49-F238E27FC236}">
              <a16:creationId xmlns:a16="http://schemas.microsoft.com/office/drawing/2014/main" id="{67B8E446-9539-47B6-896A-328822F50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74869797"/>
          <a:ext cx="638175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417</xdr:row>
      <xdr:rowOff>12822</xdr:rowOff>
    </xdr:from>
    <xdr:ext cx="619125" cy="873003"/>
    <xdr:pic>
      <xdr:nvPicPr>
        <xdr:cNvPr id="21" name="Picture 20" descr="http://www.lakecement.com/images/logo.jpg">
          <a:extLst>
            <a:ext uri="{FF2B5EF4-FFF2-40B4-BE49-F238E27FC236}">
              <a16:creationId xmlns:a16="http://schemas.microsoft.com/office/drawing/2014/main" id="{DD9C61F4-FEBA-443E-A192-292912F92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83166072"/>
          <a:ext cx="619125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459</xdr:row>
      <xdr:rowOff>22347</xdr:rowOff>
    </xdr:from>
    <xdr:ext cx="628650" cy="873003"/>
    <xdr:pic>
      <xdr:nvPicPr>
        <xdr:cNvPr id="22" name="Picture 21" descr="http://www.lakecement.com/images/logo.jpg">
          <a:extLst>
            <a:ext uri="{FF2B5EF4-FFF2-40B4-BE49-F238E27FC236}">
              <a16:creationId xmlns:a16="http://schemas.microsoft.com/office/drawing/2014/main" id="{9045912E-8090-47DE-8EE7-5373BCC76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91471872"/>
          <a:ext cx="62865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501</xdr:row>
      <xdr:rowOff>12822</xdr:rowOff>
    </xdr:from>
    <xdr:ext cx="600075" cy="873003"/>
    <xdr:pic>
      <xdr:nvPicPr>
        <xdr:cNvPr id="24" name="Picture 23" descr="http://www.lakecement.com/images/logo.jpg">
          <a:extLst>
            <a:ext uri="{FF2B5EF4-FFF2-40B4-BE49-F238E27FC236}">
              <a16:creationId xmlns:a16="http://schemas.microsoft.com/office/drawing/2014/main" id="{74CEB23D-0103-438E-BCF8-6E190EF38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99758622"/>
          <a:ext cx="600075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19050</xdr:rowOff>
    </xdr:from>
    <xdr:ext cx="609600" cy="777754"/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19050"/>
          <a:ext cx="609600" cy="777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42</xdr:row>
      <xdr:rowOff>142875</xdr:rowOff>
    </xdr:from>
    <xdr:ext cx="609600" cy="777754"/>
    <xdr:pic>
      <xdr:nvPicPr>
        <xdr:cNvPr id="11" name="Picture 10" descr="http://www.lakecement.com/images/logo.jpg">
          <a:extLst>
            <a:ext uri="{FF2B5EF4-FFF2-40B4-BE49-F238E27FC236}">
              <a16:creationId xmlns:a16="http://schemas.microsoft.com/office/drawing/2014/main" id="{3190D8EC-5CA7-471C-BDCE-7AE853B32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342900"/>
          <a:ext cx="609600" cy="777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84</xdr:row>
      <xdr:rowOff>142875</xdr:rowOff>
    </xdr:from>
    <xdr:ext cx="609600" cy="777754"/>
    <xdr:pic>
      <xdr:nvPicPr>
        <xdr:cNvPr id="12" name="Picture 11" descr="http://www.lakecement.com/images/logo.jpg">
          <a:extLst>
            <a:ext uri="{FF2B5EF4-FFF2-40B4-BE49-F238E27FC236}">
              <a16:creationId xmlns:a16="http://schemas.microsoft.com/office/drawing/2014/main" id="{70E9D0D1-0635-4074-9849-B6A5F7FF6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8924925"/>
          <a:ext cx="609600" cy="777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126</xdr:row>
      <xdr:rowOff>142875</xdr:rowOff>
    </xdr:from>
    <xdr:ext cx="609600" cy="777754"/>
    <xdr:pic>
      <xdr:nvPicPr>
        <xdr:cNvPr id="13" name="Picture 12" descr="http://www.lakecement.com/images/logo.jpg">
          <a:extLst>
            <a:ext uri="{FF2B5EF4-FFF2-40B4-BE49-F238E27FC236}">
              <a16:creationId xmlns:a16="http://schemas.microsoft.com/office/drawing/2014/main" id="{B3B79AD8-C516-4CD1-93C0-38F99802F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8924925"/>
          <a:ext cx="609600" cy="777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168</xdr:row>
      <xdr:rowOff>142875</xdr:rowOff>
    </xdr:from>
    <xdr:ext cx="609600" cy="777754"/>
    <xdr:pic>
      <xdr:nvPicPr>
        <xdr:cNvPr id="14" name="Picture 13" descr="http://www.lakecement.com/images/logo.jpg">
          <a:extLst>
            <a:ext uri="{FF2B5EF4-FFF2-40B4-BE49-F238E27FC236}">
              <a16:creationId xmlns:a16="http://schemas.microsoft.com/office/drawing/2014/main" id="{4FFBF7F7-E334-4E76-A88F-8619CAB37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8924925"/>
          <a:ext cx="609600" cy="777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210</xdr:row>
      <xdr:rowOff>142875</xdr:rowOff>
    </xdr:from>
    <xdr:ext cx="609600" cy="777754"/>
    <xdr:pic>
      <xdr:nvPicPr>
        <xdr:cNvPr id="15" name="Picture 14" descr="http://www.lakecement.com/images/logo.jpg">
          <a:extLst>
            <a:ext uri="{FF2B5EF4-FFF2-40B4-BE49-F238E27FC236}">
              <a16:creationId xmlns:a16="http://schemas.microsoft.com/office/drawing/2014/main" id="{295AA7A8-7EE0-4B0E-9C30-7FBA5CF29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8924925"/>
          <a:ext cx="609600" cy="777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252</xdr:row>
      <xdr:rowOff>142875</xdr:rowOff>
    </xdr:from>
    <xdr:ext cx="609600" cy="777754"/>
    <xdr:pic>
      <xdr:nvPicPr>
        <xdr:cNvPr id="16" name="Picture 15" descr="http://www.lakecement.com/images/logo.jpg">
          <a:extLst>
            <a:ext uri="{FF2B5EF4-FFF2-40B4-BE49-F238E27FC236}">
              <a16:creationId xmlns:a16="http://schemas.microsoft.com/office/drawing/2014/main" id="{809E31B4-2C13-448A-9BD7-6D762DA6E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8924925"/>
          <a:ext cx="609600" cy="777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294</xdr:row>
      <xdr:rowOff>142875</xdr:rowOff>
    </xdr:from>
    <xdr:ext cx="609600" cy="777754"/>
    <xdr:pic>
      <xdr:nvPicPr>
        <xdr:cNvPr id="17" name="Picture 16" descr="http://www.lakecement.com/images/logo.jpg">
          <a:extLst>
            <a:ext uri="{FF2B5EF4-FFF2-40B4-BE49-F238E27FC236}">
              <a16:creationId xmlns:a16="http://schemas.microsoft.com/office/drawing/2014/main" id="{0AACEE81-390A-4FEB-8155-DFFD05BC9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8924925"/>
          <a:ext cx="609600" cy="777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336</xdr:row>
      <xdr:rowOff>142875</xdr:rowOff>
    </xdr:from>
    <xdr:ext cx="609600" cy="777754"/>
    <xdr:pic>
      <xdr:nvPicPr>
        <xdr:cNvPr id="18" name="Picture 17" descr="http://www.lakecement.com/images/logo.jpg">
          <a:extLst>
            <a:ext uri="{FF2B5EF4-FFF2-40B4-BE49-F238E27FC236}">
              <a16:creationId xmlns:a16="http://schemas.microsoft.com/office/drawing/2014/main" id="{BF73B0D6-F2A5-4D50-A5E9-795E5DDFB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8924925"/>
          <a:ext cx="609600" cy="777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378</xdr:row>
      <xdr:rowOff>142875</xdr:rowOff>
    </xdr:from>
    <xdr:ext cx="609600" cy="777754"/>
    <xdr:pic>
      <xdr:nvPicPr>
        <xdr:cNvPr id="19" name="Picture 18" descr="http://www.lakecement.com/images/logo.jpg">
          <a:extLst>
            <a:ext uri="{FF2B5EF4-FFF2-40B4-BE49-F238E27FC236}">
              <a16:creationId xmlns:a16="http://schemas.microsoft.com/office/drawing/2014/main" id="{B28BDEDA-C9EA-4E02-BC18-FE354E01D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8924925"/>
          <a:ext cx="609600" cy="777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420</xdr:row>
      <xdr:rowOff>142875</xdr:rowOff>
    </xdr:from>
    <xdr:ext cx="609600" cy="777754"/>
    <xdr:pic>
      <xdr:nvPicPr>
        <xdr:cNvPr id="20" name="Picture 19" descr="http://www.lakecement.com/images/logo.jpg">
          <a:extLst>
            <a:ext uri="{FF2B5EF4-FFF2-40B4-BE49-F238E27FC236}">
              <a16:creationId xmlns:a16="http://schemas.microsoft.com/office/drawing/2014/main" id="{0A2B21F1-622A-4A21-B458-5974EE4FC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8924925"/>
          <a:ext cx="609600" cy="777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462</xdr:row>
      <xdr:rowOff>142875</xdr:rowOff>
    </xdr:from>
    <xdr:ext cx="609600" cy="777754"/>
    <xdr:pic>
      <xdr:nvPicPr>
        <xdr:cNvPr id="21" name="Picture 20" descr="http://www.lakecement.com/images/logo.jpg">
          <a:extLst>
            <a:ext uri="{FF2B5EF4-FFF2-40B4-BE49-F238E27FC236}">
              <a16:creationId xmlns:a16="http://schemas.microsoft.com/office/drawing/2014/main" id="{9D22C904-50B4-49E3-A2EA-609271C60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8924925"/>
          <a:ext cx="609600" cy="777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504</xdr:row>
      <xdr:rowOff>142875</xdr:rowOff>
    </xdr:from>
    <xdr:ext cx="609600" cy="777754"/>
    <xdr:pic>
      <xdr:nvPicPr>
        <xdr:cNvPr id="22" name="Picture 21" descr="http://www.lakecement.com/images/logo.jpg">
          <a:extLst>
            <a:ext uri="{FF2B5EF4-FFF2-40B4-BE49-F238E27FC236}">
              <a16:creationId xmlns:a16="http://schemas.microsoft.com/office/drawing/2014/main" id="{FDBD6EA4-E98D-4D1F-95DE-BD86AAC83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8924925"/>
          <a:ext cx="609600" cy="777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28576</xdr:colOff>
      <xdr:row>0</xdr:row>
      <xdr:rowOff>0</xdr:rowOff>
    </xdr:from>
    <xdr:ext cx="685800" cy="873003"/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8575" y="8642350"/>
          <a:ext cx="6858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41</xdr:row>
      <xdr:rowOff>193797</xdr:rowOff>
    </xdr:from>
    <xdr:ext cx="609600" cy="873003"/>
    <xdr:pic>
      <xdr:nvPicPr>
        <xdr:cNvPr id="11" name="Picture 10" descr="http://www.lakecement.com/images/logo.jpg">
          <a:extLst>
            <a:ext uri="{FF2B5EF4-FFF2-40B4-BE49-F238E27FC236}">
              <a16:creationId xmlns:a16="http://schemas.microsoft.com/office/drawing/2014/main" id="{98DD2B63-3F6F-4E14-8EBA-5895F6580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8594847"/>
          <a:ext cx="60960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9526</xdr:colOff>
      <xdr:row>84</xdr:row>
      <xdr:rowOff>22347</xdr:rowOff>
    </xdr:from>
    <xdr:ext cx="685800" cy="873003"/>
    <xdr:pic>
      <xdr:nvPicPr>
        <xdr:cNvPr id="12" name="Picture 11" descr="http://www.lakecement.com/images/logo.jpg">
          <a:extLst>
            <a:ext uri="{FF2B5EF4-FFF2-40B4-BE49-F238E27FC236}">
              <a16:creationId xmlns:a16="http://schemas.microsoft.com/office/drawing/2014/main" id="{D5A5D23A-16B5-455D-AD4B-DBD76D015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9526" y="17262597"/>
          <a:ext cx="68580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123</xdr:row>
      <xdr:rowOff>41397</xdr:rowOff>
    </xdr:from>
    <xdr:ext cx="685800" cy="873003"/>
    <xdr:pic>
      <xdr:nvPicPr>
        <xdr:cNvPr id="13" name="Picture 12" descr="http://www.lakecement.com/images/logo.jpg">
          <a:extLst>
            <a:ext uri="{FF2B5EF4-FFF2-40B4-BE49-F238E27FC236}">
              <a16:creationId xmlns:a16="http://schemas.microsoft.com/office/drawing/2014/main" id="{9A60E1BE-AD33-4769-84AE-361794EF1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25330272"/>
          <a:ext cx="68580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165</xdr:row>
      <xdr:rowOff>22347</xdr:rowOff>
    </xdr:from>
    <xdr:ext cx="685800" cy="873003"/>
    <xdr:pic>
      <xdr:nvPicPr>
        <xdr:cNvPr id="14" name="Picture 13" descr="http://www.lakecement.com/images/logo.jpg">
          <a:extLst>
            <a:ext uri="{FF2B5EF4-FFF2-40B4-BE49-F238E27FC236}">
              <a16:creationId xmlns:a16="http://schemas.microsoft.com/office/drawing/2014/main" id="{FF5D8F29-1DE8-404B-AD2C-AB6944CD5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33931347"/>
          <a:ext cx="68580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207</xdr:row>
      <xdr:rowOff>31872</xdr:rowOff>
    </xdr:from>
    <xdr:ext cx="685800" cy="873003"/>
    <xdr:pic>
      <xdr:nvPicPr>
        <xdr:cNvPr id="15" name="Picture 14" descr="http://www.lakecement.com/images/logo.jpg">
          <a:extLst>
            <a:ext uri="{FF2B5EF4-FFF2-40B4-BE49-F238E27FC236}">
              <a16:creationId xmlns:a16="http://schemas.microsoft.com/office/drawing/2014/main" id="{66C4CEFC-BD04-4C78-8065-33AAA72CF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42560997"/>
          <a:ext cx="68580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249</xdr:row>
      <xdr:rowOff>22347</xdr:rowOff>
    </xdr:from>
    <xdr:ext cx="685800" cy="873003"/>
    <xdr:pic>
      <xdr:nvPicPr>
        <xdr:cNvPr id="16" name="Picture 15" descr="http://www.lakecement.com/images/logo.jpg">
          <a:extLst>
            <a:ext uri="{FF2B5EF4-FFF2-40B4-BE49-F238E27FC236}">
              <a16:creationId xmlns:a16="http://schemas.microsoft.com/office/drawing/2014/main" id="{99B73DA1-47A0-4F8C-98D6-72C47D779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51171597"/>
          <a:ext cx="68580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291</xdr:row>
      <xdr:rowOff>31872</xdr:rowOff>
    </xdr:from>
    <xdr:ext cx="685800" cy="873003"/>
    <xdr:pic>
      <xdr:nvPicPr>
        <xdr:cNvPr id="17" name="Picture 16" descr="http://www.lakecement.com/images/logo.jpg">
          <a:extLst>
            <a:ext uri="{FF2B5EF4-FFF2-40B4-BE49-F238E27FC236}">
              <a16:creationId xmlns:a16="http://schemas.microsoft.com/office/drawing/2014/main" id="{FB5C5140-EF7B-489A-BCDE-9A2B4705A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59801247"/>
          <a:ext cx="68580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333</xdr:row>
      <xdr:rowOff>31872</xdr:rowOff>
    </xdr:from>
    <xdr:ext cx="685800" cy="873003"/>
    <xdr:pic>
      <xdr:nvPicPr>
        <xdr:cNvPr id="18" name="Picture 17" descr="http://www.lakecement.com/images/logo.jpg">
          <a:extLst>
            <a:ext uri="{FF2B5EF4-FFF2-40B4-BE49-F238E27FC236}">
              <a16:creationId xmlns:a16="http://schemas.microsoft.com/office/drawing/2014/main" id="{B543370A-D5F7-4146-AF35-095A74529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68421372"/>
          <a:ext cx="68580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375</xdr:row>
      <xdr:rowOff>12822</xdr:rowOff>
    </xdr:from>
    <xdr:ext cx="685800" cy="873003"/>
    <xdr:pic>
      <xdr:nvPicPr>
        <xdr:cNvPr id="19" name="Picture 18" descr="http://www.lakecement.com/images/logo.jpg">
          <a:extLst>
            <a:ext uri="{FF2B5EF4-FFF2-40B4-BE49-F238E27FC236}">
              <a16:creationId xmlns:a16="http://schemas.microsoft.com/office/drawing/2014/main" id="{A699D9C7-078B-4797-989F-8452AA28B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77022447"/>
          <a:ext cx="68580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417</xdr:row>
      <xdr:rowOff>3297</xdr:rowOff>
    </xdr:from>
    <xdr:ext cx="685800" cy="873003"/>
    <xdr:pic>
      <xdr:nvPicPr>
        <xdr:cNvPr id="20" name="Picture 19" descr="http://www.lakecement.com/images/logo.jpg">
          <a:extLst>
            <a:ext uri="{FF2B5EF4-FFF2-40B4-BE49-F238E27FC236}">
              <a16:creationId xmlns:a16="http://schemas.microsoft.com/office/drawing/2014/main" id="{835DAC60-0320-4311-9234-9D6677DA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85633047"/>
          <a:ext cx="68580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458</xdr:row>
      <xdr:rowOff>184272</xdr:rowOff>
    </xdr:from>
    <xdr:ext cx="685800" cy="873003"/>
    <xdr:pic>
      <xdr:nvPicPr>
        <xdr:cNvPr id="21" name="Picture 20" descr="http://www.lakecement.com/images/logo.jpg">
          <a:extLst>
            <a:ext uri="{FF2B5EF4-FFF2-40B4-BE49-F238E27FC236}">
              <a16:creationId xmlns:a16="http://schemas.microsoft.com/office/drawing/2014/main" id="{041229ED-4108-4012-8C75-A95E7124D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94234122"/>
          <a:ext cx="68580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501</xdr:row>
      <xdr:rowOff>31872</xdr:rowOff>
    </xdr:from>
    <xdr:ext cx="685800" cy="873003"/>
    <xdr:pic>
      <xdr:nvPicPr>
        <xdr:cNvPr id="22" name="Picture 21" descr="http://www.lakecement.com/images/logo.jpg">
          <a:extLst>
            <a:ext uri="{FF2B5EF4-FFF2-40B4-BE49-F238E27FC236}">
              <a16:creationId xmlns:a16="http://schemas.microsoft.com/office/drawing/2014/main" id="{EC66472B-3A8F-4AFF-B2AD-42F20FE36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0" y="102901872"/>
          <a:ext cx="685800" cy="873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Y83"/>
  <sheetViews>
    <sheetView tabSelected="1" topLeftCell="B1" zoomScale="90" zoomScaleNormal="90" zoomScaleSheetLayoutView="40" workbookViewId="0">
      <selection activeCell="T20" sqref="T20"/>
    </sheetView>
  </sheetViews>
  <sheetFormatPr defaultColWidth="8.5703125" defaultRowHeight="15.75"/>
  <cols>
    <col min="1" max="1" width="4.42578125" customWidth="1"/>
    <col min="2" max="2" width="9.5703125" style="104" customWidth="1"/>
    <col min="17" max="17" width="7.5703125" customWidth="1"/>
    <col min="25" max="25" width="9.7109375" customWidth="1"/>
  </cols>
  <sheetData>
    <row r="2" spans="2:25" s="102" customFormat="1" ht="33" customHeight="1" thickBot="1">
      <c r="B2" s="215" t="s">
        <v>0</v>
      </c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7"/>
    </row>
    <row r="3" spans="2:25" s="102" customFormat="1" ht="29.45" customHeight="1" thickBot="1">
      <c r="B3" s="218" t="s">
        <v>1</v>
      </c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6"/>
      <c r="Q3" s="216"/>
      <c r="R3" s="216"/>
      <c r="S3" s="216"/>
      <c r="T3" s="216" t="s">
        <v>2</v>
      </c>
      <c r="U3" s="220"/>
      <c r="V3" s="221">
        <v>46133</v>
      </c>
      <c r="W3" s="222"/>
      <c r="X3" s="222"/>
      <c r="Y3" s="223"/>
    </row>
    <row r="4" spans="2:25" s="103" customFormat="1" ht="14.45" customHeight="1" thickBot="1">
      <c r="B4" s="224" t="s">
        <v>3</v>
      </c>
      <c r="C4" s="225"/>
      <c r="D4" s="225"/>
      <c r="E4" s="226"/>
      <c r="F4" s="227">
        <f>V3</f>
        <v>46133</v>
      </c>
      <c r="G4" s="228"/>
      <c r="H4" s="228"/>
      <c r="I4" s="228"/>
      <c r="J4" s="228"/>
      <c r="K4" s="228"/>
      <c r="L4" s="228"/>
      <c r="M4" s="228"/>
      <c r="N4" s="228"/>
      <c r="O4" s="229"/>
      <c r="P4" s="154"/>
      <c r="Q4" s="230" t="s">
        <v>4</v>
      </c>
      <c r="R4" s="231"/>
      <c r="S4" s="231"/>
      <c r="T4" s="231"/>
      <c r="U4" s="231"/>
      <c r="V4" s="231"/>
      <c r="W4" s="231"/>
      <c r="X4" s="232"/>
      <c r="Y4" s="233"/>
    </row>
    <row r="5" spans="2:25" s="103" customFormat="1" ht="14.25" customHeight="1">
      <c r="B5" s="280" t="s">
        <v>5</v>
      </c>
      <c r="C5" s="105" t="s">
        <v>6</v>
      </c>
      <c r="D5" s="234" t="s">
        <v>7</v>
      </c>
      <c r="E5" s="235"/>
      <c r="F5" s="236" t="s">
        <v>8</v>
      </c>
      <c r="G5" s="237"/>
      <c r="H5" s="238" t="s">
        <v>9</v>
      </c>
      <c r="I5" s="239"/>
      <c r="J5" s="238" t="s">
        <v>10</v>
      </c>
      <c r="K5" s="239"/>
      <c r="L5" s="238" t="s">
        <v>11</v>
      </c>
      <c r="M5" s="239"/>
      <c r="N5" s="238" t="s">
        <v>12</v>
      </c>
      <c r="O5" s="240"/>
      <c r="Q5" s="287" t="s">
        <v>13</v>
      </c>
      <c r="R5" s="163" t="s">
        <v>14</v>
      </c>
      <c r="S5" s="241" t="s">
        <v>15</v>
      </c>
      <c r="T5" s="241"/>
      <c r="U5" s="241"/>
      <c r="V5" s="241" t="s">
        <v>16</v>
      </c>
      <c r="W5" s="242"/>
      <c r="X5" s="157"/>
      <c r="Y5" s="130"/>
    </row>
    <row r="6" spans="2:25" s="103" customFormat="1" ht="14.45" customHeight="1">
      <c r="B6" s="281"/>
      <c r="C6" s="105" t="s">
        <v>17</v>
      </c>
      <c r="D6" s="234" t="s">
        <v>18</v>
      </c>
      <c r="E6" s="235"/>
      <c r="F6" s="236" t="s">
        <v>19</v>
      </c>
      <c r="G6" s="237"/>
      <c r="H6" s="238" t="s">
        <v>20</v>
      </c>
      <c r="I6" s="239"/>
      <c r="J6" s="234" t="s">
        <v>21</v>
      </c>
      <c r="K6" s="235"/>
      <c r="L6" s="234" t="s">
        <v>22</v>
      </c>
      <c r="M6" s="235"/>
      <c r="N6" s="234" t="s">
        <v>23</v>
      </c>
      <c r="O6" s="243"/>
      <c r="Q6" s="288"/>
      <c r="R6" s="120" t="s">
        <v>24</v>
      </c>
      <c r="S6" s="120" t="s">
        <v>25</v>
      </c>
      <c r="T6" s="120" t="s">
        <v>26</v>
      </c>
      <c r="U6" s="120" t="s">
        <v>27</v>
      </c>
      <c r="V6" s="120" t="s">
        <v>28</v>
      </c>
      <c r="W6" s="121" t="s">
        <v>29</v>
      </c>
      <c r="X6" s="157"/>
      <c r="Y6" s="130"/>
    </row>
    <row r="7" spans="2:25" s="103" customFormat="1" ht="14.45" customHeight="1">
      <c r="B7" s="244" t="s">
        <v>30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6"/>
      <c r="Q7" s="136" t="s">
        <v>31</v>
      </c>
      <c r="R7" s="110">
        <v>7</v>
      </c>
      <c r="S7" s="110">
        <v>2.69</v>
      </c>
      <c r="T7" s="110">
        <v>22.07</v>
      </c>
      <c r="U7" s="164">
        <v>5273.3600000000006</v>
      </c>
      <c r="V7" s="110">
        <v>11.2</v>
      </c>
      <c r="W7" s="135">
        <v>1.2</v>
      </c>
      <c r="X7" s="157"/>
      <c r="Y7" s="130"/>
    </row>
    <row r="8" spans="2:25" s="103" customFormat="1" ht="14.45" customHeight="1">
      <c r="B8" s="136" t="s">
        <v>32</v>
      </c>
      <c r="C8" s="213">
        <v>358</v>
      </c>
      <c r="D8" s="247">
        <v>9.9600000000000009</v>
      </c>
      <c r="E8" s="248"/>
      <c r="F8" s="249">
        <v>15.5</v>
      </c>
      <c r="G8" s="248"/>
      <c r="H8" s="249">
        <v>13.74</v>
      </c>
      <c r="I8" s="248"/>
      <c r="J8" s="249">
        <v>23.26</v>
      </c>
      <c r="K8" s="248" t="s">
        <v>35</v>
      </c>
      <c r="L8" s="249" t="s">
        <v>35</v>
      </c>
      <c r="M8" s="248" t="s">
        <v>35</v>
      </c>
      <c r="N8" s="249">
        <v>49.45</v>
      </c>
      <c r="O8" s="250"/>
      <c r="Q8" s="136" t="s">
        <v>33</v>
      </c>
      <c r="R8" s="110">
        <v>8</v>
      </c>
      <c r="S8" s="110">
        <v>2.99</v>
      </c>
      <c r="T8" s="110">
        <v>23.49</v>
      </c>
      <c r="U8" s="164">
        <v>5476.2199999999993</v>
      </c>
      <c r="V8" s="110">
        <v>16.22</v>
      </c>
      <c r="W8" s="135">
        <v>2</v>
      </c>
      <c r="X8" s="157"/>
      <c r="Y8" s="130"/>
    </row>
    <row r="9" spans="2:25" s="103" customFormat="1" ht="14.45" customHeight="1">
      <c r="B9" s="136" t="s">
        <v>34</v>
      </c>
      <c r="C9" s="137" t="s">
        <v>35</v>
      </c>
      <c r="D9" s="249" t="s">
        <v>35</v>
      </c>
      <c r="E9" s="248"/>
      <c r="F9" s="249">
        <v>16</v>
      </c>
      <c r="G9" s="248"/>
      <c r="H9" s="249">
        <v>10.68</v>
      </c>
      <c r="I9" s="248"/>
      <c r="J9" s="249" t="s">
        <v>35</v>
      </c>
      <c r="K9" s="248" t="s">
        <v>35</v>
      </c>
      <c r="L9" s="249" t="s">
        <v>35</v>
      </c>
      <c r="M9" s="248" t="s">
        <v>35</v>
      </c>
      <c r="N9" s="249" t="s">
        <v>35</v>
      </c>
      <c r="O9" s="250"/>
      <c r="Q9" s="136" t="s">
        <v>36</v>
      </c>
      <c r="R9" s="110">
        <v>7.5714285714285703</v>
      </c>
      <c r="S9" s="110">
        <v>2.8242857142857147</v>
      </c>
      <c r="T9" s="110">
        <v>22.80142857142857</v>
      </c>
      <c r="U9" s="164">
        <v>5363.6514285714284</v>
      </c>
      <c r="V9" s="110">
        <v>13.345714285714285</v>
      </c>
      <c r="W9" s="135">
        <v>1.5142857142857142</v>
      </c>
      <c r="X9" s="157"/>
      <c r="Y9" s="130"/>
    </row>
    <row r="10" spans="2:25" s="103" customFormat="1" ht="14.45" customHeight="1" thickBot="1">
      <c r="B10" s="136" t="s">
        <v>37</v>
      </c>
      <c r="C10" s="137" t="s">
        <v>35</v>
      </c>
      <c r="D10" s="249" t="s">
        <v>35</v>
      </c>
      <c r="E10" s="248"/>
      <c r="F10" s="249" t="s">
        <v>35</v>
      </c>
      <c r="G10" s="248"/>
      <c r="H10" s="249" t="s">
        <v>35</v>
      </c>
      <c r="I10" s="248"/>
      <c r="J10" s="249" t="s">
        <v>35</v>
      </c>
      <c r="K10" s="248" t="s">
        <v>35</v>
      </c>
      <c r="L10" s="249" t="s">
        <v>35</v>
      </c>
      <c r="M10" s="248" t="s">
        <v>35</v>
      </c>
      <c r="N10" s="249" t="s">
        <v>35</v>
      </c>
      <c r="O10" s="250"/>
      <c r="Q10" s="138" t="s">
        <v>38</v>
      </c>
      <c r="R10" s="114">
        <v>0.34016802570830451</v>
      </c>
      <c r="S10" s="114">
        <v>0.10130106002359883</v>
      </c>
      <c r="T10" s="114">
        <v>0.54682198722645159</v>
      </c>
      <c r="U10" s="165">
        <v>80.138510806513267</v>
      </c>
      <c r="V10" s="114">
        <v>1.7931244346378155</v>
      </c>
      <c r="W10" s="166">
        <v>0.25448360411214166</v>
      </c>
      <c r="X10" s="157"/>
      <c r="Y10" s="130"/>
    </row>
    <row r="11" spans="2:25" s="103" customFormat="1" ht="14.45" customHeight="1" thickBot="1">
      <c r="B11" s="136" t="s">
        <v>39</v>
      </c>
      <c r="C11" s="137" t="s">
        <v>35</v>
      </c>
      <c r="D11" s="249" t="s">
        <v>35</v>
      </c>
      <c r="E11" s="248"/>
      <c r="F11" s="249" t="s">
        <v>35</v>
      </c>
      <c r="G11" s="248"/>
      <c r="H11" s="249" t="s">
        <v>35</v>
      </c>
      <c r="I11" s="248"/>
      <c r="J11" s="249" t="s">
        <v>35</v>
      </c>
      <c r="K11" s="248" t="s">
        <v>35</v>
      </c>
      <c r="L11" s="249" t="s">
        <v>35</v>
      </c>
      <c r="M11" s="248" t="s">
        <v>35</v>
      </c>
      <c r="N11" s="249" t="s">
        <v>35</v>
      </c>
      <c r="O11" s="250"/>
      <c r="Q11" s="117"/>
      <c r="R11" s="157"/>
      <c r="S11" s="157"/>
      <c r="T11" s="157"/>
      <c r="U11" s="157"/>
      <c r="V11" s="157"/>
      <c r="W11" s="157"/>
      <c r="X11" s="157"/>
      <c r="Y11" s="130"/>
    </row>
    <row r="12" spans="2:25" s="103" customFormat="1" ht="14.45" customHeight="1" thickBot="1">
      <c r="B12" s="136" t="s">
        <v>40</v>
      </c>
      <c r="C12" s="137" t="s">
        <v>35</v>
      </c>
      <c r="D12" s="249" t="s">
        <v>35</v>
      </c>
      <c r="E12" s="248"/>
      <c r="F12" s="249" t="s">
        <v>35</v>
      </c>
      <c r="G12" s="248"/>
      <c r="H12" s="249" t="s">
        <v>35</v>
      </c>
      <c r="I12" s="248"/>
      <c r="J12" s="249" t="s">
        <v>35</v>
      </c>
      <c r="K12" s="248" t="s">
        <v>35</v>
      </c>
      <c r="L12" s="249" t="s">
        <v>35</v>
      </c>
      <c r="M12" s="248" t="s">
        <v>35</v>
      </c>
      <c r="N12" s="249" t="s">
        <v>35</v>
      </c>
      <c r="O12" s="250"/>
      <c r="Q12" s="230" t="s">
        <v>41</v>
      </c>
      <c r="R12" s="231"/>
      <c r="S12" s="231"/>
      <c r="T12" s="231"/>
      <c r="U12" s="231"/>
      <c r="V12" s="231"/>
      <c r="W12" s="231"/>
      <c r="X12" s="231"/>
      <c r="Y12" s="251"/>
    </row>
    <row r="13" spans="2:25" s="103" customFormat="1" ht="14.45" customHeight="1" thickBot="1">
      <c r="B13" s="138" t="s">
        <v>42</v>
      </c>
      <c r="C13" s="137">
        <v>339</v>
      </c>
      <c r="D13" s="249">
        <v>22.44</v>
      </c>
      <c r="E13" s="248"/>
      <c r="F13" s="249">
        <v>104</v>
      </c>
      <c r="G13" s="248"/>
      <c r="H13" s="249">
        <v>15.37</v>
      </c>
      <c r="I13" s="248"/>
      <c r="J13" s="249">
        <v>25.45</v>
      </c>
      <c r="K13" s="248" t="s">
        <v>35</v>
      </c>
      <c r="L13" s="249">
        <v>36.69</v>
      </c>
      <c r="M13" s="248" t="s">
        <v>35</v>
      </c>
      <c r="N13" s="249" t="s">
        <v>35</v>
      </c>
      <c r="O13" s="250"/>
      <c r="Q13" s="287" t="s">
        <v>43</v>
      </c>
      <c r="R13" s="203" t="s">
        <v>44</v>
      </c>
      <c r="S13" s="203" t="s">
        <v>45</v>
      </c>
      <c r="T13" s="203" t="s">
        <v>46</v>
      </c>
      <c r="U13" s="203" t="s">
        <v>47</v>
      </c>
      <c r="V13" s="203" t="s">
        <v>48</v>
      </c>
      <c r="W13" s="203" t="s">
        <v>49</v>
      </c>
      <c r="X13" s="203" t="s">
        <v>50</v>
      </c>
      <c r="Y13" s="204" t="s">
        <v>51</v>
      </c>
    </row>
    <row r="14" spans="2:25" s="103" customFormat="1" ht="14.45" customHeight="1">
      <c r="B14" s="252" t="s">
        <v>52</v>
      </c>
      <c r="C14" s="253"/>
      <c r="D14" s="253"/>
      <c r="E14" s="253"/>
      <c r="F14" s="253"/>
      <c r="G14" s="253"/>
      <c r="H14" s="253"/>
      <c r="I14" s="253"/>
      <c r="J14" s="253"/>
      <c r="K14" s="253"/>
      <c r="L14" s="253"/>
      <c r="M14" s="253"/>
      <c r="N14" s="253"/>
      <c r="O14" s="254"/>
      <c r="Q14" s="288"/>
      <c r="R14" s="120" t="s">
        <v>53</v>
      </c>
      <c r="S14" s="120" t="s">
        <v>53</v>
      </c>
      <c r="T14" s="120" t="s">
        <v>53</v>
      </c>
      <c r="U14" s="120" t="s">
        <v>54</v>
      </c>
      <c r="V14" s="120" t="s">
        <v>54</v>
      </c>
      <c r="W14" s="120" t="s">
        <v>54</v>
      </c>
      <c r="X14" s="120" t="s">
        <v>54</v>
      </c>
      <c r="Y14" s="121" t="s">
        <v>53</v>
      </c>
    </row>
    <row r="15" spans="2:25" s="103" customFormat="1" ht="14.45" customHeight="1" thickBot="1">
      <c r="B15" s="136" t="s">
        <v>32</v>
      </c>
      <c r="C15" s="137" t="s">
        <v>35</v>
      </c>
      <c r="D15" s="249" t="s">
        <v>35</v>
      </c>
      <c r="E15" s="248"/>
      <c r="F15" s="249" t="s">
        <v>35</v>
      </c>
      <c r="G15" s="248"/>
      <c r="H15" s="249" t="s">
        <v>35</v>
      </c>
      <c r="I15" s="255" t="s">
        <v>35</v>
      </c>
      <c r="J15" s="249" t="s">
        <v>35</v>
      </c>
      <c r="K15" s="248" t="s">
        <v>35</v>
      </c>
      <c r="L15" s="249">
        <v>36.28</v>
      </c>
      <c r="M15" s="255" t="s">
        <v>35</v>
      </c>
      <c r="N15" s="256">
        <v>45.22</v>
      </c>
      <c r="O15" s="257" t="s">
        <v>35</v>
      </c>
      <c r="Q15" s="122">
        <f>V3</f>
        <v>46133</v>
      </c>
      <c r="R15" s="209">
        <v>2.71</v>
      </c>
      <c r="S15" s="209">
        <v>25.52</v>
      </c>
      <c r="T15" s="209">
        <v>23.39</v>
      </c>
      <c r="U15" s="210">
        <v>5648</v>
      </c>
      <c r="V15" s="211">
        <v>5648</v>
      </c>
      <c r="W15" s="211">
        <v>5435.6</v>
      </c>
      <c r="X15" s="211">
        <v>5435.6</v>
      </c>
      <c r="Y15" s="131"/>
    </row>
    <row r="16" spans="2:25" s="103" customFormat="1" ht="14.45" customHeight="1">
      <c r="B16" s="136" t="s">
        <v>34</v>
      </c>
      <c r="C16" s="213" t="s">
        <v>35</v>
      </c>
      <c r="D16" s="247" t="s">
        <v>35</v>
      </c>
      <c r="E16" s="248"/>
      <c r="F16" s="249" t="s">
        <v>35</v>
      </c>
      <c r="G16" s="248"/>
      <c r="H16" s="249" t="s">
        <v>35</v>
      </c>
      <c r="I16" s="255" t="s">
        <v>35</v>
      </c>
      <c r="J16" s="249" t="s">
        <v>35</v>
      </c>
      <c r="K16" s="248" t="s">
        <v>35</v>
      </c>
      <c r="L16" s="249" t="s">
        <v>35</v>
      </c>
      <c r="M16" s="255" t="s">
        <v>35</v>
      </c>
      <c r="N16" s="258">
        <v>44.17</v>
      </c>
      <c r="O16" s="257" t="s">
        <v>35</v>
      </c>
      <c r="Q16" s="117"/>
      <c r="R16" s="157"/>
      <c r="S16" s="157"/>
      <c r="T16" s="157"/>
      <c r="U16" s="157"/>
      <c r="V16" s="157"/>
      <c r="W16" s="157"/>
      <c r="X16" s="157"/>
      <c r="Y16" s="130"/>
    </row>
    <row r="17" spans="2:25" s="103" customFormat="1" ht="14.45" customHeight="1">
      <c r="B17" s="136" t="s">
        <v>55</v>
      </c>
      <c r="C17" s="137" t="s">
        <v>35</v>
      </c>
      <c r="D17" s="249" t="s">
        <v>35</v>
      </c>
      <c r="E17" s="248"/>
      <c r="F17" s="249" t="s">
        <v>35</v>
      </c>
      <c r="G17" s="248"/>
      <c r="H17" s="249" t="s">
        <v>35</v>
      </c>
      <c r="I17" s="255" t="s">
        <v>35</v>
      </c>
      <c r="J17" s="249" t="s">
        <v>35</v>
      </c>
      <c r="K17" s="248" t="s">
        <v>35</v>
      </c>
      <c r="L17" s="249" t="s">
        <v>35</v>
      </c>
      <c r="M17" s="255" t="s">
        <v>35</v>
      </c>
      <c r="N17" s="256" t="s">
        <v>35</v>
      </c>
      <c r="O17" s="257" t="s">
        <v>35</v>
      </c>
      <c r="Q17" s="117"/>
      <c r="Y17" s="132"/>
    </row>
    <row r="18" spans="2:25" s="103" customFormat="1" ht="14.45" customHeight="1" thickBot="1">
      <c r="B18" s="138" t="s">
        <v>40</v>
      </c>
      <c r="C18" s="137" t="s">
        <v>35</v>
      </c>
      <c r="D18" s="249" t="s">
        <v>35</v>
      </c>
      <c r="E18" s="248"/>
      <c r="F18" s="249" t="s">
        <v>35</v>
      </c>
      <c r="G18" s="248"/>
      <c r="H18" s="249" t="s">
        <v>35</v>
      </c>
      <c r="I18" s="255" t="s">
        <v>35</v>
      </c>
      <c r="J18" s="247" t="s">
        <v>35</v>
      </c>
      <c r="K18" s="248" t="s">
        <v>35</v>
      </c>
      <c r="L18" s="249" t="s">
        <v>35</v>
      </c>
      <c r="M18" s="255" t="s">
        <v>35</v>
      </c>
      <c r="N18" s="259" t="s">
        <v>35</v>
      </c>
      <c r="O18" s="257" t="s">
        <v>35</v>
      </c>
      <c r="Q18" s="117"/>
      <c r="Y18" s="132"/>
    </row>
    <row r="19" spans="2:25" s="103" customFormat="1" ht="14.45" customHeight="1">
      <c r="B19" s="252" t="s">
        <v>56</v>
      </c>
      <c r="C19" s="253"/>
      <c r="D19" s="253"/>
      <c r="E19" s="253"/>
      <c r="F19" s="253"/>
      <c r="G19" s="253"/>
      <c r="H19" s="253"/>
      <c r="I19" s="253"/>
      <c r="J19" s="253"/>
      <c r="K19" s="253"/>
      <c r="L19" s="253"/>
      <c r="M19" s="253"/>
      <c r="N19" s="253"/>
      <c r="O19" s="254"/>
      <c r="Q19" s="117"/>
      <c r="Y19" s="132"/>
    </row>
    <row r="20" spans="2:25" s="103" customFormat="1" ht="14.45" customHeight="1">
      <c r="B20" s="136" t="s">
        <v>57</v>
      </c>
      <c r="C20" s="137">
        <v>361</v>
      </c>
      <c r="D20" s="249">
        <v>11.34</v>
      </c>
      <c r="E20" s="248"/>
      <c r="F20" s="249">
        <v>1.5</v>
      </c>
      <c r="G20" s="248"/>
      <c r="H20" s="249">
        <v>13.21</v>
      </c>
      <c r="I20" s="248" t="s">
        <v>35</v>
      </c>
      <c r="J20" s="249">
        <v>23.02</v>
      </c>
      <c r="K20" s="248" t="s">
        <v>35</v>
      </c>
      <c r="L20" s="249">
        <v>33.6</v>
      </c>
      <c r="M20" s="255" t="s">
        <v>35</v>
      </c>
      <c r="N20" s="249">
        <v>46.46</v>
      </c>
      <c r="O20" s="250" t="s">
        <v>35</v>
      </c>
      <c r="Q20" s="117"/>
      <c r="R20" s="157"/>
      <c r="S20" s="157"/>
      <c r="T20" s="157"/>
      <c r="U20" s="157"/>
      <c r="V20" s="157"/>
      <c r="W20" s="157"/>
      <c r="X20" s="157"/>
      <c r="Y20" s="130"/>
    </row>
    <row r="21" spans="2:25" s="103" customFormat="1" ht="14.45" customHeight="1">
      <c r="B21" s="136" t="s">
        <v>58</v>
      </c>
      <c r="C21" s="137" t="s">
        <v>35</v>
      </c>
      <c r="D21" s="249" t="s">
        <v>35</v>
      </c>
      <c r="E21" s="248"/>
      <c r="F21" s="249" t="s">
        <v>35</v>
      </c>
      <c r="G21" s="248"/>
      <c r="H21" s="249" t="s">
        <v>35</v>
      </c>
      <c r="I21" s="248" t="s">
        <v>35</v>
      </c>
      <c r="J21" s="247">
        <v>21.97</v>
      </c>
      <c r="K21" s="248" t="s">
        <v>35</v>
      </c>
      <c r="L21" s="249">
        <v>32.49</v>
      </c>
      <c r="M21" s="255" t="s">
        <v>35</v>
      </c>
      <c r="N21" s="249">
        <v>46.08</v>
      </c>
      <c r="O21" s="250" t="s">
        <v>35</v>
      </c>
      <c r="Q21" s="117"/>
      <c r="R21" s="157"/>
      <c r="S21" s="157"/>
      <c r="T21" s="157"/>
      <c r="U21" s="157"/>
      <c r="V21" s="157"/>
      <c r="W21" s="157"/>
      <c r="X21" s="157"/>
      <c r="Y21" s="130"/>
    </row>
    <row r="22" spans="2:25" s="103" customFormat="1" ht="14.45" customHeight="1">
      <c r="B22" s="136" t="s">
        <v>59</v>
      </c>
      <c r="C22" s="137" t="s">
        <v>35</v>
      </c>
      <c r="D22" s="249" t="s">
        <v>35</v>
      </c>
      <c r="E22" s="248"/>
      <c r="F22" s="249" t="s">
        <v>35</v>
      </c>
      <c r="G22" s="248"/>
      <c r="H22" s="249" t="s">
        <v>35</v>
      </c>
      <c r="I22" s="248" t="s">
        <v>35</v>
      </c>
      <c r="J22" s="249" t="s">
        <v>35</v>
      </c>
      <c r="K22" s="248" t="s">
        <v>35</v>
      </c>
      <c r="L22" s="249" t="s">
        <v>35</v>
      </c>
      <c r="M22" s="255" t="s">
        <v>35</v>
      </c>
      <c r="N22" s="249" t="s">
        <v>35</v>
      </c>
      <c r="O22" s="250" t="s">
        <v>35</v>
      </c>
      <c r="Q22" s="117"/>
      <c r="R22" s="157"/>
      <c r="S22" s="157"/>
      <c r="T22" s="157"/>
      <c r="U22" s="157"/>
      <c r="V22" s="157"/>
      <c r="W22" s="157"/>
      <c r="X22" s="157"/>
      <c r="Y22" s="130"/>
    </row>
    <row r="23" spans="2:25" s="103" customFormat="1" ht="14.45" customHeight="1" thickBot="1">
      <c r="B23" s="138" t="s">
        <v>60</v>
      </c>
      <c r="C23" s="214" t="s">
        <v>35</v>
      </c>
      <c r="D23" s="260" t="s">
        <v>35</v>
      </c>
      <c r="E23" s="319"/>
      <c r="F23" s="260">
        <v>3</v>
      </c>
      <c r="G23" s="319"/>
      <c r="H23" s="260">
        <v>15.59</v>
      </c>
      <c r="I23" s="319" t="s">
        <v>35</v>
      </c>
      <c r="J23" s="320" t="s">
        <v>35</v>
      </c>
      <c r="K23" s="319" t="s">
        <v>35</v>
      </c>
      <c r="L23" s="321" t="s">
        <v>35</v>
      </c>
      <c r="M23" s="319">
        <v>41.91</v>
      </c>
      <c r="N23" s="260" t="s">
        <v>35</v>
      </c>
      <c r="O23" s="261" t="s">
        <v>35</v>
      </c>
      <c r="P23" s="158"/>
      <c r="Q23" s="123"/>
      <c r="R23" s="124"/>
      <c r="S23" s="124"/>
      <c r="T23" s="124"/>
      <c r="U23" s="124"/>
      <c r="V23" s="124"/>
      <c r="W23" s="124"/>
      <c r="X23" s="124"/>
      <c r="Y23" s="133"/>
    </row>
    <row r="24" spans="2:25" s="103" customFormat="1" ht="14.45" customHeight="1" thickBot="1">
      <c r="B24" s="262" t="s">
        <v>61</v>
      </c>
      <c r="C24" s="263"/>
      <c r="D24" s="263"/>
      <c r="E24" s="263"/>
      <c r="F24" s="263"/>
      <c r="G24" s="263"/>
      <c r="H24" s="263"/>
      <c r="I24" s="263"/>
      <c r="J24" s="263"/>
      <c r="K24" s="263"/>
      <c r="L24" s="263"/>
      <c r="M24" s="263"/>
      <c r="N24" s="263"/>
      <c r="O24" s="263"/>
      <c r="P24" s="263"/>
      <c r="Q24" s="263"/>
      <c r="R24" s="263"/>
      <c r="S24" s="263"/>
      <c r="T24" s="263"/>
      <c r="U24" s="263"/>
      <c r="V24" s="263"/>
      <c r="W24" s="263"/>
      <c r="X24" s="263"/>
      <c r="Y24" s="264"/>
    </row>
    <row r="25" spans="2:25" ht="14.45" customHeight="1">
      <c r="B25" s="282" t="s">
        <v>62</v>
      </c>
      <c r="C25" s="313" t="s">
        <v>63</v>
      </c>
      <c r="D25" s="314"/>
      <c r="E25" s="314"/>
      <c r="F25" s="314"/>
      <c r="G25" s="315"/>
      <c r="H25" s="313" t="s">
        <v>64</v>
      </c>
      <c r="I25" s="314"/>
      <c r="J25" s="314"/>
      <c r="K25" s="314"/>
      <c r="L25" s="314"/>
      <c r="M25" s="314"/>
      <c r="N25" s="314"/>
      <c r="O25" s="314"/>
      <c r="P25" s="314"/>
      <c r="Q25" s="314"/>
      <c r="R25" s="315"/>
      <c r="S25" s="265" t="s">
        <v>65</v>
      </c>
      <c r="T25" s="266"/>
      <c r="U25" s="266"/>
      <c r="V25" s="267"/>
      <c r="W25" s="289" t="s">
        <v>66</v>
      </c>
      <c r="X25" s="290"/>
      <c r="Y25" s="291"/>
    </row>
    <row r="26" spans="2:25" ht="15" customHeight="1">
      <c r="B26" s="283"/>
      <c r="C26" s="316"/>
      <c r="D26" s="317"/>
      <c r="E26" s="317"/>
      <c r="F26" s="317"/>
      <c r="G26" s="318"/>
      <c r="H26" s="316"/>
      <c r="I26" s="317"/>
      <c r="J26" s="317"/>
      <c r="K26" s="317"/>
      <c r="L26" s="317"/>
      <c r="M26" s="317"/>
      <c r="N26" s="317"/>
      <c r="O26" s="317"/>
      <c r="P26" s="317"/>
      <c r="Q26" s="317"/>
      <c r="R26" s="318"/>
      <c r="S26" s="268" t="s">
        <v>67</v>
      </c>
      <c r="T26" s="269"/>
      <c r="U26" s="268" t="s">
        <v>68</v>
      </c>
      <c r="V26" s="269"/>
      <c r="W26" s="292"/>
      <c r="X26" s="293"/>
      <c r="Y26" s="294"/>
    </row>
    <row r="27" spans="2:25" ht="33.75" customHeight="1" thickBot="1">
      <c r="B27" s="284"/>
      <c r="C27" s="107" t="s">
        <v>69</v>
      </c>
      <c r="D27" s="107" t="s">
        <v>70</v>
      </c>
      <c r="E27" s="107" t="s">
        <v>71</v>
      </c>
      <c r="F27" s="107" t="s">
        <v>72</v>
      </c>
      <c r="G27" s="108" t="s">
        <v>73</v>
      </c>
      <c r="H27" s="109" t="s">
        <v>74</v>
      </c>
      <c r="I27" s="109" t="s">
        <v>75</v>
      </c>
      <c r="J27" s="109" t="s">
        <v>76</v>
      </c>
      <c r="K27" s="109" t="s">
        <v>77</v>
      </c>
      <c r="L27" s="109" t="s">
        <v>78</v>
      </c>
      <c r="M27" s="107" t="s">
        <v>79</v>
      </c>
      <c r="N27" s="107" t="s">
        <v>80</v>
      </c>
      <c r="O27" s="107" t="s">
        <v>81</v>
      </c>
      <c r="P27" s="107" t="s">
        <v>82</v>
      </c>
      <c r="Q27" s="107" t="s">
        <v>83</v>
      </c>
      <c r="R27" s="107" t="s">
        <v>84</v>
      </c>
      <c r="S27" s="109" t="s">
        <v>85</v>
      </c>
      <c r="T27" s="109" t="s">
        <v>86</v>
      </c>
      <c r="U27" s="109" t="s">
        <v>85</v>
      </c>
      <c r="V27" s="109" t="s">
        <v>86</v>
      </c>
      <c r="W27" s="107" t="s">
        <v>87</v>
      </c>
      <c r="X27" s="107" t="s">
        <v>88</v>
      </c>
      <c r="Y27" s="134" t="s">
        <v>89</v>
      </c>
    </row>
    <row r="28" spans="2:25" ht="15">
      <c r="B28" s="139" t="s">
        <v>90</v>
      </c>
      <c r="C28" s="167">
        <v>95</v>
      </c>
      <c r="D28" s="168">
        <v>0</v>
      </c>
      <c r="E28" s="168">
        <v>0</v>
      </c>
      <c r="F28" s="168">
        <v>3</v>
      </c>
      <c r="G28" s="168">
        <v>2</v>
      </c>
      <c r="H28" s="168">
        <v>11.345000000000001</v>
      </c>
      <c r="I28" s="168">
        <v>3.0874999999999999</v>
      </c>
      <c r="J28" s="168">
        <v>3.145</v>
      </c>
      <c r="K28" s="168">
        <v>44.815000000000005</v>
      </c>
      <c r="L28" s="168">
        <v>0.87750000000000006</v>
      </c>
      <c r="M28" s="168">
        <v>0.22299999999999998</v>
      </c>
      <c r="N28" s="168">
        <v>1.2E-2</v>
      </c>
      <c r="O28" s="168">
        <v>2.6250000000000002E-2</v>
      </c>
      <c r="P28" s="168">
        <v>7.0000000000000001E-3</v>
      </c>
      <c r="Q28" s="168">
        <v>36.181065000000004</v>
      </c>
      <c r="R28" s="168">
        <v>99.719314999999995</v>
      </c>
      <c r="S28" s="168">
        <v>21.200000000000003</v>
      </c>
      <c r="T28" s="168">
        <v>2.2999999999999998</v>
      </c>
      <c r="U28" s="168">
        <v>14.5</v>
      </c>
      <c r="V28" s="168">
        <v>1.2</v>
      </c>
      <c r="W28" s="168">
        <v>121.05584102401737</v>
      </c>
      <c r="X28" s="168">
        <v>1.830266367817835</v>
      </c>
      <c r="Y28" s="169">
        <v>0.9928643488103146</v>
      </c>
    </row>
    <row r="29" spans="2:25" ht="15">
      <c r="B29" s="140" t="s">
        <v>91</v>
      </c>
      <c r="C29" s="170">
        <v>94.5</v>
      </c>
      <c r="D29" s="110">
        <v>0</v>
      </c>
      <c r="E29" s="110">
        <v>0</v>
      </c>
      <c r="F29" s="110">
        <v>3</v>
      </c>
      <c r="G29" s="110">
        <v>2.5</v>
      </c>
      <c r="H29" s="110">
        <v>10.199999999999999</v>
      </c>
      <c r="I29" s="110">
        <v>2.61</v>
      </c>
      <c r="J29" s="110">
        <v>3.04</v>
      </c>
      <c r="K29" s="110">
        <v>45.69</v>
      </c>
      <c r="L29" s="110">
        <v>0.87</v>
      </c>
      <c r="M29" s="110">
        <v>0.215</v>
      </c>
      <c r="N29" s="110">
        <v>1.7000000000000001E-2</v>
      </c>
      <c r="O29" s="110">
        <v>2.9000000000000001E-2</v>
      </c>
      <c r="P29" s="110">
        <v>7.0000000000000001E-3</v>
      </c>
      <c r="Q29" s="110">
        <v>36.860640000000004</v>
      </c>
      <c r="R29" s="110">
        <v>99.538640000000001</v>
      </c>
      <c r="S29" s="110">
        <v>21</v>
      </c>
      <c r="T29" s="110">
        <v>2.4</v>
      </c>
      <c r="U29" s="110">
        <v>13.6</v>
      </c>
      <c r="V29" s="110">
        <v>1.2</v>
      </c>
      <c r="W29" s="110">
        <v>135.9182289280636</v>
      </c>
      <c r="X29" s="110">
        <v>1.805309734513274</v>
      </c>
      <c r="Y29" s="135">
        <v>0.85855263157894735</v>
      </c>
    </row>
    <row r="30" spans="2:25" ht="15">
      <c r="B30" s="140" t="s">
        <v>92</v>
      </c>
      <c r="C30" s="170">
        <v>94.166666666666671</v>
      </c>
      <c r="D30" s="110">
        <v>0</v>
      </c>
      <c r="E30" s="110">
        <v>0</v>
      </c>
      <c r="F30" s="110">
        <v>4</v>
      </c>
      <c r="G30" s="110">
        <v>1.8333333333333333</v>
      </c>
      <c r="H30" s="110">
        <v>13.5</v>
      </c>
      <c r="I30" s="110">
        <v>2.9466666666666668</v>
      </c>
      <c r="J30" s="110">
        <v>2.7133333333333334</v>
      </c>
      <c r="K30" s="110">
        <v>43.62</v>
      </c>
      <c r="L30" s="110">
        <v>0.8666666666666667</v>
      </c>
      <c r="M30" s="110">
        <v>0.22666666666666668</v>
      </c>
      <c r="N30" s="110">
        <v>0.02</v>
      </c>
      <c r="O30" s="110">
        <v>3.0000000000000002E-2</v>
      </c>
      <c r="P30" s="110">
        <v>6.6666666666666671E-3</v>
      </c>
      <c r="Q30" s="110">
        <v>35.229986666666669</v>
      </c>
      <c r="R30" s="110">
        <v>99.159986666666668</v>
      </c>
      <c r="S30" s="110">
        <v>20.399999999999999</v>
      </c>
      <c r="T30" s="110">
        <v>2</v>
      </c>
      <c r="U30" s="110">
        <v>12.5</v>
      </c>
      <c r="V30" s="110">
        <v>1.2</v>
      </c>
      <c r="W30" s="110">
        <v>103.1108383294528</v>
      </c>
      <c r="X30" s="110">
        <v>2.4091094481486732</v>
      </c>
      <c r="Y30" s="135">
        <v>1.0915102968114045</v>
      </c>
    </row>
    <row r="31" spans="2:25" ht="15">
      <c r="B31" s="140" t="s">
        <v>93</v>
      </c>
      <c r="C31" s="170">
        <v>94.666666666666671</v>
      </c>
      <c r="D31" s="110">
        <v>0</v>
      </c>
      <c r="E31" s="110">
        <v>0</v>
      </c>
      <c r="F31" s="110">
        <v>3</v>
      </c>
      <c r="G31" s="110">
        <v>2.3333333333333335</v>
      </c>
      <c r="H31" s="110">
        <v>12.35</v>
      </c>
      <c r="I31" s="110">
        <v>2.6066666666666669</v>
      </c>
      <c r="J31" s="110">
        <v>1.9000000000000001</v>
      </c>
      <c r="K31" s="110">
        <v>44.937333333333335</v>
      </c>
      <c r="L31" s="110">
        <v>0.85333333333333339</v>
      </c>
      <c r="M31" s="110">
        <v>0.27333333333333337</v>
      </c>
      <c r="N31" s="110">
        <v>3.0000000000000002E-2</v>
      </c>
      <c r="O31" s="110">
        <v>1.3333333333333334E-2</v>
      </c>
      <c r="P31" s="110">
        <v>7.3333333333333332E-3</v>
      </c>
      <c r="Q31" s="110">
        <v>36.250877333333335</v>
      </c>
      <c r="R31" s="110">
        <v>99.222210666666669</v>
      </c>
      <c r="S31" s="110">
        <v>20.6</v>
      </c>
      <c r="T31" s="110">
        <v>2.4</v>
      </c>
      <c r="U31" s="110"/>
      <c r="V31" s="110"/>
      <c r="W31" s="110">
        <v>115.76819092350974</v>
      </c>
      <c r="X31" s="110">
        <v>2.7465347566395608</v>
      </c>
      <c r="Y31" s="135">
        <v>1.3835828554514498</v>
      </c>
    </row>
    <row r="32" spans="2:25" ht="15">
      <c r="B32" s="140" t="s">
        <v>94</v>
      </c>
      <c r="C32" s="170">
        <v>91.75</v>
      </c>
      <c r="D32" s="110">
        <v>0</v>
      </c>
      <c r="E32" s="110">
        <v>0</v>
      </c>
      <c r="F32" s="110">
        <v>4.25</v>
      </c>
      <c r="G32" s="110">
        <v>4</v>
      </c>
      <c r="H32" s="110">
        <v>13.66</v>
      </c>
      <c r="I32" s="110">
        <v>3.5750000000000002</v>
      </c>
      <c r="J32" s="110">
        <v>2.35</v>
      </c>
      <c r="K32" s="110">
        <v>43.234999999999999</v>
      </c>
      <c r="L32" s="110">
        <v>0.85499999999999998</v>
      </c>
      <c r="M32" s="110">
        <v>0.26</v>
      </c>
      <c r="N32" s="110">
        <v>2.5000000000000001E-2</v>
      </c>
      <c r="O32" s="110">
        <v>0.01</v>
      </c>
      <c r="P32" s="110">
        <v>6.5000000000000006E-3</v>
      </c>
      <c r="Q32" s="110">
        <v>34.914659999999998</v>
      </c>
      <c r="R32" s="110">
        <v>98.891159999999999</v>
      </c>
      <c r="S32" s="174">
        <v>21.2</v>
      </c>
      <c r="T32" s="174">
        <v>1.8</v>
      </c>
      <c r="U32" s="110"/>
      <c r="V32" s="110"/>
      <c r="W32" s="110">
        <v>98.80696955444165</v>
      </c>
      <c r="X32" s="110">
        <v>2.3194647110731736</v>
      </c>
      <c r="Y32" s="135">
        <v>1.5225521139166176</v>
      </c>
    </row>
    <row r="33" spans="2:25" thickBot="1">
      <c r="B33" s="141" t="s">
        <v>95</v>
      </c>
      <c r="C33" s="171">
        <v>96</v>
      </c>
      <c r="D33" s="114">
        <v>0</v>
      </c>
      <c r="E33" s="114">
        <v>0</v>
      </c>
      <c r="F33" s="114">
        <v>0</v>
      </c>
      <c r="G33" s="114">
        <v>4</v>
      </c>
      <c r="H33" s="114">
        <v>14.95</v>
      </c>
      <c r="I33" s="114">
        <v>3.11</v>
      </c>
      <c r="J33" s="114">
        <v>2.87</v>
      </c>
      <c r="K33" s="114">
        <v>42.3</v>
      </c>
      <c r="L33" s="114">
        <v>0.84</v>
      </c>
      <c r="M33" s="114">
        <v>0.26</v>
      </c>
      <c r="N33" s="114">
        <v>0.03</v>
      </c>
      <c r="O33" s="114">
        <v>0.01</v>
      </c>
      <c r="P33" s="114">
        <v>7.0000000000000001E-3</v>
      </c>
      <c r="Q33" s="114">
        <v>34.163399999999996</v>
      </c>
      <c r="R33" s="114">
        <v>98.540400000000005</v>
      </c>
      <c r="S33" s="114">
        <v>22.6</v>
      </c>
      <c r="T33" s="114">
        <v>2.8</v>
      </c>
      <c r="U33" s="114">
        <v>13.2</v>
      </c>
      <c r="V33" s="114">
        <v>1</v>
      </c>
      <c r="W33" s="114">
        <v>89.249355948796619</v>
      </c>
      <c r="X33" s="114">
        <v>2.4999999999999996</v>
      </c>
      <c r="Y33" s="166">
        <v>1.0836236933797909</v>
      </c>
    </row>
    <row r="34" spans="2:25" thickBot="1">
      <c r="B34" s="262"/>
      <c r="C34" s="263"/>
      <c r="D34" s="263"/>
      <c r="E34" s="263"/>
      <c r="F34" s="263"/>
      <c r="G34" s="263"/>
      <c r="H34" s="263"/>
      <c r="I34" s="263"/>
      <c r="J34" s="263"/>
      <c r="K34" s="263"/>
      <c r="L34" s="263"/>
      <c r="M34" s="263"/>
      <c r="N34" s="263"/>
      <c r="O34" s="263"/>
      <c r="P34" s="263"/>
      <c r="Q34" s="263"/>
      <c r="R34" s="263"/>
      <c r="S34" s="263"/>
      <c r="T34" s="263"/>
      <c r="U34" s="263"/>
      <c r="V34" s="263"/>
      <c r="W34" s="263"/>
      <c r="X34" s="263"/>
      <c r="Y34" s="264"/>
    </row>
    <row r="35" spans="2:25" ht="14.45" customHeight="1">
      <c r="B35" s="285" t="s">
        <v>13</v>
      </c>
      <c r="C35" s="270" t="s">
        <v>96</v>
      </c>
      <c r="D35" s="271"/>
      <c r="E35" s="271"/>
      <c r="F35" s="271"/>
      <c r="G35" s="271"/>
      <c r="H35" s="271"/>
      <c r="I35" s="271"/>
      <c r="J35" s="271"/>
      <c r="K35" s="271"/>
      <c r="L35" s="271"/>
      <c r="M35" s="272"/>
      <c r="N35" s="273" t="s">
        <v>65</v>
      </c>
      <c r="O35" s="274"/>
      <c r="P35" s="273" t="s">
        <v>66</v>
      </c>
      <c r="Q35" s="275"/>
      <c r="R35" s="276"/>
      <c r="S35" s="304"/>
      <c r="T35" s="305"/>
      <c r="U35" s="305"/>
      <c r="V35" s="305"/>
      <c r="W35" s="305"/>
      <c r="X35" s="305"/>
      <c r="Y35" s="306"/>
    </row>
    <row r="36" spans="2:25" ht="24.75" customHeight="1" thickBot="1">
      <c r="B36" s="286"/>
      <c r="C36" s="111" t="s">
        <v>74</v>
      </c>
      <c r="D36" s="111" t="s">
        <v>75</v>
      </c>
      <c r="E36" s="111" t="s">
        <v>76</v>
      </c>
      <c r="F36" s="111" t="s">
        <v>77</v>
      </c>
      <c r="G36" s="111" t="s">
        <v>78</v>
      </c>
      <c r="H36" s="112" t="s">
        <v>79</v>
      </c>
      <c r="I36" s="112" t="s">
        <v>80</v>
      </c>
      <c r="J36" s="112" t="s">
        <v>81</v>
      </c>
      <c r="K36" s="112" t="s">
        <v>82</v>
      </c>
      <c r="L36" s="112" t="s">
        <v>83</v>
      </c>
      <c r="M36" s="112" t="s">
        <v>97</v>
      </c>
      <c r="N36" s="111" t="s">
        <v>85</v>
      </c>
      <c r="O36" s="111" t="s">
        <v>86</v>
      </c>
      <c r="P36" s="112" t="s">
        <v>87</v>
      </c>
      <c r="Q36" s="112" t="s">
        <v>88</v>
      </c>
      <c r="R36" s="125" t="s">
        <v>89</v>
      </c>
      <c r="S36" s="307"/>
      <c r="T36" s="308"/>
      <c r="U36" s="308"/>
      <c r="V36" s="308"/>
      <c r="W36" s="308"/>
      <c r="X36" s="308"/>
      <c r="Y36" s="309"/>
    </row>
    <row r="37" spans="2:25" ht="15">
      <c r="B37" s="139" t="s">
        <v>90</v>
      </c>
      <c r="C37" s="110">
        <v>10.254999999999999</v>
      </c>
      <c r="D37" s="113">
        <v>3.12</v>
      </c>
      <c r="E37" s="113">
        <v>2.5149999999999997</v>
      </c>
      <c r="F37" s="113">
        <v>45.724999999999994</v>
      </c>
      <c r="G37" s="113">
        <v>0.89</v>
      </c>
      <c r="H37" s="113">
        <v>0.23199999999999998</v>
      </c>
      <c r="I37" s="113">
        <v>1.0500000000000001E-2</v>
      </c>
      <c r="J37" s="113">
        <v>2.4E-2</v>
      </c>
      <c r="K37" s="113">
        <v>7.0000000000000001E-3</v>
      </c>
      <c r="L37" s="113">
        <v>36.909950000000002</v>
      </c>
      <c r="M37" s="113">
        <v>99.688449999999989</v>
      </c>
      <c r="N37" s="113">
        <v>20.2</v>
      </c>
      <c r="O37" s="113">
        <v>1.9</v>
      </c>
      <c r="P37" s="113">
        <v>135.13303509403517</v>
      </c>
      <c r="Q37" s="113">
        <v>1.8194896971460746</v>
      </c>
      <c r="R37" s="113">
        <v>1.24982414068745</v>
      </c>
      <c r="S37" s="307"/>
      <c r="T37" s="308"/>
      <c r="U37" s="308"/>
      <c r="V37" s="308"/>
      <c r="W37" s="308"/>
      <c r="X37" s="308"/>
      <c r="Y37" s="309"/>
    </row>
    <row r="38" spans="2:25" ht="15">
      <c r="B38" s="140" t="s">
        <v>91</v>
      </c>
      <c r="C38" s="110">
        <v>10.02</v>
      </c>
      <c r="D38" s="113">
        <v>3.04</v>
      </c>
      <c r="E38" s="113">
        <v>2.38</v>
      </c>
      <c r="F38" s="113">
        <v>45.695</v>
      </c>
      <c r="G38" s="113">
        <v>0.89500000000000002</v>
      </c>
      <c r="H38" s="113">
        <v>0.247</v>
      </c>
      <c r="I38" s="113">
        <v>1.2999999999999999E-2</v>
      </c>
      <c r="J38" s="113">
        <v>2.5999999999999999E-2</v>
      </c>
      <c r="K38" s="113">
        <v>7.0000000000000001E-3</v>
      </c>
      <c r="L38" s="113">
        <v>36.891820000000003</v>
      </c>
      <c r="M38" s="113">
        <v>99.214820000000003</v>
      </c>
      <c r="N38" s="113">
        <v>20</v>
      </c>
      <c r="O38" s="113">
        <v>2.1</v>
      </c>
      <c r="P38" s="113">
        <v>137.68806164051455</v>
      </c>
      <c r="Q38" s="113">
        <v>1.8494926796050393</v>
      </c>
      <c r="R38" s="113">
        <v>1.2772098935437741</v>
      </c>
      <c r="S38" s="307"/>
      <c r="T38" s="308"/>
      <c r="U38" s="308"/>
      <c r="V38" s="308"/>
      <c r="W38" s="308"/>
      <c r="X38" s="308"/>
      <c r="Y38" s="309"/>
    </row>
    <row r="39" spans="2:25" ht="15">
      <c r="B39" s="140" t="s">
        <v>92</v>
      </c>
      <c r="C39" s="110">
        <v>11.96</v>
      </c>
      <c r="D39" s="113">
        <v>3.1150000000000002</v>
      </c>
      <c r="E39" s="113">
        <v>2.2949999999999999</v>
      </c>
      <c r="F39" s="113">
        <v>44.64</v>
      </c>
      <c r="G39" s="113">
        <v>0.88500000000000001</v>
      </c>
      <c r="H39" s="113">
        <v>0.25</v>
      </c>
      <c r="I39" s="113">
        <v>0.02</v>
      </c>
      <c r="J39" s="113">
        <v>0.03</v>
      </c>
      <c r="K39" s="113">
        <v>7.4999999999999997E-3</v>
      </c>
      <c r="L39" s="113">
        <v>36.051690000000008</v>
      </c>
      <c r="M39" s="113">
        <v>99.254190000000008</v>
      </c>
      <c r="N39" s="113">
        <v>15.899999999999999</v>
      </c>
      <c r="O39" s="113">
        <v>1.2</v>
      </c>
      <c r="P39" s="113">
        <v>115.87897528359674</v>
      </c>
      <c r="Q39" s="113">
        <v>2.2316728726598831</v>
      </c>
      <c r="R39" s="113">
        <v>1.3582102370319478</v>
      </c>
      <c r="S39" s="307"/>
      <c r="T39" s="308"/>
      <c r="U39" s="308"/>
      <c r="V39" s="308"/>
      <c r="W39" s="308"/>
      <c r="X39" s="308"/>
      <c r="Y39" s="309"/>
    </row>
    <row r="40" spans="2:25" ht="15">
      <c r="B40" s="140" t="s">
        <v>93</v>
      </c>
      <c r="C40" s="110">
        <v>11.945</v>
      </c>
      <c r="D40" s="113">
        <v>2.68</v>
      </c>
      <c r="E40" s="113">
        <v>2.29</v>
      </c>
      <c r="F40" s="113">
        <v>45.045000000000002</v>
      </c>
      <c r="G40" s="113">
        <v>0.85</v>
      </c>
      <c r="H40" s="113">
        <v>0.26</v>
      </c>
      <c r="I40" s="113">
        <v>2.5000000000000001E-2</v>
      </c>
      <c r="J40" s="113">
        <v>0.02</v>
      </c>
      <c r="K40" s="113">
        <v>8.0000000000000002E-3</v>
      </c>
      <c r="L40" s="113">
        <v>36.331870000000009</v>
      </c>
      <c r="M40" s="113">
        <v>99.454870000000014</v>
      </c>
      <c r="N40" s="113">
        <v>17.899999999999999</v>
      </c>
      <c r="O40" s="113">
        <v>1.4</v>
      </c>
      <c r="P40" s="113">
        <v>118.76430482080445</v>
      </c>
      <c r="Q40" s="113">
        <v>2.4137823147614199</v>
      </c>
      <c r="R40" s="113">
        <v>1.236021472947705</v>
      </c>
      <c r="S40" s="307"/>
      <c r="T40" s="308"/>
      <c r="U40" s="308"/>
      <c r="V40" s="308"/>
      <c r="W40" s="308"/>
      <c r="X40" s="308"/>
      <c r="Y40" s="309"/>
    </row>
    <row r="41" spans="2:25" ht="15">
      <c r="B41" s="140" t="s">
        <v>94</v>
      </c>
      <c r="C41" s="110">
        <v>11.93</v>
      </c>
      <c r="D41" s="113">
        <v>3.125</v>
      </c>
      <c r="E41" s="113">
        <v>2.27</v>
      </c>
      <c r="F41" s="113">
        <v>44.805</v>
      </c>
      <c r="G41" s="113">
        <v>0.86</v>
      </c>
      <c r="H41" s="113">
        <v>0.245</v>
      </c>
      <c r="I41" s="113">
        <v>0.02</v>
      </c>
      <c r="J41" s="113">
        <v>1.4999999999999999E-2</v>
      </c>
      <c r="K41" s="113">
        <v>7.4999999999999997E-3</v>
      </c>
      <c r="L41" s="113">
        <v>36.154129999999995</v>
      </c>
      <c r="M41" s="113">
        <v>99.431630000000013</v>
      </c>
      <c r="N41" s="113">
        <v>16.7</v>
      </c>
      <c r="O41" s="113">
        <v>1.2999999999999998</v>
      </c>
      <c r="P41" s="113">
        <v>116.17513579940879</v>
      </c>
      <c r="Q41" s="113">
        <v>2.2113800188281214</v>
      </c>
      <c r="R41" s="113">
        <v>1.3785742035742037</v>
      </c>
      <c r="S41" s="307"/>
      <c r="T41" s="308"/>
      <c r="U41" s="308"/>
      <c r="V41" s="308"/>
      <c r="W41" s="308"/>
      <c r="X41" s="308"/>
      <c r="Y41" s="309"/>
    </row>
    <row r="42" spans="2:25" thickBot="1">
      <c r="B42" s="141" t="s">
        <v>95</v>
      </c>
      <c r="C42" s="110">
        <v>13.26</v>
      </c>
      <c r="D42" s="113">
        <v>2.92</v>
      </c>
      <c r="E42" s="113">
        <v>3.5049999999999999</v>
      </c>
      <c r="F42" s="113">
        <v>43.625</v>
      </c>
      <c r="G42" s="113">
        <v>0.86499999999999999</v>
      </c>
      <c r="H42" s="113">
        <v>0.23449999999999999</v>
      </c>
      <c r="I42" s="113">
        <v>1.4499999999999999E-2</v>
      </c>
      <c r="J42" s="113">
        <v>4.3999999999999997E-2</v>
      </c>
      <c r="K42" s="113">
        <v>7.0000000000000001E-3</v>
      </c>
      <c r="L42" s="113">
        <v>35.232100000000003</v>
      </c>
      <c r="M42" s="113">
        <v>99.707099999999997</v>
      </c>
      <c r="N42" s="113">
        <v>19</v>
      </c>
      <c r="O42" s="113">
        <v>1.7000000000000002</v>
      </c>
      <c r="P42" s="113">
        <v>101.86285490358213</v>
      </c>
      <c r="Q42" s="113">
        <v>2.064269851429458</v>
      </c>
      <c r="R42" s="113">
        <v>0.83838854805725971</v>
      </c>
      <c r="S42" s="310"/>
      <c r="T42" s="311"/>
      <c r="U42" s="311"/>
      <c r="V42" s="311"/>
      <c r="W42" s="311"/>
      <c r="X42" s="311"/>
      <c r="Y42" s="312"/>
    </row>
    <row r="43" spans="2:25" ht="15" customHeight="1" thickBot="1">
      <c r="B43" s="277" t="s">
        <v>178</v>
      </c>
      <c r="C43" s="278"/>
      <c r="D43" s="278"/>
      <c r="E43" s="278"/>
      <c r="F43" s="278"/>
      <c r="G43" s="278"/>
      <c r="H43" s="278"/>
      <c r="I43" s="278"/>
      <c r="J43" s="278"/>
      <c r="K43" s="278"/>
      <c r="L43" s="278"/>
      <c r="M43" s="278"/>
      <c r="N43" s="278"/>
      <c r="O43" s="278"/>
      <c r="P43" s="278"/>
      <c r="Q43" s="278"/>
      <c r="R43" s="278"/>
      <c r="S43" s="278"/>
      <c r="T43" s="278"/>
      <c r="U43" s="278"/>
      <c r="V43" s="279"/>
      <c r="W43" s="295"/>
      <c r="X43" s="296"/>
      <c r="Y43" s="297"/>
    </row>
    <row r="44" spans="2:25" ht="14.45" customHeight="1">
      <c r="B44" s="285" t="s">
        <v>13</v>
      </c>
      <c r="C44" s="270" t="s">
        <v>64</v>
      </c>
      <c r="D44" s="271"/>
      <c r="E44" s="271"/>
      <c r="F44" s="271"/>
      <c r="G44" s="271"/>
      <c r="H44" s="271"/>
      <c r="I44" s="271"/>
      <c r="J44" s="271"/>
      <c r="K44" s="271"/>
      <c r="L44" s="271"/>
      <c r="M44" s="271"/>
      <c r="N44" s="272"/>
      <c r="O44" s="270" t="s">
        <v>66</v>
      </c>
      <c r="P44" s="271"/>
      <c r="Q44" s="272"/>
      <c r="R44" s="273" t="s">
        <v>98</v>
      </c>
      <c r="S44" s="275"/>
      <c r="T44" s="275"/>
      <c r="U44" s="275"/>
      <c r="V44" s="276"/>
      <c r="W44" s="298"/>
      <c r="X44" s="299"/>
      <c r="Y44" s="300"/>
    </row>
    <row r="45" spans="2:25" ht="21" customHeight="1" thickBot="1">
      <c r="B45" s="286"/>
      <c r="C45" s="111" t="s">
        <v>74</v>
      </c>
      <c r="D45" s="111" t="s">
        <v>75</v>
      </c>
      <c r="E45" s="111" t="s">
        <v>76</v>
      </c>
      <c r="F45" s="111" t="s">
        <v>77</v>
      </c>
      <c r="G45" s="111" t="s">
        <v>78</v>
      </c>
      <c r="H45" s="112" t="s">
        <v>79</v>
      </c>
      <c r="I45" s="112" t="s">
        <v>80</v>
      </c>
      <c r="J45" s="112" t="s">
        <v>81</v>
      </c>
      <c r="K45" s="112" t="s">
        <v>82</v>
      </c>
      <c r="L45" s="112" t="s">
        <v>97</v>
      </c>
      <c r="M45" s="111" t="s">
        <v>99</v>
      </c>
      <c r="N45" s="111" t="s">
        <v>100</v>
      </c>
      <c r="O45" s="112" t="s">
        <v>87</v>
      </c>
      <c r="P45" s="112" t="s">
        <v>88</v>
      </c>
      <c r="Q45" s="112" t="s">
        <v>89</v>
      </c>
      <c r="R45" s="126" t="s">
        <v>101</v>
      </c>
      <c r="S45" s="126" t="s">
        <v>102</v>
      </c>
      <c r="T45" s="126" t="s">
        <v>103</v>
      </c>
      <c r="U45" s="126" t="s">
        <v>104</v>
      </c>
      <c r="V45" s="127" t="s">
        <v>105</v>
      </c>
      <c r="W45" s="298"/>
      <c r="X45" s="299"/>
      <c r="Y45" s="300"/>
    </row>
    <row r="46" spans="2:25" ht="15">
      <c r="B46" s="139" t="s">
        <v>90</v>
      </c>
      <c r="C46" s="110">
        <v>20.34</v>
      </c>
      <c r="D46" s="113">
        <v>5.35</v>
      </c>
      <c r="E46" s="113">
        <v>4.6850000000000005</v>
      </c>
      <c r="F46" s="113">
        <v>66.63</v>
      </c>
      <c r="G46" s="113">
        <v>1.44</v>
      </c>
      <c r="H46" s="113">
        <v>0.40400000000000003</v>
      </c>
      <c r="I46" s="113">
        <v>0.25</v>
      </c>
      <c r="J46" s="113">
        <v>0.4955</v>
      </c>
      <c r="K46" s="113">
        <v>2.5000000000000001E-3</v>
      </c>
      <c r="L46" s="113">
        <v>99.597000000000008</v>
      </c>
      <c r="M46" s="106">
        <v>1257.5</v>
      </c>
      <c r="N46" s="113">
        <v>3</v>
      </c>
      <c r="O46" s="113">
        <v>100.48623047543967</v>
      </c>
      <c r="P46" s="113">
        <v>2.0269063706563708</v>
      </c>
      <c r="Q46" s="113">
        <v>1.1429978118161925</v>
      </c>
      <c r="R46" s="113">
        <v>61.77219999999997</v>
      </c>
      <c r="S46" s="113">
        <v>11.774852320000026</v>
      </c>
      <c r="T46" s="113">
        <v>6.2504800000000005</v>
      </c>
      <c r="U46" s="113">
        <v>14.256455000000001</v>
      </c>
      <c r="V46" s="128">
        <v>28.403256650000003</v>
      </c>
      <c r="W46" s="298"/>
      <c r="X46" s="299"/>
      <c r="Y46" s="300"/>
    </row>
    <row r="47" spans="2:25" ht="15">
      <c r="B47" s="140" t="s">
        <v>91</v>
      </c>
      <c r="C47" s="110">
        <v>19.634999999999998</v>
      </c>
      <c r="D47" s="113">
        <v>5.1950000000000003</v>
      </c>
      <c r="E47" s="113">
        <v>4.1150000000000002</v>
      </c>
      <c r="F47" s="113">
        <v>68.449999999999989</v>
      </c>
      <c r="G47" s="113">
        <v>1.48</v>
      </c>
      <c r="H47" s="113">
        <v>0.40349999999999997</v>
      </c>
      <c r="I47" s="113">
        <v>0.2505</v>
      </c>
      <c r="J47" s="113">
        <v>0.40449999999999997</v>
      </c>
      <c r="K47" s="113">
        <v>4.0000000000000001E-3</v>
      </c>
      <c r="L47" s="113">
        <v>99.9375</v>
      </c>
      <c r="M47" s="106">
        <v>1295</v>
      </c>
      <c r="N47" s="113">
        <v>4.5950000000000006</v>
      </c>
      <c r="O47" s="113">
        <v>107.32573653769185</v>
      </c>
      <c r="P47" s="113">
        <v>2.1093675182907061</v>
      </c>
      <c r="Q47" s="113">
        <v>1.2627119144663004</v>
      </c>
      <c r="R47" s="113">
        <v>69.903974999999988</v>
      </c>
      <c r="S47" s="113">
        <v>3.6168912600000134</v>
      </c>
      <c r="T47" s="113">
        <v>6.8041699999999992</v>
      </c>
      <c r="U47" s="113">
        <v>12.521944999999999</v>
      </c>
      <c r="V47" s="128">
        <v>26.727337850000001</v>
      </c>
      <c r="W47" s="298"/>
      <c r="X47" s="299"/>
      <c r="Y47" s="300"/>
    </row>
    <row r="48" spans="2:25" ht="15">
      <c r="B48" s="140" t="s">
        <v>92</v>
      </c>
      <c r="C48" s="110">
        <v>19.36</v>
      </c>
      <c r="D48" s="113">
        <v>5.3449999999999998</v>
      </c>
      <c r="E48" s="113">
        <v>3.8849999999999998</v>
      </c>
      <c r="F48" s="113">
        <v>68.039999999999992</v>
      </c>
      <c r="G48" s="113">
        <v>1.48</v>
      </c>
      <c r="H48" s="113">
        <v>0.44</v>
      </c>
      <c r="I48" s="113">
        <v>0.25</v>
      </c>
      <c r="J48" s="113">
        <v>0.51</v>
      </c>
      <c r="K48" s="113">
        <v>3.0000000000000001E-3</v>
      </c>
      <c r="L48" s="113">
        <v>99.312999999999988</v>
      </c>
      <c r="M48" s="106">
        <v>1287.5</v>
      </c>
      <c r="N48" s="113">
        <v>3.8949999999999996</v>
      </c>
      <c r="O48" s="113">
        <v>108.08806784579124</v>
      </c>
      <c r="P48" s="113">
        <v>2.0969024470433517</v>
      </c>
      <c r="Q48" s="113">
        <v>1.3786597267404033</v>
      </c>
      <c r="R48" s="113">
        <v>72.496314999999981</v>
      </c>
      <c r="S48" s="113">
        <v>0.87197996400001543</v>
      </c>
      <c r="T48" s="113">
        <v>7.5908300000000004</v>
      </c>
      <c r="U48" s="113">
        <v>11.822054999999999</v>
      </c>
      <c r="V48" s="128">
        <v>26.70741215</v>
      </c>
      <c r="W48" s="298"/>
      <c r="X48" s="299"/>
      <c r="Y48" s="300"/>
    </row>
    <row r="49" spans="2:25" ht="15">
      <c r="B49" s="140" t="s">
        <v>93</v>
      </c>
      <c r="C49" s="110">
        <v>21.454999999999998</v>
      </c>
      <c r="D49" s="113">
        <v>4.8849999999999998</v>
      </c>
      <c r="E49" s="113">
        <v>3.54</v>
      </c>
      <c r="F49" s="113">
        <v>66.89500000000001</v>
      </c>
      <c r="G49" s="113">
        <v>1.4449999999999998</v>
      </c>
      <c r="H49" s="113">
        <v>0.35499999999999998</v>
      </c>
      <c r="I49" s="113">
        <v>0.24</v>
      </c>
      <c r="J49" s="113">
        <v>0.47</v>
      </c>
      <c r="K49" s="113">
        <v>3.0000000000000001E-3</v>
      </c>
      <c r="L49" s="113">
        <v>99.287999999999997</v>
      </c>
      <c r="M49" s="106">
        <v>1272.5</v>
      </c>
      <c r="N49" s="113">
        <v>2.9450000000000003</v>
      </c>
      <c r="O49" s="113">
        <v>98.178700848569889</v>
      </c>
      <c r="P49" s="113">
        <v>2.5485206992135403</v>
      </c>
      <c r="Q49" s="113">
        <v>1.3795019157088122</v>
      </c>
      <c r="R49" s="113">
        <v>59.359909999999999</v>
      </c>
      <c r="S49" s="113">
        <v>16.794733896000004</v>
      </c>
      <c r="T49" s="113">
        <v>6.9555699999999989</v>
      </c>
      <c r="U49" s="113">
        <v>10.772220000000001</v>
      </c>
      <c r="V49" s="128">
        <v>24.442291099999998</v>
      </c>
      <c r="W49" s="298"/>
      <c r="X49" s="299"/>
      <c r="Y49" s="300"/>
    </row>
    <row r="50" spans="2:25" ht="15">
      <c r="B50" s="140" t="s">
        <v>94</v>
      </c>
      <c r="C50" s="110">
        <v>21.905000000000001</v>
      </c>
      <c r="D50" s="113">
        <v>4.7550000000000008</v>
      </c>
      <c r="E50" s="113">
        <v>3.9050000000000002</v>
      </c>
      <c r="F50" s="113">
        <v>66.02000000000001</v>
      </c>
      <c r="G50" s="113">
        <v>1.41</v>
      </c>
      <c r="H50" s="113">
        <v>0.39</v>
      </c>
      <c r="I50" s="113">
        <v>0.245</v>
      </c>
      <c r="J50" s="113">
        <v>0.48499999999999999</v>
      </c>
      <c r="K50" s="113">
        <v>4.0000000000000001E-3</v>
      </c>
      <c r="L50" s="113">
        <v>99.119</v>
      </c>
      <c r="M50" s="106">
        <v>1230</v>
      </c>
      <c r="N50" s="113">
        <v>2.5099999999999998</v>
      </c>
      <c r="O50" s="113">
        <v>95.019848088894335</v>
      </c>
      <c r="P50" s="113">
        <v>2.5305954458372688</v>
      </c>
      <c r="Q50" s="113">
        <v>1.2272565320665083</v>
      </c>
      <c r="R50" s="113">
        <v>54.499159999999989</v>
      </c>
      <c r="S50" s="113">
        <v>21.753183696000011</v>
      </c>
      <c r="T50" s="113">
        <v>5.9934899999999995</v>
      </c>
      <c r="U50" s="113">
        <v>11.882915000000001</v>
      </c>
      <c r="V50" s="128">
        <v>24.85957895</v>
      </c>
      <c r="W50" s="298"/>
      <c r="X50" s="299"/>
      <c r="Y50" s="300"/>
    </row>
    <row r="51" spans="2:25" thickBot="1">
      <c r="B51" s="141" t="s">
        <v>95</v>
      </c>
      <c r="C51" s="114">
        <v>21.824999999999999</v>
      </c>
      <c r="D51" s="115">
        <v>5.2949999999999999</v>
      </c>
      <c r="E51" s="115">
        <v>4.3949999999999996</v>
      </c>
      <c r="F51" s="115">
        <v>65.39</v>
      </c>
      <c r="G51" s="115">
        <v>1.4449999999999998</v>
      </c>
      <c r="H51" s="115">
        <v>0.38900000000000001</v>
      </c>
      <c r="I51" s="115">
        <v>0.23249999999999998</v>
      </c>
      <c r="J51" s="115">
        <v>0.46899999999999997</v>
      </c>
      <c r="K51" s="115">
        <v>2.5000000000000001E-3</v>
      </c>
      <c r="L51" s="115">
        <v>99.442999999999998</v>
      </c>
      <c r="M51" s="118">
        <v>1252.5</v>
      </c>
      <c r="N51" s="115">
        <v>2.56</v>
      </c>
      <c r="O51" s="115">
        <v>93.158503657366538</v>
      </c>
      <c r="P51" s="115">
        <v>2.2522520363393506</v>
      </c>
      <c r="Q51" s="115">
        <v>1.2053846153846153</v>
      </c>
      <c r="R51" s="115">
        <v>48.010620000000003</v>
      </c>
      <c r="S51" s="115">
        <v>26.418538271999999</v>
      </c>
      <c r="T51" s="115">
        <v>6.5954099999999993</v>
      </c>
      <c r="U51" s="115">
        <v>13.373985000000001</v>
      </c>
      <c r="V51" s="129">
        <v>27.574193049999998</v>
      </c>
      <c r="W51" s="301"/>
      <c r="X51" s="302"/>
      <c r="Y51" s="303"/>
    </row>
    <row r="52" spans="2:25" ht="22.5" customHeight="1">
      <c r="B52" s="116"/>
    </row>
    <row r="53" spans="2:25" ht="22.5" customHeight="1">
      <c r="B53" s="116"/>
    </row>
    <row r="54" spans="2:25" ht="22.5" customHeight="1">
      <c r="B54" s="116"/>
    </row>
    <row r="55" spans="2:25" ht="22.5" customHeight="1">
      <c r="B55" s="116"/>
      <c r="J55" s="119"/>
    </row>
    <row r="56" spans="2:25" ht="22.5" customHeight="1">
      <c r="B56" s="116"/>
    </row>
    <row r="57" spans="2:25" ht="22.5" customHeight="1">
      <c r="B57" s="116"/>
      <c r="S57" s="1"/>
    </row>
    <row r="58" spans="2:25" ht="22.5" customHeight="1">
      <c r="B58" s="116"/>
      <c r="S58" s="1"/>
    </row>
    <row r="59" spans="2:25" ht="22.5" customHeight="1">
      <c r="B59" s="116"/>
      <c r="L59" s="1"/>
      <c r="M59" s="1"/>
      <c r="N59" s="1"/>
      <c r="O59" s="1"/>
      <c r="P59" s="1"/>
      <c r="Q59" s="1"/>
      <c r="R59" s="1"/>
      <c r="S59" s="1"/>
    </row>
    <row r="60" spans="2:25" ht="22.5" customHeight="1">
      <c r="B60" s="116"/>
    </row>
    <row r="61" spans="2:25" ht="22.5" customHeight="1">
      <c r="B61" s="116"/>
    </row>
    <row r="62" spans="2:25" ht="22.5" customHeight="1">
      <c r="B62" s="116"/>
    </row>
    <row r="63" spans="2:25" ht="22.5" customHeight="1">
      <c r="B63" s="116"/>
    </row>
    <row r="64" spans="2:25" ht="22.5" customHeight="1">
      <c r="B64" s="116"/>
    </row>
    <row r="65" spans="2:2" ht="22.5" customHeight="1">
      <c r="B65" s="116"/>
    </row>
    <row r="66" spans="2:2" ht="22.5" customHeight="1">
      <c r="B66" s="116"/>
    </row>
    <row r="67" spans="2:2" ht="22.5" customHeight="1">
      <c r="B67" s="116"/>
    </row>
    <row r="68" spans="2:2" ht="22.5" customHeight="1">
      <c r="B68" s="116"/>
    </row>
    <row r="69" spans="2:2" ht="22.5" customHeight="1">
      <c r="B69" s="116"/>
    </row>
    <row r="70" spans="2:2" ht="22.5" customHeight="1"/>
    <row r="71" spans="2:2" ht="22.5" customHeight="1"/>
    <row r="72" spans="2:2" ht="22.5" customHeight="1"/>
    <row r="73" spans="2:2" ht="22.5" customHeight="1"/>
    <row r="74" spans="2:2" ht="22.5" customHeight="1"/>
    <row r="75" spans="2:2" ht="22.5" customHeight="1"/>
    <row r="76" spans="2:2" ht="22.5" customHeight="1"/>
    <row r="77" spans="2:2" ht="22.5" customHeight="1"/>
    <row r="78" spans="2:2" ht="22.5" customHeight="1"/>
    <row r="79" spans="2:2" ht="22.5" customHeight="1"/>
    <row r="80" spans="2:2" ht="22.5" customHeight="1"/>
    <row r="81" ht="22.5" customHeight="1"/>
    <row r="82" ht="22.5" customHeight="1"/>
    <row r="83" ht="22.5" customHeight="1"/>
  </sheetData>
  <mergeCells count="132">
    <mergeCell ref="B34:Y34"/>
    <mergeCell ref="C35:M35"/>
    <mergeCell ref="N35:O35"/>
    <mergeCell ref="P35:R35"/>
    <mergeCell ref="B43:V43"/>
    <mergeCell ref="C44:N44"/>
    <mergeCell ref="O44:Q44"/>
    <mergeCell ref="R44:V44"/>
    <mergeCell ref="B5:B6"/>
    <mergeCell ref="B25:B27"/>
    <mergeCell ref="B35:B36"/>
    <mergeCell ref="B44:B45"/>
    <mergeCell ref="Q5:Q6"/>
    <mergeCell ref="Q13:Q14"/>
    <mergeCell ref="W25:Y26"/>
    <mergeCell ref="W43:Y51"/>
    <mergeCell ref="S35:Y42"/>
    <mergeCell ref="C25:G26"/>
    <mergeCell ref="H25:R26"/>
    <mergeCell ref="D23:E23"/>
    <mergeCell ref="F23:G23"/>
    <mergeCell ref="H23:I23"/>
    <mergeCell ref="J23:K23"/>
    <mergeCell ref="L23:M23"/>
    <mergeCell ref="N23:O23"/>
    <mergeCell ref="B24:Y24"/>
    <mergeCell ref="S25:V25"/>
    <mergeCell ref="S26:T26"/>
    <mergeCell ref="U26:V26"/>
    <mergeCell ref="D21:E21"/>
    <mergeCell ref="F21:G21"/>
    <mergeCell ref="H21:I21"/>
    <mergeCell ref="J21:K21"/>
    <mergeCell ref="L21:M21"/>
    <mergeCell ref="N21:O21"/>
    <mergeCell ref="D22:E22"/>
    <mergeCell ref="F22:G22"/>
    <mergeCell ref="H22:I22"/>
    <mergeCell ref="J22:K22"/>
    <mergeCell ref="L22:M22"/>
    <mergeCell ref="N22:O22"/>
    <mergeCell ref="D18:E18"/>
    <mergeCell ref="F18:G18"/>
    <mergeCell ref="H18:I18"/>
    <mergeCell ref="J18:K18"/>
    <mergeCell ref="L18:M18"/>
    <mergeCell ref="N18:O18"/>
    <mergeCell ref="B19:O19"/>
    <mergeCell ref="D20:E20"/>
    <mergeCell ref="F20:G20"/>
    <mergeCell ref="H20:I20"/>
    <mergeCell ref="J20:K20"/>
    <mergeCell ref="L20:M20"/>
    <mergeCell ref="N20:O20"/>
    <mergeCell ref="D16:E16"/>
    <mergeCell ref="F16:G16"/>
    <mergeCell ref="H16:I16"/>
    <mergeCell ref="J16:K16"/>
    <mergeCell ref="L16:M16"/>
    <mergeCell ref="N16:O16"/>
    <mergeCell ref="D17:E17"/>
    <mergeCell ref="F17:G17"/>
    <mergeCell ref="H17:I17"/>
    <mergeCell ref="J17:K17"/>
    <mergeCell ref="L17:M17"/>
    <mergeCell ref="N17:O17"/>
    <mergeCell ref="Q12:Y12"/>
    <mergeCell ref="D13:E13"/>
    <mergeCell ref="F13:G13"/>
    <mergeCell ref="H13:I13"/>
    <mergeCell ref="J13:K13"/>
    <mergeCell ref="L13:M13"/>
    <mergeCell ref="N13:O13"/>
    <mergeCell ref="B14:O14"/>
    <mergeCell ref="D15:E15"/>
    <mergeCell ref="F15:G15"/>
    <mergeCell ref="H15:I15"/>
    <mergeCell ref="J15:K15"/>
    <mergeCell ref="L15:M15"/>
    <mergeCell ref="N15:O15"/>
    <mergeCell ref="D11:E11"/>
    <mergeCell ref="F11:G11"/>
    <mergeCell ref="H11:I11"/>
    <mergeCell ref="J11:K11"/>
    <mergeCell ref="L11:M11"/>
    <mergeCell ref="N11:O11"/>
    <mergeCell ref="D12:E12"/>
    <mergeCell ref="F12:G12"/>
    <mergeCell ref="H12:I12"/>
    <mergeCell ref="J12:K12"/>
    <mergeCell ref="L12:M12"/>
    <mergeCell ref="N12:O12"/>
    <mergeCell ref="D9:E9"/>
    <mergeCell ref="F9:G9"/>
    <mergeCell ref="H9:I9"/>
    <mergeCell ref="J9:K9"/>
    <mergeCell ref="L9:M9"/>
    <mergeCell ref="N9:O9"/>
    <mergeCell ref="D10:E10"/>
    <mergeCell ref="F10:G10"/>
    <mergeCell ref="H10:I10"/>
    <mergeCell ref="J10:K10"/>
    <mergeCell ref="L10:M10"/>
    <mergeCell ref="N10:O10"/>
    <mergeCell ref="D6:E6"/>
    <mergeCell ref="F6:G6"/>
    <mergeCell ref="H6:I6"/>
    <mergeCell ref="J6:K6"/>
    <mergeCell ref="L6:M6"/>
    <mergeCell ref="N6:O6"/>
    <mergeCell ref="B7:O7"/>
    <mergeCell ref="D8:E8"/>
    <mergeCell ref="F8:G8"/>
    <mergeCell ref="H8:I8"/>
    <mergeCell ref="J8:K8"/>
    <mergeCell ref="L8:M8"/>
    <mergeCell ref="N8:O8"/>
    <mergeCell ref="B2:Y2"/>
    <mergeCell ref="B3:S3"/>
    <mergeCell ref="T3:U3"/>
    <mergeCell ref="V3:Y3"/>
    <mergeCell ref="B4:E4"/>
    <mergeCell ref="F4:O4"/>
    <mergeCell ref="Q4:Y4"/>
    <mergeCell ref="D5:E5"/>
    <mergeCell ref="F5:G5"/>
    <mergeCell ref="H5:I5"/>
    <mergeCell ref="J5:K5"/>
    <mergeCell ref="L5:M5"/>
    <mergeCell ref="N5:O5"/>
    <mergeCell ref="S5:U5"/>
    <mergeCell ref="V5:W5"/>
  </mergeCells>
  <pageMargins left="0.7" right="0.7" top="0.75" bottom="0.75" header="0.3" footer="0.3"/>
  <pageSetup paperSize="11" scale="2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F518"/>
  <sheetViews>
    <sheetView topLeftCell="A170" zoomScale="90" zoomScaleNormal="90" workbookViewId="0">
      <selection activeCell="J190" sqref="J190"/>
    </sheetView>
  </sheetViews>
  <sheetFormatPr defaultColWidth="6.28515625" defaultRowHeight="15"/>
  <cols>
    <col min="1" max="2" width="9.7109375" customWidth="1"/>
    <col min="3" max="3" width="6.42578125" customWidth="1"/>
    <col min="4" max="4" width="8.42578125" customWidth="1"/>
    <col min="5" max="14" width="6.42578125" customWidth="1"/>
    <col min="15" max="16" width="7.7109375" customWidth="1"/>
    <col min="17" max="22" width="6.42578125" customWidth="1"/>
    <col min="23" max="23" width="7.42578125" customWidth="1"/>
    <col min="24" max="32" width="6.42578125" customWidth="1"/>
    <col min="33" max="36" width="7.42578125"/>
  </cols>
  <sheetData>
    <row r="1" spans="1:32">
      <c r="A1" s="325" t="s">
        <v>0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</row>
    <row r="2" spans="1:32">
      <c r="A2" s="325" t="s">
        <v>106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 t="s">
        <v>107</v>
      </c>
      <c r="AD2" s="325"/>
      <c r="AE2" s="326">
        <v>45992</v>
      </c>
      <c r="AF2" s="326"/>
    </row>
    <row r="3" spans="1:32">
      <c r="A3" s="330"/>
      <c r="B3" s="331"/>
      <c r="C3" s="332" t="s">
        <v>108</v>
      </c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4"/>
      <c r="Q3" s="335" t="s">
        <v>109</v>
      </c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7"/>
    </row>
    <row r="4" spans="1:32" ht="38.25">
      <c r="A4" s="5" t="s">
        <v>110</v>
      </c>
      <c r="B4" s="5" t="s">
        <v>111</v>
      </c>
      <c r="C4" s="64" t="s">
        <v>83</v>
      </c>
      <c r="D4" s="64" t="s">
        <v>81</v>
      </c>
      <c r="E4" s="89" t="s">
        <v>112</v>
      </c>
      <c r="F4" s="64" t="s">
        <v>113</v>
      </c>
      <c r="G4" s="89" t="s">
        <v>114</v>
      </c>
      <c r="H4" s="89" t="s">
        <v>115</v>
      </c>
      <c r="I4" s="64" t="s">
        <v>116</v>
      </c>
      <c r="J4" s="64" t="s">
        <v>117</v>
      </c>
      <c r="K4" s="64" t="s">
        <v>118</v>
      </c>
      <c r="L4" s="64" t="s">
        <v>119</v>
      </c>
      <c r="M4" s="64" t="s">
        <v>9</v>
      </c>
      <c r="N4" s="64" t="s">
        <v>120</v>
      </c>
      <c r="O4" s="64" t="s">
        <v>121</v>
      </c>
      <c r="P4" s="64" t="s">
        <v>122</v>
      </c>
      <c r="Q4" s="64" t="s">
        <v>74</v>
      </c>
      <c r="R4" s="64" t="s">
        <v>75</v>
      </c>
      <c r="S4" s="64" t="s">
        <v>76</v>
      </c>
      <c r="T4" s="64" t="s">
        <v>77</v>
      </c>
      <c r="U4" s="64" t="s">
        <v>78</v>
      </c>
      <c r="V4" s="64" t="s">
        <v>81</v>
      </c>
      <c r="W4" s="89" t="s">
        <v>123</v>
      </c>
      <c r="X4" s="64" t="s">
        <v>100</v>
      </c>
      <c r="Y4" s="64" t="s">
        <v>87</v>
      </c>
      <c r="Z4" s="64" t="s">
        <v>88</v>
      </c>
      <c r="AA4" s="64" t="s">
        <v>89</v>
      </c>
      <c r="AB4" s="64" t="s">
        <v>101</v>
      </c>
      <c r="AC4" s="64" t="s">
        <v>102</v>
      </c>
      <c r="AD4" s="64" t="s">
        <v>103</v>
      </c>
      <c r="AE4" s="64" t="s">
        <v>104</v>
      </c>
      <c r="AF4" s="64" t="s">
        <v>105</v>
      </c>
    </row>
    <row r="5" spans="1:32">
      <c r="A5" s="322" t="s">
        <v>124</v>
      </c>
      <c r="B5" s="323"/>
      <c r="C5" s="64" t="s">
        <v>53</v>
      </c>
      <c r="D5" s="64" t="s">
        <v>53</v>
      </c>
      <c r="E5" s="64" t="s">
        <v>125</v>
      </c>
      <c r="F5" s="64" t="s">
        <v>53</v>
      </c>
      <c r="G5" s="64" t="s">
        <v>126</v>
      </c>
      <c r="H5" s="64" t="s">
        <v>126</v>
      </c>
      <c r="I5" s="64" t="s">
        <v>53</v>
      </c>
      <c r="J5" s="64" t="s">
        <v>53</v>
      </c>
      <c r="K5" s="64" t="s">
        <v>53</v>
      </c>
      <c r="L5" s="64" t="s">
        <v>127</v>
      </c>
      <c r="M5" s="64" t="s">
        <v>128</v>
      </c>
      <c r="N5" s="64" t="s">
        <v>128</v>
      </c>
      <c r="O5" s="64" t="s">
        <v>128</v>
      </c>
      <c r="P5" s="64" t="s">
        <v>128</v>
      </c>
      <c r="Q5" s="64" t="s">
        <v>53</v>
      </c>
      <c r="R5" s="64" t="s">
        <v>53</v>
      </c>
      <c r="S5" s="64" t="s">
        <v>53</v>
      </c>
      <c r="T5" s="64" t="s">
        <v>53</v>
      </c>
      <c r="U5" s="64" t="s">
        <v>53</v>
      </c>
      <c r="V5" s="64" t="s">
        <v>53</v>
      </c>
      <c r="W5" s="64" t="s">
        <v>129</v>
      </c>
      <c r="X5" s="64" t="s">
        <v>53</v>
      </c>
      <c r="Y5" s="64" t="s">
        <v>53</v>
      </c>
      <c r="Z5" s="64" t="s">
        <v>53</v>
      </c>
      <c r="AA5" s="64" t="s">
        <v>53</v>
      </c>
      <c r="AB5" s="64" t="s">
        <v>53</v>
      </c>
      <c r="AC5" s="64" t="s">
        <v>53</v>
      </c>
      <c r="AD5" s="64" t="s">
        <v>53</v>
      </c>
      <c r="AE5" s="64" t="s">
        <v>53</v>
      </c>
      <c r="AF5" s="64" t="s">
        <v>53</v>
      </c>
    </row>
    <row r="6" spans="1:32">
      <c r="A6" s="90">
        <f>AE2+0</f>
        <v>45992</v>
      </c>
      <c r="B6" s="90">
        <f>A6+1</f>
        <v>45993</v>
      </c>
      <c r="C6" s="80">
        <v>1.61</v>
      </c>
      <c r="D6" s="80">
        <v>1.907</v>
      </c>
      <c r="E6" s="72">
        <v>353</v>
      </c>
      <c r="F6" s="80">
        <v>24.8</v>
      </c>
      <c r="G6" s="72">
        <v>95</v>
      </c>
      <c r="H6" s="72">
        <v>125</v>
      </c>
      <c r="I6" s="80">
        <v>22.76</v>
      </c>
      <c r="J6" s="80">
        <v>8.59</v>
      </c>
      <c r="K6" s="80">
        <v>1.99</v>
      </c>
      <c r="L6" s="80">
        <v>35.5</v>
      </c>
      <c r="M6" s="80">
        <v>13.16</v>
      </c>
      <c r="N6" s="97">
        <v>23.26</v>
      </c>
      <c r="O6" s="97">
        <v>44.2</v>
      </c>
      <c r="P6" s="97">
        <v>59.6</v>
      </c>
      <c r="Q6" s="92">
        <v>20.980833333333333</v>
      </c>
      <c r="R6" s="92">
        <v>5.5533333333333337</v>
      </c>
      <c r="S6" s="92">
        <v>3.9324999999999997</v>
      </c>
      <c r="T6" s="92">
        <v>66.062499999999986</v>
      </c>
      <c r="U6" s="92">
        <v>1.4483333333333333</v>
      </c>
      <c r="V6" s="92">
        <v>0.45158333333333339</v>
      </c>
      <c r="W6" s="99">
        <v>1330.4166666666667</v>
      </c>
      <c r="X6" s="92">
        <v>3.6983333333333328</v>
      </c>
      <c r="Y6" s="92">
        <v>97.408450149718036</v>
      </c>
      <c r="Z6" s="92">
        <v>2.2119698676773916</v>
      </c>
      <c r="AA6" s="92">
        <v>1.4205830309802885</v>
      </c>
      <c r="AB6" s="92">
        <v>51.457459166666638</v>
      </c>
      <c r="AC6" s="92">
        <v>21.395484471333361</v>
      </c>
      <c r="AD6" s="100">
        <v>8.0625433333333341</v>
      </c>
      <c r="AE6" s="92">
        <v>11.966597500000001</v>
      </c>
      <c r="AF6" s="92">
        <v>27.27299725833333</v>
      </c>
    </row>
    <row r="7" spans="1:32">
      <c r="A7" s="90">
        <f t="shared" ref="A7:A36" si="0">A6+1</f>
        <v>45993</v>
      </c>
      <c r="B7" s="90">
        <f t="shared" ref="B7:B35" si="1">A7+1</f>
        <v>45994</v>
      </c>
      <c r="C7" s="80">
        <v>1.48</v>
      </c>
      <c r="D7" s="80">
        <v>2.2389999999999999</v>
      </c>
      <c r="E7" s="72">
        <v>338</v>
      </c>
      <c r="F7" s="80">
        <v>24.8</v>
      </c>
      <c r="G7" s="72">
        <v>95</v>
      </c>
      <c r="H7" s="72">
        <v>125</v>
      </c>
      <c r="I7" s="80">
        <v>22.92</v>
      </c>
      <c r="J7" s="80">
        <v>8.77</v>
      </c>
      <c r="K7" s="80">
        <v>1.83</v>
      </c>
      <c r="L7" s="80">
        <v>10</v>
      </c>
      <c r="M7" s="80">
        <v>12.52</v>
      </c>
      <c r="N7" s="97">
        <v>21.87</v>
      </c>
      <c r="O7" s="97">
        <v>42.01</v>
      </c>
      <c r="P7" s="97">
        <v>55.49</v>
      </c>
      <c r="Q7" s="92">
        <v>20.999166666666671</v>
      </c>
      <c r="R7" s="92">
        <v>5.9866666666666672</v>
      </c>
      <c r="S7" s="92">
        <v>3.81</v>
      </c>
      <c r="T7" s="92">
        <v>65.829166666666666</v>
      </c>
      <c r="U7" s="92">
        <v>1.5258333333333332</v>
      </c>
      <c r="V7" s="92">
        <v>0.39483333333333337</v>
      </c>
      <c r="W7" s="99">
        <v>1332.9166666666667</v>
      </c>
      <c r="X7" s="92">
        <v>3.4674999999999994</v>
      </c>
      <c r="Y7" s="92">
        <v>96.354215665065269</v>
      </c>
      <c r="Z7" s="92">
        <v>2.1444533741575524</v>
      </c>
      <c r="AA7" s="92">
        <v>1.5748833287400252</v>
      </c>
      <c r="AB7" s="92">
        <v>48.571953333333305</v>
      </c>
      <c r="AC7" s="92">
        <v>23.624926738666691</v>
      </c>
      <c r="AD7" s="100">
        <v>9.4181466666666669</v>
      </c>
      <c r="AE7" s="92">
        <v>11.593830000000002</v>
      </c>
      <c r="AF7" s="92">
        <v>28.540076233333334</v>
      </c>
    </row>
    <row r="8" spans="1:32">
      <c r="A8" s="90">
        <f t="shared" si="0"/>
        <v>45994</v>
      </c>
      <c r="B8" s="90">
        <f t="shared" si="1"/>
        <v>45995</v>
      </c>
      <c r="C8" s="80">
        <v>1.46</v>
      </c>
      <c r="D8" s="80">
        <v>2.2799999999999998</v>
      </c>
      <c r="E8" s="72">
        <v>343</v>
      </c>
      <c r="F8" s="80">
        <v>24.8</v>
      </c>
      <c r="G8" s="72">
        <v>90</v>
      </c>
      <c r="H8" s="72">
        <v>125</v>
      </c>
      <c r="I8" s="80">
        <v>22.48</v>
      </c>
      <c r="J8" s="80">
        <v>6.74</v>
      </c>
      <c r="K8" s="80">
        <v>1.78</v>
      </c>
      <c r="L8" s="80">
        <v>61</v>
      </c>
      <c r="M8" s="80">
        <v>12.35</v>
      </c>
      <c r="N8" s="97">
        <v>23.1</v>
      </c>
      <c r="O8" s="97">
        <v>39.799999999999997</v>
      </c>
      <c r="P8" s="97">
        <v>56.71</v>
      </c>
      <c r="Q8" s="92">
        <v>20.321666666666669</v>
      </c>
      <c r="R8" s="92">
        <v>6.1991666666666658</v>
      </c>
      <c r="S8" s="92">
        <v>3.7925</v>
      </c>
      <c r="T8" s="92">
        <v>66.173333333333332</v>
      </c>
      <c r="U8" s="92">
        <v>1.5216666666666665</v>
      </c>
      <c r="V8" s="92">
        <v>0.37025000000000002</v>
      </c>
      <c r="W8" s="99">
        <v>1340.4166666666667</v>
      </c>
      <c r="X8" s="92">
        <v>4.020833333333333</v>
      </c>
      <c r="Y8" s="92">
        <v>99.281588185805091</v>
      </c>
      <c r="Z8" s="92">
        <v>2.0340889940302809</v>
      </c>
      <c r="AA8" s="92">
        <v>1.639162978917567</v>
      </c>
      <c r="AB8" s="92">
        <v>51.468240833333311</v>
      </c>
      <c r="AC8" s="92">
        <v>19.495542448666683</v>
      </c>
      <c r="AD8" s="100">
        <v>10.010881666666668</v>
      </c>
      <c r="AE8" s="92">
        <v>11.540577499999999</v>
      </c>
      <c r="AF8" s="92">
        <v>29.199659241666666</v>
      </c>
    </row>
    <row r="9" spans="1:32">
      <c r="A9" s="90">
        <f t="shared" si="0"/>
        <v>45995</v>
      </c>
      <c r="B9" s="90">
        <f t="shared" si="1"/>
        <v>45996</v>
      </c>
      <c r="C9" s="80">
        <v>1.33</v>
      </c>
      <c r="D9" s="80">
        <v>2.2599999999999998</v>
      </c>
      <c r="E9" s="72">
        <v>341</v>
      </c>
      <c r="F9" s="80">
        <v>25.2</v>
      </c>
      <c r="G9" s="72">
        <v>125</v>
      </c>
      <c r="H9" s="72">
        <v>160</v>
      </c>
      <c r="I9" s="80">
        <v>22.4</v>
      </c>
      <c r="J9" s="80">
        <v>9.6</v>
      </c>
      <c r="K9" s="80">
        <v>1.39</v>
      </c>
      <c r="L9" s="80">
        <v>83.5</v>
      </c>
      <c r="M9" s="80">
        <v>14.5</v>
      </c>
      <c r="N9" s="97">
        <v>25.24</v>
      </c>
      <c r="O9" s="97">
        <v>45.97</v>
      </c>
      <c r="P9" s="97">
        <v>53.42</v>
      </c>
      <c r="Q9" s="92">
        <v>20.239166666666669</v>
      </c>
      <c r="R9" s="92">
        <v>6.1183333333333332</v>
      </c>
      <c r="S9" s="92">
        <v>3.5874999999999999</v>
      </c>
      <c r="T9" s="92">
        <v>66.07083333333334</v>
      </c>
      <c r="U9" s="92">
        <v>1.5158333333333331</v>
      </c>
      <c r="V9" s="92">
        <v>0.63133333333333341</v>
      </c>
      <c r="W9" s="99">
        <v>1336.6666666666667</v>
      </c>
      <c r="X9" s="92">
        <v>4.5733333333333333</v>
      </c>
      <c r="Y9" s="92">
        <v>99.843480853762529</v>
      </c>
      <c r="Z9" s="92">
        <v>2.0868736788178599</v>
      </c>
      <c r="AA9" s="92">
        <v>1.7071088462902217</v>
      </c>
      <c r="AB9" s="92">
        <v>50.265089166666655</v>
      </c>
      <c r="AC9" s="92">
        <v>20.166425066000027</v>
      </c>
      <c r="AD9" s="100">
        <v>10.143533333333336</v>
      </c>
      <c r="AE9" s="92">
        <v>10.916762499999999</v>
      </c>
      <c r="AF9" s="92">
        <v>28.541822041666666</v>
      </c>
    </row>
    <row r="10" spans="1:32">
      <c r="A10" s="90">
        <f t="shared" si="0"/>
        <v>45996</v>
      </c>
      <c r="B10" s="90">
        <f t="shared" si="1"/>
        <v>45997</v>
      </c>
      <c r="C10" s="80">
        <v>1.5</v>
      </c>
      <c r="D10" s="80">
        <v>2.2599999999999998</v>
      </c>
      <c r="E10" s="72">
        <v>359</v>
      </c>
      <c r="F10" s="80">
        <v>24.8</v>
      </c>
      <c r="G10" s="72">
        <v>95</v>
      </c>
      <c r="H10" s="72">
        <v>125</v>
      </c>
      <c r="I10" s="80">
        <v>19.84</v>
      </c>
      <c r="J10" s="80">
        <v>7.24</v>
      </c>
      <c r="K10" s="80">
        <v>1.72</v>
      </c>
      <c r="L10" s="80">
        <v>30.5</v>
      </c>
      <c r="M10" s="80">
        <v>13.71</v>
      </c>
      <c r="N10" s="97">
        <v>25.64</v>
      </c>
      <c r="O10" s="97">
        <v>40.49</v>
      </c>
      <c r="P10" s="97">
        <v>53.34</v>
      </c>
      <c r="Q10" s="92">
        <v>20.47</v>
      </c>
      <c r="R10" s="92">
        <v>5.9</v>
      </c>
      <c r="S10" s="92">
        <v>3.85</v>
      </c>
      <c r="T10" s="92">
        <v>65.94</v>
      </c>
      <c r="U10" s="92">
        <v>1.49</v>
      </c>
      <c r="V10" s="92">
        <v>0.5</v>
      </c>
      <c r="W10" s="99">
        <v>1329</v>
      </c>
      <c r="X10" s="92">
        <v>3.8</v>
      </c>
      <c r="Y10" s="92">
        <v>98.88</v>
      </c>
      <c r="Z10" s="92">
        <v>2.1</v>
      </c>
      <c r="AA10" s="92">
        <v>1.53</v>
      </c>
      <c r="AB10" s="92">
        <v>52.25</v>
      </c>
      <c r="AC10" s="92">
        <v>19.34</v>
      </c>
      <c r="AD10" s="100">
        <v>9.11</v>
      </c>
      <c r="AE10" s="92">
        <v>11.72</v>
      </c>
      <c r="AF10" s="92">
        <v>28.29</v>
      </c>
    </row>
    <row r="11" spans="1:32">
      <c r="A11" s="90">
        <f t="shared" si="0"/>
        <v>45997</v>
      </c>
      <c r="B11" s="90">
        <f t="shared" si="1"/>
        <v>45998</v>
      </c>
      <c r="C11" s="80">
        <v>1.45</v>
      </c>
      <c r="D11" s="80">
        <v>2.2400000000000002</v>
      </c>
      <c r="E11" s="72">
        <v>345</v>
      </c>
      <c r="F11" s="80">
        <v>24.8</v>
      </c>
      <c r="G11" s="91">
        <v>105</v>
      </c>
      <c r="H11" s="72">
        <v>130</v>
      </c>
      <c r="I11" s="80">
        <v>21.8</v>
      </c>
      <c r="J11" s="80">
        <v>6.32</v>
      </c>
      <c r="K11" s="80">
        <v>2.08</v>
      </c>
      <c r="L11" s="80">
        <v>3.5</v>
      </c>
      <c r="M11" s="80">
        <v>13.53</v>
      </c>
      <c r="N11" s="97">
        <v>29.16</v>
      </c>
      <c r="O11" s="97">
        <v>45.63</v>
      </c>
      <c r="P11" s="97">
        <v>54.08</v>
      </c>
      <c r="Q11" s="92">
        <v>21.05</v>
      </c>
      <c r="R11" s="92">
        <v>5.61</v>
      </c>
      <c r="S11" s="92">
        <v>3.76</v>
      </c>
      <c r="T11" s="92">
        <v>66.06</v>
      </c>
      <c r="U11" s="92">
        <v>1.51</v>
      </c>
      <c r="V11" s="92">
        <v>0.38</v>
      </c>
      <c r="W11" s="99">
        <v>1350</v>
      </c>
      <c r="X11" s="92">
        <v>3.29</v>
      </c>
      <c r="Y11" s="92">
        <v>97.18</v>
      </c>
      <c r="Z11" s="92">
        <v>2.25</v>
      </c>
      <c r="AA11" s="92">
        <v>1.49</v>
      </c>
      <c r="AB11" s="92">
        <v>52.41</v>
      </c>
      <c r="AC11" s="92">
        <v>20.88</v>
      </c>
      <c r="AD11" s="100">
        <v>8.51</v>
      </c>
      <c r="AE11" s="92">
        <v>11.44</v>
      </c>
      <c r="AF11" s="92">
        <v>27.17</v>
      </c>
    </row>
    <row r="12" spans="1:32">
      <c r="A12" s="90">
        <f t="shared" si="0"/>
        <v>45998</v>
      </c>
      <c r="B12" s="90">
        <f t="shared" si="1"/>
        <v>45999</v>
      </c>
      <c r="C12" s="80">
        <v>1.26</v>
      </c>
      <c r="D12" s="80">
        <v>2.23</v>
      </c>
      <c r="E12" s="72">
        <v>350</v>
      </c>
      <c r="F12" s="80">
        <v>24.8</v>
      </c>
      <c r="G12" s="72">
        <v>95</v>
      </c>
      <c r="H12" s="72">
        <v>130</v>
      </c>
      <c r="I12" s="80">
        <v>20.76</v>
      </c>
      <c r="J12" s="80">
        <v>7.69</v>
      </c>
      <c r="K12" s="80">
        <v>1.57</v>
      </c>
      <c r="L12" s="80">
        <v>14</v>
      </c>
      <c r="M12" s="80">
        <v>15.82</v>
      </c>
      <c r="N12" s="97">
        <v>25.93</v>
      </c>
      <c r="O12" s="97">
        <v>44.57</v>
      </c>
      <c r="P12" s="97">
        <v>56.98</v>
      </c>
      <c r="Q12" s="92">
        <v>20.67</v>
      </c>
      <c r="R12" s="92">
        <v>6.35</v>
      </c>
      <c r="S12" s="92">
        <v>3.56</v>
      </c>
      <c r="T12" s="92">
        <v>66.040000000000006</v>
      </c>
      <c r="U12" s="92">
        <v>1.41</v>
      </c>
      <c r="V12" s="92">
        <v>0.42</v>
      </c>
      <c r="W12" s="93">
        <v>1312</v>
      </c>
      <c r="X12" s="92">
        <v>3.65</v>
      </c>
      <c r="Y12" s="92">
        <v>97.63</v>
      </c>
      <c r="Z12" s="100">
        <v>2.09</v>
      </c>
      <c r="AA12" s="92">
        <v>1.78</v>
      </c>
      <c r="AB12" s="92">
        <v>49.11</v>
      </c>
      <c r="AC12" s="101">
        <v>22.26</v>
      </c>
      <c r="AD12" s="101">
        <v>10.8</v>
      </c>
      <c r="AE12" s="101">
        <v>10.84</v>
      </c>
      <c r="AF12" s="92">
        <v>28.86</v>
      </c>
    </row>
    <row r="13" spans="1:32">
      <c r="A13" s="90">
        <f t="shared" si="0"/>
        <v>45999</v>
      </c>
      <c r="B13" s="90">
        <f t="shared" si="1"/>
        <v>46000</v>
      </c>
      <c r="C13" s="80">
        <v>1.61</v>
      </c>
      <c r="D13" s="80">
        <v>2.335</v>
      </c>
      <c r="E13" s="72">
        <v>347</v>
      </c>
      <c r="F13" s="80">
        <v>24.8</v>
      </c>
      <c r="G13" s="72">
        <v>90</v>
      </c>
      <c r="H13" s="72">
        <v>120</v>
      </c>
      <c r="I13" s="80">
        <v>23.4</v>
      </c>
      <c r="J13" s="80">
        <v>9.14</v>
      </c>
      <c r="K13" s="80">
        <v>1.68</v>
      </c>
      <c r="L13" s="80">
        <v>75</v>
      </c>
      <c r="M13" s="80">
        <v>15.92</v>
      </c>
      <c r="N13" s="97">
        <v>25.29</v>
      </c>
      <c r="O13" s="97">
        <v>42.39</v>
      </c>
      <c r="P13" s="97">
        <v>57.36</v>
      </c>
      <c r="Q13" s="92">
        <v>20.47</v>
      </c>
      <c r="R13" s="92">
        <v>6.14</v>
      </c>
      <c r="S13" s="92">
        <v>3.56</v>
      </c>
      <c r="T13" s="92">
        <v>66.349999999999994</v>
      </c>
      <c r="U13" s="92">
        <v>1.49</v>
      </c>
      <c r="V13" s="92">
        <v>0.42</v>
      </c>
      <c r="W13" s="99">
        <v>1313</v>
      </c>
      <c r="X13" s="92">
        <v>4.51</v>
      </c>
      <c r="Y13" s="92">
        <v>99.23</v>
      </c>
      <c r="Z13" s="92">
        <v>2.11</v>
      </c>
      <c r="AA13" s="92">
        <v>1.73</v>
      </c>
      <c r="AB13" s="92">
        <v>49.79</v>
      </c>
      <c r="AC13" s="92">
        <v>21.18</v>
      </c>
      <c r="AD13" s="100">
        <v>10.26</v>
      </c>
      <c r="AE13" s="92">
        <v>10.82</v>
      </c>
      <c r="AF13" s="92">
        <v>28.31</v>
      </c>
    </row>
    <row r="14" spans="1:32">
      <c r="A14" s="90">
        <f t="shared" si="0"/>
        <v>46000</v>
      </c>
      <c r="B14" s="90">
        <f t="shared" si="1"/>
        <v>46001</v>
      </c>
      <c r="C14" s="80">
        <v>1.59</v>
      </c>
      <c r="D14" s="92">
        <v>2.3279999999999998</v>
      </c>
      <c r="E14" s="72">
        <v>342</v>
      </c>
      <c r="F14" s="80">
        <v>24.8</v>
      </c>
      <c r="G14" s="72">
        <v>120</v>
      </c>
      <c r="H14" s="72">
        <v>155</v>
      </c>
      <c r="I14" s="80">
        <v>26.12</v>
      </c>
      <c r="J14" s="80">
        <v>7.62</v>
      </c>
      <c r="K14" s="80">
        <v>1.45</v>
      </c>
      <c r="L14" s="80">
        <v>23</v>
      </c>
      <c r="M14" s="80">
        <v>13.84</v>
      </c>
      <c r="N14" s="97">
        <v>24.49</v>
      </c>
      <c r="O14" s="97">
        <v>41.04</v>
      </c>
      <c r="P14" s="97">
        <v>51.5</v>
      </c>
      <c r="Q14" s="92">
        <v>21.278333333333336</v>
      </c>
      <c r="R14" s="92">
        <v>5.5316666666666672</v>
      </c>
      <c r="S14" s="92">
        <v>3.9599999999999995</v>
      </c>
      <c r="T14" s="92">
        <v>66.144166666666663</v>
      </c>
      <c r="U14" s="92">
        <v>1.2949999999999999</v>
      </c>
      <c r="V14" s="92">
        <v>0.4799166666666666</v>
      </c>
      <c r="W14" s="99">
        <v>1279.5833333333333</v>
      </c>
      <c r="X14" s="92">
        <v>3.4308333333333327</v>
      </c>
      <c r="Y14" s="92">
        <v>96.378497162807562</v>
      </c>
      <c r="Z14" s="92">
        <v>2.242522325907053</v>
      </c>
      <c r="AA14" s="92">
        <v>1.4035183630021528</v>
      </c>
      <c r="AB14" s="92">
        <v>50.723553333333314</v>
      </c>
      <c r="AC14" s="92">
        <v>22.80296803200002</v>
      </c>
      <c r="AD14" s="100">
        <v>7.9585966666666659</v>
      </c>
      <c r="AE14" s="92">
        <v>12.050280000000001</v>
      </c>
      <c r="AF14" s="92">
        <v>26.88717556666667</v>
      </c>
    </row>
    <row r="15" spans="1:32">
      <c r="A15" s="90">
        <f t="shared" si="0"/>
        <v>46001</v>
      </c>
      <c r="B15" s="90">
        <f t="shared" si="1"/>
        <v>46002</v>
      </c>
      <c r="C15" s="92">
        <v>1.61</v>
      </c>
      <c r="D15" s="92">
        <v>2.2200000000000002</v>
      </c>
      <c r="E15" s="72">
        <v>335</v>
      </c>
      <c r="F15" s="80">
        <v>24.8</v>
      </c>
      <c r="G15" s="72">
        <v>110</v>
      </c>
      <c r="H15" s="72">
        <v>140</v>
      </c>
      <c r="I15" s="80">
        <v>24.92</v>
      </c>
      <c r="J15" s="80">
        <v>7.32</v>
      </c>
      <c r="K15" s="80">
        <v>1.83</v>
      </c>
      <c r="L15" s="80">
        <v>19.5</v>
      </c>
      <c r="M15" s="80">
        <v>15.06</v>
      </c>
      <c r="N15" s="97">
        <v>26.76</v>
      </c>
      <c r="O15" s="97">
        <v>41.92</v>
      </c>
      <c r="P15" s="97">
        <v>53.29</v>
      </c>
      <c r="Q15" s="92">
        <v>21.306666666666668</v>
      </c>
      <c r="R15" s="92">
        <v>5.5783333333333331</v>
      </c>
      <c r="S15" s="92">
        <v>3.7716666666666665</v>
      </c>
      <c r="T15" s="92">
        <v>66.295000000000002</v>
      </c>
      <c r="U15" s="92">
        <v>1.3183333333333334</v>
      </c>
      <c r="V15" s="92">
        <v>0.41108333333333341</v>
      </c>
      <c r="W15" s="99">
        <v>1291.6666666666667</v>
      </c>
      <c r="X15" s="92">
        <v>3.5316666666666663</v>
      </c>
      <c r="Y15" s="92">
        <v>96.548262886404515</v>
      </c>
      <c r="Z15" s="92">
        <v>2.280244759047378</v>
      </c>
      <c r="AA15" s="92">
        <v>1.4830810241383066</v>
      </c>
      <c r="AB15" s="92">
        <v>50.667523333333314</v>
      </c>
      <c r="AC15" s="92">
        <v>22.926553730666686</v>
      </c>
      <c r="AD15" s="100">
        <v>8.4009233333333331</v>
      </c>
      <c r="AE15" s="92">
        <v>11.477181666666667</v>
      </c>
      <c r="AF15" s="92">
        <v>26.60273861666667</v>
      </c>
    </row>
    <row r="16" spans="1:32">
      <c r="A16" s="90">
        <f t="shared" si="0"/>
        <v>46002</v>
      </c>
      <c r="B16" s="90">
        <f t="shared" si="1"/>
        <v>46003</v>
      </c>
      <c r="C16" s="92">
        <v>1.47</v>
      </c>
      <c r="D16" s="92">
        <v>2.3199999999999998</v>
      </c>
      <c r="E16" s="145">
        <v>330</v>
      </c>
      <c r="F16" s="146">
        <v>24.4</v>
      </c>
      <c r="G16" s="145">
        <v>95</v>
      </c>
      <c r="H16" s="145">
        <v>140</v>
      </c>
      <c r="I16" s="147">
        <v>21.92</v>
      </c>
      <c r="J16" s="146">
        <v>6.09</v>
      </c>
      <c r="K16" s="146">
        <v>1.78</v>
      </c>
      <c r="L16" s="80">
        <v>14</v>
      </c>
      <c r="M16" s="80">
        <v>16.73</v>
      </c>
      <c r="N16" s="97">
        <v>29.08</v>
      </c>
      <c r="O16" s="97">
        <v>43.17</v>
      </c>
      <c r="P16" s="97">
        <v>55.11</v>
      </c>
      <c r="Q16" s="92">
        <v>20.85</v>
      </c>
      <c r="R16" s="92">
        <v>5.75</v>
      </c>
      <c r="S16" s="92">
        <v>3.87</v>
      </c>
      <c r="T16" s="92">
        <v>66.28</v>
      </c>
      <c r="U16" s="92">
        <v>1.42</v>
      </c>
      <c r="V16" s="92">
        <v>0.14000000000000001</v>
      </c>
      <c r="W16" s="93">
        <v>1331</v>
      </c>
      <c r="X16" s="92">
        <v>3.43</v>
      </c>
      <c r="Y16" s="92">
        <v>97.99</v>
      </c>
      <c r="Z16" s="92">
        <v>2.17</v>
      </c>
      <c r="AA16" s="92">
        <v>1.49</v>
      </c>
      <c r="AB16" s="92">
        <v>53.19</v>
      </c>
      <c r="AC16" s="92">
        <v>19.72</v>
      </c>
      <c r="AD16" s="92">
        <v>8.6999999999999993</v>
      </c>
      <c r="AE16" s="92">
        <v>11.77</v>
      </c>
      <c r="AF16" s="92">
        <v>27.49</v>
      </c>
    </row>
    <row r="17" spans="1:32">
      <c r="A17" s="90">
        <f t="shared" si="0"/>
        <v>46003</v>
      </c>
      <c r="B17" s="90">
        <f t="shared" si="1"/>
        <v>46004</v>
      </c>
      <c r="C17" s="92">
        <v>1.26</v>
      </c>
      <c r="D17" s="92">
        <v>2.39</v>
      </c>
      <c r="E17" s="72">
        <v>352</v>
      </c>
      <c r="F17" s="80">
        <v>24.8</v>
      </c>
      <c r="G17" s="72">
        <v>100</v>
      </c>
      <c r="H17" s="72">
        <v>130</v>
      </c>
      <c r="I17" s="80">
        <v>23.92</v>
      </c>
      <c r="J17" s="80">
        <v>6.46</v>
      </c>
      <c r="K17" s="80">
        <v>1.86</v>
      </c>
      <c r="L17" s="80">
        <v>36.5</v>
      </c>
      <c r="M17" s="80">
        <v>16.27</v>
      </c>
      <c r="N17" s="97">
        <v>27.03</v>
      </c>
      <c r="O17" s="97">
        <v>43.82</v>
      </c>
      <c r="P17" s="97">
        <v>56.48</v>
      </c>
      <c r="Q17" s="92">
        <v>20.55</v>
      </c>
      <c r="R17" s="92">
        <v>5.78</v>
      </c>
      <c r="S17" s="92">
        <v>3.78</v>
      </c>
      <c r="T17" s="92">
        <v>66.38</v>
      </c>
      <c r="U17" s="92">
        <v>1.45</v>
      </c>
      <c r="V17" s="92">
        <v>0.28000000000000003</v>
      </c>
      <c r="W17" s="99">
        <v>1313</v>
      </c>
      <c r="X17" s="92">
        <v>3.55</v>
      </c>
      <c r="Y17" s="92">
        <v>99.42</v>
      </c>
      <c r="Z17" s="92">
        <v>2.15</v>
      </c>
      <c r="AA17" s="92">
        <v>1.53</v>
      </c>
      <c r="AB17" s="92">
        <v>55.36</v>
      </c>
      <c r="AC17" s="92">
        <v>17.2</v>
      </c>
      <c r="AD17" s="100">
        <v>8.93</v>
      </c>
      <c r="AE17" s="92">
        <v>11.5</v>
      </c>
      <c r="AF17" s="92">
        <v>27.56</v>
      </c>
    </row>
    <row r="18" spans="1:32">
      <c r="A18" s="90">
        <f t="shared" si="0"/>
        <v>46004</v>
      </c>
      <c r="B18" s="90">
        <f t="shared" si="1"/>
        <v>46005</v>
      </c>
      <c r="C18" s="92">
        <v>1.02</v>
      </c>
      <c r="D18" s="92">
        <v>2.06</v>
      </c>
      <c r="E18" s="72">
        <v>350</v>
      </c>
      <c r="F18" s="80">
        <v>24.4</v>
      </c>
      <c r="G18" s="72">
        <v>95</v>
      </c>
      <c r="H18" s="72">
        <v>130</v>
      </c>
      <c r="I18" s="80">
        <v>28.6</v>
      </c>
      <c r="J18" s="80">
        <v>5.42</v>
      </c>
      <c r="K18" s="80">
        <v>1.2</v>
      </c>
      <c r="L18" s="80">
        <v>82</v>
      </c>
      <c r="M18" s="80">
        <v>14.08</v>
      </c>
      <c r="N18" s="97">
        <v>23.84</v>
      </c>
      <c r="O18" s="97">
        <v>38.81</v>
      </c>
      <c r="P18" s="97">
        <v>55.2</v>
      </c>
      <c r="Q18" s="92">
        <v>20.8</v>
      </c>
      <c r="R18" s="92">
        <v>5.84</v>
      </c>
      <c r="S18" s="92">
        <v>3.6</v>
      </c>
      <c r="T18" s="92">
        <v>66.069999999999993</v>
      </c>
      <c r="U18" s="92">
        <v>1.51</v>
      </c>
      <c r="V18" s="92">
        <v>0.53</v>
      </c>
      <c r="W18" s="99">
        <v>1336</v>
      </c>
      <c r="X18" s="92">
        <v>4.16</v>
      </c>
      <c r="Y18" s="92">
        <v>97.97</v>
      </c>
      <c r="Z18" s="92">
        <v>2.2000000000000002</v>
      </c>
      <c r="AA18" s="92">
        <v>1.62</v>
      </c>
      <c r="AB18" s="92">
        <v>49.55</v>
      </c>
      <c r="AC18" s="92">
        <v>22.31</v>
      </c>
      <c r="AD18" s="100">
        <v>9.3699999999999992</v>
      </c>
      <c r="AE18" s="92">
        <v>10.97</v>
      </c>
      <c r="AF18" s="92">
        <v>27.64</v>
      </c>
    </row>
    <row r="19" spans="1:32">
      <c r="A19" s="90">
        <f t="shared" si="0"/>
        <v>46005</v>
      </c>
      <c r="B19" s="90">
        <f t="shared" si="1"/>
        <v>46006</v>
      </c>
      <c r="C19" s="92">
        <v>1.2</v>
      </c>
      <c r="D19" s="92">
        <v>2.21</v>
      </c>
      <c r="E19" s="72">
        <v>320</v>
      </c>
      <c r="F19" s="80">
        <v>24.4</v>
      </c>
      <c r="G19" s="72">
        <v>120</v>
      </c>
      <c r="H19" s="72">
        <v>165</v>
      </c>
      <c r="I19" s="80">
        <v>26.64</v>
      </c>
      <c r="J19" s="80">
        <v>6.04</v>
      </c>
      <c r="K19" s="80">
        <v>1.29</v>
      </c>
      <c r="L19" s="80">
        <v>17.5</v>
      </c>
      <c r="M19" s="80">
        <v>15.45</v>
      </c>
      <c r="N19" s="97">
        <v>25.15</v>
      </c>
      <c r="O19" s="97">
        <v>43.39</v>
      </c>
      <c r="P19" s="97">
        <v>56.37</v>
      </c>
      <c r="Q19" s="92">
        <v>21.88</v>
      </c>
      <c r="R19" s="92">
        <v>5.2</v>
      </c>
      <c r="S19" s="92">
        <v>3.67</v>
      </c>
      <c r="T19" s="92">
        <v>65.569999999999993</v>
      </c>
      <c r="U19" s="92">
        <v>1.32</v>
      </c>
      <c r="V19" s="92">
        <v>0.15</v>
      </c>
      <c r="W19" s="93">
        <v>1270</v>
      </c>
      <c r="X19" s="92">
        <v>3.49</v>
      </c>
      <c r="Y19" s="92">
        <v>93.98</v>
      </c>
      <c r="Z19" s="100">
        <v>2.4700000000000002</v>
      </c>
      <c r="AA19" s="92">
        <v>1.42</v>
      </c>
      <c r="AB19" s="92">
        <v>46.22</v>
      </c>
      <c r="AC19" s="101">
        <v>27.91</v>
      </c>
      <c r="AD19" s="92">
        <v>7.57</v>
      </c>
      <c r="AE19" s="101">
        <v>11.16</v>
      </c>
      <c r="AF19" s="92">
        <v>25.3</v>
      </c>
    </row>
    <row r="20" spans="1:32">
      <c r="A20" s="90">
        <f t="shared" si="0"/>
        <v>46006</v>
      </c>
      <c r="B20" s="90">
        <f t="shared" si="1"/>
        <v>46007</v>
      </c>
      <c r="C20" s="92">
        <v>1.8</v>
      </c>
      <c r="D20" s="92">
        <v>2.2400000000000002</v>
      </c>
      <c r="E20" s="72">
        <v>323</v>
      </c>
      <c r="F20" s="80">
        <v>24.8</v>
      </c>
      <c r="G20" s="72">
        <v>120</v>
      </c>
      <c r="H20" s="72">
        <v>160</v>
      </c>
      <c r="I20" s="80">
        <v>22.76</v>
      </c>
      <c r="J20" s="80">
        <v>6.17</v>
      </c>
      <c r="K20" s="80">
        <v>1.22</v>
      </c>
      <c r="L20" s="80">
        <v>1</v>
      </c>
      <c r="M20" s="80">
        <v>14.8</v>
      </c>
      <c r="N20" s="97">
        <v>24</v>
      </c>
      <c r="O20" s="97">
        <v>45.53</v>
      </c>
      <c r="P20" s="97">
        <v>55.7</v>
      </c>
      <c r="Q20" s="92">
        <v>20.99</v>
      </c>
      <c r="R20" s="92">
        <v>5.67</v>
      </c>
      <c r="S20" s="92">
        <v>3.81</v>
      </c>
      <c r="T20" s="92">
        <v>65.94</v>
      </c>
      <c r="U20" s="92">
        <v>1.33</v>
      </c>
      <c r="V20" s="92">
        <v>0.22</v>
      </c>
      <c r="W20" s="99">
        <v>1309</v>
      </c>
      <c r="X20" s="92">
        <v>3.25</v>
      </c>
      <c r="Y20" s="92">
        <v>97.11</v>
      </c>
      <c r="Z20" s="92">
        <v>2.2200000000000002</v>
      </c>
      <c r="AA20" s="92">
        <v>1.49</v>
      </c>
      <c r="AB20" s="92">
        <v>52.13</v>
      </c>
      <c r="AC20" s="92">
        <v>20.92</v>
      </c>
      <c r="AD20" s="100">
        <v>8.57</v>
      </c>
      <c r="AE20" s="92">
        <v>11.6</v>
      </c>
      <c r="AF20" s="92">
        <v>27.1</v>
      </c>
    </row>
    <row r="21" spans="1:32">
      <c r="A21" s="90">
        <f t="shared" si="0"/>
        <v>46007</v>
      </c>
      <c r="B21" s="90">
        <f t="shared" si="1"/>
        <v>46008</v>
      </c>
      <c r="C21" s="92">
        <v>1.71</v>
      </c>
      <c r="D21" s="92">
        <v>2.31</v>
      </c>
      <c r="E21" s="72">
        <v>343</v>
      </c>
      <c r="F21" s="80">
        <v>24.8</v>
      </c>
      <c r="G21" s="72">
        <v>90</v>
      </c>
      <c r="H21" s="72">
        <v>120</v>
      </c>
      <c r="I21" s="80">
        <v>23.48</v>
      </c>
      <c r="J21" s="80">
        <v>8.26</v>
      </c>
      <c r="K21" s="80">
        <v>1.76</v>
      </c>
      <c r="L21" s="80">
        <v>24</v>
      </c>
      <c r="M21" s="80">
        <v>15.09</v>
      </c>
      <c r="N21" s="97">
        <v>23.49</v>
      </c>
      <c r="O21" s="97">
        <v>32.880000000000003</v>
      </c>
      <c r="P21" s="97">
        <v>52.29</v>
      </c>
      <c r="Q21" s="92">
        <v>20.979166666666668</v>
      </c>
      <c r="R21" s="92">
        <v>5.4316666666666658</v>
      </c>
      <c r="S21" s="92">
        <v>3.9483333333333328</v>
      </c>
      <c r="T21" s="92">
        <v>65.841666666666683</v>
      </c>
      <c r="U21" s="92">
        <v>1.3382500000000002</v>
      </c>
      <c r="V21" s="92">
        <v>0.56791666666666674</v>
      </c>
      <c r="W21" s="99">
        <v>1307.9166666666667</v>
      </c>
      <c r="X21" s="92">
        <v>3.7133333333333329</v>
      </c>
      <c r="Y21" s="92">
        <v>97.261586361174182</v>
      </c>
      <c r="Z21" s="92">
        <v>2.2378752415805594</v>
      </c>
      <c r="AA21" s="92">
        <v>1.3765255879192286</v>
      </c>
      <c r="AB21" s="92">
        <v>51.304766666666637</v>
      </c>
      <c r="AC21" s="92">
        <v>21.505892360000022</v>
      </c>
      <c r="AD21" s="100">
        <v>7.7133366666666667</v>
      </c>
      <c r="AE21" s="92">
        <v>12.014778333333332</v>
      </c>
      <c r="AF21" s="92">
        <v>26.832354516666665</v>
      </c>
    </row>
    <row r="22" spans="1:32">
      <c r="A22" s="90">
        <f t="shared" si="0"/>
        <v>46008</v>
      </c>
      <c r="B22" s="90">
        <f t="shared" si="1"/>
        <v>46009</v>
      </c>
      <c r="C22" s="92">
        <v>1.64</v>
      </c>
      <c r="D22" s="92">
        <v>2.37</v>
      </c>
      <c r="E22" s="72">
        <v>326</v>
      </c>
      <c r="F22" s="80">
        <v>24.4</v>
      </c>
      <c r="G22" s="72">
        <v>95</v>
      </c>
      <c r="H22" s="72">
        <v>130</v>
      </c>
      <c r="I22" s="80">
        <v>27.24</v>
      </c>
      <c r="J22" s="80">
        <v>9.76</v>
      </c>
      <c r="K22" s="80">
        <v>2.2599999999999998</v>
      </c>
      <c r="L22" s="80">
        <v>113</v>
      </c>
      <c r="M22" s="80">
        <v>12.12</v>
      </c>
      <c r="N22" s="97">
        <v>23.98</v>
      </c>
      <c r="O22" s="97">
        <v>36.06</v>
      </c>
      <c r="P22" s="97">
        <v>49.12</v>
      </c>
      <c r="Q22" s="92">
        <v>20.0275</v>
      </c>
      <c r="R22" s="92">
        <v>5.5083333333333329</v>
      </c>
      <c r="S22" s="92">
        <v>3.9991666666666661</v>
      </c>
      <c r="T22" s="92">
        <v>66.749166666666667</v>
      </c>
      <c r="U22" s="92">
        <v>1.4025000000000001</v>
      </c>
      <c r="V22" s="92">
        <v>0.59016666666666662</v>
      </c>
      <c r="W22" s="99">
        <v>1286.6666666666667</v>
      </c>
      <c r="X22" s="92">
        <v>4.4458333333333337</v>
      </c>
      <c r="Y22" s="92">
        <v>102.70951465566787</v>
      </c>
      <c r="Z22" s="92">
        <v>2.1070082033161701</v>
      </c>
      <c r="AA22" s="92">
        <v>1.3817081053460931</v>
      </c>
      <c r="AB22" s="92">
        <v>58.664023333333319</v>
      </c>
      <c r="AC22" s="92">
        <v>13.22278579733335</v>
      </c>
      <c r="AD22" s="100">
        <v>7.8304933333333331</v>
      </c>
      <c r="AE22" s="92">
        <v>12.169464166666666</v>
      </c>
      <c r="AF22" s="92">
        <v>27.121900758333336</v>
      </c>
    </row>
    <row r="23" spans="1:32">
      <c r="A23" s="90">
        <f t="shared" si="0"/>
        <v>46009</v>
      </c>
      <c r="B23" s="90">
        <f t="shared" si="1"/>
        <v>46010</v>
      </c>
      <c r="C23" s="92">
        <v>1.39</v>
      </c>
      <c r="D23" s="92">
        <v>2.36</v>
      </c>
      <c r="E23" s="72">
        <v>329</v>
      </c>
      <c r="F23" s="80">
        <v>24.4</v>
      </c>
      <c r="G23" s="72">
        <v>105</v>
      </c>
      <c r="H23" s="72">
        <v>140</v>
      </c>
      <c r="I23" s="80">
        <v>26.48</v>
      </c>
      <c r="J23" s="80">
        <v>8.34</v>
      </c>
      <c r="K23" s="80">
        <v>2.34</v>
      </c>
      <c r="L23" s="80">
        <v>59.5</v>
      </c>
      <c r="M23" s="80">
        <v>16.260000000000002</v>
      </c>
      <c r="N23" s="97">
        <v>25.77</v>
      </c>
      <c r="O23" s="97">
        <v>40.25</v>
      </c>
      <c r="P23" s="97">
        <v>51.91</v>
      </c>
      <c r="Q23" s="92">
        <v>20.94</v>
      </c>
      <c r="R23" s="92">
        <v>5.38</v>
      </c>
      <c r="S23" s="92">
        <v>4.01</v>
      </c>
      <c r="T23" s="92">
        <v>65.87</v>
      </c>
      <c r="U23" s="92">
        <v>1.39</v>
      </c>
      <c r="V23" s="92">
        <v>0.34</v>
      </c>
      <c r="W23" s="99">
        <v>1309</v>
      </c>
      <c r="X23" s="92">
        <v>3.73</v>
      </c>
      <c r="Y23" s="92">
        <v>97.51</v>
      </c>
      <c r="Z23" s="92">
        <v>2.23</v>
      </c>
      <c r="AA23" s="92">
        <v>1.34</v>
      </c>
      <c r="AB23" s="92">
        <v>51.96</v>
      </c>
      <c r="AC23" s="92">
        <v>20.89</v>
      </c>
      <c r="AD23" s="100">
        <v>7.48</v>
      </c>
      <c r="AE23" s="92">
        <v>12.19</v>
      </c>
      <c r="AF23" s="92">
        <v>26.85</v>
      </c>
    </row>
    <row r="24" spans="1:32">
      <c r="A24" s="90">
        <f t="shared" si="0"/>
        <v>46010</v>
      </c>
      <c r="B24" s="90">
        <f t="shared" si="1"/>
        <v>46011</v>
      </c>
      <c r="C24" s="92">
        <v>1.23</v>
      </c>
      <c r="D24" s="92">
        <v>2.38</v>
      </c>
      <c r="E24" s="93">
        <v>351</v>
      </c>
      <c r="F24" s="92">
        <v>24.4</v>
      </c>
      <c r="G24" s="93">
        <v>130</v>
      </c>
      <c r="H24" s="93">
        <v>170</v>
      </c>
      <c r="I24" s="92">
        <v>21.28</v>
      </c>
      <c r="J24" s="92">
        <v>5.52</v>
      </c>
      <c r="K24" s="92">
        <v>1.7</v>
      </c>
      <c r="L24" s="92">
        <v>1</v>
      </c>
      <c r="M24" s="92">
        <v>16.989999999999998</v>
      </c>
      <c r="N24" s="92">
        <v>27.38</v>
      </c>
      <c r="O24" s="92">
        <v>45.89</v>
      </c>
      <c r="P24" s="92">
        <v>59.14</v>
      </c>
      <c r="Q24" s="92">
        <v>21.434999999999999</v>
      </c>
      <c r="R24" s="92">
        <v>4.97</v>
      </c>
      <c r="S24" s="92">
        <v>3.9049999999999998</v>
      </c>
      <c r="T24" s="92">
        <v>65.726666666666674</v>
      </c>
      <c r="U24" s="92">
        <v>1.3825000000000003</v>
      </c>
      <c r="V24" s="92">
        <v>0.64883333333333348</v>
      </c>
      <c r="W24" s="99">
        <v>1257.5</v>
      </c>
      <c r="X24" s="92">
        <v>3.4975000000000001</v>
      </c>
      <c r="Y24" s="92">
        <v>96.093632359068295</v>
      </c>
      <c r="Z24" s="92">
        <v>2.4170361768781095</v>
      </c>
      <c r="AA24" s="92">
        <v>1.2735945019186281</v>
      </c>
      <c r="AB24" s="92">
        <v>51.413457499999971</v>
      </c>
      <c r="AC24" s="92">
        <v>22.732137662000017</v>
      </c>
      <c r="AD24" s="100">
        <v>6.5632400000000004</v>
      </c>
      <c r="AE24" s="92">
        <v>11.882915000000002</v>
      </c>
      <c r="AF24" s="92">
        <v>25.390063116666671</v>
      </c>
    </row>
    <row r="25" spans="1:32">
      <c r="A25" s="90">
        <f t="shared" si="0"/>
        <v>46011</v>
      </c>
      <c r="B25" s="90">
        <f t="shared" si="1"/>
        <v>46012</v>
      </c>
      <c r="C25" s="92">
        <v>1.83</v>
      </c>
      <c r="D25" s="92">
        <v>2.21</v>
      </c>
      <c r="E25" s="93">
        <v>327</v>
      </c>
      <c r="F25" s="92">
        <v>24</v>
      </c>
      <c r="G25" s="93">
        <v>100</v>
      </c>
      <c r="H25" s="93">
        <v>135</v>
      </c>
      <c r="I25" s="92">
        <v>22.86</v>
      </c>
      <c r="J25" s="92">
        <v>7.38</v>
      </c>
      <c r="K25" s="92">
        <v>1.94</v>
      </c>
      <c r="L25" s="92">
        <v>37</v>
      </c>
      <c r="M25" s="92">
        <v>16.13</v>
      </c>
      <c r="N25" s="92">
        <v>25.39</v>
      </c>
      <c r="O25" s="92">
        <v>40.11</v>
      </c>
      <c r="P25" s="92">
        <v>55.35</v>
      </c>
      <c r="Q25" s="92">
        <v>21.02</v>
      </c>
      <c r="R25" s="92">
        <v>5.75</v>
      </c>
      <c r="S25" s="92">
        <v>3.85</v>
      </c>
      <c r="T25" s="92">
        <v>65.599999999999994</v>
      </c>
      <c r="U25" s="92">
        <v>1.42</v>
      </c>
      <c r="V25" s="92">
        <v>0.4</v>
      </c>
      <c r="W25" s="99">
        <v>1296</v>
      </c>
      <c r="X25" s="92">
        <v>4.28</v>
      </c>
      <c r="Y25" s="92">
        <v>96.28</v>
      </c>
      <c r="Z25" s="92">
        <v>2.19</v>
      </c>
      <c r="AA25" s="92">
        <v>1.5</v>
      </c>
      <c r="AB25" s="92">
        <v>45.67</v>
      </c>
      <c r="AC25" s="92">
        <v>25.87</v>
      </c>
      <c r="AD25" s="100">
        <v>8.74</v>
      </c>
      <c r="AE25" s="92">
        <v>11.71</v>
      </c>
      <c r="AF25" s="92">
        <v>27.71</v>
      </c>
    </row>
    <row r="26" spans="1:32">
      <c r="A26" s="90">
        <f t="shared" si="0"/>
        <v>46012</v>
      </c>
      <c r="B26" s="90">
        <f t="shared" si="1"/>
        <v>46013</v>
      </c>
      <c r="C26" s="92">
        <v>1.1399999999999999</v>
      </c>
      <c r="D26" s="92">
        <v>2.17</v>
      </c>
      <c r="E26" s="93">
        <v>342</v>
      </c>
      <c r="F26" s="92">
        <v>24.8</v>
      </c>
      <c r="G26" s="93">
        <v>125</v>
      </c>
      <c r="H26" s="93">
        <v>160</v>
      </c>
      <c r="I26" s="92">
        <v>24.56</v>
      </c>
      <c r="J26" s="92">
        <v>7.35</v>
      </c>
      <c r="K26" s="92">
        <v>0.99</v>
      </c>
      <c r="L26" s="92">
        <v>60</v>
      </c>
      <c r="M26" s="92">
        <v>13.1</v>
      </c>
      <c r="N26" s="92">
        <v>23.58</v>
      </c>
      <c r="O26" s="92">
        <v>38.28</v>
      </c>
      <c r="P26" s="92">
        <v>53.27</v>
      </c>
      <c r="Q26" s="92">
        <v>21.64</v>
      </c>
      <c r="R26" s="92">
        <v>5.32</v>
      </c>
      <c r="S26" s="92">
        <v>3.7</v>
      </c>
      <c r="T26" s="92">
        <v>65.680000000000007</v>
      </c>
      <c r="U26" s="92">
        <v>1.28</v>
      </c>
      <c r="V26" s="92">
        <v>0.14000000000000001</v>
      </c>
      <c r="W26" s="99">
        <v>1271</v>
      </c>
      <c r="X26" s="92">
        <v>4.2</v>
      </c>
      <c r="Y26" s="92">
        <v>94.88</v>
      </c>
      <c r="Z26" s="92">
        <v>2.41</v>
      </c>
      <c r="AA26" s="92">
        <v>1.44</v>
      </c>
      <c r="AB26" s="92">
        <v>44.77</v>
      </c>
      <c r="AC26" s="92">
        <v>28.33</v>
      </c>
      <c r="AD26" s="100">
        <v>7.83</v>
      </c>
      <c r="AE26" s="92">
        <v>11.25</v>
      </c>
      <c r="AF26" s="92">
        <v>25.66</v>
      </c>
    </row>
    <row r="27" spans="1:32">
      <c r="A27" s="90">
        <f t="shared" si="0"/>
        <v>46013</v>
      </c>
      <c r="B27" s="90">
        <f t="shared" si="1"/>
        <v>46014</v>
      </c>
      <c r="C27" s="94">
        <v>2.15</v>
      </c>
      <c r="D27" s="92">
        <v>2.3199999999999998</v>
      </c>
      <c r="E27" s="72">
        <v>347</v>
      </c>
      <c r="F27" s="80">
        <v>24.4</v>
      </c>
      <c r="G27" s="72">
        <v>105</v>
      </c>
      <c r="H27" s="72">
        <v>145</v>
      </c>
      <c r="I27" s="80">
        <v>22.16</v>
      </c>
      <c r="J27" s="80">
        <v>6.84</v>
      </c>
      <c r="K27" s="80">
        <v>1.56</v>
      </c>
      <c r="L27" s="98">
        <v>8</v>
      </c>
      <c r="M27" s="80">
        <v>15.33</v>
      </c>
      <c r="N27" s="97">
        <v>27.31</v>
      </c>
      <c r="O27" s="97">
        <v>44.35</v>
      </c>
      <c r="P27" s="97">
        <v>58.4</v>
      </c>
      <c r="Q27" s="92">
        <v>21.72</v>
      </c>
      <c r="R27" s="92">
        <v>4.92</v>
      </c>
      <c r="S27" s="92">
        <v>3.94</v>
      </c>
      <c r="T27" s="92">
        <v>65.900000000000006</v>
      </c>
      <c r="U27" s="92">
        <v>1.22</v>
      </c>
      <c r="V27" s="92">
        <v>0.2</v>
      </c>
      <c r="W27" s="93">
        <v>1263</v>
      </c>
      <c r="X27" s="92">
        <v>3.23</v>
      </c>
      <c r="Y27" s="92">
        <v>95.28</v>
      </c>
      <c r="Z27" s="92">
        <v>2.4500000000000002</v>
      </c>
      <c r="AA27" s="92">
        <v>1.25</v>
      </c>
      <c r="AB27" s="92">
        <v>51.29</v>
      </c>
      <c r="AC27" s="92">
        <v>23.65</v>
      </c>
      <c r="AD27" s="92">
        <v>6.37</v>
      </c>
      <c r="AE27" s="92">
        <v>12</v>
      </c>
      <c r="AF27" s="92">
        <v>25.01</v>
      </c>
    </row>
    <row r="28" spans="1:32">
      <c r="A28" s="90">
        <f t="shared" si="0"/>
        <v>46014</v>
      </c>
      <c r="B28" s="90">
        <f t="shared" si="1"/>
        <v>46015</v>
      </c>
      <c r="C28" s="92">
        <v>1.54</v>
      </c>
      <c r="D28" s="92">
        <v>2.13</v>
      </c>
      <c r="E28" s="93">
        <v>353</v>
      </c>
      <c r="F28" s="92">
        <v>24.8</v>
      </c>
      <c r="G28" s="93">
        <v>105</v>
      </c>
      <c r="H28" s="93">
        <v>140</v>
      </c>
      <c r="I28" s="92">
        <v>20.8</v>
      </c>
      <c r="J28" s="92">
        <v>6.88</v>
      </c>
      <c r="K28" s="92">
        <v>2.21</v>
      </c>
      <c r="L28" s="92">
        <v>5</v>
      </c>
      <c r="M28" s="92">
        <v>16.48</v>
      </c>
      <c r="N28" s="94">
        <v>29.21</v>
      </c>
      <c r="O28" s="94">
        <v>36.9</v>
      </c>
      <c r="P28" s="94">
        <v>56.57</v>
      </c>
      <c r="Q28" s="92">
        <v>21.010909090909088</v>
      </c>
      <c r="R28" s="92">
        <v>5.169999999999999</v>
      </c>
      <c r="S28" s="92">
        <v>4.0536363636363637</v>
      </c>
      <c r="T28" s="92">
        <v>66.11272727272727</v>
      </c>
      <c r="U28" s="92">
        <v>1.3036363636363637</v>
      </c>
      <c r="V28" s="92">
        <v>0.80581818181818177</v>
      </c>
      <c r="W28" s="93">
        <v>1298.6363636363637</v>
      </c>
      <c r="X28" s="92">
        <v>3.4299999999999997</v>
      </c>
      <c r="Y28" s="92">
        <v>97.867957358040258</v>
      </c>
      <c r="Z28" s="92">
        <v>2.2798665382091765</v>
      </c>
      <c r="AA28" s="92">
        <v>1.2798421557822501</v>
      </c>
      <c r="AB28" s="92">
        <v>54.927691818181778</v>
      </c>
      <c r="AC28" s="92">
        <v>18.863858383272756</v>
      </c>
      <c r="AD28" s="100">
        <v>6.8417472727272717</v>
      </c>
      <c r="AE28" s="92">
        <v>12.335215454545454</v>
      </c>
      <c r="AF28" s="92">
        <v>26.132169827272723</v>
      </c>
    </row>
    <row r="29" spans="1:32">
      <c r="A29" s="90">
        <f t="shared" si="0"/>
        <v>46015</v>
      </c>
      <c r="B29" s="90">
        <f t="shared" si="1"/>
        <v>46016</v>
      </c>
      <c r="C29" s="92">
        <v>1.41</v>
      </c>
      <c r="D29" s="92">
        <v>2.23</v>
      </c>
      <c r="E29" s="93">
        <v>348</v>
      </c>
      <c r="F29" s="92">
        <v>24.8</v>
      </c>
      <c r="G29" s="93">
        <v>100</v>
      </c>
      <c r="H29" s="93">
        <v>130</v>
      </c>
      <c r="I29" s="92">
        <v>21.36</v>
      </c>
      <c r="J29" s="92">
        <v>6.9</v>
      </c>
      <c r="K29" s="92">
        <v>2.44</v>
      </c>
      <c r="L29" s="92">
        <v>14</v>
      </c>
      <c r="M29" s="92">
        <v>17.22</v>
      </c>
      <c r="N29" s="94">
        <v>25.46</v>
      </c>
      <c r="O29" s="94">
        <v>37.86</v>
      </c>
      <c r="P29" s="94">
        <v>59.6</v>
      </c>
      <c r="Q29" s="92">
        <v>21.446666666666669</v>
      </c>
      <c r="R29" s="92">
        <v>5.1825000000000001</v>
      </c>
      <c r="S29" s="92">
        <v>4.1466666666666665</v>
      </c>
      <c r="T29" s="92">
        <v>65.701666666666654</v>
      </c>
      <c r="U29" s="92">
        <v>1.2550000000000001</v>
      </c>
      <c r="V29" s="92">
        <v>0.64431666666666676</v>
      </c>
      <c r="W29" s="93">
        <v>1272.0833333333333</v>
      </c>
      <c r="X29" s="92">
        <v>3.3508333333333327</v>
      </c>
      <c r="Y29" s="92">
        <v>95.447686162411856</v>
      </c>
      <c r="Z29" s="100">
        <v>2.3018961991802205</v>
      </c>
      <c r="AA29" s="92">
        <v>1.2515011578334072</v>
      </c>
      <c r="AB29" s="92">
        <v>50.046914166666653</v>
      </c>
      <c r="AC29" s="101">
        <v>23.796541286000018</v>
      </c>
      <c r="AD29" s="101">
        <v>6.7174649999999998</v>
      </c>
      <c r="AE29" s="101">
        <v>12.618306666666669</v>
      </c>
      <c r="AF29" s="92">
        <v>26.210616116666667</v>
      </c>
    </row>
    <row r="30" spans="1:32">
      <c r="A30" s="90">
        <f t="shared" si="0"/>
        <v>46016</v>
      </c>
      <c r="B30" s="90">
        <f t="shared" si="1"/>
        <v>46017</v>
      </c>
      <c r="C30" s="92">
        <v>1.6</v>
      </c>
      <c r="D30" s="92">
        <v>2.33</v>
      </c>
      <c r="E30" s="93">
        <v>341</v>
      </c>
      <c r="F30" s="92">
        <v>24.8</v>
      </c>
      <c r="G30" s="93">
        <v>130</v>
      </c>
      <c r="H30" s="93">
        <v>170</v>
      </c>
      <c r="I30" s="92">
        <v>20.399999999999999</v>
      </c>
      <c r="J30" s="92">
        <v>8.58</v>
      </c>
      <c r="K30" s="92">
        <v>2.64</v>
      </c>
      <c r="L30" s="92">
        <v>4.5</v>
      </c>
      <c r="M30" s="92">
        <v>14.87</v>
      </c>
      <c r="N30" s="94">
        <v>25.77</v>
      </c>
      <c r="O30" s="94">
        <v>36.5</v>
      </c>
      <c r="P30" s="94">
        <v>52.48</v>
      </c>
      <c r="Q30" s="92">
        <v>21.49</v>
      </c>
      <c r="R30" s="92">
        <v>5.45</v>
      </c>
      <c r="S30" s="92">
        <v>3.97</v>
      </c>
      <c r="T30" s="92">
        <v>65.64</v>
      </c>
      <c r="U30" s="92">
        <v>1.28</v>
      </c>
      <c r="V30" s="92">
        <v>0.21</v>
      </c>
      <c r="W30" s="99">
        <v>1290</v>
      </c>
      <c r="X30" s="92">
        <v>3.12</v>
      </c>
      <c r="Y30" s="92">
        <v>94.97</v>
      </c>
      <c r="Z30" s="92">
        <v>2.29</v>
      </c>
      <c r="AA30" s="92">
        <v>1.38</v>
      </c>
      <c r="AB30" s="92">
        <v>48.87</v>
      </c>
      <c r="AC30" s="92">
        <v>24.82</v>
      </c>
      <c r="AD30" s="100">
        <v>7.72</v>
      </c>
      <c r="AE30" s="92">
        <v>12.08</v>
      </c>
      <c r="AF30" s="92">
        <v>26.76</v>
      </c>
    </row>
    <row r="31" spans="1:32">
      <c r="A31" s="90">
        <f t="shared" si="0"/>
        <v>46017</v>
      </c>
      <c r="B31" s="90">
        <f t="shared" si="1"/>
        <v>46018</v>
      </c>
      <c r="C31" s="92">
        <v>1.35</v>
      </c>
      <c r="D31" s="92">
        <v>1.93</v>
      </c>
      <c r="E31" s="93">
        <v>360</v>
      </c>
      <c r="F31" s="92">
        <v>24.8</v>
      </c>
      <c r="G31" s="93">
        <v>90</v>
      </c>
      <c r="H31" s="93">
        <v>125</v>
      </c>
      <c r="I31" s="92">
        <v>21.68</v>
      </c>
      <c r="J31" s="92">
        <v>4.6399999999999997</v>
      </c>
      <c r="K31" s="92">
        <v>0.79</v>
      </c>
      <c r="L31" s="92">
        <v>25.5</v>
      </c>
      <c r="M31" s="92">
        <v>15.09</v>
      </c>
      <c r="N31" s="94">
        <v>25.26</v>
      </c>
      <c r="O31" s="94">
        <v>34.549999999999997</v>
      </c>
      <c r="P31" s="94">
        <v>51.36</v>
      </c>
      <c r="Q31" s="92">
        <v>21.48</v>
      </c>
      <c r="R31" s="92">
        <v>5.42</v>
      </c>
      <c r="S31" s="92">
        <v>3.68</v>
      </c>
      <c r="T31" s="92">
        <v>65.87</v>
      </c>
      <c r="U31" s="92">
        <v>1.34</v>
      </c>
      <c r="V31" s="92">
        <v>0.28999999999999998</v>
      </c>
      <c r="W31" s="99">
        <v>1274</v>
      </c>
      <c r="X31" s="92">
        <v>3.03</v>
      </c>
      <c r="Y31" s="92">
        <v>95.59</v>
      </c>
      <c r="Z31" s="92">
        <v>2.36</v>
      </c>
      <c r="AA31" s="92">
        <v>1.49</v>
      </c>
      <c r="AB31" s="92">
        <v>50.87</v>
      </c>
      <c r="AC31" s="92">
        <v>23.27</v>
      </c>
      <c r="AD31" s="100">
        <v>8.14</v>
      </c>
      <c r="AE31" s="92">
        <v>11.2</v>
      </c>
      <c r="AF31" s="92">
        <v>26.19</v>
      </c>
    </row>
    <row r="32" spans="1:32">
      <c r="A32" s="90">
        <f t="shared" si="0"/>
        <v>46018</v>
      </c>
      <c r="B32" s="90">
        <f t="shared" si="1"/>
        <v>46019</v>
      </c>
      <c r="C32" s="92">
        <v>1.7</v>
      </c>
      <c r="D32" s="92">
        <v>2.09</v>
      </c>
      <c r="E32" s="93">
        <v>348</v>
      </c>
      <c r="F32" s="92">
        <v>24.4</v>
      </c>
      <c r="G32" s="93">
        <v>100</v>
      </c>
      <c r="H32" s="93">
        <v>135</v>
      </c>
      <c r="I32" s="92">
        <v>28.64</v>
      </c>
      <c r="J32" s="92">
        <v>7.24</v>
      </c>
      <c r="K32" s="92">
        <v>2.1</v>
      </c>
      <c r="L32" s="92">
        <v>3.5</v>
      </c>
      <c r="M32" s="92">
        <v>15.2</v>
      </c>
      <c r="N32" s="94">
        <v>25.39</v>
      </c>
      <c r="O32" s="94">
        <v>41.2</v>
      </c>
      <c r="P32" s="94">
        <v>56.05</v>
      </c>
      <c r="Q32" s="92">
        <v>21.25</v>
      </c>
      <c r="R32" s="92">
        <v>5.3</v>
      </c>
      <c r="S32" s="92">
        <v>4</v>
      </c>
      <c r="T32" s="92">
        <v>65.739999999999995</v>
      </c>
      <c r="U32" s="92">
        <v>1.38</v>
      </c>
      <c r="V32" s="92">
        <v>0.28000000000000003</v>
      </c>
      <c r="W32" s="99">
        <v>1280</v>
      </c>
      <c r="X32" s="92">
        <v>3.02</v>
      </c>
      <c r="Y32" s="92">
        <v>96.23</v>
      </c>
      <c r="Z32" s="92">
        <v>2.2799999999999998</v>
      </c>
      <c r="AA32" s="92">
        <v>1.33</v>
      </c>
      <c r="AB32" s="92">
        <v>52.51</v>
      </c>
      <c r="AC32" s="92">
        <v>21.36</v>
      </c>
      <c r="AD32" s="100">
        <v>7.27</v>
      </c>
      <c r="AE32" s="92">
        <v>12.18</v>
      </c>
      <c r="AF32" s="92">
        <v>26.55</v>
      </c>
    </row>
    <row r="33" spans="1:32">
      <c r="A33" s="90">
        <f t="shared" si="0"/>
        <v>46019</v>
      </c>
      <c r="B33" s="90">
        <f t="shared" si="1"/>
        <v>46020</v>
      </c>
      <c r="C33" s="92">
        <v>1.57</v>
      </c>
      <c r="D33" s="92">
        <v>2.06</v>
      </c>
      <c r="E33" s="93">
        <v>387</v>
      </c>
      <c r="F33" s="92">
        <v>25.6</v>
      </c>
      <c r="G33" s="93">
        <v>125</v>
      </c>
      <c r="H33" s="93">
        <v>170</v>
      </c>
      <c r="I33" s="92">
        <v>17.36</v>
      </c>
      <c r="J33" s="92">
        <v>5.41</v>
      </c>
      <c r="K33" s="92">
        <v>1.71</v>
      </c>
      <c r="L33" s="92">
        <v>1</v>
      </c>
      <c r="M33" s="92">
        <v>14.82</v>
      </c>
      <c r="N33" s="94">
        <v>24.2</v>
      </c>
      <c r="O33" s="94">
        <v>45.55</v>
      </c>
      <c r="P33" s="94">
        <v>52.41</v>
      </c>
      <c r="Q33" s="92">
        <v>20.9</v>
      </c>
      <c r="R33" s="92">
        <v>5.35</v>
      </c>
      <c r="S33" s="92">
        <v>3.98</v>
      </c>
      <c r="T33" s="92">
        <v>65.86</v>
      </c>
      <c r="U33" s="92">
        <v>1.35</v>
      </c>
      <c r="V33" s="92">
        <v>0.34</v>
      </c>
      <c r="W33" s="99">
        <v>1285</v>
      </c>
      <c r="X33" s="92">
        <v>3.49</v>
      </c>
      <c r="Y33" s="92">
        <v>97.74</v>
      </c>
      <c r="Z33" s="92">
        <v>2.2400000000000002</v>
      </c>
      <c r="AA33" s="92">
        <v>1.35</v>
      </c>
      <c r="AB33" s="92">
        <v>53.35</v>
      </c>
      <c r="AC33" s="92">
        <v>19.75</v>
      </c>
      <c r="AD33" s="100">
        <v>7.44</v>
      </c>
      <c r="AE33" s="92">
        <v>12.11</v>
      </c>
      <c r="AF33" s="92">
        <v>26.65</v>
      </c>
    </row>
    <row r="34" spans="1:32">
      <c r="A34" s="90">
        <f t="shared" si="0"/>
        <v>46020</v>
      </c>
      <c r="B34" s="90">
        <f t="shared" si="1"/>
        <v>46021</v>
      </c>
      <c r="C34" s="92">
        <v>1.44</v>
      </c>
      <c r="D34" s="92">
        <v>2.1960000000000002</v>
      </c>
      <c r="E34" s="93">
        <v>374</v>
      </c>
      <c r="F34" s="92">
        <v>25.6</v>
      </c>
      <c r="G34" s="93">
        <v>155</v>
      </c>
      <c r="H34" s="93">
        <v>180</v>
      </c>
      <c r="I34" s="92">
        <v>18.600000000000001</v>
      </c>
      <c r="J34" s="92">
        <v>6.17</v>
      </c>
      <c r="K34" s="92">
        <v>1.28</v>
      </c>
      <c r="L34" s="92">
        <v>3</v>
      </c>
      <c r="M34" s="92">
        <v>14.55</v>
      </c>
      <c r="N34" s="94">
        <v>25.66</v>
      </c>
      <c r="O34" s="94">
        <v>45.85</v>
      </c>
      <c r="P34" s="94">
        <v>51.16</v>
      </c>
      <c r="Q34" s="92">
        <v>21.53</v>
      </c>
      <c r="R34" s="92">
        <v>5.38</v>
      </c>
      <c r="S34" s="92">
        <v>3.88</v>
      </c>
      <c r="T34" s="92">
        <v>65.7</v>
      </c>
      <c r="U34" s="92">
        <v>1.39</v>
      </c>
      <c r="V34" s="92">
        <v>0.3</v>
      </c>
      <c r="W34" s="99">
        <v>1293</v>
      </c>
      <c r="X34" s="92">
        <v>2.96</v>
      </c>
      <c r="Y34" s="92">
        <v>95.03</v>
      </c>
      <c r="Z34" s="92">
        <v>2.33</v>
      </c>
      <c r="AA34" s="92">
        <v>1.39</v>
      </c>
      <c r="AB34" s="92">
        <v>50.02</v>
      </c>
      <c r="AC34" s="92">
        <v>24.05</v>
      </c>
      <c r="AD34" s="100">
        <v>7.71</v>
      </c>
      <c r="AE34" s="92">
        <v>11.8</v>
      </c>
      <c r="AF34" s="92">
        <v>26.55</v>
      </c>
    </row>
    <row r="35" spans="1:32">
      <c r="A35" s="90">
        <f t="shared" si="0"/>
        <v>46021</v>
      </c>
      <c r="B35" s="90">
        <f t="shared" si="1"/>
        <v>46022</v>
      </c>
      <c r="C35" s="94">
        <v>1.3</v>
      </c>
      <c r="D35" s="92">
        <v>2.3250000000000002</v>
      </c>
      <c r="E35" s="93">
        <v>348</v>
      </c>
      <c r="F35" s="92">
        <v>25.2</v>
      </c>
      <c r="G35" s="93">
        <v>90</v>
      </c>
      <c r="H35" s="93">
        <v>120</v>
      </c>
      <c r="I35" s="92">
        <v>20.74</v>
      </c>
      <c r="J35" s="92">
        <v>6.38</v>
      </c>
      <c r="K35" s="92">
        <v>1.98</v>
      </c>
      <c r="L35" s="92">
        <v>52.5</v>
      </c>
      <c r="M35" s="92">
        <v>14.51</v>
      </c>
      <c r="N35" s="92">
        <v>26.08</v>
      </c>
      <c r="O35" s="92">
        <v>40.32</v>
      </c>
      <c r="P35" s="92">
        <v>50.73</v>
      </c>
      <c r="Q35" s="92">
        <v>20.69</v>
      </c>
      <c r="R35" s="92">
        <v>5.54</v>
      </c>
      <c r="S35" s="92">
        <v>4</v>
      </c>
      <c r="T35" s="92">
        <v>66.040000000000006</v>
      </c>
      <c r="U35" s="92">
        <v>1.49</v>
      </c>
      <c r="V35" s="92">
        <v>0.34</v>
      </c>
      <c r="W35" s="99">
        <v>1315</v>
      </c>
      <c r="X35" s="92">
        <v>3.58</v>
      </c>
      <c r="Y35" s="92">
        <v>98.54</v>
      </c>
      <c r="Z35" s="92">
        <v>2.17</v>
      </c>
      <c r="AA35" s="92">
        <v>1.39</v>
      </c>
      <c r="AB35" s="92">
        <v>54.08</v>
      </c>
      <c r="AC35" s="92">
        <v>18.57</v>
      </c>
      <c r="AD35" s="100">
        <v>7.92</v>
      </c>
      <c r="AE35" s="92">
        <v>12.16</v>
      </c>
      <c r="AF35" s="92">
        <v>27.42</v>
      </c>
    </row>
    <row r="36" spans="1:32">
      <c r="A36" s="90">
        <f t="shared" si="0"/>
        <v>46022</v>
      </c>
      <c r="B36" s="90">
        <f t="shared" ref="B36" si="2">A36+1</f>
        <v>46023</v>
      </c>
      <c r="C36" s="94">
        <v>1.37</v>
      </c>
      <c r="D36" s="92">
        <v>1.984</v>
      </c>
      <c r="E36" s="93">
        <v>348</v>
      </c>
      <c r="F36" s="92">
        <v>24.8</v>
      </c>
      <c r="G36" s="93">
        <v>130</v>
      </c>
      <c r="H36" s="93">
        <v>165</v>
      </c>
      <c r="I36" s="92">
        <v>24.92</v>
      </c>
      <c r="J36" s="92">
        <v>6.2</v>
      </c>
      <c r="K36" s="92">
        <v>1.21</v>
      </c>
      <c r="L36" s="92">
        <v>3</v>
      </c>
      <c r="M36" s="92">
        <v>15.59</v>
      </c>
      <c r="N36" s="92">
        <v>24.34</v>
      </c>
      <c r="O36" s="92">
        <v>38.979999999999997</v>
      </c>
      <c r="P36" s="92">
        <v>59.54</v>
      </c>
      <c r="Q36" s="92">
        <v>21.34</v>
      </c>
      <c r="R36" s="92">
        <v>5.22</v>
      </c>
      <c r="S36" s="92">
        <v>4.13</v>
      </c>
      <c r="T36" s="92">
        <v>65.67</v>
      </c>
      <c r="U36" s="92">
        <v>1.48</v>
      </c>
      <c r="V36" s="92">
        <v>0.35</v>
      </c>
      <c r="W36" s="99">
        <v>1310</v>
      </c>
      <c r="X36" s="92">
        <v>2.96</v>
      </c>
      <c r="Y36" s="92">
        <v>95.76</v>
      </c>
      <c r="Z36" s="92">
        <v>2.2799999999999998</v>
      </c>
      <c r="AA36" s="92">
        <v>1.28</v>
      </c>
      <c r="AB36" s="92">
        <v>52.09</v>
      </c>
      <c r="AC36" s="92">
        <v>21.95</v>
      </c>
      <c r="AD36" s="100">
        <v>6.84</v>
      </c>
      <c r="AE36" s="92">
        <v>12.58</v>
      </c>
      <c r="AF36" s="92">
        <v>26.75</v>
      </c>
    </row>
    <row r="37" spans="1:32">
      <c r="A37" s="324" t="s">
        <v>31</v>
      </c>
      <c r="B37" s="324"/>
      <c r="C37" s="95">
        <f t="shared" ref="C37:AF37" si="3">MIN(C6:C35)</f>
        <v>1.02</v>
      </c>
      <c r="D37" s="95">
        <f t="shared" si="3"/>
        <v>1.907</v>
      </c>
      <c r="E37" s="96">
        <f t="shared" ref="E37:K37" si="4">MIN(E6:E36)</f>
        <v>320</v>
      </c>
      <c r="F37" s="95">
        <f t="shared" si="4"/>
        <v>24</v>
      </c>
      <c r="G37" s="96">
        <f t="shared" si="4"/>
        <v>90</v>
      </c>
      <c r="H37" s="96">
        <f t="shared" si="4"/>
        <v>120</v>
      </c>
      <c r="I37" s="95">
        <f t="shared" si="4"/>
        <v>17.36</v>
      </c>
      <c r="J37" s="95">
        <f t="shared" si="4"/>
        <v>4.6399999999999997</v>
      </c>
      <c r="K37" s="95">
        <f t="shared" si="4"/>
        <v>0.79</v>
      </c>
      <c r="L37" s="95">
        <f>MIN(L6:L36)</f>
        <v>1</v>
      </c>
      <c r="M37" s="95">
        <f>MIN(M6:M36)</f>
        <v>12.12</v>
      </c>
      <c r="N37" s="95">
        <f>MIN(N6:N36)</f>
        <v>21.87</v>
      </c>
      <c r="O37" s="95">
        <f>MIN(O6:O36)</f>
        <v>32.880000000000003</v>
      </c>
      <c r="P37" s="95">
        <f>MIN(P6:P36)</f>
        <v>49.12</v>
      </c>
      <c r="Q37" s="95">
        <f t="shared" si="3"/>
        <v>20.0275</v>
      </c>
      <c r="R37" s="95">
        <f t="shared" si="3"/>
        <v>4.92</v>
      </c>
      <c r="S37" s="95">
        <f t="shared" si="3"/>
        <v>3.56</v>
      </c>
      <c r="T37" s="95">
        <f t="shared" si="3"/>
        <v>65.569999999999993</v>
      </c>
      <c r="U37" s="95">
        <f t="shared" si="3"/>
        <v>1.22</v>
      </c>
      <c r="V37" s="95">
        <f t="shared" si="3"/>
        <v>0.14000000000000001</v>
      </c>
      <c r="W37" s="96">
        <f t="shared" si="3"/>
        <v>1257.5</v>
      </c>
      <c r="X37" s="95">
        <f t="shared" si="3"/>
        <v>2.96</v>
      </c>
      <c r="Y37" s="95">
        <f t="shared" si="3"/>
        <v>93.98</v>
      </c>
      <c r="Z37" s="95">
        <f t="shared" si="3"/>
        <v>2.0340889940302809</v>
      </c>
      <c r="AA37" s="95">
        <f t="shared" si="3"/>
        <v>1.25</v>
      </c>
      <c r="AB37" s="95">
        <f t="shared" si="3"/>
        <v>44.77</v>
      </c>
      <c r="AC37" s="95">
        <f t="shared" si="3"/>
        <v>13.22278579733335</v>
      </c>
      <c r="AD37" s="95">
        <f t="shared" si="3"/>
        <v>6.37</v>
      </c>
      <c r="AE37" s="95">
        <f t="shared" si="3"/>
        <v>10.82</v>
      </c>
      <c r="AF37" s="95">
        <f t="shared" si="3"/>
        <v>25.01</v>
      </c>
    </row>
    <row r="38" spans="1:32">
      <c r="A38" s="324" t="s">
        <v>33</v>
      </c>
      <c r="B38" s="324"/>
      <c r="C38" s="95">
        <f t="shared" ref="C38:AF38" si="5">MAX(C6:C35)</f>
        <v>2.15</v>
      </c>
      <c r="D38" s="95">
        <f t="shared" si="5"/>
        <v>2.39</v>
      </c>
      <c r="E38" s="96">
        <f t="shared" ref="E38:K38" si="6">MAX(E6:E36)</f>
        <v>387</v>
      </c>
      <c r="F38" s="95">
        <f t="shared" si="6"/>
        <v>25.6</v>
      </c>
      <c r="G38" s="96">
        <f t="shared" si="6"/>
        <v>155</v>
      </c>
      <c r="H38" s="96">
        <f t="shared" si="6"/>
        <v>180</v>
      </c>
      <c r="I38" s="95">
        <f t="shared" si="6"/>
        <v>28.64</v>
      </c>
      <c r="J38" s="95">
        <f t="shared" si="6"/>
        <v>9.76</v>
      </c>
      <c r="K38" s="95">
        <f t="shared" si="6"/>
        <v>2.64</v>
      </c>
      <c r="L38" s="95">
        <f>MAX(L6:L36)</f>
        <v>113</v>
      </c>
      <c r="M38" s="95">
        <f>MAX(M6:M36)</f>
        <v>17.22</v>
      </c>
      <c r="N38" s="95">
        <f>MAX(N6:N36)</f>
        <v>29.21</v>
      </c>
      <c r="O38" s="95">
        <f>MAX(O6:O36)</f>
        <v>45.97</v>
      </c>
      <c r="P38" s="95">
        <f>MAX(P6:P36)</f>
        <v>59.6</v>
      </c>
      <c r="Q38" s="95">
        <f t="shared" si="5"/>
        <v>21.88</v>
      </c>
      <c r="R38" s="95">
        <f t="shared" si="5"/>
        <v>6.35</v>
      </c>
      <c r="S38" s="95">
        <f t="shared" si="5"/>
        <v>4.1466666666666665</v>
      </c>
      <c r="T38" s="95">
        <f t="shared" si="5"/>
        <v>66.749166666666667</v>
      </c>
      <c r="U38" s="95">
        <f t="shared" si="5"/>
        <v>1.5258333333333332</v>
      </c>
      <c r="V38" s="95">
        <f t="shared" si="5"/>
        <v>0.80581818181818177</v>
      </c>
      <c r="W38" s="96">
        <f t="shared" si="5"/>
        <v>1350</v>
      </c>
      <c r="X38" s="95">
        <f t="shared" si="5"/>
        <v>4.5733333333333333</v>
      </c>
      <c r="Y38" s="95">
        <f t="shared" si="5"/>
        <v>102.70951465566787</v>
      </c>
      <c r="Z38" s="95">
        <f t="shared" si="5"/>
        <v>2.4700000000000002</v>
      </c>
      <c r="AA38" s="95">
        <f t="shared" si="5"/>
        <v>1.78</v>
      </c>
      <c r="AB38" s="95">
        <f t="shared" si="5"/>
        <v>58.664023333333319</v>
      </c>
      <c r="AC38" s="95">
        <f t="shared" si="5"/>
        <v>28.33</v>
      </c>
      <c r="AD38" s="95">
        <f t="shared" si="5"/>
        <v>10.8</v>
      </c>
      <c r="AE38" s="95">
        <f t="shared" si="5"/>
        <v>12.618306666666669</v>
      </c>
      <c r="AF38" s="95">
        <f t="shared" si="5"/>
        <v>29.199659241666666</v>
      </c>
    </row>
    <row r="39" spans="1:32">
      <c r="A39" s="324" t="s">
        <v>36</v>
      </c>
      <c r="B39" s="324"/>
      <c r="C39" s="95">
        <f t="shared" ref="C39:AF39" si="7">AVERAGE(C6:C35)</f>
        <v>1.4883333333333333</v>
      </c>
      <c r="D39" s="95">
        <f t="shared" si="7"/>
        <v>2.2310000000000003</v>
      </c>
      <c r="E39" s="96">
        <f t="shared" ref="E39:K39" si="8">AVERAGE(E6:E36)</f>
        <v>345.16129032258067</v>
      </c>
      <c r="F39" s="95">
        <f t="shared" si="8"/>
        <v>24.748387096774188</v>
      </c>
      <c r="G39" s="96">
        <f t="shared" si="8"/>
        <v>107.25806451612904</v>
      </c>
      <c r="H39" s="96">
        <f t="shared" si="8"/>
        <v>141.7741935483871</v>
      </c>
      <c r="I39" s="95">
        <f t="shared" si="8"/>
        <v>23.025806451612905</v>
      </c>
      <c r="J39" s="95">
        <f t="shared" si="8"/>
        <v>7.1309677419354838</v>
      </c>
      <c r="K39" s="95">
        <f t="shared" si="8"/>
        <v>1.7283870967741934</v>
      </c>
      <c r="L39" s="95">
        <f>AVERAGE(L6:L36)</f>
        <v>29.70967741935484</v>
      </c>
      <c r="M39" s="95">
        <f>AVERAGE(M6:M36)</f>
        <v>14.873870967741935</v>
      </c>
      <c r="N39" s="95">
        <f>AVERAGE(N6:N36)</f>
        <v>25.422903225806451</v>
      </c>
      <c r="O39" s="95">
        <f>AVERAGE(O6:O36)</f>
        <v>41.234516129032258</v>
      </c>
      <c r="P39" s="95">
        <f>AVERAGE(P6:P36)</f>
        <v>54.839032258064513</v>
      </c>
      <c r="Q39" s="95">
        <f t="shared" si="7"/>
        <v>21.013835858585857</v>
      </c>
      <c r="R39" s="95">
        <f t="shared" si="7"/>
        <v>5.5759999999999987</v>
      </c>
      <c r="S39" s="95">
        <f t="shared" si="7"/>
        <v>3.8458989898989899</v>
      </c>
      <c r="T39" s="95">
        <f t="shared" si="7"/>
        <v>65.974563131313133</v>
      </c>
      <c r="U39" s="95">
        <f t="shared" si="7"/>
        <v>1.3925628787878792</v>
      </c>
      <c r="V39" s="95">
        <f t="shared" si="7"/>
        <v>0.3958683838383838</v>
      </c>
      <c r="W39" s="96">
        <f t="shared" si="7"/>
        <v>1302.4489898989898</v>
      </c>
      <c r="X39" s="95">
        <f t="shared" si="7"/>
        <v>3.6310000000000002</v>
      </c>
      <c r="Y39" s="95">
        <f t="shared" si="7"/>
        <v>97.221162393330857</v>
      </c>
      <c r="Z39" s="95">
        <f t="shared" si="7"/>
        <v>2.2351278452933916</v>
      </c>
      <c r="AA39" s="95">
        <f t="shared" si="7"/>
        <v>1.4577169693622727</v>
      </c>
      <c r="AB39" s="95">
        <f t="shared" si="7"/>
        <v>51.097022421717149</v>
      </c>
      <c r="AC39" s="95">
        <f t="shared" si="7"/>
        <v>21.760437199197991</v>
      </c>
      <c r="AD39" s="95">
        <f t="shared" si="7"/>
        <v>8.2700302424242444</v>
      </c>
      <c r="AE39" s="95">
        <f t="shared" si="7"/>
        <v>11.702196959595963</v>
      </c>
      <c r="AF39" s="95">
        <f t="shared" si="7"/>
        <v>27.060052443131312</v>
      </c>
    </row>
    <row r="40" spans="1:32">
      <c r="A40" s="324" t="s">
        <v>130</v>
      </c>
      <c r="B40" s="324"/>
      <c r="C40" s="95">
        <f>STDEV(C6:C35)</f>
        <v>0.23048798806809456</v>
      </c>
      <c r="D40" s="95">
        <f t="shared" ref="D40:AF40" si="9">STDEV(D6:D35)</f>
        <v>0.12300686832519724</v>
      </c>
      <c r="E40" s="96">
        <f t="shared" ref="E40:K40" si="10">STDEV(E6:E36)</f>
        <v>13.921438561186958</v>
      </c>
      <c r="F40" s="95">
        <f t="shared" si="10"/>
        <v>0.33849762947661943</v>
      </c>
      <c r="G40" s="96">
        <f t="shared" si="10"/>
        <v>16.372675900079141</v>
      </c>
      <c r="H40" s="96">
        <f t="shared" si="10"/>
        <v>18.145173237749912</v>
      </c>
      <c r="I40" s="95">
        <f t="shared" si="10"/>
        <v>2.7179560631640105</v>
      </c>
      <c r="J40" s="95">
        <f t="shared" si="10"/>
        <v>1.279571164723321</v>
      </c>
      <c r="K40" s="95">
        <f t="shared" si="10"/>
        <v>0.4313938399667871</v>
      </c>
      <c r="L40" s="95">
        <f>STDEV(L6:L36)</f>
        <v>29.732915036355578</v>
      </c>
      <c r="M40" s="95">
        <f>STDEV(M6:M36)</f>
        <v>1.3608322880241461</v>
      </c>
      <c r="N40" s="95">
        <f>STDEV(N6:N36)</f>
        <v>1.7758888733033324</v>
      </c>
      <c r="O40" s="95">
        <f>STDEV(O6:O36)</f>
        <v>3.5970542009721207</v>
      </c>
      <c r="P40" s="95">
        <f>STDEV(P6:P36)</f>
        <v>2.8682170476200137</v>
      </c>
      <c r="Q40" s="95">
        <f t="shared" si="9"/>
        <v>0.45881736597683753</v>
      </c>
      <c r="R40" s="95">
        <f t="shared" si="9"/>
        <v>0.35490470093152471</v>
      </c>
      <c r="S40" s="95">
        <f t="shared" si="9"/>
        <v>0.1557157369398276</v>
      </c>
      <c r="T40" s="95">
        <f t="shared" si="9"/>
        <v>0.26790319586254718</v>
      </c>
      <c r="U40" s="95">
        <f t="shared" si="9"/>
        <v>8.8660902236775266E-2</v>
      </c>
      <c r="V40" s="95">
        <f t="shared" si="9"/>
        <v>0.16709913852701791</v>
      </c>
      <c r="W40" s="96">
        <f t="shared" si="9"/>
        <v>25.706494075330422</v>
      </c>
      <c r="X40" s="95">
        <f t="shared" si="9"/>
        <v>0.44420520740252756</v>
      </c>
      <c r="Y40" s="95">
        <f t="shared" si="9"/>
        <v>1.8310460602787226</v>
      </c>
      <c r="Z40" s="95">
        <f t="shared" si="9"/>
        <v>0.1122235062827194</v>
      </c>
      <c r="AA40" s="95">
        <f t="shared" si="9"/>
        <v>0.13857075843430866</v>
      </c>
      <c r="AB40" s="95">
        <f t="shared" si="9"/>
        <v>2.8269381816494081</v>
      </c>
      <c r="AC40" s="95">
        <f t="shared" si="9"/>
        <v>3.0331983911025495</v>
      </c>
      <c r="AD40" s="95">
        <f t="shared" si="9"/>
        <v>1.1220398411154626</v>
      </c>
      <c r="AE40" s="95">
        <f t="shared" si="9"/>
        <v>0.47349572360255032</v>
      </c>
      <c r="AF40" s="95">
        <f t="shared" si="9"/>
        <v>1.0531963348427809</v>
      </c>
    </row>
    <row r="42" spans="1:32">
      <c r="A42" s="325" t="s">
        <v>0</v>
      </c>
      <c r="B42" s="325"/>
      <c r="C42" s="325"/>
      <c r="D42" s="325"/>
      <c r="E42" s="325"/>
      <c r="F42" s="325"/>
      <c r="G42" s="325"/>
      <c r="H42" s="325"/>
      <c r="I42" s="325"/>
      <c r="J42" s="325"/>
      <c r="K42" s="325"/>
      <c r="L42" s="325"/>
      <c r="M42" s="325"/>
      <c r="N42" s="325"/>
      <c r="O42" s="325"/>
      <c r="P42" s="325"/>
      <c r="Q42" s="325"/>
      <c r="R42" s="325"/>
      <c r="S42" s="325"/>
      <c r="T42" s="325"/>
      <c r="U42" s="325"/>
      <c r="V42" s="325"/>
      <c r="W42" s="325"/>
      <c r="X42" s="325"/>
      <c r="Y42" s="325"/>
      <c r="Z42" s="325"/>
      <c r="AA42" s="325"/>
      <c r="AB42" s="325"/>
      <c r="AC42" s="325"/>
      <c r="AD42" s="325"/>
      <c r="AE42" s="325"/>
      <c r="AF42" s="325"/>
    </row>
    <row r="43" spans="1:32">
      <c r="A43" s="325" t="s">
        <v>106</v>
      </c>
      <c r="B43" s="325"/>
      <c r="C43" s="325"/>
      <c r="D43" s="325"/>
      <c r="E43" s="325"/>
      <c r="F43" s="325"/>
      <c r="G43" s="325"/>
      <c r="H43" s="325"/>
      <c r="I43" s="325"/>
      <c r="J43" s="325"/>
      <c r="K43" s="325"/>
      <c r="L43" s="325"/>
      <c r="M43" s="325"/>
      <c r="N43" s="325"/>
      <c r="O43" s="325"/>
      <c r="P43" s="325"/>
      <c r="Q43" s="325"/>
      <c r="R43" s="325"/>
      <c r="S43" s="325"/>
      <c r="T43" s="325"/>
      <c r="U43" s="325"/>
      <c r="V43" s="325"/>
      <c r="W43" s="325"/>
      <c r="X43" s="325"/>
      <c r="Y43" s="325"/>
      <c r="Z43" s="325"/>
      <c r="AA43" s="325"/>
      <c r="AB43" s="325"/>
      <c r="AC43" s="325" t="s">
        <v>107</v>
      </c>
      <c r="AD43" s="325"/>
      <c r="AE43" s="326">
        <v>46023</v>
      </c>
      <c r="AF43" s="326"/>
    </row>
    <row r="44" spans="1:32">
      <c r="A44" s="327"/>
      <c r="B44" s="327"/>
      <c r="C44" s="328" t="s">
        <v>108</v>
      </c>
      <c r="D44" s="328"/>
      <c r="E44" s="328"/>
      <c r="F44" s="328"/>
      <c r="G44" s="328"/>
      <c r="H44" s="328"/>
      <c r="I44" s="328"/>
      <c r="J44" s="328"/>
      <c r="K44" s="328"/>
      <c r="L44" s="328"/>
      <c r="M44" s="328"/>
      <c r="N44" s="328"/>
      <c r="O44" s="328"/>
      <c r="P44" s="328"/>
      <c r="Q44" s="329" t="s">
        <v>109</v>
      </c>
      <c r="R44" s="329"/>
      <c r="S44" s="329"/>
      <c r="T44" s="329"/>
      <c r="U44" s="329"/>
      <c r="V44" s="329"/>
      <c r="W44" s="329"/>
      <c r="X44" s="329"/>
      <c r="Y44" s="329"/>
      <c r="Z44" s="329"/>
      <c r="AA44" s="329"/>
      <c r="AB44" s="329"/>
      <c r="AC44" s="329"/>
      <c r="AD44" s="329"/>
      <c r="AE44" s="329"/>
      <c r="AF44" s="329"/>
    </row>
    <row r="45" spans="1:32" ht="38.25">
      <c r="A45" s="5" t="s">
        <v>110</v>
      </c>
      <c r="B45" s="5" t="s">
        <v>111</v>
      </c>
      <c r="C45" s="64" t="s">
        <v>83</v>
      </c>
      <c r="D45" s="64" t="s">
        <v>81</v>
      </c>
      <c r="E45" s="89" t="s">
        <v>112</v>
      </c>
      <c r="F45" s="64" t="s">
        <v>113</v>
      </c>
      <c r="G45" s="89" t="s">
        <v>114</v>
      </c>
      <c r="H45" s="89" t="s">
        <v>115</v>
      </c>
      <c r="I45" s="64" t="s">
        <v>116</v>
      </c>
      <c r="J45" s="64" t="s">
        <v>117</v>
      </c>
      <c r="K45" s="64" t="s">
        <v>118</v>
      </c>
      <c r="L45" s="64" t="s">
        <v>119</v>
      </c>
      <c r="M45" s="64" t="s">
        <v>9</v>
      </c>
      <c r="N45" s="64" t="s">
        <v>120</v>
      </c>
      <c r="O45" s="64" t="s">
        <v>121</v>
      </c>
      <c r="P45" s="64" t="s">
        <v>122</v>
      </c>
      <c r="Q45" s="64" t="s">
        <v>74</v>
      </c>
      <c r="R45" s="64" t="s">
        <v>75</v>
      </c>
      <c r="S45" s="64" t="s">
        <v>76</v>
      </c>
      <c r="T45" s="64" t="s">
        <v>77</v>
      </c>
      <c r="U45" s="64" t="s">
        <v>78</v>
      </c>
      <c r="V45" s="64" t="s">
        <v>81</v>
      </c>
      <c r="W45" s="89" t="s">
        <v>123</v>
      </c>
      <c r="X45" s="64" t="s">
        <v>100</v>
      </c>
      <c r="Y45" s="64" t="s">
        <v>87</v>
      </c>
      <c r="Z45" s="64" t="s">
        <v>88</v>
      </c>
      <c r="AA45" s="64" t="s">
        <v>89</v>
      </c>
      <c r="AB45" s="64" t="s">
        <v>101</v>
      </c>
      <c r="AC45" s="64" t="s">
        <v>102</v>
      </c>
      <c r="AD45" s="64" t="s">
        <v>103</v>
      </c>
      <c r="AE45" s="64" t="s">
        <v>104</v>
      </c>
      <c r="AF45" s="64" t="s">
        <v>105</v>
      </c>
    </row>
    <row r="46" spans="1:32">
      <c r="A46" s="322" t="s">
        <v>124</v>
      </c>
      <c r="B46" s="323"/>
      <c r="C46" s="64" t="s">
        <v>53</v>
      </c>
      <c r="D46" s="64" t="s">
        <v>53</v>
      </c>
      <c r="E46" s="64" t="s">
        <v>125</v>
      </c>
      <c r="F46" s="64" t="s">
        <v>53</v>
      </c>
      <c r="G46" s="64" t="s">
        <v>126</v>
      </c>
      <c r="H46" s="64" t="s">
        <v>126</v>
      </c>
      <c r="I46" s="64" t="s">
        <v>53</v>
      </c>
      <c r="J46" s="64" t="s">
        <v>53</v>
      </c>
      <c r="K46" s="64" t="s">
        <v>53</v>
      </c>
      <c r="L46" s="64" t="s">
        <v>127</v>
      </c>
      <c r="M46" s="64" t="s">
        <v>128</v>
      </c>
      <c r="N46" s="64" t="s">
        <v>128</v>
      </c>
      <c r="O46" s="64" t="s">
        <v>128</v>
      </c>
      <c r="P46" s="64" t="s">
        <v>128</v>
      </c>
      <c r="Q46" s="64" t="s">
        <v>53</v>
      </c>
      <c r="R46" s="64" t="s">
        <v>53</v>
      </c>
      <c r="S46" s="64" t="s">
        <v>53</v>
      </c>
      <c r="T46" s="64" t="s">
        <v>53</v>
      </c>
      <c r="U46" s="64" t="s">
        <v>53</v>
      </c>
      <c r="V46" s="64" t="s">
        <v>53</v>
      </c>
      <c r="W46" s="64" t="s">
        <v>129</v>
      </c>
      <c r="X46" s="64" t="s">
        <v>53</v>
      </c>
      <c r="Y46" s="64" t="s">
        <v>53</v>
      </c>
      <c r="Z46" s="64" t="s">
        <v>53</v>
      </c>
      <c r="AA46" s="64" t="s">
        <v>53</v>
      </c>
      <c r="AB46" s="64" t="s">
        <v>53</v>
      </c>
      <c r="AC46" s="64" t="s">
        <v>53</v>
      </c>
      <c r="AD46" s="64" t="s">
        <v>53</v>
      </c>
      <c r="AE46" s="64" t="s">
        <v>53</v>
      </c>
      <c r="AF46" s="64" t="s">
        <v>53</v>
      </c>
    </row>
    <row r="47" spans="1:32">
      <c r="A47" s="90">
        <f>AE43+0</f>
        <v>46023</v>
      </c>
      <c r="B47" s="90">
        <f>A47+1</f>
        <v>46024</v>
      </c>
      <c r="C47" s="80">
        <v>2.11</v>
      </c>
      <c r="D47" s="80">
        <v>2.16</v>
      </c>
      <c r="E47" s="72">
        <v>349</v>
      </c>
      <c r="F47" s="80">
        <v>24.8</v>
      </c>
      <c r="G47" s="72">
        <v>110</v>
      </c>
      <c r="H47" s="72">
        <v>140</v>
      </c>
      <c r="I47" s="80">
        <v>22.92</v>
      </c>
      <c r="J47" s="80">
        <v>5.38</v>
      </c>
      <c r="K47" s="80">
        <v>1.04</v>
      </c>
      <c r="L47" s="80">
        <v>37</v>
      </c>
      <c r="M47" s="80">
        <v>14.83</v>
      </c>
      <c r="N47" s="97">
        <v>25.61</v>
      </c>
      <c r="O47" s="97">
        <v>42.5</v>
      </c>
      <c r="P47" s="97">
        <v>52.44</v>
      </c>
      <c r="Q47" s="92">
        <v>21.35</v>
      </c>
      <c r="R47" s="92">
        <v>5.31</v>
      </c>
      <c r="S47" s="92">
        <v>3.97</v>
      </c>
      <c r="T47" s="92">
        <v>65.98</v>
      </c>
      <c r="U47" s="92">
        <v>1.44</v>
      </c>
      <c r="V47" s="92">
        <v>0.25</v>
      </c>
      <c r="W47" s="99">
        <v>1266</v>
      </c>
      <c r="X47" s="92">
        <v>3.47</v>
      </c>
      <c r="Y47" s="92">
        <v>96.15</v>
      </c>
      <c r="Z47" s="92">
        <v>2.2999999999999998</v>
      </c>
      <c r="AA47" s="92">
        <v>1.34</v>
      </c>
      <c r="AB47" s="92">
        <v>50.77</v>
      </c>
      <c r="AC47" s="92">
        <v>22.98</v>
      </c>
      <c r="AD47" s="100">
        <v>7.37</v>
      </c>
      <c r="AE47" s="92">
        <v>12.07</v>
      </c>
      <c r="AF47" s="92">
        <v>26.51</v>
      </c>
    </row>
    <row r="48" spans="1:32">
      <c r="A48" s="90">
        <f t="shared" ref="A48:A77" si="11">A47+1</f>
        <v>46024</v>
      </c>
      <c r="B48" s="90">
        <f t="shared" ref="B48:B75" si="12">A48+1</f>
        <v>46025</v>
      </c>
      <c r="C48" s="80">
        <v>1.35</v>
      </c>
      <c r="D48" s="80">
        <v>2.2000000000000002</v>
      </c>
      <c r="E48" s="72">
        <v>347</v>
      </c>
      <c r="F48" s="80">
        <v>24.8</v>
      </c>
      <c r="G48" s="72">
        <v>115</v>
      </c>
      <c r="H48" s="72">
        <v>145</v>
      </c>
      <c r="I48" s="80">
        <v>24.68</v>
      </c>
      <c r="J48" s="80">
        <v>5.0199999999999996</v>
      </c>
      <c r="K48" s="80">
        <v>0.65</v>
      </c>
      <c r="L48" s="80">
        <v>30</v>
      </c>
      <c r="M48" s="80">
        <v>14.88</v>
      </c>
      <c r="N48" s="97">
        <v>24.55</v>
      </c>
      <c r="O48" s="97">
        <v>41.23</v>
      </c>
      <c r="P48" s="97">
        <v>52.42</v>
      </c>
      <c r="Q48" s="92">
        <v>21.09</v>
      </c>
      <c r="R48" s="92">
        <v>5.32</v>
      </c>
      <c r="S48" s="92">
        <v>4.05</v>
      </c>
      <c r="T48" s="92">
        <v>66.14</v>
      </c>
      <c r="U48" s="92">
        <v>1.39</v>
      </c>
      <c r="V48" s="92">
        <v>0.27</v>
      </c>
      <c r="W48" s="99">
        <v>1292</v>
      </c>
      <c r="X48" s="92">
        <v>3.46</v>
      </c>
      <c r="Y48" s="92">
        <v>97.41</v>
      </c>
      <c r="Z48" s="92">
        <v>2.2599999999999998</v>
      </c>
      <c r="AA48" s="92">
        <v>1.33</v>
      </c>
      <c r="AB48" s="92">
        <v>53.34</v>
      </c>
      <c r="AC48" s="92">
        <v>20.27</v>
      </c>
      <c r="AD48" s="100">
        <v>7.25</v>
      </c>
      <c r="AE48" s="92">
        <v>12.33</v>
      </c>
      <c r="AF48" s="92">
        <v>26.71</v>
      </c>
    </row>
    <row r="49" spans="1:32">
      <c r="A49" s="90">
        <f t="shared" si="11"/>
        <v>46025</v>
      </c>
      <c r="B49" s="90">
        <f t="shared" si="12"/>
        <v>46026</v>
      </c>
      <c r="C49" s="80">
        <v>1.24</v>
      </c>
      <c r="D49" s="80">
        <v>2.0499999999999998</v>
      </c>
      <c r="E49" s="72">
        <v>354</v>
      </c>
      <c r="F49" s="80">
        <v>24.8</v>
      </c>
      <c r="G49" s="72">
        <v>115</v>
      </c>
      <c r="H49" s="72">
        <v>145</v>
      </c>
      <c r="I49" s="80">
        <v>20.36</v>
      </c>
      <c r="J49" s="80">
        <v>5.9</v>
      </c>
      <c r="K49" s="80">
        <v>1.18</v>
      </c>
      <c r="L49" s="80">
        <v>40</v>
      </c>
      <c r="M49" s="80">
        <v>16.05</v>
      </c>
      <c r="N49" s="97">
        <v>27.57</v>
      </c>
      <c r="O49" s="97">
        <v>43.76</v>
      </c>
      <c r="P49" s="97">
        <v>52.53</v>
      </c>
      <c r="Q49" s="92">
        <v>21.15</v>
      </c>
      <c r="R49" s="92">
        <v>5.2</v>
      </c>
      <c r="S49" s="92">
        <v>4.33</v>
      </c>
      <c r="T49" s="92">
        <v>65.98</v>
      </c>
      <c r="U49" s="92">
        <v>1.39</v>
      </c>
      <c r="V49" s="92">
        <v>0.28999999999999998</v>
      </c>
      <c r="W49" s="99">
        <v>1280</v>
      </c>
      <c r="X49" s="92">
        <v>3.19</v>
      </c>
      <c r="Y49" s="92">
        <v>96.83</v>
      </c>
      <c r="Z49" s="92">
        <v>2.2200000000000002</v>
      </c>
      <c r="AA49" s="92">
        <v>1.2</v>
      </c>
      <c r="AB49" s="92">
        <v>53.66</v>
      </c>
      <c r="AC49" s="92">
        <v>20.23</v>
      </c>
      <c r="AD49" s="100">
        <v>6.46</v>
      </c>
      <c r="AE49" s="92">
        <v>13.16</v>
      </c>
      <c r="AF49" s="92">
        <v>26.96</v>
      </c>
    </row>
    <row r="50" spans="1:32">
      <c r="A50" s="90">
        <f t="shared" si="11"/>
        <v>46026</v>
      </c>
      <c r="B50" s="90">
        <f t="shared" si="12"/>
        <v>46027</v>
      </c>
      <c r="C50" s="80">
        <v>1.31</v>
      </c>
      <c r="D50" s="80">
        <v>2.3199999999999998</v>
      </c>
      <c r="E50" s="72">
        <v>354</v>
      </c>
      <c r="F50" s="80">
        <v>24.8</v>
      </c>
      <c r="G50" s="72">
        <v>105</v>
      </c>
      <c r="H50" s="72">
        <v>140</v>
      </c>
      <c r="I50" s="80">
        <v>22.48</v>
      </c>
      <c r="J50" s="80">
        <v>5.69</v>
      </c>
      <c r="K50" s="80">
        <v>1.25</v>
      </c>
      <c r="L50" s="80">
        <v>2</v>
      </c>
      <c r="M50" s="80">
        <v>16.2</v>
      </c>
      <c r="N50" s="97">
        <v>28.03</v>
      </c>
      <c r="O50" s="97">
        <v>47.45</v>
      </c>
      <c r="P50" s="97">
        <v>56.42</v>
      </c>
      <c r="Q50" s="92">
        <v>20.75</v>
      </c>
      <c r="R50" s="92">
        <v>5.63</v>
      </c>
      <c r="S50" s="92">
        <v>3.97</v>
      </c>
      <c r="T50" s="92">
        <v>65.819999999999993</v>
      </c>
      <c r="U50" s="92">
        <v>1.42</v>
      </c>
      <c r="V50" s="92">
        <v>0.46</v>
      </c>
      <c r="W50" s="99">
        <v>1309</v>
      </c>
      <c r="X50" s="92">
        <v>3.38</v>
      </c>
      <c r="Y50" s="92">
        <v>97.79</v>
      </c>
      <c r="Z50" s="92">
        <v>2.16</v>
      </c>
      <c r="AA50" s="92">
        <v>1.43</v>
      </c>
      <c r="AB50" s="92">
        <v>52.9</v>
      </c>
      <c r="AC50" s="92">
        <v>19.64</v>
      </c>
      <c r="AD50" s="100">
        <v>8.2100000000000009</v>
      </c>
      <c r="AE50" s="92">
        <v>12.08</v>
      </c>
      <c r="AF50" s="92">
        <v>27.69</v>
      </c>
    </row>
    <row r="51" spans="1:32">
      <c r="A51" s="90">
        <f t="shared" si="11"/>
        <v>46027</v>
      </c>
      <c r="B51" s="90">
        <f t="shared" si="12"/>
        <v>46028</v>
      </c>
      <c r="C51" s="80">
        <v>1.05</v>
      </c>
      <c r="D51" s="80">
        <v>2.02</v>
      </c>
      <c r="E51" s="72">
        <v>350</v>
      </c>
      <c r="F51" s="80">
        <v>24.8</v>
      </c>
      <c r="G51" s="72">
        <v>125</v>
      </c>
      <c r="H51" s="72">
        <v>160</v>
      </c>
      <c r="I51" s="80">
        <v>18.2</v>
      </c>
      <c r="J51" s="80">
        <v>6.2</v>
      </c>
      <c r="K51" s="80">
        <v>1.92</v>
      </c>
      <c r="L51" s="80">
        <v>1</v>
      </c>
      <c r="M51" s="80">
        <v>15.87</v>
      </c>
      <c r="N51" s="97">
        <v>24.83</v>
      </c>
      <c r="O51" s="97">
        <v>41.31</v>
      </c>
      <c r="P51" s="97">
        <v>54.14</v>
      </c>
      <c r="Q51" s="92">
        <v>21.29</v>
      </c>
      <c r="R51" s="92">
        <v>5.31</v>
      </c>
      <c r="S51" s="92">
        <v>3.92</v>
      </c>
      <c r="T51" s="92">
        <v>65.72</v>
      </c>
      <c r="U51" s="92">
        <v>1.44</v>
      </c>
      <c r="V51" s="92">
        <v>0.43</v>
      </c>
      <c r="W51" s="99">
        <v>1289</v>
      </c>
      <c r="X51" s="92">
        <v>2.96</v>
      </c>
      <c r="Y51" s="92">
        <v>96.09</v>
      </c>
      <c r="Z51" s="92">
        <v>2.31</v>
      </c>
      <c r="AA51" s="92">
        <v>1.36</v>
      </c>
      <c r="AB51" s="92">
        <v>52.33</v>
      </c>
      <c r="AC51" s="92">
        <v>21.63</v>
      </c>
      <c r="AD51" s="100">
        <v>7.44</v>
      </c>
      <c r="AE51" s="92">
        <v>11.94</v>
      </c>
      <c r="AF51" s="92">
        <v>26.6</v>
      </c>
    </row>
    <row r="52" spans="1:32">
      <c r="A52" s="90">
        <f t="shared" si="11"/>
        <v>46028</v>
      </c>
      <c r="B52" s="90">
        <f t="shared" si="12"/>
        <v>46029</v>
      </c>
      <c r="C52" s="80">
        <v>1.2</v>
      </c>
      <c r="D52" s="80">
        <v>2.3199999999999998</v>
      </c>
      <c r="E52" s="72">
        <v>323</v>
      </c>
      <c r="F52" s="80">
        <v>24.4</v>
      </c>
      <c r="G52" s="91">
        <v>95</v>
      </c>
      <c r="H52" s="72">
        <v>125</v>
      </c>
      <c r="I52" s="80">
        <v>27.2</v>
      </c>
      <c r="J52" s="80">
        <v>11.2</v>
      </c>
      <c r="K52" s="80">
        <v>1.93</v>
      </c>
      <c r="L52" s="80">
        <v>67</v>
      </c>
      <c r="M52" s="80">
        <v>14.26</v>
      </c>
      <c r="N52" s="97">
        <v>23.94</v>
      </c>
      <c r="O52" s="97">
        <v>39.97</v>
      </c>
      <c r="P52" s="97">
        <v>50.86</v>
      </c>
      <c r="Q52" s="92">
        <v>21.5275</v>
      </c>
      <c r="R52" s="92">
        <v>5.1066666666666665</v>
      </c>
      <c r="S52" s="92">
        <v>3.9075000000000002</v>
      </c>
      <c r="T52" s="92">
        <v>65.624166666666653</v>
      </c>
      <c r="U52" s="92">
        <v>1.4450000000000001</v>
      </c>
      <c r="V52" s="92">
        <v>0.50391666666666668</v>
      </c>
      <c r="W52" s="99">
        <v>1282.0833333333333</v>
      </c>
      <c r="X52" s="92">
        <v>3.2966666666666664</v>
      </c>
      <c r="Y52" s="92">
        <v>95.465299624114323</v>
      </c>
      <c r="Z52" s="92">
        <v>2.3906594411289981</v>
      </c>
      <c r="AA52" s="92">
        <v>1.313356866426348</v>
      </c>
      <c r="AB52" s="92">
        <v>50.188885833333302</v>
      </c>
      <c r="AC52" s="92">
        <v>23.921429527333359</v>
      </c>
      <c r="AD52" s="100">
        <v>6.9211766666666668</v>
      </c>
      <c r="AE52" s="92">
        <v>11.890522499999998</v>
      </c>
      <c r="AF52" s="92">
        <v>25.825385008333338</v>
      </c>
    </row>
    <row r="53" spans="1:32">
      <c r="A53" s="90">
        <f t="shared" si="11"/>
        <v>46029</v>
      </c>
      <c r="B53" s="90">
        <f t="shared" si="12"/>
        <v>46030</v>
      </c>
      <c r="C53" s="80">
        <v>1.67</v>
      </c>
      <c r="D53" s="80">
        <v>1.99</v>
      </c>
      <c r="E53" s="72">
        <v>341</v>
      </c>
      <c r="F53" s="80">
        <v>24.8</v>
      </c>
      <c r="G53" s="72">
        <v>130</v>
      </c>
      <c r="H53" s="72">
        <v>165</v>
      </c>
      <c r="I53" s="80">
        <v>27.64</v>
      </c>
      <c r="J53" s="80">
        <v>8.8000000000000007</v>
      </c>
      <c r="K53" s="80">
        <v>1.37</v>
      </c>
      <c r="L53" s="80">
        <v>1.5</v>
      </c>
      <c r="M53" s="80">
        <v>14.6</v>
      </c>
      <c r="N53" s="97">
        <v>25</v>
      </c>
      <c r="O53" s="97">
        <v>36.880000000000003</v>
      </c>
      <c r="P53" s="97">
        <v>57.88</v>
      </c>
      <c r="Q53" s="92">
        <v>21.206666666666667</v>
      </c>
      <c r="R53" s="92">
        <v>5.5683333333333342</v>
      </c>
      <c r="S53" s="92">
        <v>3.6791666666666671</v>
      </c>
      <c r="T53" s="92">
        <v>65.545833333333334</v>
      </c>
      <c r="U53" s="92">
        <v>1.4591666666666672</v>
      </c>
      <c r="V53" s="92">
        <v>0.52233333333333321</v>
      </c>
      <c r="W53" s="93">
        <v>1336.25</v>
      </c>
      <c r="X53" s="92">
        <v>3.2433333333333336</v>
      </c>
      <c r="Y53" s="92">
        <v>95.995401624573958</v>
      </c>
      <c r="Z53" s="100">
        <v>2.2978007084062164</v>
      </c>
      <c r="AA53" s="92">
        <v>1.5220747449844438</v>
      </c>
      <c r="AB53" s="92">
        <v>49.751125833333312</v>
      </c>
      <c r="AC53" s="101">
        <v>23.330884004666682</v>
      </c>
      <c r="AD53" s="101">
        <v>8.5309333333333317</v>
      </c>
      <c r="AE53" s="101">
        <v>11.195704166666667</v>
      </c>
      <c r="AF53" s="92">
        <v>26.884905291666666</v>
      </c>
    </row>
    <row r="54" spans="1:32">
      <c r="A54" s="90">
        <f t="shared" si="11"/>
        <v>46030</v>
      </c>
      <c r="B54" s="90">
        <f t="shared" si="12"/>
        <v>46031</v>
      </c>
      <c r="C54" s="80">
        <v>1.22</v>
      </c>
      <c r="D54" s="80">
        <v>2.29</v>
      </c>
      <c r="E54" s="72">
        <v>340</v>
      </c>
      <c r="F54" s="80">
        <v>24.4</v>
      </c>
      <c r="G54" s="72">
        <v>105</v>
      </c>
      <c r="H54" s="72">
        <v>140</v>
      </c>
      <c r="I54" s="80">
        <v>27.4</v>
      </c>
      <c r="J54" s="80">
        <v>6.82</v>
      </c>
      <c r="K54" s="80">
        <v>1.08</v>
      </c>
      <c r="L54" s="80">
        <v>65</v>
      </c>
      <c r="M54" s="80">
        <v>14.86</v>
      </c>
      <c r="N54" s="97">
        <v>23.99</v>
      </c>
      <c r="O54" s="97">
        <v>36.340000000000003</v>
      </c>
      <c r="P54" s="97">
        <v>55.13</v>
      </c>
      <c r="Q54" s="92">
        <v>21.15</v>
      </c>
      <c r="R54" s="92">
        <v>5.34</v>
      </c>
      <c r="S54" s="92">
        <v>3.78</v>
      </c>
      <c r="T54" s="92">
        <v>65.98</v>
      </c>
      <c r="U54" s="92">
        <v>1.42</v>
      </c>
      <c r="V54" s="92">
        <v>0.4</v>
      </c>
      <c r="W54" s="99">
        <v>1305</v>
      </c>
      <c r="X54" s="92">
        <v>3.61</v>
      </c>
      <c r="Y54" s="92">
        <v>97.12</v>
      </c>
      <c r="Z54" s="92">
        <v>2.3199999999999998</v>
      </c>
      <c r="AA54" s="92">
        <v>1.42</v>
      </c>
      <c r="AB54" s="92">
        <v>51.85</v>
      </c>
      <c r="AC54" s="92">
        <v>21.59</v>
      </c>
      <c r="AD54" s="100">
        <v>7.75</v>
      </c>
      <c r="AE54" s="92">
        <v>11.49</v>
      </c>
      <c r="AF54" s="92">
        <v>26.31</v>
      </c>
    </row>
    <row r="55" spans="1:32">
      <c r="A55" s="90">
        <f t="shared" si="11"/>
        <v>46031</v>
      </c>
      <c r="B55" s="90">
        <f t="shared" si="12"/>
        <v>46032</v>
      </c>
      <c r="C55" s="80">
        <v>1.36</v>
      </c>
      <c r="D55" s="92">
        <v>2.29</v>
      </c>
      <c r="E55" s="72">
        <v>323</v>
      </c>
      <c r="F55" s="80">
        <v>24</v>
      </c>
      <c r="G55" s="72">
        <v>110</v>
      </c>
      <c r="H55" s="72">
        <v>135</v>
      </c>
      <c r="I55" s="80">
        <v>27.92</v>
      </c>
      <c r="J55" s="80">
        <v>5.88</v>
      </c>
      <c r="K55" s="80">
        <v>0.86</v>
      </c>
      <c r="L55" s="80">
        <v>51</v>
      </c>
      <c r="M55" s="80">
        <v>15.82</v>
      </c>
      <c r="N55" s="97">
        <v>25.22</v>
      </c>
      <c r="O55" s="97">
        <v>34.82</v>
      </c>
      <c r="P55" s="97">
        <v>56.15</v>
      </c>
      <c r="Q55" s="92">
        <v>21.06</v>
      </c>
      <c r="R55" s="92">
        <v>5.2</v>
      </c>
      <c r="S55" s="92">
        <v>4.09</v>
      </c>
      <c r="T55" s="92">
        <v>65.989999999999995</v>
      </c>
      <c r="U55" s="92">
        <v>1.42</v>
      </c>
      <c r="V55" s="92">
        <v>0.27</v>
      </c>
      <c r="W55" s="99">
        <v>1294</v>
      </c>
      <c r="X55" s="92">
        <v>3.56</v>
      </c>
      <c r="Y55" s="92">
        <v>97.48</v>
      </c>
      <c r="Z55" s="92">
        <v>2.27</v>
      </c>
      <c r="AA55" s="92">
        <v>1.28</v>
      </c>
      <c r="AB55" s="92">
        <v>53.31</v>
      </c>
      <c r="AC55" s="92">
        <v>20.21</v>
      </c>
      <c r="AD55" s="100">
        <v>6.87</v>
      </c>
      <c r="AE55" s="92">
        <v>12.43</v>
      </c>
      <c r="AF55" s="92">
        <v>26.44</v>
      </c>
    </row>
    <row r="56" spans="1:32">
      <c r="A56" s="90">
        <f t="shared" si="11"/>
        <v>46032</v>
      </c>
      <c r="B56" s="90">
        <f t="shared" si="12"/>
        <v>46033</v>
      </c>
      <c r="C56" s="92">
        <v>1.53</v>
      </c>
      <c r="D56" s="92">
        <v>2.25</v>
      </c>
      <c r="E56" s="72">
        <v>351</v>
      </c>
      <c r="F56" s="80">
        <v>34</v>
      </c>
      <c r="G56" s="72">
        <v>95</v>
      </c>
      <c r="H56" s="72">
        <v>130</v>
      </c>
      <c r="I56" s="80">
        <v>28.68</v>
      </c>
      <c r="J56" s="80">
        <v>5.64</v>
      </c>
      <c r="K56" s="80">
        <v>1.1100000000000001</v>
      </c>
      <c r="L56" s="80">
        <v>66</v>
      </c>
      <c r="M56" s="80">
        <v>14.84</v>
      </c>
      <c r="N56" s="97">
        <v>23.42</v>
      </c>
      <c r="O56" s="97">
        <v>34.26</v>
      </c>
      <c r="P56" s="97">
        <v>50.21</v>
      </c>
      <c r="Q56" s="92">
        <v>21.29</v>
      </c>
      <c r="R56" s="92">
        <v>5.23</v>
      </c>
      <c r="S56" s="92">
        <v>4.13</v>
      </c>
      <c r="T56" s="92">
        <v>65.61</v>
      </c>
      <c r="U56" s="92">
        <v>1.4</v>
      </c>
      <c r="V56" s="92">
        <v>0.44</v>
      </c>
      <c r="W56" s="99">
        <v>1261</v>
      </c>
      <c r="X56" s="92">
        <v>3.85</v>
      </c>
      <c r="Y56" s="92">
        <v>95.89</v>
      </c>
      <c r="Z56" s="92">
        <v>2.2799999999999998</v>
      </c>
      <c r="AA56" s="92">
        <v>1.28</v>
      </c>
      <c r="AB56" s="92">
        <v>48.58</v>
      </c>
      <c r="AC56" s="92">
        <v>24.45</v>
      </c>
      <c r="AD56" s="100">
        <v>6.87</v>
      </c>
      <c r="AE56" s="92">
        <v>12.55</v>
      </c>
      <c r="AF56" s="92">
        <v>26.77</v>
      </c>
    </row>
    <row r="57" spans="1:32">
      <c r="A57" s="90">
        <f t="shared" si="11"/>
        <v>46033</v>
      </c>
      <c r="B57" s="90">
        <f t="shared" si="12"/>
        <v>46034</v>
      </c>
      <c r="C57" s="92">
        <v>1.74</v>
      </c>
      <c r="D57" s="92">
        <v>2.3199999999999998</v>
      </c>
      <c r="E57" s="72">
        <v>330</v>
      </c>
      <c r="F57" s="80">
        <v>24</v>
      </c>
      <c r="G57" s="72">
        <v>115</v>
      </c>
      <c r="H57" s="72">
        <v>150</v>
      </c>
      <c r="I57" s="80">
        <v>28.88</v>
      </c>
      <c r="J57" s="80">
        <v>5.62</v>
      </c>
      <c r="K57" s="80">
        <v>1.06</v>
      </c>
      <c r="L57" s="80">
        <v>88.5</v>
      </c>
      <c r="M57" s="80">
        <v>12.44</v>
      </c>
      <c r="N57" s="97">
        <v>24.91</v>
      </c>
      <c r="O57" s="97">
        <v>31.84</v>
      </c>
      <c r="P57" s="97">
        <v>52.98</v>
      </c>
      <c r="Q57" s="92">
        <v>20.845833333333331</v>
      </c>
      <c r="R57" s="92">
        <v>5.097500000000001</v>
      </c>
      <c r="S57" s="92">
        <v>4.3774999999999995</v>
      </c>
      <c r="T57" s="92">
        <v>65.696666666666673</v>
      </c>
      <c r="U57" s="92">
        <v>1.4366666666666665</v>
      </c>
      <c r="V57" s="92">
        <v>0.36808333333333332</v>
      </c>
      <c r="W57" s="93">
        <v>1257.9166666666667</v>
      </c>
      <c r="X57" s="92">
        <v>4.3066666666666666</v>
      </c>
      <c r="Y57" s="92">
        <v>97.768036198890741</v>
      </c>
      <c r="Z57" s="92">
        <v>2.2018080282858619</v>
      </c>
      <c r="AA57" s="92">
        <v>1.1664542474577346</v>
      </c>
      <c r="AB57" s="92">
        <v>50.943834999999986</v>
      </c>
      <c r="AC57" s="92">
        <v>21.395512542666683</v>
      </c>
      <c r="AD57" s="92">
        <v>6.1016450000000004</v>
      </c>
      <c r="AE57" s="92">
        <v>13.3207325</v>
      </c>
      <c r="AF57" s="92">
        <v>26.89651439166666</v>
      </c>
    </row>
    <row r="58" spans="1:32">
      <c r="A58" s="90">
        <f t="shared" si="11"/>
        <v>46034</v>
      </c>
      <c r="B58" s="90">
        <f t="shared" si="12"/>
        <v>46035</v>
      </c>
      <c r="C58" s="92">
        <v>1.26</v>
      </c>
      <c r="D58" s="92">
        <v>2.42</v>
      </c>
      <c r="E58" s="72">
        <v>354</v>
      </c>
      <c r="F58" s="80">
        <v>24</v>
      </c>
      <c r="G58" s="72">
        <v>115</v>
      </c>
      <c r="H58" s="72">
        <v>145</v>
      </c>
      <c r="I58" s="80">
        <v>29.88</v>
      </c>
      <c r="J58" s="80">
        <v>10.79</v>
      </c>
      <c r="K58" s="80">
        <v>2.46</v>
      </c>
      <c r="L58" s="80">
        <v>95</v>
      </c>
      <c r="M58" s="80">
        <v>12.05</v>
      </c>
      <c r="N58" s="97">
        <v>20.73</v>
      </c>
      <c r="O58" s="97">
        <v>38.49</v>
      </c>
      <c r="P58" s="97">
        <v>50.82</v>
      </c>
      <c r="Q58" s="92">
        <v>21.8</v>
      </c>
      <c r="R58" s="92">
        <v>4.9400000000000004</v>
      </c>
      <c r="S58" s="92">
        <v>3.78</v>
      </c>
      <c r="T58" s="92">
        <v>65.84</v>
      </c>
      <c r="U58" s="92">
        <v>1.29</v>
      </c>
      <c r="V58" s="92">
        <v>0.13</v>
      </c>
      <c r="W58" s="99">
        <v>1241</v>
      </c>
      <c r="X58" s="92">
        <v>4.3</v>
      </c>
      <c r="Y58" s="92">
        <v>94.98</v>
      </c>
      <c r="Z58" s="92">
        <v>2.5099999999999998</v>
      </c>
      <c r="AA58" s="92">
        <v>1.31</v>
      </c>
      <c r="AB58" s="92">
        <v>46.2</v>
      </c>
      <c r="AC58" s="92">
        <v>27.71</v>
      </c>
      <c r="AD58" s="100">
        <v>6.71</v>
      </c>
      <c r="AE58" s="92">
        <v>11.49</v>
      </c>
      <c r="AF58" s="92">
        <v>24.73</v>
      </c>
    </row>
    <row r="59" spans="1:32">
      <c r="A59" s="90">
        <f t="shared" si="11"/>
        <v>46035</v>
      </c>
      <c r="B59" s="90">
        <f t="shared" si="12"/>
        <v>46036</v>
      </c>
      <c r="C59" s="92">
        <v>1.42</v>
      </c>
      <c r="D59" s="92">
        <v>2.4300000000000002</v>
      </c>
      <c r="E59" s="72">
        <v>335</v>
      </c>
      <c r="F59" s="80">
        <v>24.8</v>
      </c>
      <c r="G59" s="72">
        <v>110</v>
      </c>
      <c r="H59" s="72">
        <v>140</v>
      </c>
      <c r="I59" s="80">
        <v>28.6</v>
      </c>
      <c r="J59" s="80">
        <v>9.1300000000000008</v>
      </c>
      <c r="K59" s="80">
        <v>1.66</v>
      </c>
      <c r="L59" s="80">
        <v>51</v>
      </c>
      <c r="M59" s="80">
        <v>14.51</v>
      </c>
      <c r="N59" s="97">
        <v>25.51</v>
      </c>
      <c r="O59" s="97">
        <v>35.380000000000003</v>
      </c>
      <c r="P59" s="97">
        <v>55.72</v>
      </c>
      <c r="Q59" s="92">
        <v>20.939333333333334</v>
      </c>
      <c r="R59" s="92">
        <v>5.3780000000000001</v>
      </c>
      <c r="S59" s="92">
        <v>4.04</v>
      </c>
      <c r="T59" s="92">
        <v>65.599999999999994</v>
      </c>
      <c r="U59" s="92">
        <v>1.5246666666666664</v>
      </c>
      <c r="V59" s="92">
        <v>0.60660000000000003</v>
      </c>
      <c r="W59" s="99">
        <v>1281.25</v>
      </c>
      <c r="X59" s="92">
        <v>3.8646666666666669</v>
      </c>
      <c r="Y59" s="92">
        <v>97.103249972204765</v>
      </c>
      <c r="Z59" s="92">
        <v>2.2261858865122561</v>
      </c>
      <c r="AA59" s="92">
        <v>1.3402480797217271</v>
      </c>
      <c r="AB59" s="92">
        <v>50.237125999999975</v>
      </c>
      <c r="AC59" s="92">
        <v>22.196998812266695</v>
      </c>
      <c r="AD59" s="100">
        <v>7.4160199999999978</v>
      </c>
      <c r="AE59" s="92">
        <v>12.293720000000002</v>
      </c>
      <c r="AF59" s="92">
        <v>27.009091266666665</v>
      </c>
    </row>
    <row r="60" spans="1:32">
      <c r="A60" s="90">
        <f t="shared" si="11"/>
        <v>46036</v>
      </c>
      <c r="B60" s="90">
        <f t="shared" si="12"/>
        <v>46037</v>
      </c>
      <c r="C60" s="92">
        <v>1.38</v>
      </c>
      <c r="D60" s="92">
        <v>2.54</v>
      </c>
      <c r="E60" s="72">
        <v>343</v>
      </c>
      <c r="F60" s="80">
        <v>24.4</v>
      </c>
      <c r="G60" s="72">
        <v>100</v>
      </c>
      <c r="H60" s="72">
        <v>135</v>
      </c>
      <c r="I60" s="80">
        <v>24.76</v>
      </c>
      <c r="J60" s="80">
        <v>5.7</v>
      </c>
      <c r="K60" s="80">
        <v>0.63</v>
      </c>
      <c r="L60" s="80">
        <v>77.5</v>
      </c>
      <c r="M60" s="80">
        <v>14.78</v>
      </c>
      <c r="N60" s="97">
        <v>23.41</v>
      </c>
      <c r="O60" s="97">
        <v>39.43</v>
      </c>
      <c r="P60" s="97">
        <v>56.1</v>
      </c>
      <c r="Q60" s="92">
        <v>20.903333333333332</v>
      </c>
      <c r="R60" s="92">
        <v>5.2499999999999991</v>
      </c>
      <c r="S60" s="92">
        <v>3.910833333333334</v>
      </c>
      <c r="T60" s="92">
        <v>65.648333333333326</v>
      </c>
      <c r="U60" s="92">
        <v>1.4758333333333331</v>
      </c>
      <c r="V60" s="92">
        <v>0.59466666666666668</v>
      </c>
      <c r="W60" s="93">
        <v>1267.0833333333333</v>
      </c>
      <c r="X60" s="92">
        <v>3.8183333333333338</v>
      </c>
      <c r="Y60" s="92">
        <v>97.633506830770997</v>
      </c>
      <c r="Z60" s="100">
        <v>2.2837619792969828</v>
      </c>
      <c r="AA60" s="92">
        <v>1.3444806803896012</v>
      </c>
      <c r="AB60" s="92">
        <v>51.940798333333326</v>
      </c>
      <c r="AC60" s="101">
        <v>20.808428404000008</v>
      </c>
      <c r="AD60" s="92">
        <v>7.295370000000001</v>
      </c>
      <c r="AE60" s="101">
        <v>11.900665833333335</v>
      </c>
      <c r="AF60" s="92">
        <v>26.446758641666666</v>
      </c>
    </row>
    <row r="61" spans="1:32">
      <c r="A61" s="90">
        <f t="shared" si="11"/>
        <v>46037</v>
      </c>
      <c r="B61" s="90">
        <f t="shared" si="12"/>
        <v>46038</v>
      </c>
      <c r="C61" s="80">
        <v>1.65</v>
      </c>
      <c r="D61" s="80">
        <v>2.7</v>
      </c>
      <c r="E61" s="72">
        <v>362</v>
      </c>
      <c r="F61" s="80">
        <v>24.4</v>
      </c>
      <c r="G61" s="72">
        <v>100</v>
      </c>
      <c r="H61" s="72">
        <v>135</v>
      </c>
      <c r="I61" s="80">
        <v>24.44</v>
      </c>
      <c r="J61" s="80">
        <v>6.48</v>
      </c>
      <c r="K61" s="80">
        <v>2.42</v>
      </c>
      <c r="L61" s="80">
        <v>73</v>
      </c>
      <c r="M61" s="80">
        <v>15.62</v>
      </c>
      <c r="N61" s="97">
        <v>27.13</v>
      </c>
      <c r="O61" s="97">
        <v>38.020000000000003</v>
      </c>
      <c r="P61" s="97">
        <v>54</v>
      </c>
      <c r="Q61" s="92">
        <v>20.96</v>
      </c>
      <c r="R61" s="92">
        <v>5.59</v>
      </c>
      <c r="S61" s="92">
        <v>3.87</v>
      </c>
      <c r="T61" s="92">
        <v>65.67</v>
      </c>
      <c r="U61" s="92">
        <v>1.46</v>
      </c>
      <c r="V61" s="92">
        <v>0.42</v>
      </c>
      <c r="W61" s="99">
        <v>1267</v>
      </c>
      <c r="X61" s="92">
        <v>4.17</v>
      </c>
      <c r="Y61" s="92">
        <v>96.86</v>
      </c>
      <c r="Z61" s="92">
        <v>2.2200000000000002</v>
      </c>
      <c r="AA61" s="92">
        <v>1.45</v>
      </c>
      <c r="AB61" s="92">
        <v>47.9</v>
      </c>
      <c r="AC61" s="92">
        <v>24.03</v>
      </c>
      <c r="AD61" s="100">
        <v>8.2799999999999994</v>
      </c>
      <c r="AE61" s="92">
        <v>11.78</v>
      </c>
      <c r="AF61" s="92">
        <v>27.38</v>
      </c>
    </row>
    <row r="62" spans="1:32">
      <c r="A62" s="90">
        <f t="shared" si="11"/>
        <v>46038</v>
      </c>
      <c r="B62" s="90">
        <f t="shared" si="12"/>
        <v>46039</v>
      </c>
      <c r="C62" s="92">
        <v>1.47</v>
      </c>
      <c r="D62" s="92">
        <v>2.29</v>
      </c>
      <c r="E62" s="72">
        <v>352</v>
      </c>
      <c r="F62" s="80">
        <v>24.4</v>
      </c>
      <c r="G62" s="72">
        <v>115</v>
      </c>
      <c r="H62" s="72">
        <v>140</v>
      </c>
      <c r="I62" s="80">
        <v>21.96</v>
      </c>
      <c r="J62" s="80">
        <v>7.13</v>
      </c>
      <c r="K62" s="80">
        <v>1.22</v>
      </c>
      <c r="L62" s="80">
        <v>7</v>
      </c>
      <c r="M62" s="80">
        <v>13.93</v>
      </c>
      <c r="N62" s="97">
        <v>23.48</v>
      </c>
      <c r="O62" s="97">
        <v>38.799999999999997</v>
      </c>
      <c r="P62" s="97">
        <v>57.52</v>
      </c>
      <c r="Q62" s="92">
        <v>21.15</v>
      </c>
      <c r="R62" s="92">
        <v>5.57</v>
      </c>
      <c r="S62" s="92">
        <v>4.21</v>
      </c>
      <c r="T62" s="92">
        <v>65.290000000000006</v>
      </c>
      <c r="U62" s="92">
        <v>1.49</v>
      </c>
      <c r="V62" s="92">
        <v>0.48</v>
      </c>
      <c r="W62" s="99">
        <v>1291</v>
      </c>
      <c r="X62" s="92">
        <v>3.45</v>
      </c>
      <c r="Y62" s="92">
        <v>95.3</v>
      </c>
      <c r="Z62" s="92">
        <v>2.16</v>
      </c>
      <c r="AA62" s="92">
        <v>1.33</v>
      </c>
      <c r="AB62" s="92">
        <v>47.51</v>
      </c>
      <c r="AC62" s="92">
        <v>24.86</v>
      </c>
      <c r="AD62" s="100">
        <v>7.65</v>
      </c>
      <c r="AE62" s="92">
        <v>12.8</v>
      </c>
      <c r="AF62" s="92">
        <v>28.18</v>
      </c>
    </row>
    <row r="63" spans="1:32">
      <c r="A63" s="90">
        <f t="shared" si="11"/>
        <v>46039</v>
      </c>
      <c r="B63" s="90">
        <f t="shared" si="12"/>
        <v>46040</v>
      </c>
      <c r="C63" s="92">
        <v>1.32</v>
      </c>
      <c r="D63" s="92">
        <v>2.39</v>
      </c>
      <c r="E63" s="72">
        <v>328</v>
      </c>
      <c r="F63" s="80">
        <v>24.8</v>
      </c>
      <c r="G63" s="72">
        <v>120</v>
      </c>
      <c r="H63" s="72">
        <v>155</v>
      </c>
      <c r="I63" s="80">
        <v>27.52</v>
      </c>
      <c r="J63" s="80">
        <v>11.76</v>
      </c>
      <c r="K63" s="80">
        <v>1.27</v>
      </c>
      <c r="L63" s="80">
        <v>30</v>
      </c>
      <c r="M63" s="80">
        <v>13.24</v>
      </c>
      <c r="N63" s="97">
        <v>23.06</v>
      </c>
      <c r="O63" s="97">
        <v>38.19</v>
      </c>
      <c r="P63" s="97">
        <v>50.93</v>
      </c>
      <c r="Q63" s="92">
        <v>20.98</v>
      </c>
      <c r="R63" s="92">
        <v>5.68</v>
      </c>
      <c r="S63" s="92">
        <v>3.66</v>
      </c>
      <c r="T63" s="92">
        <v>65.739999999999995</v>
      </c>
      <c r="U63" s="92">
        <v>1.41</v>
      </c>
      <c r="V63" s="92">
        <v>0.28000000000000003</v>
      </c>
      <c r="W63" s="99">
        <v>1274</v>
      </c>
      <c r="X63" s="92">
        <v>3.58</v>
      </c>
      <c r="Y63" s="92">
        <v>97.01</v>
      </c>
      <c r="Z63" s="92">
        <v>2.25</v>
      </c>
      <c r="AA63" s="92">
        <v>1.56</v>
      </c>
      <c r="AB63" s="92">
        <v>50.21</v>
      </c>
      <c r="AC63" s="92">
        <v>22.32</v>
      </c>
      <c r="AD63" s="100">
        <v>8.85</v>
      </c>
      <c r="AE63" s="92">
        <v>11.15</v>
      </c>
      <c r="AF63" s="92">
        <v>27.01</v>
      </c>
    </row>
    <row r="64" spans="1:32">
      <c r="A64" s="90">
        <f t="shared" si="11"/>
        <v>46040</v>
      </c>
      <c r="B64" s="90">
        <f t="shared" si="12"/>
        <v>46041</v>
      </c>
      <c r="C64" s="92">
        <v>1.34</v>
      </c>
      <c r="D64" s="92">
        <v>2.4300000000000002</v>
      </c>
      <c r="E64" s="72">
        <v>356</v>
      </c>
      <c r="F64" s="80">
        <v>24.8</v>
      </c>
      <c r="G64" s="72">
        <v>95</v>
      </c>
      <c r="H64" s="72">
        <v>125</v>
      </c>
      <c r="I64" s="80">
        <v>21.56</v>
      </c>
      <c r="J64" s="80">
        <v>6.86</v>
      </c>
      <c r="K64" s="80">
        <v>1.98</v>
      </c>
      <c r="L64" s="80">
        <v>32.5</v>
      </c>
      <c r="M64" s="80">
        <v>16.05</v>
      </c>
      <c r="N64" s="97">
        <v>23.7</v>
      </c>
      <c r="O64" s="97">
        <v>36.47</v>
      </c>
      <c r="P64" s="97">
        <v>57.7</v>
      </c>
      <c r="Q64" s="92">
        <v>20.799166666666668</v>
      </c>
      <c r="R64" s="92">
        <v>5.5650000000000004</v>
      </c>
      <c r="S64" s="92">
        <v>3.9683333333333333</v>
      </c>
      <c r="T64" s="92">
        <v>65.69583333333334</v>
      </c>
      <c r="U64" s="92">
        <v>1.4175000000000002</v>
      </c>
      <c r="V64" s="92">
        <v>0.58399999999999996</v>
      </c>
      <c r="W64" s="99">
        <v>1285.8333333333333</v>
      </c>
      <c r="X64" s="92">
        <v>3.3000000000000003</v>
      </c>
      <c r="Y64" s="92">
        <v>97.571749786646379</v>
      </c>
      <c r="Z64" s="92">
        <v>2.1864235342076612</v>
      </c>
      <c r="AA64" s="92">
        <v>1.4049161785805753</v>
      </c>
      <c r="AB64" s="92">
        <v>52.837785833333307</v>
      </c>
      <c r="AC64" s="92">
        <v>19.832782700666687</v>
      </c>
      <c r="AD64" s="100">
        <v>8.0328299999999988</v>
      </c>
      <c r="AE64" s="92">
        <v>12.075638333333332</v>
      </c>
      <c r="AF64" s="92">
        <v>27.320959650000002</v>
      </c>
    </row>
    <row r="65" spans="1:32">
      <c r="A65" s="90">
        <f t="shared" si="11"/>
        <v>46041</v>
      </c>
      <c r="B65" s="90">
        <f t="shared" si="12"/>
        <v>46042</v>
      </c>
      <c r="C65" s="92">
        <v>1.44</v>
      </c>
      <c r="D65" s="92">
        <v>2.41</v>
      </c>
      <c r="E65" s="93">
        <v>352</v>
      </c>
      <c r="F65" s="92">
        <v>24.8</v>
      </c>
      <c r="G65" s="93">
        <v>115</v>
      </c>
      <c r="H65" s="93">
        <v>150</v>
      </c>
      <c r="I65" s="92">
        <v>22.52</v>
      </c>
      <c r="J65" s="92">
        <v>6.36</v>
      </c>
      <c r="K65" s="92">
        <v>1.44</v>
      </c>
      <c r="L65" s="92">
        <v>1</v>
      </c>
      <c r="M65" s="92">
        <v>14.82</v>
      </c>
      <c r="N65" s="92">
        <v>25.8</v>
      </c>
      <c r="O65" s="92">
        <v>36.42</v>
      </c>
      <c r="P65" s="92">
        <v>53.48</v>
      </c>
      <c r="Q65" s="92">
        <v>20.81</v>
      </c>
      <c r="R65" s="92">
        <v>6.04</v>
      </c>
      <c r="S65" s="92">
        <v>3.79</v>
      </c>
      <c r="T65" s="92">
        <v>64.97</v>
      </c>
      <c r="U65" s="92">
        <v>1.77</v>
      </c>
      <c r="V65" s="92">
        <v>0.4</v>
      </c>
      <c r="W65" s="99">
        <v>1274</v>
      </c>
      <c r="X65" s="92">
        <v>2.98</v>
      </c>
      <c r="Y65" s="92">
        <v>95.77</v>
      </c>
      <c r="Z65" s="92">
        <v>2.12</v>
      </c>
      <c r="AA65" s="92">
        <v>1.61</v>
      </c>
      <c r="AB65" s="92">
        <v>48.2</v>
      </c>
      <c r="AC65" s="92">
        <v>23.35</v>
      </c>
      <c r="AD65" s="100">
        <v>9.59</v>
      </c>
      <c r="AE65" s="92">
        <v>11.52</v>
      </c>
      <c r="AF65" s="92">
        <v>28.76</v>
      </c>
    </row>
    <row r="66" spans="1:32">
      <c r="A66" s="90">
        <f t="shared" si="11"/>
        <v>46042</v>
      </c>
      <c r="B66" s="90">
        <f t="shared" si="12"/>
        <v>46043</v>
      </c>
      <c r="C66" s="92">
        <v>1.25</v>
      </c>
      <c r="D66" s="92">
        <v>2.4500000000000002</v>
      </c>
      <c r="E66" s="93">
        <v>334</v>
      </c>
      <c r="F66" s="92">
        <v>24.4</v>
      </c>
      <c r="G66" s="93">
        <v>130</v>
      </c>
      <c r="H66" s="93">
        <v>170</v>
      </c>
      <c r="I66" s="92">
        <v>22.12</v>
      </c>
      <c r="J66" s="92">
        <v>6.78</v>
      </c>
      <c r="K66" s="92">
        <v>1.64</v>
      </c>
      <c r="L66" s="92">
        <v>2.5</v>
      </c>
      <c r="M66" s="92">
        <v>15.48</v>
      </c>
      <c r="N66" s="92">
        <v>24.3</v>
      </c>
      <c r="O66" s="92">
        <v>34.950000000000003</v>
      </c>
      <c r="P66" s="92">
        <v>52.06</v>
      </c>
      <c r="Q66" s="92">
        <v>20.805000000000003</v>
      </c>
      <c r="R66" s="92">
        <v>5.7716666666666674</v>
      </c>
      <c r="S66" s="92">
        <v>3.6783333333333341</v>
      </c>
      <c r="T66" s="92">
        <v>65.1875</v>
      </c>
      <c r="U66" s="92">
        <v>1.6875000000000002</v>
      </c>
      <c r="V66" s="92">
        <v>0.6485833333333334</v>
      </c>
      <c r="W66" s="99">
        <v>1289.1666666666667</v>
      </c>
      <c r="X66" s="92">
        <v>3.5566666666666666</v>
      </c>
      <c r="Y66" s="92">
        <v>96.686922570133092</v>
      </c>
      <c r="Z66" s="92">
        <v>2.2057279158164227</v>
      </c>
      <c r="AA66" s="92">
        <v>1.5773701837111516</v>
      </c>
      <c r="AB66" s="92">
        <v>48.705439166666643</v>
      </c>
      <c r="AC66" s="92">
        <v>22.966966692666688</v>
      </c>
      <c r="AD66" s="100">
        <v>9.071176666666668</v>
      </c>
      <c r="AE66" s="92">
        <v>11.193168333333332</v>
      </c>
      <c r="AF66" s="92">
        <v>27.919123549999998</v>
      </c>
    </row>
    <row r="67" spans="1:32">
      <c r="A67" s="90">
        <f t="shared" si="11"/>
        <v>46043</v>
      </c>
      <c r="B67" s="90">
        <f t="shared" si="12"/>
        <v>46044</v>
      </c>
      <c r="C67" s="92">
        <v>1.63</v>
      </c>
      <c r="D67" s="92">
        <v>2.0499999999999998</v>
      </c>
      <c r="E67" s="93">
        <v>348</v>
      </c>
      <c r="F67" s="92">
        <v>24.8</v>
      </c>
      <c r="G67" s="93">
        <v>120</v>
      </c>
      <c r="H67" s="93">
        <v>160</v>
      </c>
      <c r="I67" s="92">
        <v>21.24</v>
      </c>
      <c r="J67" s="92">
        <v>5.19</v>
      </c>
      <c r="K67" s="92">
        <v>1.68</v>
      </c>
      <c r="L67" s="92">
        <v>82</v>
      </c>
      <c r="M67" s="92">
        <v>14.52</v>
      </c>
      <c r="N67" s="92">
        <v>26.09</v>
      </c>
      <c r="O67" s="92">
        <v>37.630000000000003</v>
      </c>
      <c r="P67" s="92">
        <v>53.46</v>
      </c>
      <c r="Q67" s="92">
        <v>19.754166666666666</v>
      </c>
      <c r="R67" s="92">
        <v>5.7158333333333333</v>
      </c>
      <c r="S67" s="92">
        <v>3.6666666666666665</v>
      </c>
      <c r="T67" s="92">
        <v>66.05083333333333</v>
      </c>
      <c r="U67" s="92">
        <v>1.6391666666666669</v>
      </c>
      <c r="V67" s="92">
        <v>0.73075000000000012</v>
      </c>
      <c r="W67" s="99">
        <v>1310</v>
      </c>
      <c r="X67" s="92">
        <v>4.7391666666666667</v>
      </c>
      <c r="Y67" s="92">
        <v>102.55440895730534</v>
      </c>
      <c r="Z67" s="92">
        <v>2.1070047518903388</v>
      </c>
      <c r="AA67" s="92">
        <v>1.5599941973263478</v>
      </c>
      <c r="AB67" s="92">
        <v>55.78631833333332</v>
      </c>
      <c r="AC67" s="92">
        <v>14.609259782666681</v>
      </c>
      <c r="AD67" s="100">
        <v>8.9429583333333351</v>
      </c>
      <c r="AE67" s="92">
        <v>11.157666666666666</v>
      </c>
      <c r="AF67" s="92">
        <v>27.599226250000005</v>
      </c>
    </row>
    <row r="68" spans="1:32">
      <c r="A68" s="90">
        <f t="shared" si="11"/>
        <v>46044</v>
      </c>
      <c r="B68" s="90">
        <f t="shared" si="12"/>
        <v>46045</v>
      </c>
      <c r="C68" s="94">
        <v>1.04</v>
      </c>
      <c r="D68" s="92">
        <v>2.39</v>
      </c>
      <c r="E68" s="72">
        <v>342</v>
      </c>
      <c r="F68" s="80">
        <v>24.8</v>
      </c>
      <c r="G68" s="72">
        <v>110</v>
      </c>
      <c r="H68" s="72">
        <v>155</v>
      </c>
      <c r="I68" s="80">
        <v>21.12</v>
      </c>
      <c r="J68" s="80">
        <v>3.09</v>
      </c>
      <c r="K68" s="80">
        <v>1.58</v>
      </c>
      <c r="L68" s="98">
        <v>33.5</v>
      </c>
      <c r="M68" s="80">
        <v>15.25</v>
      </c>
      <c r="N68" s="97">
        <v>24.22</v>
      </c>
      <c r="O68" s="97">
        <v>35.549999999999997</v>
      </c>
      <c r="P68" s="97">
        <v>55.44</v>
      </c>
      <c r="Q68" s="92">
        <v>20.78</v>
      </c>
      <c r="R68" s="92">
        <v>5.57</v>
      </c>
      <c r="S68" s="92">
        <v>4.08</v>
      </c>
      <c r="T68" s="92">
        <v>65.349999999999994</v>
      </c>
      <c r="U68" s="92">
        <v>1.59</v>
      </c>
      <c r="V68" s="92">
        <v>0.44</v>
      </c>
      <c r="W68" s="93">
        <v>1295</v>
      </c>
      <c r="X68" s="92">
        <v>3.47</v>
      </c>
      <c r="Y68" s="92">
        <v>97.05</v>
      </c>
      <c r="Z68" s="92">
        <v>2.16</v>
      </c>
      <c r="AA68" s="92">
        <v>1.37</v>
      </c>
      <c r="AB68" s="92">
        <v>50.64</v>
      </c>
      <c r="AC68" s="92">
        <v>21.45</v>
      </c>
      <c r="AD68" s="92">
        <v>7.87</v>
      </c>
      <c r="AE68" s="92">
        <v>12.4</v>
      </c>
      <c r="AF68" s="92">
        <v>27.88</v>
      </c>
    </row>
    <row r="69" spans="1:32">
      <c r="A69" s="90">
        <f t="shared" si="11"/>
        <v>46045</v>
      </c>
      <c r="B69" s="90">
        <f t="shared" si="12"/>
        <v>46046</v>
      </c>
      <c r="C69" s="92">
        <v>1.2</v>
      </c>
      <c r="D69" s="92">
        <v>2.31</v>
      </c>
      <c r="E69" s="93">
        <v>321</v>
      </c>
      <c r="F69" s="92">
        <v>24.4</v>
      </c>
      <c r="G69" s="93">
        <v>155</v>
      </c>
      <c r="H69" s="93">
        <v>215</v>
      </c>
      <c r="I69" s="92">
        <v>18.760000000000002</v>
      </c>
      <c r="J69" s="92">
        <v>6.18</v>
      </c>
      <c r="K69" s="92">
        <v>1.72</v>
      </c>
      <c r="L69" s="92">
        <v>3</v>
      </c>
      <c r="M69" s="92">
        <v>14.94</v>
      </c>
      <c r="N69" s="94">
        <v>25.36</v>
      </c>
      <c r="O69" s="94">
        <v>39.14</v>
      </c>
      <c r="P69" s="94">
        <v>57.5</v>
      </c>
      <c r="Q69" s="92">
        <v>21.57</v>
      </c>
      <c r="R69" s="92">
        <v>5.57</v>
      </c>
      <c r="S69" s="92">
        <v>3.57</v>
      </c>
      <c r="T69" s="92">
        <v>65.73</v>
      </c>
      <c r="U69" s="92">
        <v>1.39</v>
      </c>
      <c r="V69" s="92">
        <v>0.2</v>
      </c>
      <c r="W69" s="93">
        <v>1257</v>
      </c>
      <c r="X69" s="92">
        <v>3.37</v>
      </c>
      <c r="Y69" s="92">
        <v>94.87</v>
      </c>
      <c r="Z69" s="92">
        <v>2.37</v>
      </c>
      <c r="AA69" s="92">
        <v>1.57</v>
      </c>
      <c r="AB69" s="92">
        <v>47.36</v>
      </c>
      <c r="AC69" s="92">
        <v>26.18</v>
      </c>
      <c r="AD69" s="100">
        <v>8.7100000000000009</v>
      </c>
      <c r="AE69" s="92">
        <v>10.88</v>
      </c>
      <c r="AF69" s="92">
        <v>26.31</v>
      </c>
    </row>
    <row r="70" spans="1:32">
      <c r="A70" s="90">
        <f t="shared" si="11"/>
        <v>46046</v>
      </c>
      <c r="B70" s="90">
        <f t="shared" si="12"/>
        <v>46047</v>
      </c>
      <c r="C70" s="92">
        <v>1.35</v>
      </c>
      <c r="D70" s="92">
        <v>2.58</v>
      </c>
      <c r="E70" s="93">
        <v>337</v>
      </c>
      <c r="F70" s="92">
        <v>24.4</v>
      </c>
      <c r="G70" s="93">
        <v>115</v>
      </c>
      <c r="H70" s="93">
        <v>155</v>
      </c>
      <c r="I70" s="92">
        <v>16.649999999999999</v>
      </c>
      <c r="J70" s="92">
        <v>3.63</v>
      </c>
      <c r="K70" s="92">
        <v>0.65</v>
      </c>
      <c r="L70" s="92">
        <v>2.5</v>
      </c>
      <c r="M70" s="92">
        <v>15.02</v>
      </c>
      <c r="N70" s="94">
        <v>24.89</v>
      </c>
      <c r="O70" s="94">
        <v>38.619999999999997</v>
      </c>
      <c r="P70" s="94">
        <v>58.82</v>
      </c>
      <c r="Q70" s="92">
        <v>20.98</v>
      </c>
      <c r="R70" s="92">
        <v>5.54</v>
      </c>
      <c r="S70" s="92">
        <v>4.04</v>
      </c>
      <c r="T70" s="92">
        <v>65.83</v>
      </c>
      <c r="U70" s="92">
        <v>1.38</v>
      </c>
      <c r="V70" s="92">
        <v>0.21</v>
      </c>
      <c r="W70" s="93">
        <v>1328</v>
      </c>
      <c r="X70" s="92">
        <v>2.75</v>
      </c>
      <c r="Y70" s="92">
        <v>97.06</v>
      </c>
      <c r="Z70" s="100">
        <v>2.19</v>
      </c>
      <c r="AA70" s="92">
        <v>1.38</v>
      </c>
      <c r="AB70" s="92">
        <v>54.36</v>
      </c>
      <c r="AC70" s="101">
        <v>19.21</v>
      </c>
      <c r="AD70" s="101">
        <v>7.83</v>
      </c>
      <c r="AE70" s="101">
        <v>12.3</v>
      </c>
      <c r="AF70" s="92">
        <v>27.23</v>
      </c>
    </row>
    <row r="71" spans="1:32">
      <c r="A71" s="90">
        <f t="shared" si="11"/>
        <v>46047</v>
      </c>
      <c r="B71" s="90">
        <f t="shared" si="12"/>
        <v>46048</v>
      </c>
      <c r="C71" s="92">
        <v>1.31</v>
      </c>
      <c r="D71" s="92">
        <v>2.42</v>
      </c>
      <c r="E71" s="93">
        <v>340</v>
      </c>
      <c r="F71" s="92">
        <v>34.4</v>
      </c>
      <c r="G71" s="93">
        <v>115</v>
      </c>
      <c r="H71" s="93">
        <v>150</v>
      </c>
      <c r="I71" s="92">
        <v>17.64</v>
      </c>
      <c r="J71" s="92">
        <v>6.18</v>
      </c>
      <c r="K71" s="92">
        <v>2.06</v>
      </c>
      <c r="L71" s="92">
        <v>52</v>
      </c>
      <c r="M71" s="92">
        <v>14.95</v>
      </c>
      <c r="N71" s="94">
        <v>24.3</v>
      </c>
      <c r="O71" s="94">
        <v>36.96</v>
      </c>
      <c r="P71" s="94">
        <v>55.42</v>
      </c>
      <c r="Q71" s="92">
        <v>20.82</v>
      </c>
      <c r="R71" s="92">
        <v>5.57</v>
      </c>
      <c r="S71" s="92">
        <v>3.96</v>
      </c>
      <c r="T71" s="92">
        <v>65.84</v>
      </c>
      <c r="U71" s="92">
        <v>1.36</v>
      </c>
      <c r="V71" s="92">
        <v>0.28000000000000003</v>
      </c>
      <c r="W71" s="99">
        <v>1309</v>
      </c>
      <c r="X71" s="92">
        <v>3.72</v>
      </c>
      <c r="Y71" s="92">
        <v>97.68</v>
      </c>
      <c r="Z71" s="92">
        <v>2.19</v>
      </c>
      <c r="AA71" s="92">
        <v>1.42</v>
      </c>
      <c r="AB71" s="92">
        <v>51.54</v>
      </c>
      <c r="AC71" s="92">
        <v>20.88</v>
      </c>
      <c r="AD71" s="100">
        <v>8.06</v>
      </c>
      <c r="AE71" s="92">
        <v>12.04</v>
      </c>
      <c r="AF71" s="92">
        <v>27.18</v>
      </c>
    </row>
    <row r="72" spans="1:32">
      <c r="A72" s="90">
        <f t="shared" si="11"/>
        <v>46048</v>
      </c>
      <c r="B72" s="90">
        <f t="shared" si="12"/>
        <v>46049</v>
      </c>
      <c r="C72" s="92">
        <v>1.07</v>
      </c>
      <c r="D72" s="92">
        <v>2.2799999999999998</v>
      </c>
      <c r="E72" s="93">
        <v>348</v>
      </c>
      <c r="F72" s="92">
        <v>24.8</v>
      </c>
      <c r="G72" s="93">
        <v>140</v>
      </c>
      <c r="H72" s="93">
        <v>175</v>
      </c>
      <c r="I72" s="92">
        <v>22.6</v>
      </c>
      <c r="J72" s="92">
        <v>6.52</v>
      </c>
      <c r="K72" s="92">
        <v>3.94</v>
      </c>
      <c r="L72" s="92">
        <v>5</v>
      </c>
      <c r="M72" s="92">
        <v>15.2</v>
      </c>
      <c r="N72" s="94">
        <v>24.09</v>
      </c>
      <c r="O72" s="94">
        <v>37.590000000000003</v>
      </c>
      <c r="P72" s="94">
        <v>61.12</v>
      </c>
      <c r="Q72" s="92">
        <v>21.01</v>
      </c>
      <c r="R72" s="92">
        <v>5.38</v>
      </c>
      <c r="S72" s="92">
        <v>4.05</v>
      </c>
      <c r="T72" s="92">
        <v>65.59</v>
      </c>
      <c r="U72" s="92">
        <v>1.53</v>
      </c>
      <c r="V72" s="92">
        <v>0.39</v>
      </c>
      <c r="W72" s="99">
        <v>1290</v>
      </c>
      <c r="X72" s="92">
        <v>3.33</v>
      </c>
      <c r="Y72" s="92">
        <v>96.75</v>
      </c>
      <c r="Z72" s="92">
        <v>2.23</v>
      </c>
      <c r="AA72" s="92">
        <v>1.33</v>
      </c>
      <c r="AB72" s="92">
        <v>51.78</v>
      </c>
      <c r="AC72" s="92">
        <v>21.25</v>
      </c>
      <c r="AD72" s="100">
        <v>7.4</v>
      </c>
      <c r="AE72" s="92">
        <v>12.32</v>
      </c>
      <c r="AF72" s="92">
        <v>27.1</v>
      </c>
    </row>
    <row r="73" spans="1:32">
      <c r="A73" s="90">
        <f t="shared" si="11"/>
        <v>46049</v>
      </c>
      <c r="B73" s="90">
        <f t="shared" si="12"/>
        <v>46050</v>
      </c>
      <c r="C73" s="92">
        <v>1.59</v>
      </c>
      <c r="D73" s="92">
        <v>2.58</v>
      </c>
      <c r="E73" s="93">
        <v>350</v>
      </c>
      <c r="F73" s="92">
        <v>24.4</v>
      </c>
      <c r="G73" s="93">
        <v>120</v>
      </c>
      <c r="H73" s="93">
        <v>160</v>
      </c>
      <c r="I73" s="92">
        <v>14.52</v>
      </c>
      <c r="J73" s="92">
        <v>3.18</v>
      </c>
      <c r="K73" s="92">
        <v>0.84</v>
      </c>
      <c r="L73" s="92">
        <v>7.5</v>
      </c>
      <c r="M73" s="92">
        <v>16.72</v>
      </c>
      <c r="N73" s="94">
        <v>25.82</v>
      </c>
      <c r="O73" s="94">
        <v>44.04</v>
      </c>
      <c r="P73" s="94">
        <v>49.15</v>
      </c>
      <c r="Q73" s="92">
        <v>20.728181818181817</v>
      </c>
      <c r="R73" s="92">
        <v>5.2463636363636361</v>
      </c>
      <c r="S73" s="92">
        <v>3.9763636363636361</v>
      </c>
      <c r="T73" s="92">
        <v>66.001818181818166</v>
      </c>
      <c r="U73" s="92">
        <v>1.6318181818181818</v>
      </c>
      <c r="V73" s="92">
        <v>0.63454545454545452</v>
      </c>
      <c r="W73" s="99">
        <v>1289.5652173913043</v>
      </c>
      <c r="X73" s="92">
        <v>3.3963636363636369</v>
      </c>
      <c r="Y73" s="92">
        <v>98.81469261481179</v>
      </c>
      <c r="Z73" s="92">
        <v>2.2494297664357155</v>
      </c>
      <c r="AA73" s="92">
        <v>1.3256526657983374</v>
      </c>
      <c r="AB73" s="92">
        <v>56.359896363636331</v>
      </c>
      <c r="AC73" s="92">
        <v>16.971976001454568</v>
      </c>
      <c r="AD73" s="100">
        <v>7.1748563636363647</v>
      </c>
      <c r="AE73" s="92">
        <v>12.100074545454545</v>
      </c>
      <c r="AF73" s="92">
        <v>26.686506509090908</v>
      </c>
    </row>
    <row r="74" spans="1:32">
      <c r="A74" s="90">
        <f t="shared" si="11"/>
        <v>46050</v>
      </c>
      <c r="B74" s="90">
        <f t="shared" si="12"/>
        <v>46051</v>
      </c>
      <c r="C74" s="92">
        <v>1.42</v>
      </c>
      <c r="D74" s="92">
        <v>2.38</v>
      </c>
      <c r="E74" s="93">
        <v>347</v>
      </c>
      <c r="F74" s="92">
        <v>24.8</v>
      </c>
      <c r="G74" s="93">
        <v>120</v>
      </c>
      <c r="H74" s="93">
        <v>155</v>
      </c>
      <c r="I74" s="92">
        <v>19.600000000000001</v>
      </c>
      <c r="J74" s="92">
        <v>5.24</v>
      </c>
      <c r="K74" s="92">
        <v>1.32</v>
      </c>
      <c r="L74" s="92">
        <v>9</v>
      </c>
      <c r="M74" s="92">
        <v>16.440000000000001</v>
      </c>
      <c r="N74" s="94">
        <v>25.94</v>
      </c>
      <c r="O74" s="94">
        <v>39.97</v>
      </c>
      <c r="P74" s="94">
        <v>55.34</v>
      </c>
      <c r="Q74" s="92">
        <v>20.32</v>
      </c>
      <c r="R74" s="92">
        <v>5.4</v>
      </c>
      <c r="S74" s="92">
        <v>4.16</v>
      </c>
      <c r="T74" s="92">
        <v>65.900000000000006</v>
      </c>
      <c r="U74" s="92">
        <v>1.8</v>
      </c>
      <c r="V74" s="92">
        <v>0.52</v>
      </c>
      <c r="W74" s="99">
        <v>1305</v>
      </c>
      <c r="X74" s="92">
        <v>3.52</v>
      </c>
      <c r="Y74" s="92">
        <v>99.98</v>
      </c>
      <c r="Z74" s="92">
        <v>2.13</v>
      </c>
      <c r="AA74" s="92">
        <v>1.32</v>
      </c>
      <c r="AB74" s="92">
        <v>57.21</v>
      </c>
      <c r="AC74" s="92">
        <v>15.16</v>
      </c>
      <c r="AD74" s="100">
        <v>7.29</v>
      </c>
      <c r="AE74" s="92">
        <v>12.65</v>
      </c>
      <c r="AF74" s="92">
        <v>27.83</v>
      </c>
    </row>
    <row r="75" spans="1:32">
      <c r="A75" s="90">
        <f t="shared" si="11"/>
        <v>46051</v>
      </c>
      <c r="B75" s="90">
        <f t="shared" si="12"/>
        <v>46052</v>
      </c>
      <c r="C75" s="92">
        <v>1.1299999999999999</v>
      </c>
      <c r="D75" s="92">
        <v>2.48</v>
      </c>
      <c r="E75" s="93">
        <v>322</v>
      </c>
      <c r="F75" s="92">
        <v>24.4</v>
      </c>
      <c r="G75" s="93">
        <v>105</v>
      </c>
      <c r="H75" s="93">
        <v>145</v>
      </c>
      <c r="I75" s="92">
        <v>18.16</v>
      </c>
      <c r="J75" s="92">
        <v>3.78</v>
      </c>
      <c r="K75" s="92">
        <v>0.8</v>
      </c>
      <c r="L75" s="92">
        <v>7.5</v>
      </c>
      <c r="M75" s="92">
        <v>15.77</v>
      </c>
      <c r="N75" s="94">
        <v>25.64</v>
      </c>
      <c r="O75" s="94">
        <v>41.45</v>
      </c>
      <c r="P75" s="94">
        <v>51</v>
      </c>
      <c r="Q75" s="92">
        <v>21.03</v>
      </c>
      <c r="R75" s="92">
        <v>5.66</v>
      </c>
      <c r="S75" s="92">
        <v>3.83</v>
      </c>
      <c r="T75" s="92">
        <v>65.59</v>
      </c>
      <c r="U75" s="92">
        <v>1.51</v>
      </c>
      <c r="V75" s="92">
        <v>0.87</v>
      </c>
      <c r="W75" s="99">
        <v>1266</v>
      </c>
      <c r="X75" s="92">
        <v>3.16</v>
      </c>
      <c r="Y75" s="92">
        <v>96.4</v>
      </c>
      <c r="Z75" s="92">
        <v>2.2200000000000002</v>
      </c>
      <c r="AA75" s="92">
        <v>1.48</v>
      </c>
      <c r="AB75" s="92">
        <v>50.75</v>
      </c>
      <c r="AC75" s="92">
        <v>22.08</v>
      </c>
      <c r="AD75" s="100">
        <v>8.51</v>
      </c>
      <c r="AE75" s="92">
        <v>11.67</v>
      </c>
      <c r="AF75" s="92">
        <v>27.96</v>
      </c>
    </row>
    <row r="76" spans="1:32">
      <c r="A76" s="90">
        <f t="shared" si="11"/>
        <v>46052</v>
      </c>
      <c r="B76" s="90">
        <f t="shared" ref="B76:B77" si="13">A76+1</f>
        <v>46053</v>
      </c>
      <c r="C76" s="80">
        <v>1.26</v>
      </c>
      <c r="D76" s="80">
        <v>2.54</v>
      </c>
      <c r="E76" s="72">
        <v>346</v>
      </c>
      <c r="F76" s="80">
        <v>24.8</v>
      </c>
      <c r="G76" s="72">
        <v>115</v>
      </c>
      <c r="H76" s="72">
        <v>155</v>
      </c>
      <c r="I76" s="80">
        <v>13.76</v>
      </c>
      <c r="J76" s="80">
        <v>4.84</v>
      </c>
      <c r="K76" s="80">
        <v>1.1599999999999999</v>
      </c>
      <c r="L76" s="80">
        <v>1</v>
      </c>
      <c r="M76" s="80">
        <v>16.53</v>
      </c>
      <c r="N76" s="97">
        <v>27.98</v>
      </c>
      <c r="O76" s="97">
        <v>44.72</v>
      </c>
      <c r="P76" s="97">
        <v>57.86</v>
      </c>
      <c r="Q76" s="92">
        <v>21.09</v>
      </c>
      <c r="R76" s="92">
        <v>5.45</v>
      </c>
      <c r="S76" s="92">
        <v>4.09</v>
      </c>
      <c r="T76" s="92">
        <v>65.680000000000007</v>
      </c>
      <c r="U76" s="92">
        <v>1.6</v>
      </c>
      <c r="V76" s="92">
        <v>0.79</v>
      </c>
      <c r="W76" s="99">
        <v>1310</v>
      </c>
      <c r="X76" s="92">
        <v>2.8</v>
      </c>
      <c r="Y76" s="92">
        <v>96.39</v>
      </c>
      <c r="Z76" s="92">
        <v>2.21</v>
      </c>
      <c r="AA76" s="92">
        <v>1.33</v>
      </c>
      <c r="AB76" s="92">
        <v>53.17</v>
      </c>
      <c r="AC76" s="92">
        <v>20.420000000000002</v>
      </c>
      <c r="AD76" s="100">
        <v>7.51</v>
      </c>
      <c r="AE76" s="92">
        <v>12.46</v>
      </c>
      <c r="AF76" s="92">
        <v>27.91</v>
      </c>
    </row>
    <row r="77" spans="1:32">
      <c r="A77" s="90">
        <f t="shared" si="11"/>
        <v>46053</v>
      </c>
      <c r="B77" s="90">
        <f t="shared" si="13"/>
        <v>46054</v>
      </c>
      <c r="C77" s="80">
        <v>1.19</v>
      </c>
      <c r="D77" s="80">
        <v>2.27</v>
      </c>
      <c r="E77" s="72">
        <v>315</v>
      </c>
      <c r="F77" s="80">
        <v>24.8</v>
      </c>
      <c r="G77" s="72">
        <v>105</v>
      </c>
      <c r="H77" s="72">
        <v>140</v>
      </c>
      <c r="I77" s="80">
        <v>15.28</v>
      </c>
      <c r="J77" s="80">
        <v>3.72</v>
      </c>
      <c r="K77" s="80">
        <v>1.18</v>
      </c>
      <c r="L77" s="80">
        <v>20</v>
      </c>
      <c r="M77" s="80">
        <v>14.9</v>
      </c>
      <c r="N77" s="97">
        <v>25.89</v>
      </c>
      <c r="O77" s="97">
        <v>40.479999999999997</v>
      </c>
      <c r="P77" s="97">
        <v>55.41</v>
      </c>
      <c r="Q77" s="92">
        <v>21.12</v>
      </c>
      <c r="R77" s="92">
        <v>5.58</v>
      </c>
      <c r="S77" s="92">
        <v>3.88</v>
      </c>
      <c r="T77" s="92">
        <v>65.709999999999994</v>
      </c>
      <c r="U77" s="92">
        <v>1.43</v>
      </c>
      <c r="V77" s="92">
        <v>0.51</v>
      </c>
      <c r="W77" s="99">
        <v>1254</v>
      </c>
      <c r="X77" s="92">
        <v>3.13</v>
      </c>
      <c r="Y77" s="92">
        <v>96.31</v>
      </c>
      <c r="Z77" s="92">
        <v>2.2400000000000002</v>
      </c>
      <c r="AA77" s="92">
        <v>1.45</v>
      </c>
      <c r="AB77" s="92">
        <v>51.16</v>
      </c>
      <c r="AC77" s="92">
        <v>22.01</v>
      </c>
      <c r="AD77" s="100">
        <v>8.23</v>
      </c>
      <c r="AE77" s="92">
        <v>11.81</v>
      </c>
      <c r="AF77" s="92">
        <v>27.39</v>
      </c>
    </row>
    <row r="78" spans="1:32">
      <c r="A78" s="324" t="s">
        <v>31</v>
      </c>
      <c r="B78" s="324"/>
      <c r="C78" s="95">
        <f t="shared" ref="C78:AF78" si="14">MIN(C47:C76)</f>
        <v>1.04</v>
      </c>
      <c r="D78" s="95">
        <f t="shared" si="14"/>
        <v>1.99</v>
      </c>
      <c r="E78" s="96">
        <f t="shared" si="14"/>
        <v>321</v>
      </c>
      <c r="F78" s="95">
        <f t="shared" si="14"/>
        <v>24</v>
      </c>
      <c r="G78" s="96">
        <f t="shared" si="14"/>
        <v>95</v>
      </c>
      <c r="H78" s="96">
        <f t="shared" si="14"/>
        <v>125</v>
      </c>
      <c r="I78" s="95">
        <f t="shared" si="14"/>
        <v>13.76</v>
      </c>
      <c r="J78" s="95">
        <f t="shared" si="14"/>
        <v>3.09</v>
      </c>
      <c r="K78" s="95">
        <f t="shared" si="14"/>
        <v>0.63</v>
      </c>
      <c r="L78" s="95">
        <f t="shared" si="14"/>
        <v>1</v>
      </c>
      <c r="M78" s="95">
        <f t="shared" si="14"/>
        <v>12.05</v>
      </c>
      <c r="N78" s="95">
        <f t="shared" si="14"/>
        <v>20.73</v>
      </c>
      <c r="O78" s="95">
        <f>MIN(O47:O77)</f>
        <v>31.84</v>
      </c>
      <c r="P78" s="95">
        <f>MIN(P47:P77)</f>
        <v>49.15</v>
      </c>
      <c r="Q78" s="95">
        <f t="shared" si="14"/>
        <v>19.754166666666666</v>
      </c>
      <c r="R78" s="95">
        <f t="shared" si="14"/>
        <v>4.9400000000000004</v>
      </c>
      <c r="S78" s="95">
        <f t="shared" si="14"/>
        <v>3.57</v>
      </c>
      <c r="T78" s="95">
        <f t="shared" si="14"/>
        <v>64.97</v>
      </c>
      <c r="U78" s="95">
        <f t="shared" si="14"/>
        <v>1.29</v>
      </c>
      <c r="V78" s="95">
        <f t="shared" si="14"/>
        <v>0.13</v>
      </c>
      <c r="W78" s="96">
        <f t="shared" si="14"/>
        <v>1241</v>
      </c>
      <c r="X78" s="95">
        <f t="shared" si="14"/>
        <v>2.75</v>
      </c>
      <c r="Y78" s="95">
        <f t="shared" si="14"/>
        <v>94.87</v>
      </c>
      <c r="Z78" s="95">
        <f t="shared" si="14"/>
        <v>2.1070047518903388</v>
      </c>
      <c r="AA78" s="95">
        <f t="shared" si="14"/>
        <v>1.1664542474577346</v>
      </c>
      <c r="AB78" s="95">
        <f t="shared" si="14"/>
        <v>46.2</v>
      </c>
      <c r="AC78" s="95">
        <f t="shared" si="14"/>
        <v>14.609259782666681</v>
      </c>
      <c r="AD78" s="95">
        <f t="shared" si="14"/>
        <v>6.1016450000000004</v>
      </c>
      <c r="AE78" s="95">
        <f t="shared" si="14"/>
        <v>10.88</v>
      </c>
      <c r="AF78" s="95">
        <f t="shared" si="14"/>
        <v>24.73</v>
      </c>
    </row>
    <row r="79" spans="1:32">
      <c r="A79" s="324" t="s">
        <v>33</v>
      </c>
      <c r="B79" s="324"/>
      <c r="C79" s="95">
        <f t="shared" ref="C79:AF79" si="15">MAX(C47:C76)</f>
        <v>2.11</v>
      </c>
      <c r="D79" s="95">
        <f t="shared" si="15"/>
        <v>2.7</v>
      </c>
      <c r="E79" s="96">
        <f t="shared" si="15"/>
        <v>362</v>
      </c>
      <c r="F79" s="95">
        <f t="shared" si="15"/>
        <v>34.4</v>
      </c>
      <c r="G79" s="96">
        <f t="shared" si="15"/>
        <v>155</v>
      </c>
      <c r="H79" s="96">
        <f t="shared" si="15"/>
        <v>215</v>
      </c>
      <c r="I79" s="95">
        <f t="shared" si="15"/>
        <v>29.88</v>
      </c>
      <c r="J79" s="95">
        <f t="shared" si="15"/>
        <v>11.76</v>
      </c>
      <c r="K79" s="95">
        <f t="shared" si="15"/>
        <v>3.94</v>
      </c>
      <c r="L79" s="95">
        <f t="shared" si="15"/>
        <v>95</v>
      </c>
      <c r="M79" s="95">
        <f t="shared" si="15"/>
        <v>16.72</v>
      </c>
      <c r="N79" s="95">
        <f t="shared" si="15"/>
        <v>28.03</v>
      </c>
      <c r="O79" s="95">
        <f>MAX(O47:O77)</f>
        <v>47.45</v>
      </c>
      <c r="P79" s="95">
        <f>MAX(P47:P77)</f>
        <v>61.12</v>
      </c>
      <c r="Q79" s="95">
        <f t="shared" si="15"/>
        <v>21.8</v>
      </c>
      <c r="R79" s="95">
        <f t="shared" si="15"/>
        <v>6.04</v>
      </c>
      <c r="S79" s="95">
        <f t="shared" si="15"/>
        <v>4.3774999999999995</v>
      </c>
      <c r="T79" s="95">
        <f t="shared" si="15"/>
        <v>66.14</v>
      </c>
      <c r="U79" s="95">
        <f t="shared" si="15"/>
        <v>1.8</v>
      </c>
      <c r="V79" s="95">
        <f t="shared" si="15"/>
        <v>0.87</v>
      </c>
      <c r="W79" s="96">
        <f t="shared" si="15"/>
        <v>1336.25</v>
      </c>
      <c r="X79" s="95">
        <f t="shared" si="15"/>
        <v>4.7391666666666667</v>
      </c>
      <c r="Y79" s="95">
        <f t="shared" si="15"/>
        <v>102.55440895730534</v>
      </c>
      <c r="Z79" s="95">
        <f t="shared" si="15"/>
        <v>2.5099999999999998</v>
      </c>
      <c r="AA79" s="95">
        <f t="shared" si="15"/>
        <v>1.61</v>
      </c>
      <c r="AB79" s="95">
        <f t="shared" si="15"/>
        <v>57.21</v>
      </c>
      <c r="AC79" s="95">
        <f t="shared" si="15"/>
        <v>27.71</v>
      </c>
      <c r="AD79" s="95">
        <f t="shared" si="15"/>
        <v>9.59</v>
      </c>
      <c r="AE79" s="95">
        <f t="shared" si="15"/>
        <v>13.3207325</v>
      </c>
      <c r="AF79" s="95">
        <f t="shared" si="15"/>
        <v>28.76</v>
      </c>
    </row>
    <row r="80" spans="1:32">
      <c r="A80" s="324" t="s">
        <v>36</v>
      </c>
      <c r="B80" s="324"/>
      <c r="C80" s="95">
        <f t="shared" ref="C80:AF80" si="16">AVERAGE(C47:C76)</f>
        <v>1.3770000000000002</v>
      </c>
      <c r="D80" s="95">
        <f t="shared" si="16"/>
        <v>2.3426666666666671</v>
      </c>
      <c r="E80" s="96">
        <f t="shared" si="16"/>
        <v>342.63333333333333</v>
      </c>
      <c r="F80" s="95">
        <f t="shared" si="16"/>
        <v>25.21333333333332</v>
      </c>
      <c r="G80" s="96">
        <f t="shared" si="16"/>
        <v>114.5</v>
      </c>
      <c r="H80" s="96">
        <f t="shared" si="16"/>
        <v>149.83333333333334</v>
      </c>
      <c r="I80" s="95">
        <f t="shared" si="16"/>
        <v>22.792333333333328</v>
      </c>
      <c r="J80" s="95">
        <f t="shared" si="16"/>
        <v>6.3656666666666686</v>
      </c>
      <c r="K80" s="95">
        <f t="shared" si="16"/>
        <v>1.4639999999999997</v>
      </c>
      <c r="L80" s="95">
        <f t="shared" si="16"/>
        <v>34.049999999999997</v>
      </c>
      <c r="M80" s="95">
        <f t="shared" si="16"/>
        <v>15.015666666666668</v>
      </c>
      <c r="N80" s="95">
        <f t="shared" si="16"/>
        <v>24.950666666666674</v>
      </c>
      <c r="O80" s="95">
        <f>AVERAGE(O47:O77)</f>
        <v>38.795483870967743</v>
      </c>
      <c r="P80" s="95">
        <f>AVERAGE(P47:P77)</f>
        <v>54.516451612903225</v>
      </c>
      <c r="Q80" s="95">
        <f t="shared" si="16"/>
        <v>20.997972727272728</v>
      </c>
      <c r="R80" s="95">
        <f t="shared" si="16"/>
        <v>5.4399787878787871</v>
      </c>
      <c r="S80" s="95">
        <f t="shared" si="16"/>
        <v>3.9511565656565653</v>
      </c>
      <c r="T80" s="95">
        <f t="shared" si="16"/>
        <v>65.70969949494949</v>
      </c>
      <c r="U80" s="95">
        <f t="shared" si="16"/>
        <v>1.4872439393939394</v>
      </c>
      <c r="V80" s="95">
        <f t="shared" si="16"/>
        <v>0.44711595959595957</v>
      </c>
      <c r="W80" s="96">
        <f t="shared" si="16"/>
        <v>1286.7382850241545</v>
      </c>
      <c r="X80" s="95">
        <f t="shared" si="16"/>
        <v>3.5200621212121206</v>
      </c>
      <c r="Y80" s="95">
        <f t="shared" si="16"/>
        <v>97.015108939315041</v>
      </c>
      <c r="Z80" s="95">
        <f t="shared" si="16"/>
        <v>2.2409600670660144</v>
      </c>
      <c r="AA80" s="95">
        <f t="shared" si="16"/>
        <v>1.3884849281465421</v>
      </c>
      <c r="AB80" s="95">
        <f t="shared" si="16"/>
        <v>51.344040356565657</v>
      </c>
      <c r="AC80" s="95">
        <f t="shared" si="16"/>
        <v>21.531141282279602</v>
      </c>
      <c r="AD80" s="95">
        <f t="shared" si="16"/>
        <v>7.7322322121212137</v>
      </c>
      <c r="AE80" s="95">
        <f t="shared" si="16"/>
        <v>12.021263095959597</v>
      </c>
      <c r="AF80" s="95">
        <f t="shared" si="16"/>
        <v>27.067949018636362</v>
      </c>
    </row>
    <row r="81" spans="1:32">
      <c r="A81" s="324" t="s">
        <v>130</v>
      </c>
      <c r="B81" s="324"/>
      <c r="C81" s="95">
        <f t="shared" ref="C81:AF81" si="17">STDEV(C47:C76)</f>
        <v>0.22888259300197858</v>
      </c>
      <c r="D81" s="95">
        <f t="shared" si="17"/>
        <v>0.17252552701343757</v>
      </c>
      <c r="E81" s="96">
        <f t="shared" si="17"/>
        <v>11.238736379250957</v>
      </c>
      <c r="F81" s="95">
        <f t="shared" si="17"/>
        <v>2.4578843346054446</v>
      </c>
      <c r="G81" s="96">
        <f t="shared" si="17"/>
        <v>13.021864901666019</v>
      </c>
      <c r="H81" s="96">
        <f t="shared" si="17"/>
        <v>17.443669602334278</v>
      </c>
      <c r="I81" s="95">
        <f t="shared" si="17"/>
        <v>4.4564526509192515</v>
      </c>
      <c r="J81" s="95">
        <f t="shared" si="17"/>
        <v>2.1350453170242272</v>
      </c>
      <c r="K81" s="95">
        <f t="shared" si="17"/>
        <v>0.68117342973673822</v>
      </c>
      <c r="L81" s="95">
        <f t="shared" si="17"/>
        <v>31.26977994695573</v>
      </c>
      <c r="M81" s="95">
        <f t="shared" si="17"/>
        <v>1.0923327879086255</v>
      </c>
      <c r="N81" s="95">
        <f t="shared" si="17"/>
        <v>1.5488281072304722</v>
      </c>
      <c r="O81" s="95">
        <f>STDEV(O47:O77)</f>
        <v>3.4207775321893088</v>
      </c>
      <c r="P81" s="95">
        <f>STDEV(P47:P77)</f>
        <v>2.8850228749955025</v>
      </c>
      <c r="Q81" s="95">
        <f t="shared" si="17"/>
        <v>0.37370840385570364</v>
      </c>
      <c r="R81" s="95">
        <f t="shared" si="17"/>
        <v>0.23481743744617073</v>
      </c>
      <c r="S81" s="95">
        <f t="shared" si="17"/>
        <v>0.19738102491406392</v>
      </c>
      <c r="T81" s="95">
        <f t="shared" si="17"/>
        <v>0.26258844544843662</v>
      </c>
      <c r="U81" s="95">
        <f t="shared" si="17"/>
        <v>0.12124644696505434</v>
      </c>
      <c r="V81" s="95">
        <f t="shared" si="17"/>
        <v>0.18090013054239221</v>
      </c>
      <c r="W81" s="96">
        <f t="shared" si="17"/>
        <v>21.670648792829528</v>
      </c>
      <c r="X81" s="95">
        <f t="shared" si="17"/>
        <v>0.44505955416113546</v>
      </c>
      <c r="Y81" s="95">
        <f t="shared" si="17"/>
        <v>1.5081506058666727</v>
      </c>
      <c r="Z81" s="95">
        <f t="shared" si="17"/>
        <v>8.5500105757778222E-2</v>
      </c>
      <c r="AA81" s="95">
        <f t="shared" si="17"/>
        <v>0.11154675764384797</v>
      </c>
      <c r="AB81" s="95">
        <f t="shared" si="17"/>
        <v>2.7070356036425087</v>
      </c>
      <c r="AC81" s="95">
        <f t="shared" si="17"/>
        <v>2.8277532627251225</v>
      </c>
      <c r="AD81" s="95">
        <f t="shared" si="17"/>
        <v>0.8261455959327636</v>
      </c>
      <c r="AE81" s="95">
        <f t="shared" si="17"/>
        <v>0.59688055293106579</v>
      </c>
      <c r="AF81" s="95">
        <f t="shared" si="17"/>
        <v>0.79552144001063985</v>
      </c>
    </row>
    <row r="83" spans="1:32">
      <c r="A83" s="325" t="s">
        <v>0</v>
      </c>
      <c r="B83" s="325"/>
      <c r="C83" s="325"/>
      <c r="D83" s="325"/>
      <c r="E83" s="325"/>
      <c r="F83" s="325"/>
      <c r="G83" s="325"/>
      <c r="H83" s="325"/>
      <c r="I83" s="325"/>
      <c r="J83" s="325"/>
      <c r="K83" s="325"/>
      <c r="L83" s="325"/>
      <c r="M83" s="325"/>
      <c r="N83" s="325"/>
      <c r="O83" s="325"/>
      <c r="P83" s="325"/>
      <c r="Q83" s="325"/>
      <c r="R83" s="325"/>
      <c r="S83" s="325"/>
      <c r="T83" s="325"/>
      <c r="U83" s="325"/>
      <c r="V83" s="325"/>
      <c r="W83" s="325"/>
      <c r="X83" s="325"/>
      <c r="Y83" s="325"/>
      <c r="Z83" s="325"/>
      <c r="AA83" s="325"/>
      <c r="AB83" s="325"/>
      <c r="AC83" s="325"/>
      <c r="AD83" s="325"/>
      <c r="AE83" s="325"/>
      <c r="AF83" s="325"/>
    </row>
    <row r="84" spans="1:32">
      <c r="A84" s="325" t="s">
        <v>106</v>
      </c>
      <c r="B84" s="325"/>
      <c r="C84" s="325"/>
      <c r="D84" s="325"/>
      <c r="E84" s="325"/>
      <c r="F84" s="325"/>
      <c r="G84" s="325"/>
      <c r="H84" s="325"/>
      <c r="I84" s="325"/>
      <c r="J84" s="325"/>
      <c r="K84" s="325"/>
      <c r="L84" s="325"/>
      <c r="M84" s="325"/>
      <c r="N84" s="325"/>
      <c r="O84" s="325"/>
      <c r="P84" s="325"/>
      <c r="Q84" s="325"/>
      <c r="R84" s="325"/>
      <c r="S84" s="325"/>
      <c r="T84" s="325"/>
      <c r="U84" s="325"/>
      <c r="V84" s="325"/>
      <c r="W84" s="325"/>
      <c r="X84" s="325"/>
      <c r="Y84" s="325"/>
      <c r="Z84" s="325"/>
      <c r="AA84" s="325"/>
      <c r="AB84" s="325"/>
      <c r="AC84" s="325" t="s">
        <v>107</v>
      </c>
      <c r="AD84" s="325"/>
      <c r="AE84" s="326">
        <v>46054</v>
      </c>
      <c r="AF84" s="326"/>
    </row>
    <row r="85" spans="1:32">
      <c r="A85" s="327"/>
      <c r="B85" s="327"/>
      <c r="C85" s="328" t="s">
        <v>108</v>
      </c>
      <c r="D85" s="328"/>
      <c r="E85" s="328"/>
      <c r="F85" s="328"/>
      <c r="G85" s="328"/>
      <c r="H85" s="328"/>
      <c r="I85" s="328"/>
      <c r="J85" s="328"/>
      <c r="K85" s="328"/>
      <c r="L85" s="328"/>
      <c r="M85" s="328"/>
      <c r="N85" s="328"/>
      <c r="O85" s="328"/>
      <c r="P85" s="328"/>
      <c r="Q85" s="329" t="s">
        <v>109</v>
      </c>
      <c r="R85" s="329"/>
      <c r="S85" s="329"/>
      <c r="T85" s="329"/>
      <c r="U85" s="329"/>
      <c r="V85" s="329"/>
      <c r="W85" s="329"/>
      <c r="X85" s="329"/>
      <c r="Y85" s="329"/>
      <c r="Z85" s="329"/>
      <c r="AA85" s="329"/>
      <c r="AB85" s="329"/>
      <c r="AC85" s="329"/>
      <c r="AD85" s="329"/>
      <c r="AE85" s="329"/>
      <c r="AF85" s="329"/>
    </row>
    <row r="86" spans="1:32" ht="38.25">
      <c r="A86" s="5" t="s">
        <v>110</v>
      </c>
      <c r="B86" s="5" t="s">
        <v>111</v>
      </c>
      <c r="C86" s="64" t="s">
        <v>83</v>
      </c>
      <c r="D86" s="64" t="s">
        <v>81</v>
      </c>
      <c r="E86" s="89" t="s">
        <v>112</v>
      </c>
      <c r="F86" s="64" t="s">
        <v>113</v>
      </c>
      <c r="G86" s="89" t="s">
        <v>114</v>
      </c>
      <c r="H86" s="89" t="s">
        <v>115</v>
      </c>
      <c r="I86" s="64" t="s">
        <v>116</v>
      </c>
      <c r="J86" s="64" t="s">
        <v>117</v>
      </c>
      <c r="K86" s="64" t="s">
        <v>118</v>
      </c>
      <c r="L86" s="64" t="s">
        <v>119</v>
      </c>
      <c r="M86" s="64" t="s">
        <v>9</v>
      </c>
      <c r="N86" s="64" t="s">
        <v>120</v>
      </c>
      <c r="O86" s="64" t="s">
        <v>121</v>
      </c>
      <c r="P86" s="64" t="s">
        <v>122</v>
      </c>
      <c r="Q86" s="64" t="s">
        <v>74</v>
      </c>
      <c r="R86" s="64" t="s">
        <v>75</v>
      </c>
      <c r="S86" s="64" t="s">
        <v>76</v>
      </c>
      <c r="T86" s="64" t="s">
        <v>77</v>
      </c>
      <c r="U86" s="64" t="s">
        <v>78</v>
      </c>
      <c r="V86" s="64" t="s">
        <v>81</v>
      </c>
      <c r="W86" s="89" t="s">
        <v>123</v>
      </c>
      <c r="X86" s="64" t="s">
        <v>100</v>
      </c>
      <c r="Y86" s="64" t="s">
        <v>87</v>
      </c>
      <c r="Z86" s="64" t="s">
        <v>88</v>
      </c>
      <c r="AA86" s="64" t="s">
        <v>89</v>
      </c>
      <c r="AB86" s="64" t="s">
        <v>101</v>
      </c>
      <c r="AC86" s="64" t="s">
        <v>102</v>
      </c>
      <c r="AD86" s="64" t="s">
        <v>103</v>
      </c>
      <c r="AE86" s="64" t="s">
        <v>104</v>
      </c>
      <c r="AF86" s="64" t="s">
        <v>105</v>
      </c>
    </row>
    <row r="87" spans="1:32">
      <c r="A87" s="322" t="s">
        <v>124</v>
      </c>
      <c r="B87" s="323"/>
      <c r="C87" s="64" t="s">
        <v>53</v>
      </c>
      <c r="D87" s="64" t="s">
        <v>53</v>
      </c>
      <c r="E87" s="64" t="s">
        <v>125</v>
      </c>
      <c r="F87" s="64" t="s">
        <v>53</v>
      </c>
      <c r="G87" s="64" t="s">
        <v>126</v>
      </c>
      <c r="H87" s="64" t="s">
        <v>126</v>
      </c>
      <c r="I87" s="64" t="s">
        <v>53</v>
      </c>
      <c r="J87" s="64" t="s">
        <v>53</v>
      </c>
      <c r="K87" s="64" t="s">
        <v>53</v>
      </c>
      <c r="L87" s="64" t="s">
        <v>127</v>
      </c>
      <c r="M87" s="64" t="s">
        <v>128</v>
      </c>
      <c r="N87" s="64" t="s">
        <v>128</v>
      </c>
      <c r="O87" s="64" t="s">
        <v>128</v>
      </c>
      <c r="P87" s="64" t="s">
        <v>128</v>
      </c>
      <c r="Q87" s="64" t="s">
        <v>53</v>
      </c>
      <c r="R87" s="64" t="s">
        <v>53</v>
      </c>
      <c r="S87" s="64" t="s">
        <v>53</v>
      </c>
      <c r="T87" s="64" t="s">
        <v>53</v>
      </c>
      <c r="U87" s="64" t="s">
        <v>53</v>
      </c>
      <c r="V87" s="64" t="s">
        <v>53</v>
      </c>
      <c r="W87" s="64" t="s">
        <v>129</v>
      </c>
      <c r="X87" s="64" t="s">
        <v>53</v>
      </c>
      <c r="Y87" s="64" t="s">
        <v>53</v>
      </c>
      <c r="Z87" s="64" t="s">
        <v>53</v>
      </c>
      <c r="AA87" s="64" t="s">
        <v>53</v>
      </c>
      <c r="AB87" s="64" t="s">
        <v>53</v>
      </c>
      <c r="AC87" s="64" t="s">
        <v>53</v>
      </c>
      <c r="AD87" s="64" t="s">
        <v>53</v>
      </c>
      <c r="AE87" s="64" t="s">
        <v>53</v>
      </c>
      <c r="AF87" s="64" t="s">
        <v>53</v>
      </c>
    </row>
    <row r="88" spans="1:32">
      <c r="A88" s="90">
        <f>AE84+0</f>
        <v>46054</v>
      </c>
      <c r="B88" s="90">
        <f>A88+1</f>
        <v>46055</v>
      </c>
      <c r="C88" s="80">
        <v>1.54</v>
      </c>
      <c r="D88" s="80">
        <v>2.58</v>
      </c>
      <c r="E88" s="72">
        <v>319</v>
      </c>
      <c r="F88" s="80">
        <v>24.4</v>
      </c>
      <c r="G88" s="72">
        <v>115</v>
      </c>
      <c r="H88" s="72">
        <v>150</v>
      </c>
      <c r="I88" s="80">
        <v>18.559999999999999</v>
      </c>
      <c r="J88" s="80">
        <v>3.47</v>
      </c>
      <c r="K88" s="80">
        <v>0.64</v>
      </c>
      <c r="L88" s="80">
        <v>30</v>
      </c>
      <c r="M88" s="80">
        <v>15.51</v>
      </c>
      <c r="N88" s="97">
        <v>25.66</v>
      </c>
      <c r="O88" s="97">
        <v>38.26</v>
      </c>
      <c r="P88" s="97">
        <v>52.2</v>
      </c>
      <c r="Q88" s="92">
        <v>20.85</v>
      </c>
      <c r="R88" s="92">
        <v>5.38</v>
      </c>
      <c r="S88" s="92">
        <v>4.22</v>
      </c>
      <c r="T88" s="92">
        <v>65.650000000000006</v>
      </c>
      <c r="U88" s="92">
        <v>1.4</v>
      </c>
      <c r="V88" s="92">
        <v>0.51</v>
      </c>
      <c r="W88" s="99">
        <v>1278</v>
      </c>
      <c r="X88" s="92">
        <v>3.44</v>
      </c>
      <c r="Y88" s="92">
        <v>97.32</v>
      </c>
      <c r="Z88" s="92">
        <v>2.1800000000000002</v>
      </c>
      <c r="AA88" s="92">
        <v>1.29</v>
      </c>
      <c r="AB88" s="92">
        <v>52.59</v>
      </c>
      <c r="AC88" s="92">
        <v>20.170000000000002</v>
      </c>
      <c r="AD88" s="100">
        <v>7.12</v>
      </c>
      <c r="AE88" s="92">
        <v>12.83</v>
      </c>
      <c r="AF88" s="92">
        <v>27.51</v>
      </c>
    </row>
    <row r="89" spans="1:32">
      <c r="A89" s="90">
        <f t="shared" ref="A89:A115" si="18">A88+1</f>
        <v>46055</v>
      </c>
      <c r="B89" s="90">
        <f t="shared" ref="B89:B115" si="19">A89+1</f>
        <v>46056</v>
      </c>
      <c r="C89" s="80">
        <v>1.63</v>
      </c>
      <c r="D89" s="80">
        <v>2.5299999999999998</v>
      </c>
      <c r="E89" s="72">
        <v>333</v>
      </c>
      <c r="F89" s="80">
        <v>24.8</v>
      </c>
      <c r="G89" s="72">
        <v>115</v>
      </c>
      <c r="H89" s="72">
        <v>150</v>
      </c>
      <c r="I89" s="80">
        <v>16.04</v>
      </c>
      <c r="J89" s="80">
        <v>3.86</v>
      </c>
      <c r="K89" s="80">
        <v>0.94</v>
      </c>
      <c r="L89" s="80">
        <v>17</v>
      </c>
      <c r="M89" s="80">
        <v>16.399999999999999</v>
      </c>
      <c r="N89" s="97">
        <v>28.16</v>
      </c>
      <c r="O89" s="97">
        <v>42.89</v>
      </c>
      <c r="P89" s="97">
        <v>53.99</v>
      </c>
      <c r="Q89" s="92">
        <v>20.97</v>
      </c>
      <c r="R89" s="92">
        <v>5.83</v>
      </c>
      <c r="S89" s="92">
        <v>3.76</v>
      </c>
      <c r="T89" s="92">
        <v>65.7</v>
      </c>
      <c r="U89" s="92">
        <v>1.49</v>
      </c>
      <c r="V89" s="92">
        <v>0.63</v>
      </c>
      <c r="W89" s="99">
        <v>1278</v>
      </c>
      <c r="X89" s="92">
        <v>3.52</v>
      </c>
      <c r="Y89" s="92">
        <v>96.6</v>
      </c>
      <c r="Z89" s="92">
        <v>2.19</v>
      </c>
      <c r="AA89" s="92">
        <v>1.56</v>
      </c>
      <c r="AB89" s="92">
        <v>49.23</v>
      </c>
      <c r="AC89" s="92">
        <v>23.04</v>
      </c>
      <c r="AD89" s="100">
        <v>9.07</v>
      </c>
      <c r="AE89" s="92">
        <v>11.45</v>
      </c>
      <c r="AF89" s="92">
        <v>28.06</v>
      </c>
    </row>
    <row r="90" spans="1:32">
      <c r="A90" s="90">
        <f t="shared" si="18"/>
        <v>46056</v>
      </c>
      <c r="B90" s="90">
        <f t="shared" si="19"/>
        <v>46057</v>
      </c>
      <c r="C90" s="80">
        <v>1.31</v>
      </c>
      <c r="D90" s="80">
        <v>2.35</v>
      </c>
      <c r="E90" s="72">
        <v>369</v>
      </c>
      <c r="F90" s="80">
        <v>24.8</v>
      </c>
      <c r="G90" s="72">
        <v>110</v>
      </c>
      <c r="H90" s="72">
        <v>145</v>
      </c>
      <c r="I90" s="80">
        <v>15.92</v>
      </c>
      <c r="J90" s="80">
        <v>4.18</v>
      </c>
      <c r="K90" s="80">
        <v>1.1599999999999999</v>
      </c>
      <c r="L90" s="80">
        <v>2</v>
      </c>
      <c r="M90" s="80">
        <v>16.48</v>
      </c>
      <c r="N90" s="97">
        <v>29.85</v>
      </c>
      <c r="O90" s="97">
        <v>49.62</v>
      </c>
      <c r="P90" s="97">
        <v>53.05</v>
      </c>
      <c r="Q90" s="92">
        <v>20.910833333333333</v>
      </c>
      <c r="R90" s="92">
        <v>5.7833333333333323</v>
      </c>
      <c r="S90" s="92">
        <v>3.8866666666666667</v>
      </c>
      <c r="T90" s="92">
        <v>65.555833333333325</v>
      </c>
      <c r="U90" s="92">
        <v>1.5083333333333335</v>
      </c>
      <c r="V90" s="92">
        <v>0.5828333333333332</v>
      </c>
      <c r="W90" s="99">
        <v>1295.8333333333333</v>
      </c>
      <c r="X90" s="92">
        <v>3.0466666666666669</v>
      </c>
      <c r="Y90" s="92">
        <v>96.569418718716278</v>
      </c>
      <c r="Z90" s="92">
        <v>2.163690769342355</v>
      </c>
      <c r="AA90" s="92">
        <v>1.4931151359242973</v>
      </c>
      <c r="AB90" s="92">
        <v>51.100295833333291</v>
      </c>
      <c r="AC90" s="92">
        <v>21.464028490000036</v>
      </c>
      <c r="AD90" s="100">
        <v>8.7495933333333316</v>
      </c>
      <c r="AE90" s="92">
        <v>11.827126666666667</v>
      </c>
      <c r="AF90" s="92">
        <v>28.185828133333331</v>
      </c>
    </row>
    <row r="91" spans="1:32">
      <c r="A91" s="90">
        <f t="shared" si="18"/>
        <v>46057</v>
      </c>
      <c r="B91" s="90">
        <f t="shared" si="19"/>
        <v>46058</v>
      </c>
      <c r="C91" s="80">
        <v>1.81</v>
      </c>
      <c r="D91" s="80">
        <v>2.66</v>
      </c>
      <c r="E91" s="72">
        <v>326</v>
      </c>
      <c r="F91" s="80">
        <v>24.4</v>
      </c>
      <c r="G91" s="72">
        <v>120</v>
      </c>
      <c r="H91" s="72">
        <v>155</v>
      </c>
      <c r="I91" s="80">
        <v>16.64</v>
      </c>
      <c r="J91" s="80">
        <v>4.18</v>
      </c>
      <c r="K91" s="80">
        <v>1.28</v>
      </c>
      <c r="L91" s="80">
        <v>2</v>
      </c>
      <c r="M91" s="80">
        <v>16.420000000000002</v>
      </c>
      <c r="N91" s="97">
        <v>29.04</v>
      </c>
      <c r="O91" s="97">
        <v>39.049999999999997</v>
      </c>
      <c r="P91" s="97">
        <v>54.14</v>
      </c>
      <c r="Q91" s="92">
        <v>20.559166666666666</v>
      </c>
      <c r="R91" s="92">
        <v>6.001666666666666</v>
      </c>
      <c r="S91" s="92">
        <v>3.8524999999999996</v>
      </c>
      <c r="T91" s="92">
        <v>65.600000000000009</v>
      </c>
      <c r="U91" s="92">
        <v>1.6158333333333335</v>
      </c>
      <c r="V91" s="92">
        <v>0.56099999999999983</v>
      </c>
      <c r="W91" s="99">
        <v>1312.0833333333333</v>
      </c>
      <c r="X91" s="92">
        <v>3.106666666666666</v>
      </c>
      <c r="Y91" s="92">
        <v>97.743656301902604</v>
      </c>
      <c r="Z91" s="92">
        <v>2.0865070634816774</v>
      </c>
      <c r="AA91" s="92">
        <v>1.5595151890729513</v>
      </c>
      <c r="AB91" s="92">
        <v>52.291303333333303</v>
      </c>
      <c r="AC91" s="92">
        <v>19.556249098666694</v>
      </c>
      <c r="AD91" s="100">
        <v>9.3859866666666658</v>
      </c>
      <c r="AE91" s="92">
        <v>11.723157500000001</v>
      </c>
      <c r="AF91" s="92">
        <v>29.068510891666673</v>
      </c>
    </row>
    <row r="92" spans="1:32">
      <c r="A92" s="90">
        <f t="shared" si="18"/>
        <v>46058</v>
      </c>
      <c r="B92" s="90">
        <f t="shared" si="19"/>
        <v>46059</v>
      </c>
      <c r="C92" s="80">
        <v>1.6</v>
      </c>
      <c r="D92" s="80">
        <v>2.79</v>
      </c>
      <c r="E92" s="72">
        <v>331</v>
      </c>
      <c r="F92" s="80">
        <v>24.4</v>
      </c>
      <c r="G92" s="91">
        <v>100</v>
      </c>
      <c r="H92" s="72">
        <v>130</v>
      </c>
      <c r="I92" s="80">
        <v>15.84</v>
      </c>
      <c r="J92" s="80">
        <v>3.26</v>
      </c>
      <c r="K92" s="80">
        <v>1.1499999999999999</v>
      </c>
      <c r="L92" s="80">
        <v>28.5</v>
      </c>
      <c r="M92" s="80">
        <v>16.52</v>
      </c>
      <c r="N92" s="97">
        <v>28.16</v>
      </c>
      <c r="O92" s="97">
        <v>42.82</v>
      </c>
      <c r="P92" s="97">
        <v>56.83</v>
      </c>
      <c r="Q92" s="92">
        <v>20.2</v>
      </c>
      <c r="R92" s="92">
        <v>5.97</v>
      </c>
      <c r="S92" s="92">
        <v>4.04</v>
      </c>
      <c r="T92" s="92">
        <v>65.569999999999993</v>
      </c>
      <c r="U92" s="92">
        <v>1.63</v>
      </c>
      <c r="V92" s="92">
        <v>0.83</v>
      </c>
      <c r="W92" s="99">
        <v>1321</v>
      </c>
      <c r="X92" s="92">
        <v>3.52</v>
      </c>
      <c r="Y92" s="92">
        <v>99.02</v>
      </c>
      <c r="Z92" s="92">
        <v>2.02</v>
      </c>
      <c r="AA92" s="92">
        <v>1.48</v>
      </c>
      <c r="AB92" s="92">
        <v>53.19</v>
      </c>
      <c r="AC92" s="92">
        <v>17.850000000000001</v>
      </c>
      <c r="AD92" s="100">
        <v>9</v>
      </c>
      <c r="AE92" s="92">
        <v>12.28</v>
      </c>
      <c r="AF92" s="92">
        <v>29.43</v>
      </c>
    </row>
    <row r="93" spans="1:32">
      <c r="A93" s="90">
        <f t="shared" si="18"/>
        <v>46059</v>
      </c>
      <c r="B93" s="90">
        <f t="shared" si="19"/>
        <v>46060</v>
      </c>
      <c r="C93" s="80">
        <v>1.24</v>
      </c>
      <c r="D93" s="80">
        <v>2.38</v>
      </c>
      <c r="E93" s="72">
        <v>356</v>
      </c>
      <c r="F93" s="80">
        <v>24.8</v>
      </c>
      <c r="G93" s="72">
        <v>105</v>
      </c>
      <c r="H93" s="72">
        <v>140</v>
      </c>
      <c r="I93" s="80">
        <v>13.36</v>
      </c>
      <c r="J93" s="80">
        <v>3.93</v>
      </c>
      <c r="K93" s="80">
        <v>0.65</v>
      </c>
      <c r="L93" s="80">
        <v>7</v>
      </c>
      <c r="M93" s="80">
        <v>16.260000000000002</v>
      </c>
      <c r="N93" s="97">
        <v>28.71</v>
      </c>
      <c r="O93" s="97">
        <v>42.84</v>
      </c>
      <c r="P93" s="97">
        <v>52.1</v>
      </c>
      <c r="Q93" s="92">
        <v>20.48</v>
      </c>
      <c r="R93" s="92">
        <v>5.86</v>
      </c>
      <c r="S93" s="92">
        <v>3.99</v>
      </c>
      <c r="T93" s="92">
        <v>65.819999999999993</v>
      </c>
      <c r="U93" s="92">
        <v>1.75</v>
      </c>
      <c r="V93" s="92">
        <v>0.65</v>
      </c>
      <c r="W93" s="93">
        <v>1313</v>
      </c>
      <c r="X93" s="92">
        <v>3.34</v>
      </c>
      <c r="Y93" s="92">
        <v>98.48</v>
      </c>
      <c r="Z93" s="100">
        <v>2.08</v>
      </c>
      <c r="AA93" s="92">
        <v>1.47</v>
      </c>
      <c r="AB93" s="92">
        <v>53.58</v>
      </c>
      <c r="AC93" s="101">
        <v>18.36</v>
      </c>
      <c r="AD93" s="101">
        <v>8.77</v>
      </c>
      <c r="AE93" s="101">
        <v>12.15</v>
      </c>
      <c r="AF93" s="92">
        <v>28.94</v>
      </c>
    </row>
    <row r="94" spans="1:32">
      <c r="A94" s="90">
        <f t="shared" si="18"/>
        <v>46060</v>
      </c>
      <c r="B94" s="90">
        <f t="shared" si="19"/>
        <v>46061</v>
      </c>
      <c r="C94" s="80">
        <v>2.0699999999999998</v>
      </c>
      <c r="D94" s="80">
        <v>2.34</v>
      </c>
      <c r="E94" s="72">
        <v>325</v>
      </c>
      <c r="F94" s="80">
        <v>24.4</v>
      </c>
      <c r="G94" s="72">
        <v>110</v>
      </c>
      <c r="H94" s="72">
        <v>145</v>
      </c>
      <c r="I94" s="80">
        <v>18.64</v>
      </c>
      <c r="J94" s="80">
        <v>3.39</v>
      </c>
      <c r="K94" s="80">
        <v>0.48</v>
      </c>
      <c r="L94" s="80">
        <v>1</v>
      </c>
      <c r="M94" s="80">
        <v>15.07</v>
      </c>
      <c r="N94" s="97">
        <v>25.62</v>
      </c>
      <c r="O94" s="97">
        <v>41.81</v>
      </c>
      <c r="P94" s="97">
        <v>55.27</v>
      </c>
      <c r="Q94" s="92">
        <v>20.96</v>
      </c>
      <c r="R94" s="92">
        <v>5.63</v>
      </c>
      <c r="S94" s="92">
        <v>4.01</v>
      </c>
      <c r="T94" s="92">
        <v>65.459999999999994</v>
      </c>
      <c r="U94" s="92">
        <v>1.51</v>
      </c>
      <c r="V94" s="92">
        <v>0.57999999999999996</v>
      </c>
      <c r="W94" s="99">
        <v>1302</v>
      </c>
      <c r="X94" s="92">
        <v>2.87</v>
      </c>
      <c r="Y94" s="92">
        <v>96.39</v>
      </c>
      <c r="Z94" s="92">
        <v>2.1800000000000002</v>
      </c>
      <c r="AA94" s="92">
        <v>1.4</v>
      </c>
      <c r="AB94" s="92">
        <v>51.95</v>
      </c>
      <c r="AC94" s="92">
        <v>20.96</v>
      </c>
      <c r="AD94" s="100">
        <v>8.11</v>
      </c>
      <c r="AE94" s="92">
        <v>12.22</v>
      </c>
      <c r="AF94" s="92">
        <v>27.96</v>
      </c>
    </row>
    <row r="95" spans="1:32">
      <c r="A95" s="90">
        <f t="shared" si="18"/>
        <v>46061</v>
      </c>
      <c r="B95" s="90">
        <f t="shared" si="19"/>
        <v>46062</v>
      </c>
      <c r="C95" s="80">
        <v>1.58</v>
      </c>
      <c r="D95" s="92">
        <v>3.01</v>
      </c>
      <c r="E95" s="72">
        <v>352</v>
      </c>
      <c r="F95" s="80">
        <v>24.8</v>
      </c>
      <c r="G95" s="72">
        <v>125</v>
      </c>
      <c r="H95" s="72">
        <v>160</v>
      </c>
      <c r="I95" s="80">
        <v>17.96</v>
      </c>
      <c r="J95" s="80">
        <v>4.57</v>
      </c>
      <c r="K95" s="80">
        <v>1.087</v>
      </c>
      <c r="L95" s="80">
        <v>0.5</v>
      </c>
      <c r="M95" s="80">
        <v>16.5</v>
      </c>
      <c r="N95" s="97">
        <v>29.72</v>
      </c>
      <c r="O95" s="97">
        <v>54.29</v>
      </c>
      <c r="P95" s="97">
        <v>53.61</v>
      </c>
      <c r="Q95" s="92">
        <v>20.41</v>
      </c>
      <c r="R95" s="92">
        <v>6.28</v>
      </c>
      <c r="S95" s="92">
        <v>3.74</v>
      </c>
      <c r="T95" s="92">
        <v>65.52</v>
      </c>
      <c r="U95" s="92">
        <v>1.51</v>
      </c>
      <c r="V95" s="92">
        <v>0.69</v>
      </c>
      <c r="W95" s="99">
        <v>1358</v>
      </c>
      <c r="X95" s="92">
        <v>3.06</v>
      </c>
      <c r="Y95" s="92">
        <v>97.86</v>
      </c>
      <c r="Z95" s="92">
        <v>2.04</v>
      </c>
      <c r="AA95" s="92">
        <v>1.68</v>
      </c>
      <c r="AB95" s="92">
        <v>51.6</v>
      </c>
      <c r="AC95" s="92">
        <v>19.64</v>
      </c>
      <c r="AD95" s="100">
        <v>10.31</v>
      </c>
      <c r="AE95" s="92">
        <v>11.39</v>
      </c>
      <c r="AF95" s="92">
        <v>29.46</v>
      </c>
    </row>
    <row r="96" spans="1:32">
      <c r="A96" s="90">
        <f t="shared" si="18"/>
        <v>46062</v>
      </c>
      <c r="B96" s="90">
        <f t="shared" si="19"/>
        <v>46063</v>
      </c>
      <c r="C96" s="92">
        <v>1.82</v>
      </c>
      <c r="D96" s="92">
        <v>2.41</v>
      </c>
      <c r="E96" s="72">
        <v>335</v>
      </c>
      <c r="F96" s="80">
        <v>24.8</v>
      </c>
      <c r="G96" s="72">
        <v>115</v>
      </c>
      <c r="H96" s="72">
        <v>150</v>
      </c>
      <c r="I96" s="80">
        <v>18.559999999999999</v>
      </c>
      <c r="J96" s="80">
        <v>4.57</v>
      </c>
      <c r="K96" s="80">
        <v>0.73</v>
      </c>
      <c r="L96" s="80">
        <v>7</v>
      </c>
      <c r="M96" s="80">
        <v>15.62</v>
      </c>
      <c r="N96" s="97">
        <v>25.02</v>
      </c>
      <c r="O96" s="97">
        <v>39.31</v>
      </c>
      <c r="P96" s="97">
        <v>55.1</v>
      </c>
      <c r="Q96" s="92">
        <v>20.53</v>
      </c>
      <c r="R96" s="92">
        <v>6.17</v>
      </c>
      <c r="S96" s="92">
        <v>3.87</v>
      </c>
      <c r="T96" s="92">
        <v>65.650000000000006</v>
      </c>
      <c r="U96" s="92">
        <v>1.47</v>
      </c>
      <c r="V96" s="92">
        <v>0.54</v>
      </c>
      <c r="W96" s="99">
        <v>1297</v>
      </c>
      <c r="X96" s="92">
        <v>3.07</v>
      </c>
      <c r="Y96" s="92">
        <v>97.59</v>
      </c>
      <c r="Z96" s="92">
        <v>2.0499999999999998</v>
      </c>
      <c r="AA96" s="92">
        <v>1.6</v>
      </c>
      <c r="AB96" s="92">
        <v>51.69</v>
      </c>
      <c r="AC96" s="92">
        <v>19.940000000000001</v>
      </c>
      <c r="AD96" s="100">
        <v>9.81</v>
      </c>
      <c r="AE96" s="92">
        <v>11.76</v>
      </c>
      <c r="AF96" s="92">
        <v>29.2</v>
      </c>
    </row>
    <row r="97" spans="1:32">
      <c r="A97" s="90">
        <f t="shared" si="18"/>
        <v>46063</v>
      </c>
      <c r="B97" s="90">
        <f t="shared" si="19"/>
        <v>46064</v>
      </c>
      <c r="C97" s="92">
        <v>1.64</v>
      </c>
      <c r="D97" s="92">
        <v>2.4700000000000002</v>
      </c>
      <c r="E97" s="72">
        <v>348</v>
      </c>
      <c r="F97" s="80">
        <v>25.2</v>
      </c>
      <c r="G97" s="72">
        <v>100</v>
      </c>
      <c r="H97" s="72">
        <v>135</v>
      </c>
      <c r="I97" s="80">
        <v>18.16</v>
      </c>
      <c r="J97" s="80">
        <v>3.52</v>
      </c>
      <c r="K97" s="80">
        <v>0.91</v>
      </c>
      <c r="L97" s="80">
        <v>3</v>
      </c>
      <c r="M97" s="80">
        <v>16.7</v>
      </c>
      <c r="N97" s="97">
        <v>28.7</v>
      </c>
      <c r="O97" s="97">
        <v>42.13</v>
      </c>
      <c r="P97" s="97">
        <v>57.33</v>
      </c>
      <c r="Q97" s="92">
        <v>20.274166666666662</v>
      </c>
      <c r="R97" s="92">
        <v>5.8391666666666664</v>
      </c>
      <c r="S97" s="92">
        <v>4.1291666666666664</v>
      </c>
      <c r="T97" s="92">
        <v>65.814166666666679</v>
      </c>
      <c r="U97" s="92">
        <v>1.4733333333333334</v>
      </c>
      <c r="V97" s="92">
        <v>0.60583333333333333</v>
      </c>
      <c r="W97" s="93">
        <v>1314.5833333333333</v>
      </c>
      <c r="X97" s="92">
        <v>3.5166666666666662</v>
      </c>
      <c r="Y97" s="92">
        <v>99.277022336187983</v>
      </c>
      <c r="Z97" s="92">
        <v>2.0355091956984022</v>
      </c>
      <c r="AA97" s="92">
        <v>1.4185661364091497</v>
      </c>
      <c r="AB97" s="92">
        <v>54.356677499999961</v>
      </c>
      <c r="AC97" s="92">
        <v>17.180180827333363</v>
      </c>
      <c r="AD97" s="92">
        <v>8.4872416666666677</v>
      </c>
      <c r="AE97" s="92">
        <v>12.565054166666668</v>
      </c>
      <c r="AF97" s="92">
        <v>28.849572875000003</v>
      </c>
    </row>
    <row r="98" spans="1:32">
      <c r="A98" s="90">
        <f t="shared" si="18"/>
        <v>46064</v>
      </c>
      <c r="B98" s="90">
        <f t="shared" si="19"/>
        <v>46065</v>
      </c>
      <c r="C98" s="92">
        <v>1.49</v>
      </c>
      <c r="D98" s="92">
        <v>2.72</v>
      </c>
      <c r="E98" s="72">
        <v>377</v>
      </c>
      <c r="F98" s="80">
        <v>24.8</v>
      </c>
      <c r="G98" s="72">
        <v>105</v>
      </c>
      <c r="H98" s="72">
        <v>135</v>
      </c>
      <c r="I98" s="80">
        <v>19.72</v>
      </c>
      <c r="J98" s="80">
        <v>6.18</v>
      </c>
      <c r="K98" s="80">
        <v>1.32</v>
      </c>
      <c r="L98" s="80">
        <v>41.5</v>
      </c>
      <c r="M98" s="80">
        <v>16.96</v>
      </c>
      <c r="N98" s="97">
        <v>28.51</v>
      </c>
      <c r="O98" s="97">
        <v>38.520000000000003</v>
      </c>
      <c r="P98" s="97">
        <v>53.78</v>
      </c>
      <c r="Q98" s="92">
        <v>20.296666666666667</v>
      </c>
      <c r="R98" s="92">
        <v>6.1099999999999994</v>
      </c>
      <c r="S98" s="92">
        <v>3.961666666666666</v>
      </c>
      <c r="T98" s="92">
        <v>65.827500000000001</v>
      </c>
      <c r="U98" s="92">
        <v>1.5541666666666669</v>
      </c>
      <c r="V98" s="92">
        <v>0.48458333333333337</v>
      </c>
      <c r="W98" s="99">
        <v>1345.8333333333333</v>
      </c>
      <c r="X98" s="92">
        <v>3.481666666666666</v>
      </c>
      <c r="Y98" s="92">
        <v>98.861640034289223</v>
      </c>
      <c r="Z98" s="92">
        <v>2.0176363490699214</v>
      </c>
      <c r="AA98" s="92">
        <v>1.5516989427157963</v>
      </c>
      <c r="AB98" s="92">
        <v>52.80246416666666</v>
      </c>
      <c r="AC98" s="92">
        <v>18.417254366000016</v>
      </c>
      <c r="AD98" s="100">
        <v>9.4883600000000019</v>
      </c>
      <c r="AE98" s="92">
        <v>12.055351666666668</v>
      </c>
      <c r="AF98" s="92">
        <v>29.333321550000004</v>
      </c>
    </row>
    <row r="99" spans="1:32">
      <c r="A99" s="90">
        <f t="shared" si="18"/>
        <v>46065</v>
      </c>
      <c r="B99" s="90">
        <f t="shared" si="19"/>
        <v>46066</v>
      </c>
      <c r="C99" s="92">
        <v>1.92</v>
      </c>
      <c r="D99" s="92">
        <v>2.58</v>
      </c>
      <c r="E99" s="72">
        <v>331</v>
      </c>
      <c r="F99" s="80">
        <v>24.4</v>
      </c>
      <c r="G99" s="72">
        <v>120</v>
      </c>
      <c r="H99" s="72">
        <v>150</v>
      </c>
      <c r="I99" s="80">
        <v>18.920000000000002</v>
      </c>
      <c r="J99" s="80">
        <v>3.69</v>
      </c>
      <c r="K99" s="80">
        <v>0.52</v>
      </c>
      <c r="L99" s="80">
        <v>32.5</v>
      </c>
      <c r="M99" s="80">
        <v>17.37</v>
      </c>
      <c r="N99" s="97">
        <v>27.76</v>
      </c>
      <c r="O99" s="97">
        <v>42.35</v>
      </c>
      <c r="P99" s="97">
        <v>54.18</v>
      </c>
      <c r="Q99" s="92">
        <v>20.78</v>
      </c>
      <c r="R99" s="92">
        <v>5.81</v>
      </c>
      <c r="S99" s="92">
        <v>3.86</v>
      </c>
      <c r="T99" s="92">
        <v>65.69</v>
      </c>
      <c r="U99" s="92">
        <v>1.5</v>
      </c>
      <c r="V99" s="92">
        <v>0.63</v>
      </c>
      <c r="W99" s="99">
        <v>1324</v>
      </c>
      <c r="X99" s="92">
        <v>3.52</v>
      </c>
      <c r="Y99" s="92">
        <v>97.27</v>
      </c>
      <c r="Z99" s="92">
        <v>2.15</v>
      </c>
      <c r="AA99" s="92">
        <v>1.51</v>
      </c>
      <c r="AB99" s="92">
        <v>50.57</v>
      </c>
      <c r="AC99" s="92">
        <v>21.48</v>
      </c>
      <c r="AD99" s="100">
        <v>8.86</v>
      </c>
      <c r="AE99" s="92">
        <v>11.75</v>
      </c>
      <c r="AF99" s="92">
        <v>28.26</v>
      </c>
    </row>
    <row r="100" spans="1:32">
      <c r="A100" s="90">
        <f t="shared" si="18"/>
        <v>46066</v>
      </c>
      <c r="B100" s="90">
        <f t="shared" si="19"/>
        <v>46067</v>
      </c>
      <c r="C100" s="92">
        <v>1.89</v>
      </c>
      <c r="D100" s="92">
        <v>2.77</v>
      </c>
      <c r="E100" s="72">
        <v>345</v>
      </c>
      <c r="F100" s="80">
        <v>24.8</v>
      </c>
      <c r="G100" s="72">
        <v>110</v>
      </c>
      <c r="H100" s="72">
        <v>145</v>
      </c>
      <c r="I100" s="80">
        <v>15.6</v>
      </c>
      <c r="J100" s="80">
        <v>2.88</v>
      </c>
      <c r="K100" s="80">
        <v>0.39</v>
      </c>
      <c r="L100" s="80">
        <v>1.5</v>
      </c>
      <c r="M100" s="80">
        <v>16.690000000000001</v>
      </c>
      <c r="N100" s="97">
        <v>28.42</v>
      </c>
      <c r="O100" s="97">
        <v>49.48</v>
      </c>
      <c r="P100" s="97">
        <v>54.47</v>
      </c>
      <c r="Q100" s="92">
        <v>20.88</v>
      </c>
      <c r="R100" s="92">
        <v>5.99</v>
      </c>
      <c r="S100" s="92">
        <v>3.77</v>
      </c>
      <c r="T100" s="92">
        <v>65.89</v>
      </c>
      <c r="U100" s="92">
        <v>1.43</v>
      </c>
      <c r="V100" s="92">
        <v>0.44</v>
      </c>
      <c r="W100" s="93">
        <v>1338</v>
      </c>
      <c r="X100" s="92">
        <v>3</v>
      </c>
      <c r="Y100" s="92">
        <v>96.95</v>
      </c>
      <c r="Z100" s="100">
        <v>2.14</v>
      </c>
      <c r="AA100" s="92">
        <v>1.59</v>
      </c>
      <c r="AB100" s="92">
        <v>51.71</v>
      </c>
      <c r="AC100" s="101">
        <v>20.91</v>
      </c>
      <c r="AD100" s="92">
        <v>9.48</v>
      </c>
      <c r="AE100" s="101">
        <v>11.48</v>
      </c>
      <c r="AF100" s="92">
        <v>28.3</v>
      </c>
    </row>
    <row r="101" spans="1:32">
      <c r="A101" s="90">
        <f t="shared" si="18"/>
        <v>46067</v>
      </c>
      <c r="B101" s="90">
        <f t="shared" si="19"/>
        <v>46068</v>
      </c>
      <c r="C101" s="80">
        <v>1.93</v>
      </c>
      <c r="D101" s="80">
        <v>2.8</v>
      </c>
      <c r="E101" s="72">
        <v>342</v>
      </c>
      <c r="F101" s="80">
        <v>24.8</v>
      </c>
      <c r="G101" s="72">
        <v>115</v>
      </c>
      <c r="H101" s="72">
        <v>150</v>
      </c>
      <c r="I101" s="80">
        <v>16.64</v>
      </c>
      <c r="J101" s="80">
        <v>3.26</v>
      </c>
      <c r="K101" s="80">
        <v>0.64</v>
      </c>
      <c r="L101" s="80">
        <v>2</v>
      </c>
      <c r="M101" s="80">
        <v>14.4</v>
      </c>
      <c r="N101" s="97">
        <v>24.94</v>
      </c>
      <c r="O101" s="97">
        <v>38.89</v>
      </c>
      <c r="P101" s="97">
        <v>51.17</v>
      </c>
      <c r="Q101" s="92">
        <v>20.51</v>
      </c>
      <c r="R101" s="92">
        <v>6.21</v>
      </c>
      <c r="S101" s="92">
        <v>3.86</v>
      </c>
      <c r="T101" s="92">
        <v>65.47</v>
      </c>
      <c r="U101" s="92">
        <v>1.49</v>
      </c>
      <c r="V101" s="92">
        <v>0.74</v>
      </c>
      <c r="W101" s="99">
        <v>1325</v>
      </c>
      <c r="X101" s="92">
        <v>3.59</v>
      </c>
      <c r="Y101" s="92">
        <v>97.37</v>
      </c>
      <c r="Z101" s="92">
        <v>2.04</v>
      </c>
      <c r="AA101" s="92">
        <v>1.61</v>
      </c>
      <c r="AB101" s="92">
        <v>48.73</v>
      </c>
      <c r="AC101" s="92">
        <v>22.11</v>
      </c>
      <c r="AD101" s="100">
        <v>9.94</v>
      </c>
      <c r="AE101" s="92">
        <v>11.73</v>
      </c>
      <c r="AF101" s="92">
        <v>29.52</v>
      </c>
    </row>
    <row r="102" spans="1:32">
      <c r="A102" s="90">
        <f t="shared" si="18"/>
        <v>46068</v>
      </c>
      <c r="B102" s="90">
        <f t="shared" si="19"/>
        <v>46069</v>
      </c>
      <c r="C102" s="92">
        <v>1.98</v>
      </c>
      <c r="D102" s="92">
        <v>2.76</v>
      </c>
      <c r="E102" s="72">
        <v>355</v>
      </c>
      <c r="F102" s="80">
        <v>24.2</v>
      </c>
      <c r="G102" s="72">
        <v>105</v>
      </c>
      <c r="H102" s="72">
        <v>140</v>
      </c>
      <c r="I102" s="80">
        <v>15.64</v>
      </c>
      <c r="J102" s="80">
        <v>3.48</v>
      </c>
      <c r="K102" s="80">
        <v>0.37</v>
      </c>
      <c r="L102" s="80">
        <v>5.5</v>
      </c>
      <c r="M102" s="80">
        <v>15.94</v>
      </c>
      <c r="N102" s="97">
        <v>24.94</v>
      </c>
      <c r="O102" s="97">
        <v>42.29</v>
      </c>
      <c r="P102" s="97">
        <v>58.66</v>
      </c>
      <c r="Q102" s="92">
        <v>20.76</v>
      </c>
      <c r="R102" s="92">
        <v>5.59</v>
      </c>
      <c r="S102" s="92">
        <v>3.96</v>
      </c>
      <c r="T102" s="92">
        <v>65.55</v>
      </c>
      <c r="U102" s="92">
        <v>1.43</v>
      </c>
      <c r="V102" s="92">
        <v>0.51</v>
      </c>
      <c r="W102" s="99">
        <v>1323</v>
      </c>
      <c r="X102" s="92">
        <v>3.58</v>
      </c>
      <c r="Y102" s="92">
        <v>97.43</v>
      </c>
      <c r="Z102" s="92">
        <v>2.1800000000000002</v>
      </c>
      <c r="AA102" s="92">
        <v>1.42</v>
      </c>
      <c r="AB102" s="92">
        <v>51.2</v>
      </c>
      <c r="AC102" s="92">
        <v>20.97</v>
      </c>
      <c r="AD102" s="100">
        <v>8.11</v>
      </c>
      <c r="AE102" s="92">
        <v>12.05</v>
      </c>
      <c r="AF102" s="92">
        <v>27.61</v>
      </c>
    </row>
    <row r="103" spans="1:32">
      <c r="A103" s="90">
        <f t="shared" si="18"/>
        <v>46069</v>
      </c>
      <c r="B103" s="90">
        <f t="shared" si="19"/>
        <v>46070</v>
      </c>
      <c r="C103" s="92">
        <v>1.57</v>
      </c>
      <c r="D103" s="92">
        <v>2.62</v>
      </c>
      <c r="E103" s="72">
        <v>331</v>
      </c>
      <c r="F103" s="80">
        <v>24.4</v>
      </c>
      <c r="G103" s="72">
        <v>100</v>
      </c>
      <c r="H103" s="72">
        <v>135</v>
      </c>
      <c r="I103" s="80">
        <v>16.52</v>
      </c>
      <c r="J103" s="80">
        <v>3.97</v>
      </c>
      <c r="K103" s="80">
        <v>0.82</v>
      </c>
      <c r="L103" s="80">
        <v>14</v>
      </c>
      <c r="M103" s="80">
        <v>17.940000000000001</v>
      </c>
      <c r="N103" s="97">
        <v>27.87</v>
      </c>
      <c r="O103" s="97">
        <v>43.4</v>
      </c>
      <c r="P103" s="97">
        <v>57.57</v>
      </c>
      <c r="Q103" s="92">
        <v>20.58</v>
      </c>
      <c r="R103" s="92">
        <v>5.97</v>
      </c>
      <c r="S103" s="92">
        <v>3.82</v>
      </c>
      <c r="T103" s="92">
        <v>65.66</v>
      </c>
      <c r="U103" s="92">
        <v>1.49</v>
      </c>
      <c r="V103" s="92">
        <v>0.59</v>
      </c>
      <c r="W103" s="99">
        <v>1288</v>
      </c>
      <c r="X103" s="92">
        <v>3.65</v>
      </c>
      <c r="Y103" s="92">
        <v>97.82</v>
      </c>
      <c r="Z103" s="92">
        <v>2.11</v>
      </c>
      <c r="AA103" s="92">
        <v>1.57</v>
      </c>
      <c r="AB103" s="92">
        <v>50.42</v>
      </c>
      <c r="AC103" s="92">
        <v>21.04</v>
      </c>
      <c r="AD103" s="100">
        <v>9.35</v>
      </c>
      <c r="AE103" s="92">
        <v>11.62</v>
      </c>
      <c r="AF103" s="92">
        <v>28.57</v>
      </c>
    </row>
    <row r="104" spans="1:32">
      <c r="A104" s="90">
        <f t="shared" si="18"/>
        <v>46070</v>
      </c>
      <c r="B104" s="90">
        <f t="shared" si="19"/>
        <v>46071</v>
      </c>
      <c r="C104" s="178" t="s">
        <v>35</v>
      </c>
      <c r="D104" s="178" t="s">
        <v>35</v>
      </c>
      <c r="E104" s="178" t="s">
        <v>35</v>
      </c>
      <c r="F104" s="178" t="s">
        <v>35</v>
      </c>
      <c r="G104" s="178" t="s">
        <v>35</v>
      </c>
      <c r="H104" s="178" t="s">
        <v>35</v>
      </c>
      <c r="I104" s="178" t="s">
        <v>35</v>
      </c>
      <c r="J104" s="178" t="s">
        <v>35</v>
      </c>
      <c r="K104" s="178" t="s">
        <v>35</v>
      </c>
      <c r="L104" s="178" t="s">
        <v>35</v>
      </c>
      <c r="M104" s="178" t="s">
        <v>35</v>
      </c>
      <c r="N104" s="178" t="s">
        <v>35</v>
      </c>
      <c r="O104" s="178" t="s">
        <v>35</v>
      </c>
      <c r="P104" s="178" t="s">
        <v>35</v>
      </c>
      <c r="Q104" s="178" t="s">
        <v>35</v>
      </c>
      <c r="R104" s="178" t="s">
        <v>35</v>
      </c>
      <c r="S104" s="178" t="s">
        <v>35</v>
      </c>
      <c r="T104" s="178" t="s">
        <v>35</v>
      </c>
      <c r="U104" s="178" t="s">
        <v>35</v>
      </c>
      <c r="V104" s="178" t="s">
        <v>35</v>
      </c>
      <c r="W104" s="178" t="s">
        <v>35</v>
      </c>
      <c r="X104" s="178" t="s">
        <v>35</v>
      </c>
      <c r="Y104" s="178" t="s">
        <v>35</v>
      </c>
      <c r="Z104" s="178" t="s">
        <v>35</v>
      </c>
      <c r="AA104" s="178" t="s">
        <v>35</v>
      </c>
      <c r="AB104" s="178" t="s">
        <v>35</v>
      </c>
      <c r="AC104" s="178" t="s">
        <v>35</v>
      </c>
      <c r="AD104" s="178" t="s">
        <v>35</v>
      </c>
      <c r="AE104" s="178" t="s">
        <v>35</v>
      </c>
      <c r="AF104" s="178" t="s">
        <v>35</v>
      </c>
    </row>
    <row r="105" spans="1:32">
      <c r="A105" s="90">
        <f t="shared" si="18"/>
        <v>46071</v>
      </c>
      <c r="B105" s="90">
        <f t="shared" si="19"/>
        <v>46072</v>
      </c>
      <c r="C105" s="178" t="s">
        <v>35</v>
      </c>
      <c r="D105" s="178" t="s">
        <v>35</v>
      </c>
      <c r="E105" s="178" t="s">
        <v>35</v>
      </c>
      <c r="F105" s="178" t="s">
        <v>35</v>
      </c>
      <c r="G105" s="178" t="s">
        <v>35</v>
      </c>
      <c r="H105" s="178" t="s">
        <v>35</v>
      </c>
      <c r="I105" s="178" t="s">
        <v>35</v>
      </c>
      <c r="J105" s="178" t="s">
        <v>35</v>
      </c>
      <c r="K105" s="178" t="s">
        <v>35</v>
      </c>
      <c r="L105" s="178" t="s">
        <v>35</v>
      </c>
      <c r="M105" s="178" t="s">
        <v>35</v>
      </c>
      <c r="N105" s="178" t="s">
        <v>35</v>
      </c>
      <c r="O105" s="178" t="s">
        <v>35</v>
      </c>
      <c r="P105" s="178" t="s">
        <v>35</v>
      </c>
      <c r="Q105" s="178" t="s">
        <v>35</v>
      </c>
      <c r="R105" s="178" t="s">
        <v>35</v>
      </c>
      <c r="S105" s="178" t="s">
        <v>35</v>
      </c>
      <c r="T105" s="178" t="s">
        <v>35</v>
      </c>
      <c r="U105" s="178" t="s">
        <v>35</v>
      </c>
      <c r="V105" s="178" t="s">
        <v>35</v>
      </c>
      <c r="W105" s="178" t="s">
        <v>35</v>
      </c>
      <c r="X105" s="178" t="s">
        <v>35</v>
      </c>
      <c r="Y105" s="178" t="s">
        <v>35</v>
      </c>
      <c r="Z105" s="178" t="s">
        <v>35</v>
      </c>
      <c r="AA105" s="178" t="s">
        <v>35</v>
      </c>
      <c r="AB105" s="178" t="s">
        <v>35</v>
      </c>
      <c r="AC105" s="178" t="s">
        <v>35</v>
      </c>
      <c r="AD105" s="178" t="s">
        <v>35</v>
      </c>
      <c r="AE105" s="178" t="s">
        <v>35</v>
      </c>
      <c r="AF105" s="178" t="s">
        <v>35</v>
      </c>
    </row>
    <row r="106" spans="1:32">
      <c r="A106" s="90">
        <f t="shared" si="18"/>
        <v>46072</v>
      </c>
      <c r="B106" s="90">
        <f t="shared" si="19"/>
        <v>46073</v>
      </c>
      <c r="C106" s="92">
        <v>1.75</v>
      </c>
      <c r="D106" s="92">
        <v>2.59</v>
      </c>
      <c r="E106" s="93">
        <v>347</v>
      </c>
      <c r="F106" s="92">
        <v>24.4</v>
      </c>
      <c r="G106" s="93">
        <v>100</v>
      </c>
      <c r="H106" s="93">
        <v>130</v>
      </c>
      <c r="I106" s="92">
        <v>18.88</v>
      </c>
      <c r="J106" s="92">
        <v>3.86</v>
      </c>
      <c r="K106" s="92">
        <v>0.46</v>
      </c>
      <c r="L106" s="92">
        <v>0.5</v>
      </c>
      <c r="M106" s="92">
        <v>15.25</v>
      </c>
      <c r="N106" s="92">
        <v>24.79</v>
      </c>
      <c r="O106" s="92">
        <v>38.200000000000003</v>
      </c>
      <c r="P106" s="92">
        <v>50.92</v>
      </c>
      <c r="Q106" s="92">
        <v>20.92</v>
      </c>
      <c r="R106" s="92">
        <v>5.78</v>
      </c>
      <c r="S106" s="92">
        <v>3.54</v>
      </c>
      <c r="T106" s="92">
        <v>65.62</v>
      </c>
      <c r="U106" s="92">
        <v>1.5</v>
      </c>
      <c r="V106" s="92">
        <v>0.56999999999999995</v>
      </c>
      <c r="W106" s="99">
        <v>1349</v>
      </c>
      <c r="X106" s="92">
        <v>3.42</v>
      </c>
      <c r="Y106" s="92">
        <v>96.98</v>
      </c>
      <c r="Z106" s="92">
        <v>2.25</v>
      </c>
      <c r="AA106" s="92">
        <v>1.64</v>
      </c>
      <c r="AB106" s="92">
        <v>50.28</v>
      </c>
      <c r="AC106" s="92">
        <v>22.11</v>
      </c>
      <c r="AD106" s="100">
        <v>9.34</v>
      </c>
      <c r="AE106" s="92">
        <v>10.76</v>
      </c>
      <c r="AF106" s="92">
        <v>27.36</v>
      </c>
    </row>
    <row r="107" spans="1:32">
      <c r="A107" s="90">
        <f t="shared" si="18"/>
        <v>46073</v>
      </c>
      <c r="B107" s="90">
        <f t="shared" si="19"/>
        <v>46074</v>
      </c>
      <c r="C107" s="92">
        <v>1.84</v>
      </c>
      <c r="D107" s="92">
        <v>2.4</v>
      </c>
      <c r="E107" s="93">
        <v>346</v>
      </c>
      <c r="F107" s="92">
        <v>24.8</v>
      </c>
      <c r="G107" s="93">
        <v>115</v>
      </c>
      <c r="H107" s="93">
        <v>150</v>
      </c>
      <c r="I107" s="92">
        <v>20.04</v>
      </c>
      <c r="J107" s="92">
        <v>7.68</v>
      </c>
      <c r="K107" s="92">
        <v>0.56000000000000005</v>
      </c>
      <c r="L107" s="92">
        <v>10.5</v>
      </c>
      <c r="M107" s="92">
        <v>14.27</v>
      </c>
      <c r="N107" s="92">
        <v>25.19</v>
      </c>
      <c r="O107" s="92">
        <v>42.64</v>
      </c>
      <c r="P107" s="92">
        <v>56.5</v>
      </c>
      <c r="Q107" s="92">
        <v>21.05</v>
      </c>
      <c r="R107" s="92">
        <v>5.53</v>
      </c>
      <c r="S107" s="92">
        <v>3.85</v>
      </c>
      <c r="T107" s="92">
        <v>65.67</v>
      </c>
      <c r="U107" s="92">
        <v>1.52</v>
      </c>
      <c r="V107" s="92">
        <v>0.7</v>
      </c>
      <c r="W107" s="99">
        <v>1255</v>
      </c>
      <c r="X107" s="92">
        <v>3.19</v>
      </c>
      <c r="Y107" s="92">
        <v>96.65</v>
      </c>
      <c r="Z107" s="92">
        <v>2.25</v>
      </c>
      <c r="AA107" s="92">
        <v>1.45</v>
      </c>
      <c r="AB107" s="92">
        <v>51.72</v>
      </c>
      <c r="AC107" s="92">
        <v>21.4</v>
      </c>
      <c r="AD107" s="100">
        <v>8.1300000000000008</v>
      </c>
      <c r="AE107" s="92">
        <v>11.72</v>
      </c>
      <c r="AF107" s="92">
        <v>27.44</v>
      </c>
    </row>
    <row r="108" spans="1:32">
      <c r="A108" s="90">
        <f t="shared" si="18"/>
        <v>46074</v>
      </c>
      <c r="B108" s="90">
        <f t="shared" si="19"/>
        <v>46075</v>
      </c>
      <c r="C108" s="94">
        <v>1.79</v>
      </c>
      <c r="D108" s="92">
        <v>2.5099999999999998</v>
      </c>
      <c r="E108" s="72">
        <v>347</v>
      </c>
      <c r="F108" s="80">
        <v>24.8</v>
      </c>
      <c r="G108" s="72">
        <v>115</v>
      </c>
      <c r="H108" s="72">
        <v>155</v>
      </c>
      <c r="I108" s="80">
        <v>17.64</v>
      </c>
      <c r="J108" s="80">
        <v>3.94</v>
      </c>
      <c r="K108" s="80">
        <v>1.56</v>
      </c>
      <c r="L108" s="98">
        <v>2.5</v>
      </c>
      <c r="M108" s="80">
        <v>16.93</v>
      </c>
      <c r="N108" s="97">
        <v>27.13</v>
      </c>
      <c r="O108" s="97">
        <v>45.18</v>
      </c>
      <c r="P108" s="97">
        <v>58.3</v>
      </c>
      <c r="Q108" s="92">
        <v>21.5</v>
      </c>
      <c r="R108" s="92">
        <v>5.71</v>
      </c>
      <c r="S108" s="92">
        <v>3.84</v>
      </c>
      <c r="T108" s="92">
        <v>65.14</v>
      </c>
      <c r="U108" s="92">
        <v>1.49</v>
      </c>
      <c r="V108" s="92">
        <v>0.66</v>
      </c>
      <c r="W108" s="93">
        <v>1275</v>
      </c>
      <c r="X108" s="92">
        <v>2.73</v>
      </c>
      <c r="Y108" s="92">
        <v>93.83</v>
      </c>
      <c r="Z108" s="92">
        <v>2.25</v>
      </c>
      <c r="AA108" s="92">
        <v>1.49</v>
      </c>
      <c r="AB108" s="92">
        <v>46.81</v>
      </c>
      <c r="AC108" s="92">
        <v>26.38</v>
      </c>
      <c r="AD108" s="92">
        <v>8.6199999999999992</v>
      </c>
      <c r="AE108" s="92">
        <v>11.69</v>
      </c>
      <c r="AF108" s="92">
        <v>27.92</v>
      </c>
    </row>
    <row r="109" spans="1:32">
      <c r="A109" s="90">
        <f t="shared" si="18"/>
        <v>46075</v>
      </c>
      <c r="B109" s="90">
        <f t="shared" si="19"/>
        <v>46076</v>
      </c>
      <c r="C109" s="92">
        <v>2.0299999999999998</v>
      </c>
      <c r="D109" s="92">
        <v>2.48</v>
      </c>
      <c r="E109" s="93">
        <v>342</v>
      </c>
      <c r="F109" s="92">
        <v>24.4</v>
      </c>
      <c r="G109" s="93">
        <v>120</v>
      </c>
      <c r="H109" s="93">
        <v>160</v>
      </c>
      <c r="I109" s="92">
        <v>17.16</v>
      </c>
      <c r="J109" s="92">
        <v>3.78</v>
      </c>
      <c r="K109" s="92">
        <v>0.49</v>
      </c>
      <c r="L109" s="92">
        <v>2</v>
      </c>
      <c r="M109" s="92">
        <v>15.17</v>
      </c>
      <c r="N109" s="94">
        <v>25</v>
      </c>
      <c r="O109" s="94">
        <v>38.76</v>
      </c>
      <c r="P109" s="94">
        <v>58</v>
      </c>
      <c r="Q109" s="92">
        <v>20.87</v>
      </c>
      <c r="R109" s="92">
        <v>5.57</v>
      </c>
      <c r="S109" s="92">
        <v>4.03</v>
      </c>
      <c r="T109" s="92">
        <v>65.72</v>
      </c>
      <c r="U109" s="92">
        <v>1.43</v>
      </c>
      <c r="V109" s="92">
        <v>0.57999999999999996</v>
      </c>
      <c r="W109" s="93">
        <v>1288</v>
      </c>
      <c r="X109" s="92">
        <v>3.37</v>
      </c>
      <c r="Y109" s="92">
        <v>97.19</v>
      </c>
      <c r="Z109" s="92">
        <v>2.17</v>
      </c>
      <c r="AA109" s="92">
        <v>1.38</v>
      </c>
      <c r="AB109" s="92">
        <v>51.97</v>
      </c>
      <c r="AC109" s="92">
        <v>20.7</v>
      </c>
      <c r="AD109" s="100">
        <v>7.93</v>
      </c>
      <c r="AE109" s="92">
        <v>12.28</v>
      </c>
      <c r="AF109" s="92">
        <v>27.85</v>
      </c>
    </row>
    <row r="110" spans="1:32">
      <c r="A110" s="90">
        <f t="shared" si="18"/>
        <v>46076</v>
      </c>
      <c r="B110" s="90">
        <f t="shared" si="19"/>
        <v>46077</v>
      </c>
      <c r="C110" s="92">
        <v>2.39</v>
      </c>
      <c r="D110" s="92">
        <v>2.37</v>
      </c>
      <c r="E110" s="93">
        <v>333</v>
      </c>
      <c r="F110" s="92">
        <v>24.4</v>
      </c>
      <c r="G110" s="93">
        <v>110</v>
      </c>
      <c r="H110" s="93">
        <v>150</v>
      </c>
      <c r="I110" s="92">
        <v>17.079999999999998</v>
      </c>
      <c r="J110" s="92">
        <v>4.12</v>
      </c>
      <c r="K110" s="92">
        <v>1.96</v>
      </c>
      <c r="L110" s="92">
        <v>2</v>
      </c>
      <c r="M110" s="92">
        <v>15.04</v>
      </c>
      <c r="N110" s="94">
        <v>25.18</v>
      </c>
      <c r="O110" s="94">
        <v>43.08</v>
      </c>
      <c r="P110" s="94">
        <v>60.93</v>
      </c>
      <c r="Q110" s="92">
        <v>21.18</v>
      </c>
      <c r="R110" s="92">
        <v>5.63</v>
      </c>
      <c r="S110" s="92">
        <v>3.96</v>
      </c>
      <c r="T110" s="92">
        <v>65.45</v>
      </c>
      <c r="U110" s="92">
        <v>1.42</v>
      </c>
      <c r="V110" s="92">
        <v>0.56999999999999995</v>
      </c>
      <c r="W110" s="93">
        <v>1269</v>
      </c>
      <c r="X110" s="92">
        <v>3.21</v>
      </c>
      <c r="Y110" s="92">
        <v>95.55</v>
      </c>
      <c r="Z110" s="100">
        <v>2.21</v>
      </c>
      <c r="AA110" s="92">
        <v>1.43</v>
      </c>
      <c r="AB110" s="92">
        <v>48.86</v>
      </c>
      <c r="AC110" s="101">
        <v>23.93</v>
      </c>
      <c r="AD110" s="101">
        <v>8.23</v>
      </c>
      <c r="AE110" s="101">
        <v>12.04</v>
      </c>
      <c r="AF110" s="92">
        <v>27.85</v>
      </c>
    </row>
    <row r="111" spans="1:32">
      <c r="A111" s="90">
        <f t="shared" si="18"/>
        <v>46077</v>
      </c>
      <c r="B111" s="90">
        <f t="shared" si="19"/>
        <v>46078</v>
      </c>
      <c r="C111" s="92">
        <v>1.81</v>
      </c>
      <c r="D111" s="92">
        <v>2.34</v>
      </c>
      <c r="E111" s="93">
        <v>341</v>
      </c>
      <c r="F111" s="92">
        <v>24.8</v>
      </c>
      <c r="G111" s="93">
        <v>120</v>
      </c>
      <c r="H111" s="93">
        <v>160</v>
      </c>
      <c r="I111" s="92">
        <v>14.88</v>
      </c>
      <c r="J111" s="92">
        <v>3.47</v>
      </c>
      <c r="K111" s="92">
        <v>0.87</v>
      </c>
      <c r="L111" s="92">
        <v>9</v>
      </c>
      <c r="M111" s="92">
        <v>16.850000000000001</v>
      </c>
      <c r="N111" s="94">
        <v>26.24</v>
      </c>
      <c r="O111" s="94">
        <v>40.229999999999997</v>
      </c>
      <c r="P111" s="94">
        <v>56.67</v>
      </c>
      <c r="Q111" s="92">
        <v>20.896999999999998</v>
      </c>
      <c r="R111" s="92">
        <v>5.6059999999999999</v>
      </c>
      <c r="S111" s="92">
        <v>3.9760000000000004</v>
      </c>
      <c r="T111" s="92">
        <v>65.667999999999992</v>
      </c>
      <c r="U111" s="92">
        <v>1.3639999999999999</v>
      </c>
      <c r="V111" s="92">
        <v>0.57409999999999994</v>
      </c>
      <c r="W111" s="99">
        <v>1299.5</v>
      </c>
      <c r="X111" s="92">
        <v>3.2700000000000005</v>
      </c>
      <c r="Y111" s="92">
        <v>97.007267302507103</v>
      </c>
      <c r="Z111" s="92">
        <v>2.1819281692790069</v>
      </c>
      <c r="AA111" s="92">
        <v>1.4144051815649528</v>
      </c>
      <c r="AB111" s="92">
        <v>51.816475999999987</v>
      </c>
      <c r="AC111" s="92">
        <v>20.884040505600019</v>
      </c>
      <c r="AD111" s="100">
        <v>8.1285080000000001</v>
      </c>
      <c r="AE111" s="92">
        <v>12.098968000000001</v>
      </c>
      <c r="AF111" s="92">
        <v>27.54192084</v>
      </c>
    </row>
    <row r="112" spans="1:32">
      <c r="A112" s="90">
        <f t="shared" si="18"/>
        <v>46078</v>
      </c>
      <c r="B112" s="90">
        <f t="shared" si="19"/>
        <v>46079</v>
      </c>
      <c r="C112" s="92">
        <v>1.7</v>
      </c>
      <c r="D112" s="92">
        <v>2.4700000000000002</v>
      </c>
      <c r="E112" s="93">
        <v>350</v>
      </c>
      <c r="F112" s="92">
        <v>24.8</v>
      </c>
      <c r="G112" s="93">
        <v>110</v>
      </c>
      <c r="H112" s="93">
        <v>145</v>
      </c>
      <c r="I112" s="92">
        <v>17.88</v>
      </c>
      <c r="J112" s="92">
        <v>3.61</v>
      </c>
      <c r="K112" s="92">
        <v>1.39</v>
      </c>
      <c r="L112" s="92">
        <v>4.5</v>
      </c>
      <c r="M112" s="92">
        <v>16.29</v>
      </c>
      <c r="N112" s="94">
        <v>29.42</v>
      </c>
      <c r="O112" s="94">
        <v>42.87</v>
      </c>
      <c r="P112" s="94">
        <v>54.15</v>
      </c>
      <c r="Q112" s="92">
        <v>21.083333333333332</v>
      </c>
      <c r="R112" s="92">
        <v>5.6224999999999996</v>
      </c>
      <c r="S112" s="92">
        <v>3.8466666666666671</v>
      </c>
      <c r="T112" s="92">
        <v>65.634250000000009</v>
      </c>
      <c r="U112" s="92">
        <v>1.3808333333333334</v>
      </c>
      <c r="V112" s="92">
        <v>0.56524999999999992</v>
      </c>
      <c r="W112" s="99">
        <v>1295</v>
      </c>
      <c r="X112" s="92">
        <v>3.2058333333333326</v>
      </c>
      <c r="Y112" s="92">
        <v>96.310328806431926</v>
      </c>
      <c r="Z112" s="92">
        <v>2.2269706084775724</v>
      </c>
      <c r="AA112" s="92">
        <v>1.4650290444235508</v>
      </c>
      <c r="AB112" s="92">
        <v>50.59789591666663</v>
      </c>
      <c r="AC112" s="92">
        <v>22.338113987133369</v>
      </c>
      <c r="AD112" s="100">
        <v>8.3910649999999993</v>
      </c>
      <c r="AE112" s="92">
        <v>11.705406666666669</v>
      </c>
      <c r="AF112" s="92">
        <v>27.26561911666667</v>
      </c>
    </row>
    <row r="113" spans="1:32">
      <c r="A113" s="90">
        <f t="shared" si="18"/>
        <v>46079</v>
      </c>
      <c r="B113" s="90">
        <f t="shared" si="19"/>
        <v>46080</v>
      </c>
      <c r="C113" s="92">
        <v>1.75</v>
      </c>
      <c r="D113" s="92">
        <v>2.38</v>
      </c>
      <c r="E113" s="93">
        <v>356</v>
      </c>
      <c r="F113" s="92">
        <v>24.4</v>
      </c>
      <c r="G113" s="93">
        <v>110</v>
      </c>
      <c r="H113" s="93">
        <v>145</v>
      </c>
      <c r="I113" s="92">
        <v>17.48</v>
      </c>
      <c r="J113" s="92">
        <v>4.5199999999999996</v>
      </c>
      <c r="K113" s="92">
        <v>0.57999999999999996</v>
      </c>
      <c r="L113" s="92">
        <v>21</v>
      </c>
      <c r="M113" s="92">
        <v>16.57</v>
      </c>
      <c r="N113" s="94">
        <v>27.78</v>
      </c>
      <c r="O113" s="94">
        <v>41.9</v>
      </c>
      <c r="P113" s="94">
        <v>55.62</v>
      </c>
      <c r="Q113" s="92">
        <v>20.66</v>
      </c>
      <c r="R113" s="92">
        <v>5.68</v>
      </c>
      <c r="S113" s="92">
        <v>3.91</v>
      </c>
      <c r="T113" s="92">
        <v>65.709999999999994</v>
      </c>
      <c r="U113" s="92">
        <v>1.44</v>
      </c>
      <c r="V113" s="92">
        <v>0.63</v>
      </c>
      <c r="W113" s="99">
        <v>1248</v>
      </c>
      <c r="X113" s="92">
        <v>3.67</v>
      </c>
      <c r="Y113" s="92">
        <v>97.96</v>
      </c>
      <c r="Z113" s="92">
        <v>2.16</v>
      </c>
      <c r="AA113" s="92">
        <v>1.46</v>
      </c>
      <c r="AB113" s="92">
        <v>51.78</v>
      </c>
      <c r="AC113" s="92">
        <v>20.23</v>
      </c>
      <c r="AD113" s="100">
        <v>8.44</v>
      </c>
      <c r="AE113" s="92">
        <v>11.89</v>
      </c>
      <c r="AF113" s="92">
        <v>27.9</v>
      </c>
    </row>
    <row r="114" spans="1:32">
      <c r="A114" s="90">
        <f t="shared" si="18"/>
        <v>46080</v>
      </c>
      <c r="B114" s="90">
        <f t="shared" si="19"/>
        <v>46081</v>
      </c>
      <c r="C114" s="92">
        <v>1.81</v>
      </c>
      <c r="D114" s="92">
        <v>2.7</v>
      </c>
      <c r="E114" s="93">
        <v>346</v>
      </c>
      <c r="F114" s="92">
        <v>24.4</v>
      </c>
      <c r="G114" s="93">
        <v>115</v>
      </c>
      <c r="H114" s="93">
        <v>150</v>
      </c>
      <c r="I114" s="92">
        <v>18.48</v>
      </c>
      <c r="J114" s="92">
        <v>4.71</v>
      </c>
      <c r="K114" s="92">
        <v>0.68</v>
      </c>
      <c r="L114" s="92">
        <v>2.5</v>
      </c>
      <c r="M114" s="92">
        <v>15.62</v>
      </c>
      <c r="N114" s="94">
        <v>25.36</v>
      </c>
      <c r="O114" s="94">
        <v>39.06</v>
      </c>
      <c r="P114" s="94">
        <v>54.47</v>
      </c>
      <c r="Q114" s="92">
        <v>21.296666666666663</v>
      </c>
      <c r="R114" s="92">
        <v>5.8241666666666667</v>
      </c>
      <c r="S114" s="92">
        <v>3.5541666666666667</v>
      </c>
      <c r="T114" s="92">
        <v>65.529166666666669</v>
      </c>
      <c r="U114" s="92">
        <v>1.5099999999999998</v>
      </c>
      <c r="V114" s="92">
        <v>0.69601666666666662</v>
      </c>
      <c r="W114" s="99">
        <v>1305.8333333333333</v>
      </c>
      <c r="X114" s="92">
        <v>2.5858333333333339</v>
      </c>
      <c r="Y114" s="92">
        <v>95.270514485416058</v>
      </c>
      <c r="Z114" s="92">
        <v>2.2726058372837614</v>
      </c>
      <c r="AA114" s="92">
        <v>1.6500439214136706</v>
      </c>
      <c r="AB114" s="92">
        <v>50.13583999999998</v>
      </c>
      <c r="AC114" s="92">
        <v>23.29895563733335</v>
      </c>
      <c r="AD114" s="100">
        <v>9.4203916666666654</v>
      </c>
      <c r="AE114" s="92">
        <v>10.815329166666666</v>
      </c>
      <c r="AF114" s="92">
        <v>27.710753624999999</v>
      </c>
    </row>
    <row r="115" spans="1:32">
      <c r="A115" s="90">
        <f t="shared" si="18"/>
        <v>46081</v>
      </c>
      <c r="B115" s="90">
        <f t="shared" si="19"/>
        <v>46082</v>
      </c>
      <c r="C115" s="92">
        <v>1.75</v>
      </c>
      <c r="D115" s="92">
        <v>2.38</v>
      </c>
      <c r="E115" s="93">
        <v>344</v>
      </c>
      <c r="F115" s="92">
        <v>24.8</v>
      </c>
      <c r="G115" s="93">
        <v>115</v>
      </c>
      <c r="H115" s="93">
        <v>160</v>
      </c>
      <c r="I115" s="92">
        <v>17.64</v>
      </c>
      <c r="J115" s="92">
        <v>2.83</v>
      </c>
      <c r="K115" s="92">
        <v>0.68</v>
      </c>
      <c r="L115" s="92">
        <v>12</v>
      </c>
      <c r="M115" s="92">
        <v>15.36</v>
      </c>
      <c r="N115" s="94">
        <v>25.3</v>
      </c>
      <c r="O115" s="94">
        <v>48.41</v>
      </c>
      <c r="P115" s="94">
        <v>62.83</v>
      </c>
      <c r="Q115" s="92">
        <v>20.84</v>
      </c>
      <c r="R115" s="92">
        <v>5.31</v>
      </c>
      <c r="S115" s="92">
        <v>4</v>
      </c>
      <c r="T115" s="92">
        <v>66.14</v>
      </c>
      <c r="U115" s="92">
        <v>1.43</v>
      </c>
      <c r="V115" s="92">
        <v>0.37</v>
      </c>
      <c r="W115" s="99">
        <v>1265</v>
      </c>
      <c r="X115" s="92">
        <v>3.18</v>
      </c>
      <c r="Y115" s="92">
        <v>98.44</v>
      </c>
      <c r="Z115" s="92">
        <v>2.2400000000000002</v>
      </c>
      <c r="AA115" s="92">
        <v>1.33</v>
      </c>
      <c r="AB115" s="92">
        <v>56.46</v>
      </c>
      <c r="AC115" s="92">
        <v>17.22</v>
      </c>
      <c r="AD115" s="100">
        <v>7.32</v>
      </c>
      <c r="AE115" s="92">
        <v>12.17</v>
      </c>
      <c r="AF115" s="92">
        <v>26.72</v>
      </c>
    </row>
    <row r="116" spans="1:32">
      <c r="A116" s="324" t="s">
        <v>31</v>
      </c>
      <c r="B116" s="324"/>
      <c r="C116" s="95">
        <f t="shared" ref="C116:AF116" si="20">MIN(C88:C115)</f>
        <v>1.24</v>
      </c>
      <c r="D116" s="95">
        <f t="shared" si="20"/>
        <v>2.34</v>
      </c>
      <c r="E116" s="96">
        <f t="shared" si="20"/>
        <v>319</v>
      </c>
      <c r="F116" s="95">
        <f t="shared" si="20"/>
        <v>24.2</v>
      </c>
      <c r="G116" s="96">
        <f t="shared" si="20"/>
        <v>100</v>
      </c>
      <c r="H116" s="96">
        <f t="shared" si="20"/>
        <v>130</v>
      </c>
      <c r="I116" s="95">
        <f t="shared" si="20"/>
        <v>13.36</v>
      </c>
      <c r="J116" s="95">
        <f t="shared" si="20"/>
        <v>2.83</v>
      </c>
      <c r="K116" s="95">
        <f t="shared" si="20"/>
        <v>0.37</v>
      </c>
      <c r="L116" s="95">
        <f t="shared" si="20"/>
        <v>0.5</v>
      </c>
      <c r="M116" s="95">
        <f t="shared" si="20"/>
        <v>14.27</v>
      </c>
      <c r="N116" s="95">
        <f t="shared" si="20"/>
        <v>24.79</v>
      </c>
      <c r="O116" s="95">
        <f t="shared" si="20"/>
        <v>38.200000000000003</v>
      </c>
      <c r="P116" s="95">
        <f t="shared" si="20"/>
        <v>50.92</v>
      </c>
      <c r="Q116" s="95">
        <f t="shared" si="20"/>
        <v>20.2</v>
      </c>
      <c r="R116" s="95">
        <f t="shared" si="20"/>
        <v>5.31</v>
      </c>
      <c r="S116" s="95">
        <f t="shared" si="20"/>
        <v>3.54</v>
      </c>
      <c r="T116" s="95">
        <f t="shared" si="20"/>
        <v>65.14</v>
      </c>
      <c r="U116" s="95">
        <f t="shared" si="20"/>
        <v>1.3639999999999999</v>
      </c>
      <c r="V116" s="95">
        <f t="shared" si="20"/>
        <v>0.37</v>
      </c>
      <c r="W116" s="96">
        <f t="shared" si="20"/>
        <v>1248</v>
      </c>
      <c r="X116" s="95">
        <f t="shared" si="20"/>
        <v>2.5858333333333339</v>
      </c>
      <c r="Y116" s="95">
        <f t="shared" si="20"/>
        <v>93.83</v>
      </c>
      <c r="Z116" s="95">
        <f t="shared" si="20"/>
        <v>2.0176363490699214</v>
      </c>
      <c r="AA116" s="95">
        <f t="shared" si="20"/>
        <v>1.29</v>
      </c>
      <c r="AB116" s="95">
        <f t="shared" si="20"/>
        <v>46.81</v>
      </c>
      <c r="AC116" s="95">
        <f t="shared" si="20"/>
        <v>17.180180827333363</v>
      </c>
      <c r="AD116" s="95">
        <f t="shared" si="20"/>
        <v>7.12</v>
      </c>
      <c r="AE116" s="95">
        <f t="shared" si="20"/>
        <v>10.76</v>
      </c>
      <c r="AF116" s="95">
        <f t="shared" si="20"/>
        <v>26.72</v>
      </c>
    </row>
    <row r="117" spans="1:32">
      <c r="A117" s="324" t="s">
        <v>33</v>
      </c>
      <c r="B117" s="324"/>
      <c r="C117" s="95">
        <f t="shared" ref="C117:AF117" si="21">MAX(C88:C115)</f>
        <v>2.39</v>
      </c>
      <c r="D117" s="95">
        <f t="shared" si="21"/>
        <v>3.01</v>
      </c>
      <c r="E117" s="96">
        <f t="shared" si="21"/>
        <v>377</v>
      </c>
      <c r="F117" s="95">
        <f t="shared" si="21"/>
        <v>25.2</v>
      </c>
      <c r="G117" s="96">
        <f t="shared" si="21"/>
        <v>125</v>
      </c>
      <c r="H117" s="96">
        <f t="shared" si="21"/>
        <v>160</v>
      </c>
      <c r="I117" s="95">
        <f t="shared" si="21"/>
        <v>20.04</v>
      </c>
      <c r="J117" s="95">
        <f t="shared" si="21"/>
        <v>7.68</v>
      </c>
      <c r="K117" s="95">
        <f t="shared" si="21"/>
        <v>1.96</v>
      </c>
      <c r="L117" s="95">
        <f t="shared" si="21"/>
        <v>41.5</v>
      </c>
      <c r="M117" s="95">
        <f t="shared" si="21"/>
        <v>17.940000000000001</v>
      </c>
      <c r="N117" s="95">
        <f t="shared" si="21"/>
        <v>29.85</v>
      </c>
      <c r="O117" s="95">
        <f t="shared" si="21"/>
        <v>54.29</v>
      </c>
      <c r="P117" s="95">
        <f t="shared" si="21"/>
        <v>62.83</v>
      </c>
      <c r="Q117" s="95">
        <f t="shared" si="21"/>
        <v>21.5</v>
      </c>
      <c r="R117" s="95">
        <f t="shared" si="21"/>
        <v>6.28</v>
      </c>
      <c r="S117" s="95">
        <f t="shared" si="21"/>
        <v>4.22</v>
      </c>
      <c r="T117" s="95">
        <f t="shared" si="21"/>
        <v>66.14</v>
      </c>
      <c r="U117" s="95">
        <f t="shared" si="21"/>
        <v>1.75</v>
      </c>
      <c r="V117" s="95">
        <f t="shared" si="21"/>
        <v>0.83</v>
      </c>
      <c r="W117" s="96">
        <f t="shared" si="21"/>
        <v>1358</v>
      </c>
      <c r="X117" s="95">
        <f t="shared" si="21"/>
        <v>3.67</v>
      </c>
      <c r="Y117" s="95">
        <f t="shared" si="21"/>
        <v>99.277022336187983</v>
      </c>
      <c r="Z117" s="95">
        <f t="shared" si="21"/>
        <v>2.2726058372837614</v>
      </c>
      <c r="AA117" s="95">
        <f t="shared" si="21"/>
        <v>1.68</v>
      </c>
      <c r="AB117" s="95">
        <f t="shared" si="21"/>
        <v>56.46</v>
      </c>
      <c r="AC117" s="95">
        <f t="shared" si="21"/>
        <v>26.38</v>
      </c>
      <c r="AD117" s="95">
        <f t="shared" si="21"/>
        <v>10.31</v>
      </c>
      <c r="AE117" s="95">
        <f t="shared" si="21"/>
        <v>12.83</v>
      </c>
      <c r="AF117" s="95">
        <f t="shared" si="21"/>
        <v>29.52</v>
      </c>
    </row>
    <row r="118" spans="1:32">
      <c r="A118" s="324" t="s">
        <v>36</v>
      </c>
      <c r="B118" s="324"/>
      <c r="C118" s="95">
        <f t="shared" ref="C118:AF118" si="22">AVERAGE(C88:C115)</f>
        <v>1.7553846153846158</v>
      </c>
      <c r="D118" s="95">
        <f t="shared" si="22"/>
        <v>2.553461538461538</v>
      </c>
      <c r="E118" s="96">
        <f t="shared" si="22"/>
        <v>343.34615384615387</v>
      </c>
      <c r="F118" s="95">
        <f t="shared" si="22"/>
        <v>24.623076923076916</v>
      </c>
      <c r="G118" s="96">
        <f t="shared" si="22"/>
        <v>111.53846153846153</v>
      </c>
      <c r="H118" s="96">
        <f t="shared" si="22"/>
        <v>146.92307692307693</v>
      </c>
      <c r="I118" s="95">
        <f t="shared" si="22"/>
        <v>17.303076923076922</v>
      </c>
      <c r="J118" s="95">
        <f t="shared" si="22"/>
        <v>4.0350000000000001</v>
      </c>
      <c r="K118" s="95">
        <f t="shared" si="22"/>
        <v>0.85834615384615398</v>
      </c>
      <c r="L118" s="95">
        <f t="shared" si="22"/>
        <v>10.057692307692308</v>
      </c>
      <c r="M118" s="95">
        <f t="shared" si="22"/>
        <v>16.081923076923083</v>
      </c>
      <c r="N118" s="95">
        <f t="shared" si="22"/>
        <v>27.018076923076919</v>
      </c>
      <c r="O118" s="95">
        <f t="shared" si="22"/>
        <v>42.626153846153848</v>
      </c>
      <c r="P118" s="95">
        <f t="shared" si="22"/>
        <v>55.45538461538461</v>
      </c>
      <c r="Q118" s="95">
        <f t="shared" si="22"/>
        <v>20.778762820512821</v>
      </c>
      <c r="R118" s="95">
        <f t="shared" si="22"/>
        <v>5.7956474358974353</v>
      </c>
      <c r="S118" s="95">
        <f t="shared" si="22"/>
        <v>3.8937243589743584</v>
      </c>
      <c r="T118" s="95">
        <f t="shared" si="22"/>
        <v>65.642650641025654</v>
      </c>
      <c r="U118" s="95">
        <f t="shared" si="22"/>
        <v>1.489865384615384</v>
      </c>
      <c r="V118" s="95">
        <f t="shared" si="22"/>
        <v>0.5957544871794872</v>
      </c>
      <c r="W118" s="96">
        <f t="shared" si="22"/>
        <v>1302.4102564102566</v>
      </c>
      <c r="X118" s="95">
        <f t="shared" si="22"/>
        <v>3.2747435897435904</v>
      </c>
      <c r="Y118" s="95">
        <f t="shared" si="22"/>
        <v>97.220763384055829</v>
      </c>
      <c r="Z118" s="95">
        <f t="shared" si="22"/>
        <v>2.149032615101258</v>
      </c>
      <c r="AA118" s="95">
        <f t="shared" si="22"/>
        <v>1.4966297519817064</v>
      </c>
      <c r="AB118" s="95">
        <f t="shared" si="22"/>
        <v>51.440036644230759</v>
      </c>
      <c r="AC118" s="95">
        <f t="shared" si="22"/>
        <v>20.829954727387193</v>
      </c>
      <c r="AD118" s="95">
        <f t="shared" si="22"/>
        <v>8.7688902435897429</v>
      </c>
      <c r="AE118" s="95">
        <f t="shared" si="22"/>
        <v>11.84809207051282</v>
      </c>
      <c r="AF118" s="95">
        <f t="shared" si="22"/>
        <v>28.223674116602567</v>
      </c>
    </row>
    <row r="119" spans="1:32">
      <c r="A119" s="324" t="s">
        <v>130</v>
      </c>
      <c r="B119" s="324"/>
      <c r="C119" s="95">
        <f t="shared" ref="C119:AF119" si="23">STDEV(C88:C115)</f>
        <v>0.23891807414644095</v>
      </c>
      <c r="D119" s="95">
        <f t="shared" si="23"/>
        <v>0.17942000574500733</v>
      </c>
      <c r="E119" s="96">
        <f t="shared" si="23"/>
        <v>13.284403811062978</v>
      </c>
      <c r="F119" s="95">
        <f t="shared" si="23"/>
        <v>0.24216967986549062</v>
      </c>
      <c r="G119" s="96">
        <f t="shared" si="23"/>
        <v>7.0383564515063837</v>
      </c>
      <c r="H119" s="96">
        <f t="shared" si="23"/>
        <v>8.9528680406809382</v>
      </c>
      <c r="I119" s="95">
        <f t="shared" si="23"/>
        <v>1.5597404123270491</v>
      </c>
      <c r="J119" s="95">
        <f t="shared" si="23"/>
        <v>1.0052830447192476</v>
      </c>
      <c r="K119" s="95">
        <f t="shared" si="23"/>
        <v>0.40069728647024183</v>
      </c>
      <c r="L119" s="95">
        <f t="shared" si="23"/>
        <v>11.516359601086554</v>
      </c>
      <c r="M119" s="95">
        <f t="shared" si="23"/>
        <v>0.89527211162090525</v>
      </c>
      <c r="N119" s="95">
        <f t="shared" si="23"/>
        <v>1.7666850748920007</v>
      </c>
      <c r="O119" s="95">
        <f t="shared" si="23"/>
        <v>4.0061004250248908</v>
      </c>
      <c r="P119" s="95">
        <f t="shared" si="23"/>
        <v>2.854899270754371</v>
      </c>
      <c r="Q119" s="95">
        <f t="shared" si="23"/>
        <v>0.31921578620486979</v>
      </c>
      <c r="R119" s="95">
        <f t="shared" si="23"/>
        <v>0.24566765864532009</v>
      </c>
      <c r="S119" s="95">
        <f t="shared" si="23"/>
        <v>0.15108293485740934</v>
      </c>
      <c r="T119" s="95">
        <f t="shared" si="23"/>
        <v>0.18177928622253103</v>
      </c>
      <c r="U119" s="95">
        <f t="shared" si="23"/>
        <v>8.2014186025356095E-2</v>
      </c>
      <c r="V119" s="95">
        <f t="shared" si="23"/>
        <v>9.5120905817303425E-2</v>
      </c>
      <c r="W119" s="96">
        <f t="shared" si="23"/>
        <v>28.804840672252393</v>
      </c>
      <c r="X119" s="95">
        <f t="shared" si="23"/>
        <v>0.28546237047510292</v>
      </c>
      <c r="Y119" s="95">
        <f t="shared" si="23"/>
        <v>1.1992802895197372</v>
      </c>
      <c r="Z119" s="95">
        <f t="shared" si="23"/>
        <v>8.0249314697869042E-2</v>
      </c>
      <c r="AA119" s="95">
        <f t="shared" si="23"/>
        <v>9.973184247104229E-2</v>
      </c>
      <c r="AB119" s="95">
        <f t="shared" si="23"/>
        <v>1.9218547215341935</v>
      </c>
      <c r="AC119" s="95">
        <f t="shared" si="23"/>
        <v>2.0974453512079227</v>
      </c>
      <c r="AD119" s="95">
        <f t="shared" si="23"/>
        <v>0.78298992049813521</v>
      </c>
      <c r="AE119" s="95">
        <f t="shared" si="23"/>
        <v>0.45978801040502043</v>
      </c>
      <c r="AF119" s="95">
        <f t="shared" si="23"/>
        <v>0.78284610081610939</v>
      </c>
    </row>
    <row r="121" spans="1:32">
      <c r="A121" s="325" t="s">
        <v>0</v>
      </c>
      <c r="B121" s="325"/>
      <c r="C121" s="325"/>
      <c r="D121" s="325"/>
      <c r="E121" s="325"/>
      <c r="F121" s="325"/>
      <c r="G121" s="325"/>
      <c r="H121" s="325"/>
      <c r="I121" s="325"/>
      <c r="J121" s="325"/>
      <c r="K121" s="325"/>
      <c r="L121" s="325"/>
      <c r="M121" s="325"/>
      <c r="N121" s="325"/>
      <c r="O121" s="325"/>
      <c r="P121" s="325"/>
      <c r="Q121" s="325"/>
      <c r="R121" s="325"/>
      <c r="S121" s="325"/>
      <c r="T121" s="325"/>
      <c r="U121" s="325"/>
      <c r="V121" s="325"/>
      <c r="W121" s="325"/>
      <c r="X121" s="325"/>
      <c r="Y121" s="325"/>
      <c r="Z121" s="325"/>
      <c r="AA121" s="325"/>
      <c r="AB121" s="325"/>
      <c r="AC121" s="325"/>
      <c r="AD121" s="325"/>
      <c r="AE121" s="325"/>
      <c r="AF121" s="325"/>
    </row>
    <row r="122" spans="1:32">
      <c r="A122" s="325" t="s">
        <v>106</v>
      </c>
      <c r="B122" s="325"/>
      <c r="C122" s="325"/>
      <c r="D122" s="325"/>
      <c r="E122" s="325"/>
      <c r="F122" s="325"/>
      <c r="G122" s="325"/>
      <c r="H122" s="325"/>
      <c r="I122" s="325"/>
      <c r="J122" s="325"/>
      <c r="K122" s="325"/>
      <c r="L122" s="325"/>
      <c r="M122" s="325"/>
      <c r="N122" s="325"/>
      <c r="O122" s="325"/>
      <c r="P122" s="325"/>
      <c r="Q122" s="325"/>
      <c r="R122" s="325"/>
      <c r="S122" s="325"/>
      <c r="T122" s="325"/>
      <c r="U122" s="325"/>
      <c r="V122" s="325"/>
      <c r="W122" s="325"/>
      <c r="X122" s="325"/>
      <c r="Y122" s="325"/>
      <c r="Z122" s="325"/>
      <c r="AA122" s="325"/>
      <c r="AB122" s="325"/>
      <c r="AC122" s="325" t="s">
        <v>107</v>
      </c>
      <c r="AD122" s="325"/>
      <c r="AE122" s="326">
        <v>46082</v>
      </c>
      <c r="AF122" s="326"/>
    </row>
    <row r="123" spans="1:32">
      <c r="A123" s="327"/>
      <c r="B123" s="327"/>
      <c r="C123" s="328" t="s">
        <v>108</v>
      </c>
      <c r="D123" s="328"/>
      <c r="E123" s="328"/>
      <c r="F123" s="328"/>
      <c r="G123" s="328"/>
      <c r="H123" s="328"/>
      <c r="I123" s="328"/>
      <c r="J123" s="328"/>
      <c r="K123" s="328"/>
      <c r="L123" s="328"/>
      <c r="M123" s="328"/>
      <c r="N123" s="328"/>
      <c r="O123" s="328"/>
      <c r="P123" s="328"/>
      <c r="Q123" s="329" t="s">
        <v>109</v>
      </c>
      <c r="R123" s="329"/>
      <c r="S123" s="329"/>
      <c r="T123" s="329"/>
      <c r="U123" s="329"/>
      <c r="V123" s="329"/>
      <c r="W123" s="329"/>
      <c r="X123" s="329"/>
      <c r="Y123" s="329"/>
      <c r="Z123" s="329"/>
      <c r="AA123" s="329"/>
      <c r="AB123" s="329"/>
      <c r="AC123" s="329"/>
      <c r="AD123" s="329"/>
      <c r="AE123" s="329"/>
      <c r="AF123" s="329"/>
    </row>
    <row r="124" spans="1:32" ht="38.25">
      <c r="A124" s="5" t="s">
        <v>110</v>
      </c>
      <c r="B124" s="5" t="s">
        <v>111</v>
      </c>
      <c r="C124" s="64" t="s">
        <v>83</v>
      </c>
      <c r="D124" s="64" t="s">
        <v>81</v>
      </c>
      <c r="E124" s="89" t="s">
        <v>112</v>
      </c>
      <c r="F124" s="64" t="s">
        <v>113</v>
      </c>
      <c r="G124" s="89" t="s">
        <v>114</v>
      </c>
      <c r="H124" s="89" t="s">
        <v>115</v>
      </c>
      <c r="I124" s="64" t="s">
        <v>116</v>
      </c>
      <c r="J124" s="64" t="s">
        <v>117</v>
      </c>
      <c r="K124" s="64" t="s">
        <v>118</v>
      </c>
      <c r="L124" s="64" t="s">
        <v>119</v>
      </c>
      <c r="M124" s="64" t="s">
        <v>9</v>
      </c>
      <c r="N124" s="64" t="s">
        <v>120</v>
      </c>
      <c r="O124" s="64" t="s">
        <v>121</v>
      </c>
      <c r="P124" s="64" t="s">
        <v>122</v>
      </c>
      <c r="Q124" s="64" t="s">
        <v>74</v>
      </c>
      <c r="R124" s="64" t="s">
        <v>75</v>
      </c>
      <c r="S124" s="64" t="s">
        <v>76</v>
      </c>
      <c r="T124" s="64" t="s">
        <v>77</v>
      </c>
      <c r="U124" s="64" t="s">
        <v>78</v>
      </c>
      <c r="V124" s="64" t="s">
        <v>81</v>
      </c>
      <c r="W124" s="89" t="s">
        <v>123</v>
      </c>
      <c r="X124" s="64" t="s">
        <v>100</v>
      </c>
      <c r="Y124" s="64" t="s">
        <v>87</v>
      </c>
      <c r="Z124" s="64" t="s">
        <v>88</v>
      </c>
      <c r="AA124" s="64" t="s">
        <v>89</v>
      </c>
      <c r="AB124" s="64" t="s">
        <v>101</v>
      </c>
      <c r="AC124" s="64" t="s">
        <v>102</v>
      </c>
      <c r="AD124" s="64" t="s">
        <v>103</v>
      </c>
      <c r="AE124" s="64" t="s">
        <v>104</v>
      </c>
      <c r="AF124" s="64" t="s">
        <v>105</v>
      </c>
    </row>
    <row r="125" spans="1:32">
      <c r="A125" s="322" t="s">
        <v>124</v>
      </c>
      <c r="B125" s="323"/>
      <c r="C125" s="64" t="s">
        <v>53</v>
      </c>
      <c r="D125" s="64" t="s">
        <v>53</v>
      </c>
      <c r="E125" s="64" t="s">
        <v>125</v>
      </c>
      <c r="F125" s="64" t="s">
        <v>53</v>
      </c>
      <c r="G125" s="64" t="s">
        <v>126</v>
      </c>
      <c r="H125" s="64" t="s">
        <v>126</v>
      </c>
      <c r="I125" s="64" t="s">
        <v>53</v>
      </c>
      <c r="J125" s="64" t="s">
        <v>53</v>
      </c>
      <c r="K125" s="64" t="s">
        <v>53</v>
      </c>
      <c r="L125" s="64" t="s">
        <v>127</v>
      </c>
      <c r="M125" s="64" t="s">
        <v>128</v>
      </c>
      <c r="N125" s="64" t="s">
        <v>128</v>
      </c>
      <c r="O125" s="64" t="s">
        <v>128</v>
      </c>
      <c r="P125" s="64" t="s">
        <v>128</v>
      </c>
      <c r="Q125" s="64" t="s">
        <v>53</v>
      </c>
      <c r="R125" s="64" t="s">
        <v>53</v>
      </c>
      <c r="S125" s="64" t="s">
        <v>53</v>
      </c>
      <c r="T125" s="64" t="s">
        <v>53</v>
      </c>
      <c r="U125" s="64" t="s">
        <v>53</v>
      </c>
      <c r="V125" s="64" t="s">
        <v>53</v>
      </c>
      <c r="W125" s="64" t="s">
        <v>129</v>
      </c>
      <c r="X125" s="64" t="s">
        <v>53</v>
      </c>
      <c r="Y125" s="64" t="s">
        <v>53</v>
      </c>
      <c r="Z125" s="64" t="s">
        <v>53</v>
      </c>
      <c r="AA125" s="64" t="s">
        <v>53</v>
      </c>
      <c r="AB125" s="64" t="s">
        <v>53</v>
      </c>
      <c r="AC125" s="64" t="s">
        <v>53</v>
      </c>
      <c r="AD125" s="64" t="s">
        <v>53</v>
      </c>
      <c r="AE125" s="64" t="s">
        <v>53</v>
      </c>
      <c r="AF125" s="64" t="s">
        <v>53</v>
      </c>
    </row>
    <row r="126" spans="1:32">
      <c r="A126" s="90">
        <f>AE122+0</f>
        <v>46082</v>
      </c>
      <c r="B126" s="90">
        <f>A126+1</f>
        <v>46083</v>
      </c>
      <c r="C126" s="80">
        <v>1.88</v>
      </c>
      <c r="D126" s="80">
        <v>2.52</v>
      </c>
      <c r="E126" s="72">
        <v>352</v>
      </c>
      <c r="F126" s="80">
        <v>24.4</v>
      </c>
      <c r="G126" s="72">
        <v>115</v>
      </c>
      <c r="H126" s="72">
        <v>150</v>
      </c>
      <c r="I126" s="80">
        <v>18.16</v>
      </c>
      <c r="J126" s="80">
        <v>3.06</v>
      </c>
      <c r="K126" s="80">
        <v>0.84</v>
      </c>
      <c r="L126" s="80">
        <v>10</v>
      </c>
      <c r="M126" s="80">
        <v>16.3</v>
      </c>
      <c r="N126" s="97">
        <v>25.15</v>
      </c>
      <c r="O126" s="97">
        <v>44.56</v>
      </c>
      <c r="P126" s="97">
        <v>54.66</v>
      </c>
      <c r="Q126" s="92">
        <v>20.72</v>
      </c>
      <c r="R126" s="92">
        <v>5.54</v>
      </c>
      <c r="S126" s="92">
        <v>3.9</v>
      </c>
      <c r="T126" s="92">
        <v>65.88</v>
      </c>
      <c r="U126" s="92">
        <v>1.62</v>
      </c>
      <c r="V126" s="92">
        <v>0.48</v>
      </c>
      <c r="W126" s="99">
        <v>1255</v>
      </c>
      <c r="X126" s="92">
        <v>3.24</v>
      </c>
      <c r="Y126" s="92">
        <v>98.22</v>
      </c>
      <c r="Z126" s="92">
        <v>2.2000000000000002</v>
      </c>
      <c r="AA126" s="92">
        <v>1.42</v>
      </c>
      <c r="AB126" s="92">
        <v>54.73</v>
      </c>
      <c r="AC126" s="92">
        <v>18.170000000000002</v>
      </c>
      <c r="AD126" s="100">
        <v>8.06</v>
      </c>
      <c r="AE126" s="92">
        <v>11.88</v>
      </c>
      <c r="AF126" s="92">
        <v>27.49</v>
      </c>
    </row>
    <row r="127" spans="1:32">
      <c r="A127" s="90">
        <f t="shared" ref="A127:A154" si="24">A126+1</f>
        <v>46083</v>
      </c>
      <c r="B127" s="90">
        <f t="shared" ref="B127:B154" si="25">A127+1</f>
        <v>46084</v>
      </c>
      <c r="C127" s="80">
        <v>1.67</v>
      </c>
      <c r="D127" s="80">
        <v>2.79</v>
      </c>
      <c r="E127" s="72">
        <v>368</v>
      </c>
      <c r="F127" s="80">
        <v>24.4</v>
      </c>
      <c r="G127" s="72">
        <v>110</v>
      </c>
      <c r="H127" s="72">
        <v>140</v>
      </c>
      <c r="I127" s="80">
        <v>14.12</v>
      </c>
      <c r="J127" s="80">
        <v>3.52</v>
      </c>
      <c r="K127" s="80">
        <v>0.93</v>
      </c>
      <c r="L127" s="80">
        <v>2</v>
      </c>
      <c r="M127" s="80">
        <v>17.41</v>
      </c>
      <c r="N127" s="97">
        <v>25.27</v>
      </c>
      <c r="O127" s="97">
        <v>45.4</v>
      </c>
      <c r="P127" s="97">
        <v>54.36</v>
      </c>
      <c r="Q127" s="92">
        <v>20.399999999999999</v>
      </c>
      <c r="R127" s="92">
        <v>5.72</v>
      </c>
      <c r="S127" s="92">
        <v>4.0999999999999996</v>
      </c>
      <c r="T127" s="92">
        <v>66.13</v>
      </c>
      <c r="U127" s="92">
        <v>1.54</v>
      </c>
      <c r="V127" s="92">
        <v>0.3</v>
      </c>
      <c r="W127" s="99">
        <v>1282</v>
      </c>
      <c r="X127" s="92">
        <v>2.84</v>
      </c>
      <c r="Y127" s="92">
        <v>99.41</v>
      </c>
      <c r="Z127" s="92">
        <v>2.08</v>
      </c>
      <c r="AA127" s="92">
        <v>1.4</v>
      </c>
      <c r="AB127" s="92">
        <v>58.24</v>
      </c>
      <c r="AC127" s="92">
        <v>14.62</v>
      </c>
      <c r="AD127" s="100">
        <v>8.2200000000000006</v>
      </c>
      <c r="AE127" s="92">
        <v>12.49</v>
      </c>
      <c r="AF127" s="92">
        <v>28.25</v>
      </c>
    </row>
    <row r="128" spans="1:32">
      <c r="A128" s="90">
        <f t="shared" si="24"/>
        <v>46084</v>
      </c>
      <c r="B128" s="90">
        <f t="shared" si="25"/>
        <v>46085</v>
      </c>
      <c r="C128" s="80">
        <v>1.84</v>
      </c>
      <c r="D128" s="80">
        <v>2.2799999999999998</v>
      </c>
      <c r="E128" s="72">
        <v>381</v>
      </c>
      <c r="F128" s="80">
        <v>27.4</v>
      </c>
      <c r="G128" s="72">
        <v>115</v>
      </c>
      <c r="H128" s="72">
        <v>145</v>
      </c>
      <c r="I128" s="80">
        <v>21.04</v>
      </c>
      <c r="J128" s="80">
        <v>5.31</v>
      </c>
      <c r="K128" s="80">
        <v>1.71</v>
      </c>
      <c r="L128" s="80">
        <v>0.5</v>
      </c>
      <c r="M128" s="80">
        <v>16</v>
      </c>
      <c r="N128" s="97">
        <v>25.31</v>
      </c>
      <c r="O128" s="97">
        <v>38.9</v>
      </c>
      <c r="P128" s="97">
        <v>54.62</v>
      </c>
      <c r="Q128" s="92">
        <v>20.856666666666666</v>
      </c>
      <c r="R128" s="92">
        <v>5.7791666666666677</v>
      </c>
      <c r="S128" s="92">
        <v>3.9816666666666669</v>
      </c>
      <c r="T128" s="92">
        <v>65.608333333333334</v>
      </c>
      <c r="U128" s="92">
        <v>1.5358333333333336</v>
      </c>
      <c r="V128" s="92">
        <v>0.6196666666666667</v>
      </c>
      <c r="W128" s="99">
        <v>1261.6666666666667</v>
      </c>
      <c r="X128" s="92">
        <v>3.1050000000000004</v>
      </c>
      <c r="Y128" s="92">
        <v>96.85075515022875</v>
      </c>
      <c r="Z128" s="92">
        <v>2.1392982620869372</v>
      </c>
      <c r="AA128" s="92">
        <v>1.458053476035859</v>
      </c>
      <c r="AB128" s="92">
        <v>51.38046499999998</v>
      </c>
      <c r="AC128" s="92">
        <v>21.097210537333357</v>
      </c>
      <c r="AD128" s="100">
        <v>8.5778116666666637</v>
      </c>
      <c r="AE128" s="92">
        <v>12.116211666666667</v>
      </c>
      <c r="AF128" s="92">
        <v>28.1462796</v>
      </c>
    </row>
    <row r="129" spans="1:32">
      <c r="A129" s="90">
        <f t="shared" si="24"/>
        <v>46085</v>
      </c>
      <c r="B129" s="90">
        <f t="shared" si="25"/>
        <v>46086</v>
      </c>
      <c r="C129" s="80">
        <v>1.78</v>
      </c>
      <c r="D129" s="80">
        <v>2.36</v>
      </c>
      <c r="E129" s="72">
        <v>372</v>
      </c>
      <c r="F129" s="80">
        <v>27.2</v>
      </c>
      <c r="G129" s="72">
        <v>130</v>
      </c>
      <c r="H129" s="72">
        <v>170</v>
      </c>
      <c r="I129" s="80">
        <v>22.16</v>
      </c>
      <c r="J129" s="80">
        <v>7.75</v>
      </c>
      <c r="K129" s="80">
        <v>1.94</v>
      </c>
      <c r="L129" s="80">
        <v>1</v>
      </c>
      <c r="M129" s="80">
        <v>15.83</v>
      </c>
      <c r="N129" s="97">
        <v>26.57</v>
      </c>
      <c r="O129" s="97">
        <v>41.47</v>
      </c>
      <c r="P129" s="97">
        <v>52.26</v>
      </c>
      <c r="Q129" s="92">
        <v>20.75</v>
      </c>
      <c r="R129" s="92">
        <v>5.85</v>
      </c>
      <c r="S129" s="92">
        <v>3.59</v>
      </c>
      <c r="T129" s="92">
        <v>65.959999999999994</v>
      </c>
      <c r="U129" s="92">
        <v>1.74</v>
      </c>
      <c r="V129" s="92">
        <v>0.37</v>
      </c>
      <c r="W129" s="99">
        <v>1324</v>
      </c>
      <c r="X129" s="92">
        <v>2.99</v>
      </c>
      <c r="Y129" s="92">
        <v>97.97</v>
      </c>
      <c r="Z129" s="92">
        <v>2.2000000000000002</v>
      </c>
      <c r="AA129" s="92">
        <v>1.63</v>
      </c>
      <c r="AB129" s="92">
        <v>54.18</v>
      </c>
      <c r="AC129" s="92">
        <v>18.670000000000002</v>
      </c>
      <c r="AD129" s="100">
        <v>9.42</v>
      </c>
      <c r="AE129" s="92">
        <v>10.94</v>
      </c>
      <c r="AF129" s="92">
        <v>27.83</v>
      </c>
    </row>
    <row r="130" spans="1:32">
      <c r="A130" s="90">
        <f t="shared" si="24"/>
        <v>46086</v>
      </c>
      <c r="B130" s="90">
        <f t="shared" si="25"/>
        <v>46087</v>
      </c>
      <c r="C130" s="80">
        <v>1.6</v>
      </c>
      <c r="D130" s="80">
        <v>2.02</v>
      </c>
      <c r="E130" s="72">
        <v>392</v>
      </c>
      <c r="F130" s="80">
        <v>26</v>
      </c>
      <c r="G130" s="72">
        <v>85</v>
      </c>
      <c r="H130" s="72">
        <v>125</v>
      </c>
      <c r="I130" s="80">
        <v>22.92</v>
      </c>
      <c r="J130" s="80">
        <v>6.81</v>
      </c>
      <c r="K130" s="80">
        <v>1.95</v>
      </c>
      <c r="L130" s="80">
        <v>2</v>
      </c>
      <c r="M130" s="80">
        <v>17.11</v>
      </c>
      <c r="N130" s="97">
        <v>27.31</v>
      </c>
      <c r="O130" s="97">
        <v>42.71</v>
      </c>
      <c r="P130" s="97">
        <v>60.02</v>
      </c>
      <c r="Q130" s="92">
        <v>21.28</v>
      </c>
      <c r="R130" s="92">
        <v>6.11</v>
      </c>
      <c r="S130" s="92">
        <v>3.88</v>
      </c>
      <c r="T130" s="92">
        <v>65.12</v>
      </c>
      <c r="U130" s="92">
        <v>1.63</v>
      </c>
      <c r="V130" s="92">
        <v>0.35</v>
      </c>
      <c r="W130" s="99">
        <v>1339</v>
      </c>
      <c r="X130" s="92">
        <v>2.77</v>
      </c>
      <c r="Y130" s="92">
        <v>93.97</v>
      </c>
      <c r="Z130" s="92">
        <v>2.13</v>
      </c>
      <c r="AA130" s="92">
        <v>1.58</v>
      </c>
      <c r="AB130" s="92">
        <v>45.43</v>
      </c>
      <c r="AC130" s="92">
        <v>26.8</v>
      </c>
      <c r="AD130" s="100">
        <v>9.6300000000000008</v>
      </c>
      <c r="AE130" s="92">
        <v>11.8</v>
      </c>
      <c r="AF130" s="92">
        <v>29.08</v>
      </c>
    </row>
    <row r="131" spans="1:32">
      <c r="A131" s="90">
        <f t="shared" si="24"/>
        <v>46087</v>
      </c>
      <c r="B131" s="90">
        <f t="shared" si="25"/>
        <v>46088</v>
      </c>
      <c r="C131" s="175" t="s">
        <v>35</v>
      </c>
      <c r="D131" s="175" t="s">
        <v>35</v>
      </c>
      <c r="E131" s="175" t="s">
        <v>35</v>
      </c>
      <c r="F131" s="175" t="s">
        <v>35</v>
      </c>
      <c r="G131" s="175" t="s">
        <v>35</v>
      </c>
      <c r="H131" s="175" t="s">
        <v>35</v>
      </c>
      <c r="I131" s="175" t="s">
        <v>35</v>
      </c>
      <c r="J131" s="175" t="s">
        <v>35</v>
      </c>
      <c r="K131" s="175" t="s">
        <v>35</v>
      </c>
      <c r="L131" s="175" t="s">
        <v>35</v>
      </c>
      <c r="M131" s="175" t="s">
        <v>35</v>
      </c>
      <c r="N131" s="175" t="s">
        <v>35</v>
      </c>
      <c r="O131" s="175" t="s">
        <v>35</v>
      </c>
      <c r="P131" s="175" t="s">
        <v>35</v>
      </c>
      <c r="Q131" s="175" t="s">
        <v>35</v>
      </c>
      <c r="R131" s="175" t="s">
        <v>35</v>
      </c>
      <c r="S131" s="175" t="s">
        <v>35</v>
      </c>
      <c r="T131" s="175" t="s">
        <v>35</v>
      </c>
      <c r="U131" s="175" t="s">
        <v>35</v>
      </c>
      <c r="V131" s="175" t="s">
        <v>35</v>
      </c>
      <c r="W131" s="175" t="s">
        <v>35</v>
      </c>
      <c r="X131" s="175" t="s">
        <v>35</v>
      </c>
      <c r="Y131" s="175" t="s">
        <v>35</v>
      </c>
      <c r="Z131" s="175" t="s">
        <v>35</v>
      </c>
      <c r="AA131" s="175" t="s">
        <v>35</v>
      </c>
      <c r="AB131" s="175" t="s">
        <v>35</v>
      </c>
      <c r="AC131" s="175" t="s">
        <v>35</v>
      </c>
      <c r="AD131" s="175" t="s">
        <v>35</v>
      </c>
      <c r="AE131" s="175" t="s">
        <v>35</v>
      </c>
      <c r="AF131" s="175" t="s">
        <v>35</v>
      </c>
    </row>
    <row r="132" spans="1:32">
      <c r="A132" s="90">
        <f t="shared" si="24"/>
        <v>46088</v>
      </c>
      <c r="B132" s="90">
        <f t="shared" si="25"/>
        <v>46089</v>
      </c>
      <c r="C132" s="80">
        <v>1.42</v>
      </c>
      <c r="D132" s="80">
        <v>2.08</v>
      </c>
      <c r="E132" s="72">
        <v>331</v>
      </c>
      <c r="F132" s="80">
        <v>26</v>
      </c>
      <c r="G132" s="72">
        <v>125</v>
      </c>
      <c r="H132" s="72">
        <v>160</v>
      </c>
      <c r="I132" s="80">
        <v>24.8</v>
      </c>
      <c r="J132" s="80">
        <v>7.58</v>
      </c>
      <c r="K132" s="80">
        <v>3.95</v>
      </c>
      <c r="L132" s="80">
        <v>2</v>
      </c>
      <c r="M132" s="80">
        <v>15.91</v>
      </c>
      <c r="N132" s="97">
        <v>28.39</v>
      </c>
      <c r="O132" s="97">
        <v>41.95</v>
      </c>
      <c r="P132" s="97">
        <v>52.47</v>
      </c>
      <c r="Q132" s="92">
        <v>21.19</v>
      </c>
      <c r="R132" s="92">
        <v>5.99</v>
      </c>
      <c r="S132" s="92">
        <v>3.54</v>
      </c>
      <c r="T132" s="92">
        <v>65.58</v>
      </c>
      <c r="U132" s="92">
        <v>1.59</v>
      </c>
      <c r="V132" s="92">
        <v>0.49</v>
      </c>
      <c r="W132" s="93">
        <v>1245</v>
      </c>
      <c r="X132" s="92">
        <v>2.72</v>
      </c>
      <c r="Y132" s="92">
        <v>95.51</v>
      </c>
      <c r="Z132" s="100">
        <v>2.2200000000000002</v>
      </c>
      <c r="AA132" s="92">
        <v>1.7</v>
      </c>
      <c r="AB132" s="92">
        <v>49.55</v>
      </c>
      <c r="AC132" s="101">
        <v>23.42</v>
      </c>
      <c r="AD132" s="101">
        <v>9.8699999999999992</v>
      </c>
      <c r="AE132" s="101">
        <v>10.78</v>
      </c>
      <c r="AF132" s="92">
        <v>28.13</v>
      </c>
    </row>
    <row r="133" spans="1:32">
      <c r="A133" s="90">
        <f t="shared" si="24"/>
        <v>46089</v>
      </c>
      <c r="B133" s="90">
        <f t="shared" si="25"/>
        <v>46090</v>
      </c>
      <c r="C133" s="80">
        <v>1.39</v>
      </c>
      <c r="D133" s="80">
        <v>2.16</v>
      </c>
      <c r="E133" s="72">
        <v>351</v>
      </c>
      <c r="F133" s="80">
        <v>26</v>
      </c>
      <c r="G133" s="72">
        <v>130</v>
      </c>
      <c r="H133" s="72">
        <v>175</v>
      </c>
      <c r="I133" s="80">
        <v>18.64</v>
      </c>
      <c r="J133" s="80">
        <v>9.4600000000000009</v>
      </c>
      <c r="K133" s="80">
        <v>2.84</v>
      </c>
      <c r="L133" s="80">
        <v>3</v>
      </c>
      <c r="M133" s="80">
        <v>15.85</v>
      </c>
      <c r="N133" s="97">
        <v>29.75</v>
      </c>
      <c r="O133" s="97">
        <v>44.36</v>
      </c>
      <c r="P133" s="97">
        <v>55.79</v>
      </c>
      <c r="Q133" s="92">
        <v>21.01</v>
      </c>
      <c r="R133" s="92">
        <v>5.66</v>
      </c>
      <c r="S133" s="92">
        <v>3.92</v>
      </c>
      <c r="T133" s="92">
        <v>65.67</v>
      </c>
      <c r="U133" s="92">
        <v>1.68</v>
      </c>
      <c r="V133" s="92">
        <v>0.42</v>
      </c>
      <c r="W133" s="99">
        <v>1252</v>
      </c>
      <c r="X133" s="92">
        <v>2.34</v>
      </c>
      <c r="Y133" s="92">
        <v>96.52</v>
      </c>
      <c r="Z133" s="92">
        <v>2.2000000000000002</v>
      </c>
      <c r="AA133" s="92">
        <v>1.45</v>
      </c>
      <c r="AB133" s="92">
        <v>54.48</v>
      </c>
      <c r="AC133" s="92">
        <v>19.190000000000001</v>
      </c>
      <c r="AD133" s="100">
        <v>8.35</v>
      </c>
      <c r="AE133" s="92">
        <v>11.93</v>
      </c>
      <c r="AF133" s="92">
        <v>28.03</v>
      </c>
    </row>
    <row r="134" spans="1:32">
      <c r="A134" s="90">
        <f t="shared" si="24"/>
        <v>46090</v>
      </c>
      <c r="B134" s="90">
        <f t="shared" si="25"/>
        <v>46091</v>
      </c>
      <c r="C134" s="80">
        <v>1.5</v>
      </c>
      <c r="D134" s="92">
        <v>2.25</v>
      </c>
      <c r="E134" s="72">
        <v>329</v>
      </c>
      <c r="F134" s="80">
        <v>26</v>
      </c>
      <c r="G134" s="72">
        <v>140</v>
      </c>
      <c r="H134" s="72">
        <v>170</v>
      </c>
      <c r="I134" s="80">
        <v>18.98</v>
      </c>
      <c r="J134" s="80">
        <v>7.38</v>
      </c>
      <c r="K134" s="80">
        <v>2.04</v>
      </c>
      <c r="L134" s="80">
        <v>0.5</v>
      </c>
      <c r="M134" s="80">
        <v>15.44</v>
      </c>
      <c r="N134" s="97">
        <v>25.31</v>
      </c>
      <c r="O134" s="97">
        <v>35.43</v>
      </c>
      <c r="P134" s="97">
        <v>51.59</v>
      </c>
      <c r="Q134" s="92">
        <v>20.805000000000003</v>
      </c>
      <c r="R134" s="92">
        <v>5.7716666666666674</v>
      </c>
      <c r="S134" s="92">
        <v>3.6783333333333341</v>
      </c>
      <c r="T134" s="92">
        <v>65.1875</v>
      </c>
      <c r="U134" s="92">
        <v>1.6875000000000002</v>
      </c>
      <c r="V134" s="92">
        <v>0.6485833333333334</v>
      </c>
      <c r="W134" s="99">
        <v>1289.1666666666667</v>
      </c>
      <c r="X134" s="92">
        <v>3.5566666666666666</v>
      </c>
      <c r="Y134" s="92">
        <v>96.686922570133092</v>
      </c>
      <c r="Z134" s="92">
        <v>2.2057279158164227</v>
      </c>
      <c r="AA134" s="92">
        <v>1.5773701837111516</v>
      </c>
      <c r="AB134" s="92">
        <v>48.705439166666643</v>
      </c>
      <c r="AC134" s="92">
        <v>22.966966692666688</v>
      </c>
      <c r="AD134" s="100">
        <v>9.071176666666668</v>
      </c>
      <c r="AE134" s="92">
        <v>11.193168333333332</v>
      </c>
      <c r="AF134" s="92">
        <v>27.919123549999998</v>
      </c>
    </row>
    <row r="135" spans="1:32">
      <c r="A135" s="90">
        <f t="shared" si="24"/>
        <v>46091</v>
      </c>
      <c r="B135" s="90">
        <f t="shared" si="25"/>
        <v>46092</v>
      </c>
      <c r="C135" s="92">
        <v>1.35</v>
      </c>
      <c r="D135" s="92">
        <v>2.11</v>
      </c>
      <c r="E135" s="72">
        <v>340</v>
      </c>
      <c r="F135" s="80">
        <v>26</v>
      </c>
      <c r="G135" s="72">
        <v>80</v>
      </c>
      <c r="H135" s="72">
        <v>110</v>
      </c>
      <c r="I135" s="80">
        <v>26.24</v>
      </c>
      <c r="J135" s="80">
        <v>7.35</v>
      </c>
      <c r="K135" s="80">
        <v>1.85</v>
      </c>
      <c r="L135" s="80">
        <v>90</v>
      </c>
      <c r="M135" s="80">
        <v>16.260000000000002</v>
      </c>
      <c r="N135" s="97">
        <v>26.72</v>
      </c>
      <c r="O135" s="97">
        <v>41.7</v>
      </c>
      <c r="P135" s="97">
        <v>53.51</v>
      </c>
      <c r="Q135" s="92">
        <v>19.754166666666666</v>
      </c>
      <c r="R135" s="92">
        <v>5.7158333333333333</v>
      </c>
      <c r="S135" s="92">
        <v>3.6666666666666665</v>
      </c>
      <c r="T135" s="92">
        <v>66.05083333333333</v>
      </c>
      <c r="U135" s="92">
        <v>1.6391666666666669</v>
      </c>
      <c r="V135" s="92">
        <v>0.73075000000000012</v>
      </c>
      <c r="W135" s="99">
        <v>1310</v>
      </c>
      <c r="X135" s="92">
        <v>4.7391666666666667</v>
      </c>
      <c r="Y135" s="92">
        <v>102.55440895730534</v>
      </c>
      <c r="Z135" s="92">
        <v>2.1070047518903388</v>
      </c>
      <c r="AA135" s="92">
        <v>1.5599941973263478</v>
      </c>
      <c r="AB135" s="92">
        <v>55.78631833333332</v>
      </c>
      <c r="AC135" s="92">
        <v>14.609259782666681</v>
      </c>
      <c r="AD135" s="100">
        <v>8.9429583333333351</v>
      </c>
      <c r="AE135" s="92">
        <v>11.157666666666666</v>
      </c>
      <c r="AF135" s="92">
        <v>27.599226250000005</v>
      </c>
    </row>
    <row r="136" spans="1:32">
      <c r="A136" s="90">
        <f t="shared" si="24"/>
        <v>46092</v>
      </c>
      <c r="B136" s="90">
        <f t="shared" si="25"/>
        <v>46093</v>
      </c>
      <c r="C136" s="92">
        <v>1.56</v>
      </c>
      <c r="D136" s="92">
        <v>2.31</v>
      </c>
      <c r="E136" s="72">
        <v>366</v>
      </c>
      <c r="F136" s="80">
        <v>26</v>
      </c>
      <c r="G136" s="72">
        <v>100</v>
      </c>
      <c r="H136" s="72">
        <v>135</v>
      </c>
      <c r="I136" s="80">
        <v>28.48</v>
      </c>
      <c r="J136" s="80">
        <v>10.52</v>
      </c>
      <c r="K136" s="80">
        <v>3.46</v>
      </c>
      <c r="L136" s="80">
        <v>129.5</v>
      </c>
      <c r="M136" s="80">
        <v>13.29</v>
      </c>
      <c r="N136" s="97">
        <v>23.19</v>
      </c>
      <c r="O136" s="97">
        <v>41.39</v>
      </c>
      <c r="P136" s="97">
        <v>59.11</v>
      </c>
      <c r="Q136" s="92">
        <v>20.514000000000003</v>
      </c>
      <c r="R136" s="92">
        <v>5.9</v>
      </c>
      <c r="S136" s="92">
        <v>3.3600000000000003</v>
      </c>
      <c r="T136" s="92">
        <v>66.097999999999999</v>
      </c>
      <c r="U136" s="92">
        <v>1.4860000000000002</v>
      </c>
      <c r="V136" s="92">
        <v>0.32200000000000001</v>
      </c>
      <c r="W136" s="93">
        <v>1260.8333333333333</v>
      </c>
      <c r="X136" s="92">
        <v>3.2739999999999996</v>
      </c>
      <c r="Y136" s="92">
        <v>99.285930448287417</v>
      </c>
      <c r="Z136" s="92">
        <v>2.2160007097041676</v>
      </c>
      <c r="AA136" s="92">
        <v>1.7571999865282681</v>
      </c>
      <c r="AB136" s="92">
        <v>55.368075999999974</v>
      </c>
      <c r="AC136" s="92">
        <v>17.10550346560002</v>
      </c>
      <c r="AD136" s="92">
        <v>9.9498800000000021</v>
      </c>
      <c r="AE136" s="92">
        <v>10.22448</v>
      </c>
      <c r="AF136" s="92">
        <v>27.860412400000001</v>
      </c>
    </row>
    <row r="137" spans="1:32">
      <c r="A137" s="90">
        <f t="shared" si="24"/>
        <v>46093</v>
      </c>
      <c r="B137" s="90">
        <f t="shared" si="25"/>
        <v>46094</v>
      </c>
      <c r="C137" s="92">
        <v>1.37</v>
      </c>
      <c r="D137" s="92">
        <v>2.29</v>
      </c>
      <c r="E137" s="72">
        <v>368</v>
      </c>
      <c r="F137" s="80">
        <v>25.2</v>
      </c>
      <c r="G137" s="72">
        <v>80</v>
      </c>
      <c r="H137" s="72">
        <v>110</v>
      </c>
      <c r="I137" s="80">
        <v>30.16</v>
      </c>
      <c r="J137" s="80">
        <v>13.91</v>
      </c>
      <c r="K137" s="80">
        <v>3.48</v>
      </c>
      <c r="L137" s="80">
        <v>115.5</v>
      </c>
      <c r="M137" s="80">
        <v>13.35</v>
      </c>
      <c r="N137" s="97">
        <v>17.3</v>
      </c>
      <c r="O137" s="97">
        <v>37.17</v>
      </c>
      <c r="P137" s="97">
        <v>52.57</v>
      </c>
      <c r="Q137" s="92">
        <v>20.55</v>
      </c>
      <c r="R137" s="92">
        <v>6.02</v>
      </c>
      <c r="S137" s="92">
        <v>3.63</v>
      </c>
      <c r="T137" s="92">
        <v>65.73</v>
      </c>
      <c r="U137" s="92">
        <v>1.61</v>
      </c>
      <c r="V137" s="92">
        <v>0.84</v>
      </c>
      <c r="W137" s="99">
        <v>1265</v>
      </c>
      <c r="X137" s="92">
        <v>2.86</v>
      </c>
      <c r="Y137" s="92">
        <v>98.25</v>
      </c>
      <c r="Z137" s="92">
        <v>2.13</v>
      </c>
      <c r="AA137" s="92">
        <v>1.67</v>
      </c>
      <c r="AB137" s="92">
        <v>54.11</v>
      </c>
      <c r="AC137" s="92">
        <v>18.149999999999999</v>
      </c>
      <c r="AD137" s="100">
        <v>9.81</v>
      </c>
      <c r="AE137" s="92">
        <v>11.06</v>
      </c>
      <c r="AF137" s="92">
        <v>28.74</v>
      </c>
    </row>
    <row r="138" spans="1:32">
      <c r="A138" s="90">
        <f t="shared" si="24"/>
        <v>46094</v>
      </c>
      <c r="B138" s="90">
        <f t="shared" si="25"/>
        <v>46095</v>
      </c>
      <c r="C138" s="92">
        <v>1.48</v>
      </c>
      <c r="D138" s="92">
        <v>2.41</v>
      </c>
      <c r="E138" s="72">
        <v>424</v>
      </c>
      <c r="F138" s="80">
        <v>27.2</v>
      </c>
      <c r="G138" s="72">
        <v>125</v>
      </c>
      <c r="H138" s="72">
        <v>160</v>
      </c>
      <c r="I138" s="80">
        <v>25.12</v>
      </c>
      <c r="J138" s="80">
        <v>14.99</v>
      </c>
      <c r="K138" s="80">
        <v>5.69</v>
      </c>
      <c r="L138" s="80">
        <v>7</v>
      </c>
      <c r="M138" s="80">
        <v>16.59</v>
      </c>
      <c r="N138" s="97">
        <v>29.46</v>
      </c>
      <c r="O138" s="97">
        <v>43.91</v>
      </c>
      <c r="P138" s="97">
        <v>56.59</v>
      </c>
      <c r="Q138" s="92">
        <v>20.58</v>
      </c>
      <c r="R138" s="92">
        <v>5.94</v>
      </c>
      <c r="S138" s="92">
        <v>3.48</v>
      </c>
      <c r="T138" s="92">
        <v>66.06</v>
      </c>
      <c r="U138" s="92">
        <v>1.53</v>
      </c>
      <c r="V138" s="92">
        <v>0.72</v>
      </c>
      <c r="W138" s="99">
        <v>1305</v>
      </c>
      <c r="X138" s="92">
        <v>2.89</v>
      </c>
      <c r="Y138" s="92">
        <v>98.76</v>
      </c>
      <c r="Z138" s="92">
        <v>2.19</v>
      </c>
      <c r="AA138" s="92">
        <v>1.71</v>
      </c>
      <c r="AB138" s="92">
        <v>55.8</v>
      </c>
      <c r="AC138" s="92">
        <v>16.98</v>
      </c>
      <c r="AD138" s="100">
        <v>9.86</v>
      </c>
      <c r="AE138" s="92">
        <v>10.59</v>
      </c>
      <c r="AF138" s="92">
        <v>27.88</v>
      </c>
    </row>
    <row r="139" spans="1:32">
      <c r="A139" s="90">
        <f t="shared" si="24"/>
        <v>46095</v>
      </c>
      <c r="B139" s="90">
        <f t="shared" si="25"/>
        <v>46096</v>
      </c>
      <c r="C139" s="92">
        <v>1.63</v>
      </c>
      <c r="D139" s="92">
        <v>2.21</v>
      </c>
      <c r="E139" s="72">
        <v>339</v>
      </c>
      <c r="F139" s="80">
        <v>26</v>
      </c>
      <c r="G139" s="72">
        <v>100</v>
      </c>
      <c r="H139" s="72">
        <v>135</v>
      </c>
      <c r="I139" s="80">
        <v>20.8</v>
      </c>
      <c r="J139" s="80">
        <v>9.5299999999999994</v>
      </c>
      <c r="K139" s="80">
        <v>2.57</v>
      </c>
      <c r="L139" s="80">
        <v>3</v>
      </c>
      <c r="M139" s="80">
        <v>15.42</v>
      </c>
      <c r="N139" s="97">
        <v>26.8</v>
      </c>
      <c r="O139" s="97">
        <v>43.5</v>
      </c>
      <c r="P139" s="97">
        <v>56.48</v>
      </c>
      <c r="Q139" s="92">
        <v>20.86</v>
      </c>
      <c r="R139" s="92">
        <v>5.86</v>
      </c>
      <c r="S139" s="92">
        <v>3.4</v>
      </c>
      <c r="T139" s="92">
        <v>65.72</v>
      </c>
      <c r="U139" s="92">
        <v>1.78</v>
      </c>
      <c r="V139" s="92">
        <v>0.66</v>
      </c>
      <c r="W139" s="93">
        <v>1300</v>
      </c>
      <c r="X139" s="92">
        <v>3.41</v>
      </c>
      <c r="Y139" s="92">
        <v>97.35</v>
      </c>
      <c r="Z139" s="100">
        <v>2.2599999999999998</v>
      </c>
      <c r="AA139" s="92">
        <v>1.74</v>
      </c>
      <c r="AB139" s="92">
        <v>50.87</v>
      </c>
      <c r="AC139" s="101">
        <v>21.49</v>
      </c>
      <c r="AD139" s="92">
        <v>9.7799999999999994</v>
      </c>
      <c r="AE139" s="101">
        <v>10.34</v>
      </c>
      <c r="AF139" s="92">
        <v>27.71</v>
      </c>
    </row>
    <row r="140" spans="1:32">
      <c r="A140" s="90">
        <f t="shared" si="24"/>
        <v>46096</v>
      </c>
      <c r="B140" s="90">
        <f t="shared" si="25"/>
        <v>46097</v>
      </c>
      <c r="C140" s="80">
        <v>1.72</v>
      </c>
      <c r="D140" s="80">
        <v>2.4300000000000002</v>
      </c>
      <c r="E140" s="72">
        <v>389</v>
      </c>
      <c r="F140" s="80">
        <v>26</v>
      </c>
      <c r="G140" s="72">
        <v>80</v>
      </c>
      <c r="H140" s="72">
        <v>115</v>
      </c>
      <c r="I140" s="80">
        <v>26.92</v>
      </c>
      <c r="J140" s="80">
        <v>12.09</v>
      </c>
      <c r="K140" s="80">
        <v>3.06</v>
      </c>
      <c r="L140" s="80">
        <v>34</v>
      </c>
      <c r="M140" s="80">
        <v>16.100000000000001</v>
      </c>
      <c r="N140" s="97">
        <v>25.98</v>
      </c>
      <c r="O140" s="97">
        <v>40.15</v>
      </c>
      <c r="P140" s="97">
        <v>56.71</v>
      </c>
      <c r="Q140" s="92">
        <v>20.54</v>
      </c>
      <c r="R140" s="92">
        <v>5.94</v>
      </c>
      <c r="S140" s="92">
        <v>3.72</v>
      </c>
      <c r="T140" s="92">
        <v>65.39</v>
      </c>
      <c r="U140" s="92">
        <v>1.93</v>
      </c>
      <c r="V140" s="92">
        <v>0.51</v>
      </c>
      <c r="W140" s="99">
        <v>1305</v>
      </c>
      <c r="X140" s="92">
        <v>3.49</v>
      </c>
      <c r="Y140" s="92">
        <v>97.74</v>
      </c>
      <c r="Z140" s="92">
        <v>2.13</v>
      </c>
      <c r="AA140" s="92">
        <v>1.6</v>
      </c>
      <c r="AB140" s="92">
        <v>50.67</v>
      </c>
      <c r="AC140" s="92">
        <v>20.71</v>
      </c>
      <c r="AD140" s="100">
        <v>9.4499999999999993</v>
      </c>
      <c r="AE140" s="92">
        <v>11.31</v>
      </c>
      <c r="AF140" s="92">
        <v>28.73</v>
      </c>
    </row>
    <row r="141" spans="1:32">
      <c r="A141" s="90">
        <f t="shared" si="24"/>
        <v>46097</v>
      </c>
      <c r="B141" s="90">
        <f t="shared" si="25"/>
        <v>46098</v>
      </c>
      <c r="C141" s="92">
        <v>1.33</v>
      </c>
      <c r="D141" s="92">
        <v>2.29</v>
      </c>
      <c r="E141" s="72">
        <v>369</v>
      </c>
      <c r="F141" s="80">
        <v>26</v>
      </c>
      <c r="G141" s="72">
        <v>95</v>
      </c>
      <c r="H141" s="72">
        <v>130</v>
      </c>
      <c r="I141" s="80">
        <v>28</v>
      </c>
      <c r="J141" s="80">
        <v>11.11</v>
      </c>
      <c r="K141" s="80">
        <v>2.37</v>
      </c>
      <c r="L141" s="80">
        <v>48</v>
      </c>
      <c r="M141" s="80">
        <v>14.36</v>
      </c>
      <c r="N141" s="97">
        <v>25.9</v>
      </c>
      <c r="O141" s="97">
        <v>40.1</v>
      </c>
      <c r="P141" s="97">
        <v>52.72</v>
      </c>
      <c r="Q141" s="92">
        <v>20.61</v>
      </c>
      <c r="R141" s="92">
        <v>5.94</v>
      </c>
      <c r="S141" s="92">
        <v>3.73</v>
      </c>
      <c r="T141" s="92">
        <v>65.650000000000006</v>
      </c>
      <c r="U141" s="92">
        <v>1.78</v>
      </c>
      <c r="V141" s="92">
        <v>0.65</v>
      </c>
      <c r="W141" s="99">
        <v>1303</v>
      </c>
      <c r="X141" s="92">
        <v>3.58</v>
      </c>
      <c r="Y141" s="92">
        <v>97.86</v>
      </c>
      <c r="Z141" s="92">
        <v>2.13</v>
      </c>
      <c r="AA141" s="92">
        <v>1.6</v>
      </c>
      <c r="AB141" s="92">
        <v>50.71</v>
      </c>
      <c r="AC141" s="92">
        <v>20.9</v>
      </c>
      <c r="AD141" s="100">
        <v>9.44</v>
      </c>
      <c r="AE141" s="92">
        <v>11.34</v>
      </c>
      <c r="AF141" s="92">
        <v>28.84</v>
      </c>
    </row>
    <row r="142" spans="1:32">
      <c r="A142" s="90">
        <f t="shared" si="24"/>
        <v>46098</v>
      </c>
      <c r="B142" s="90">
        <f t="shared" si="25"/>
        <v>46099</v>
      </c>
      <c r="C142" s="92">
        <v>1.42</v>
      </c>
      <c r="D142" s="92">
        <v>2.1800000000000002</v>
      </c>
      <c r="E142" s="72">
        <v>363</v>
      </c>
      <c r="F142" s="80">
        <v>26.4</v>
      </c>
      <c r="G142" s="72">
        <v>115</v>
      </c>
      <c r="H142" s="72">
        <v>170</v>
      </c>
      <c r="I142" s="80">
        <v>21.74</v>
      </c>
      <c r="J142" s="80">
        <v>8.9</v>
      </c>
      <c r="K142" s="80">
        <v>2.1800000000000002</v>
      </c>
      <c r="L142" s="80">
        <v>60</v>
      </c>
      <c r="M142" s="80">
        <v>14.01</v>
      </c>
      <c r="N142" s="97">
        <v>28.12</v>
      </c>
      <c r="O142" s="97">
        <v>37.17</v>
      </c>
      <c r="P142" s="97">
        <v>53.02</v>
      </c>
      <c r="Q142" s="92">
        <v>19.855833333333333</v>
      </c>
      <c r="R142" s="92">
        <v>5.6616666666666662</v>
      </c>
      <c r="S142" s="92">
        <v>3.973333333333334</v>
      </c>
      <c r="T142" s="92">
        <v>66.38</v>
      </c>
      <c r="U142" s="92">
        <v>2.0349999999999997</v>
      </c>
      <c r="V142" s="92">
        <v>0.37999999999999995</v>
      </c>
      <c r="W142" s="99">
        <v>1280.8333333333333</v>
      </c>
      <c r="X142" s="92">
        <v>3.7741666666666664</v>
      </c>
      <c r="Y142" s="92">
        <v>102.48966216781906</v>
      </c>
      <c r="Z142" s="92">
        <v>2.0604794713677355</v>
      </c>
      <c r="AA142" s="92">
        <v>1.432355094954967</v>
      </c>
      <c r="AB142" s="92">
        <v>60.207359166666635</v>
      </c>
      <c r="AC142" s="92">
        <v>11.565809911333355</v>
      </c>
      <c r="AD142" s="100">
        <v>8.2805366666666664</v>
      </c>
      <c r="AE142" s="92">
        <v>12.090853333333333</v>
      </c>
      <c r="AF142" s="92">
        <v>28.534908433333339</v>
      </c>
    </row>
    <row r="143" spans="1:32">
      <c r="A143" s="90">
        <f t="shared" si="24"/>
        <v>46099</v>
      </c>
      <c r="B143" s="90">
        <f t="shared" si="25"/>
        <v>46100</v>
      </c>
      <c r="C143" s="92">
        <v>1.93</v>
      </c>
      <c r="D143" s="92">
        <v>2.1459999999999999</v>
      </c>
      <c r="E143" s="72">
        <v>350</v>
      </c>
      <c r="F143" s="80">
        <v>26</v>
      </c>
      <c r="G143" s="72">
        <v>95</v>
      </c>
      <c r="H143" s="72">
        <v>145</v>
      </c>
      <c r="I143" s="80">
        <v>25.04</v>
      </c>
      <c r="J143" s="80">
        <v>13.45</v>
      </c>
      <c r="K143" s="80">
        <v>2.95</v>
      </c>
      <c r="L143" s="80">
        <v>55</v>
      </c>
      <c r="M143" s="80">
        <v>14.43</v>
      </c>
      <c r="N143" s="97">
        <v>26.84</v>
      </c>
      <c r="O143" s="97">
        <v>35.880000000000003</v>
      </c>
      <c r="P143" s="97">
        <v>50.66</v>
      </c>
      <c r="Q143" s="92">
        <v>20.440000000000001</v>
      </c>
      <c r="R143" s="92">
        <v>5.84</v>
      </c>
      <c r="S143" s="92">
        <v>4.17</v>
      </c>
      <c r="T143" s="92">
        <v>65.67</v>
      </c>
      <c r="U143" s="92">
        <v>1.75</v>
      </c>
      <c r="V143" s="92">
        <v>0.71</v>
      </c>
      <c r="W143" s="99">
        <v>1317</v>
      </c>
      <c r="X143" s="92">
        <v>3.47</v>
      </c>
      <c r="Y143" s="92">
        <v>98.42</v>
      </c>
      <c r="Z143" s="92">
        <v>2.04</v>
      </c>
      <c r="AA143" s="92">
        <v>1.42</v>
      </c>
      <c r="AB143" s="92">
        <v>52.61</v>
      </c>
      <c r="AC143" s="92">
        <v>18.97</v>
      </c>
      <c r="AD143" s="100">
        <v>8.43</v>
      </c>
      <c r="AE143" s="92">
        <v>12.69</v>
      </c>
      <c r="AF143" s="92">
        <v>29.43</v>
      </c>
    </row>
    <row r="144" spans="1:32">
      <c r="A144" s="90">
        <f t="shared" si="24"/>
        <v>46100</v>
      </c>
      <c r="B144" s="90">
        <f t="shared" si="25"/>
        <v>46101</v>
      </c>
      <c r="C144" s="92">
        <v>1.46</v>
      </c>
      <c r="D144" s="92">
        <v>2.29</v>
      </c>
      <c r="E144" s="93">
        <v>349</v>
      </c>
      <c r="F144" s="92">
        <v>26.4</v>
      </c>
      <c r="G144" s="93">
        <v>95</v>
      </c>
      <c r="H144" s="93">
        <v>145</v>
      </c>
      <c r="I144" s="92">
        <v>28.24</v>
      </c>
      <c r="J144" s="92">
        <v>13.68</v>
      </c>
      <c r="K144" s="92">
        <v>3.44</v>
      </c>
      <c r="L144" s="92">
        <v>69</v>
      </c>
      <c r="M144" s="92">
        <v>14.58</v>
      </c>
      <c r="N144" s="92">
        <v>25.26</v>
      </c>
      <c r="O144" s="92">
        <v>35.82</v>
      </c>
      <c r="P144" s="92">
        <v>52.06</v>
      </c>
      <c r="Q144" s="92">
        <v>20.41</v>
      </c>
      <c r="R144" s="92">
        <v>5.99</v>
      </c>
      <c r="S144" s="92">
        <v>3.68</v>
      </c>
      <c r="T144" s="92">
        <v>66.099999999999994</v>
      </c>
      <c r="U144" s="92">
        <v>1.65</v>
      </c>
      <c r="V144" s="92">
        <v>1.04</v>
      </c>
      <c r="W144" s="99">
        <v>1290</v>
      </c>
      <c r="X144" s="92">
        <v>3.78</v>
      </c>
      <c r="Y144" s="92">
        <v>99.31</v>
      </c>
      <c r="Z144" s="92">
        <v>2.11</v>
      </c>
      <c r="AA144" s="92">
        <v>1.64</v>
      </c>
      <c r="AB144" s="92">
        <v>53</v>
      </c>
      <c r="AC144" s="92">
        <v>18.59</v>
      </c>
      <c r="AD144" s="100">
        <v>9.65</v>
      </c>
      <c r="AE144" s="92">
        <v>11.21</v>
      </c>
      <c r="AF144" s="92">
        <v>29.17</v>
      </c>
    </row>
    <row r="145" spans="1:32">
      <c r="A145" s="90">
        <f t="shared" si="24"/>
        <v>46101</v>
      </c>
      <c r="B145" s="90">
        <f t="shared" si="25"/>
        <v>46102</v>
      </c>
      <c r="C145" s="92">
        <v>2.0499999999999998</v>
      </c>
      <c r="D145" s="92">
        <v>2.29</v>
      </c>
      <c r="E145" s="93">
        <v>351</v>
      </c>
      <c r="F145" s="92">
        <v>26.4</v>
      </c>
      <c r="G145" s="93">
        <v>95</v>
      </c>
      <c r="H145" s="93">
        <v>140</v>
      </c>
      <c r="I145" s="92">
        <v>22.64</v>
      </c>
      <c r="J145" s="92">
        <v>13.74</v>
      </c>
      <c r="K145" s="92">
        <v>4.32</v>
      </c>
      <c r="L145" s="92">
        <v>79</v>
      </c>
      <c r="M145" s="92">
        <v>15.98</v>
      </c>
      <c r="N145" s="92">
        <v>26.26</v>
      </c>
      <c r="O145" s="92">
        <v>39.659999999999997</v>
      </c>
      <c r="P145" s="92">
        <v>51.4</v>
      </c>
      <c r="Q145" s="92">
        <v>20.72</v>
      </c>
      <c r="R145" s="92">
        <v>5.55</v>
      </c>
      <c r="S145" s="92">
        <v>3.83</v>
      </c>
      <c r="T145" s="92">
        <v>65.709999999999994</v>
      </c>
      <c r="U145" s="92">
        <v>1.52</v>
      </c>
      <c r="V145" s="92">
        <v>0.98</v>
      </c>
      <c r="W145" s="99">
        <v>1283</v>
      </c>
      <c r="X145" s="92">
        <v>3.51</v>
      </c>
      <c r="Y145" s="92">
        <v>98.16</v>
      </c>
      <c r="Z145" s="92">
        <v>2.21</v>
      </c>
      <c r="AA145" s="92">
        <v>1.45</v>
      </c>
      <c r="AB145" s="92">
        <v>52.95</v>
      </c>
      <c r="AC145" s="92">
        <v>19.510000000000002</v>
      </c>
      <c r="AD145" s="100">
        <v>8.23</v>
      </c>
      <c r="AE145" s="92">
        <v>11.66</v>
      </c>
      <c r="AF145" s="92">
        <v>27.98</v>
      </c>
    </row>
    <row r="146" spans="1:32">
      <c r="A146" s="90">
        <f t="shared" si="24"/>
        <v>46102</v>
      </c>
      <c r="B146" s="90">
        <f t="shared" si="25"/>
        <v>46103</v>
      </c>
      <c r="C146" s="92">
        <v>2.2400000000000002</v>
      </c>
      <c r="D146" s="92">
        <v>2.15</v>
      </c>
      <c r="E146" s="93">
        <v>345</v>
      </c>
      <c r="F146" s="92">
        <v>26.4</v>
      </c>
      <c r="G146" s="93">
        <v>100</v>
      </c>
      <c r="H146" s="93">
        <v>140</v>
      </c>
      <c r="I146" s="92">
        <v>26.56</v>
      </c>
      <c r="J146" s="92">
        <v>9.5500000000000007</v>
      </c>
      <c r="K146" s="92">
        <v>3.86</v>
      </c>
      <c r="L146" s="92">
        <v>43.5</v>
      </c>
      <c r="M146" s="92">
        <v>15.15</v>
      </c>
      <c r="N146" s="92">
        <v>21.65</v>
      </c>
      <c r="O146" s="92">
        <v>35.92</v>
      </c>
      <c r="P146" s="92">
        <v>55.15</v>
      </c>
      <c r="Q146" s="92">
        <v>20.49</v>
      </c>
      <c r="R146" s="92">
        <v>5.69</v>
      </c>
      <c r="S146" s="92">
        <v>3.58</v>
      </c>
      <c r="T146" s="92">
        <v>66.040000000000006</v>
      </c>
      <c r="U146" s="92">
        <v>1.58</v>
      </c>
      <c r="V146" s="92">
        <v>1.1000000000000001</v>
      </c>
      <c r="W146" s="99">
        <v>1256</v>
      </c>
      <c r="X146" s="92">
        <v>3.7</v>
      </c>
      <c r="Y146" s="92">
        <v>99.49</v>
      </c>
      <c r="Z146" s="92">
        <v>2.21</v>
      </c>
      <c r="AA146" s="92">
        <v>1.6</v>
      </c>
      <c r="AB146" s="92">
        <v>54.69</v>
      </c>
      <c r="AC146" s="92">
        <v>17.53</v>
      </c>
      <c r="AD146" s="100">
        <v>9.0299999999999994</v>
      </c>
      <c r="AE146" s="92">
        <v>10.88</v>
      </c>
      <c r="AF146" s="92">
        <v>28.06</v>
      </c>
    </row>
    <row r="147" spans="1:32">
      <c r="A147" s="90">
        <f t="shared" si="24"/>
        <v>46103</v>
      </c>
      <c r="B147" s="90">
        <f t="shared" si="25"/>
        <v>46104</v>
      </c>
      <c r="C147" s="177" t="s">
        <v>35</v>
      </c>
      <c r="D147" s="177" t="s">
        <v>35</v>
      </c>
      <c r="E147" s="177" t="s">
        <v>35</v>
      </c>
      <c r="F147" s="177" t="s">
        <v>35</v>
      </c>
      <c r="G147" s="177" t="s">
        <v>35</v>
      </c>
      <c r="H147" s="177" t="s">
        <v>35</v>
      </c>
      <c r="I147" s="177" t="s">
        <v>35</v>
      </c>
      <c r="J147" s="177" t="s">
        <v>35</v>
      </c>
      <c r="K147" s="177" t="s">
        <v>35</v>
      </c>
      <c r="L147" s="177" t="s">
        <v>35</v>
      </c>
      <c r="M147" s="177" t="s">
        <v>35</v>
      </c>
      <c r="N147" s="177" t="s">
        <v>35</v>
      </c>
      <c r="O147" s="177" t="s">
        <v>35</v>
      </c>
      <c r="P147" s="177" t="s">
        <v>35</v>
      </c>
      <c r="Q147" s="177" t="s">
        <v>35</v>
      </c>
      <c r="R147" s="177" t="s">
        <v>35</v>
      </c>
      <c r="S147" s="177" t="s">
        <v>35</v>
      </c>
      <c r="T147" s="177" t="s">
        <v>35</v>
      </c>
      <c r="U147" s="177" t="s">
        <v>35</v>
      </c>
      <c r="V147" s="177" t="s">
        <v>35</v>
      </c>
      <c r="W147" s="177" t="s">
        <v>35</v>
      </c>
      <c r="X147" s="177" t="s">
        <v>35</v>
      </c>
      <c r="Y147" s="177" t="s">
        <v>35</v>
      </c>
      <c r="Z147" s="177" t="s">
        <v>35</v>
      </c>
      <c r="AA147" s="177" t="s">
        <v>35</v>
      </c>
      <c r="AB147" s="177" t="s">
        <v>35</v>
      </c>
      <c r="AC147" s="177" t="s">
        <v>35</v>
      </c>
      <c r="AD147" s="177" t="s">
        <v>35</v>
      </c>
      <c r="AE147" s="177" t="s">
        <v>35</v>
      </c>
      <c r="AF147" s="177" t="s">
        <v>35</v>
      </c>
    </row>
    <row r="148" spans="1:32">
      <c r="A148" s="90">
        <f t="shared" si="24"/>
        <v>46104</v>
      </c>
      <c r="B148" s="90">
        <f t="shared" si="25"/>
        <v>46105</v>
      </c>
      <c r="C148" s="177" t="s">
        <v>35</v>
      </c>
      <c r="D148" s="177" t="s">
        <v>35</v>
      </c>
      <c r="E148" s="177" t="s">
        <v>35</v>
      </c>
      <c r="F148" s="177" t="s">
        <v>35</v>
      </c>
      <c r="G148" s="177" t="s">
        <v>35</v>
      </c>
      <c r="H148" s="177" t="s">
        <v>35</v>
      </c>
      <c r="I148" s="177" t="s">
        <v>35</v>
      </c>
      <c r="J148" s="177" t="s">
        <v>35</v>
      </c>
      <c r="K148" s="177" t="s">
        <v>35</v>
      </c>
      <c r="L148" s="177" t="s">
        <v>35</v>
      </c>
      <c r="M148" s="177" t="s">
        <v>35</v>
      </c>
      <c r="N148" s="177" t="s">
        <v>35</v>
      </c>
      <c r="O148" s="177" t="s">
        <v>35</v>
      </c>
      <c r="P148" s="177" t="s">
        <v>35</v>
      </c>
      <c r="Q148" s="177" t="s">
        <v>35</v>
      </c>
      <c r="R148" s="177" t="s">
        <v>35</v>
      </c>
      <c r="S148" s="177" t="s">
        <v>35</v>
      </c>
      <c r="T148" s="177" t="s">
        <v>35</v>
      </c>
      <c r="U148" s="177" t="s">
        <v>35</v>
      </c>
      <c r="V148" s="177" t="s">
        <v>35</v>
      </c>
      <c r="W148" s="177" t="s">
        <v>35</v>
      </c>
      <c r="X148" s="177" t="s">
        <v>35</v>
      </c>
      <c r="Y148" s="177" t="s">
        <v>35</v>
      </c>
      <c r="Z148" s="177" t="s">
        <v>35</v>
      </c>
      <c r="AA148" s="177" t="s">
        <v>35</v>
      </c>
      <c r="AB148" s="177" t="s">
        <v>35</v>
      </c>
      <c r="AC148" s="177" t="s">
        <v>35</v>
      </c>
      <c r="AD148" s="177" t="s">
        <v>35</v>
      </c>
      <c r="AE148" s="177" t="s">
        <v>35</v>
      </c>
      <c r="AF148" s="177" t="s">
        <v>35</v>
      </c>
    </row>
    <row r="149" spans="1:32">
      <c r="A149" s="90">
        <f t="shared" si="24"/>
        <v>46105</v>
      </c>
      <c r="B149" s="90">
        <f t="shared" si="25"/>
        <v>46106</v>
      </c>
      <c r="C149" s="177" t="s">
        <v>35</v>
      </c>
      <c r="D149" s="177" t="s">
        <v>35</v>
      </c>
      <c r="E149" s="177" t="s">
        <v>35</v>
      </c>
      <c r="F149" s="177" t="s">
        <v>35</v>
      </c>
      <c r="G149" s="177" t="s">
        <v>35</v>
      </c>
      <c r="H149" s="177" t="s">
        <v>35</v>
      </c>
      <c r="I149" s="177" t="s">
        <v>35</v>
      </c>
      <c r="J149" s="177" t="s">
        <v>35</v>
      </c>
      <c r="K149" s="177" t="s">
        <v>35</v>
      </c>
      <c r="L149" s="177" t="s">
        <v>35</v>
      </c>
      <c r="M149" s="177" t="s">
        <v>35</v>
      </c>
      <c r="N149" s="177" t="s">
        <v>35</v>
      </c>
      <c r="O149" s="177" t="s">
        <v>35</v>
      </c>
      <c r="P149" s="177" t="s">
        <v>35</v>
      </c>
      <c r="Q149" s="177" t="s">
        <v>35</v>
      </c>
      <c r="R149" s="177" t="s">
        <v>35</v>
      </c>
      <c r="S149" s="177" t="s">
        <v>35</v>
      </c>
      <c r="T149" s="177" t="s">
        <v>35</v>
      </c>
      <c r="U149" s="177" t="s">
        <v>35</v>
      </c>
      <c r="V149" s="177" t="s">
        <v>35</v>
      </c>
      <c r="W149" s="177" t="s">
        <v>35</v>
      </c>
      <c r="X149" s="177" t="s">
        <v>35</v>
      </c>
      <c r="Y149" s="177" t="s">
        <v>35</v>
      </c>
      <c r="Z149" s="177" t="s">
        <v>35</v>
      </c>
      <c r="AA149" s="177" t="s">
        <v>35</v>
      </c>
      <c r="AB149" s="177" t="s">
        <v>35</v>
      </c>
      <c r="AC149" s="177" t="s">
        <v>35</v>
      </c>
      <c r="AD149" s="177" t="s">
        <v>35</v>
      </c>
      <c r="AE149" s="177" t="s">
        <v>35</v>
      </c>
      <c r="AF149" s="177" t="s">
        <v>35</v>
      </c>
    </row>
    <row r="150" spans="1:32">
      <c r="A150" s="90">
        <f t="shared" si="24"/>
        <v>46106</v>
      </c>
      <c r="B150" s="90">
        <f t="shared" si="25"/>
        <v>46107</v>
      </c>
      <c r="C150" s="177" t="s">
        <v>35</v>
      </c>
      <c r="D150" s="177" t="s">
        <v>35</v>
      </c>
      <c r="E150" s="177" t="s">
        <v>35</v>
      </c>
      <c r="F150" s="177" t="s">
        <v>35</v>
      </c>
      <c r="G150" s="177" t="s">
        <v>35</v>
      </c>
      <c r="H150" s="177" t="s">
        <v>35</v>
      </c>
      <c r="I150" s="177" t="s">
        <v>35</v>
      </c>
      <c r="J150" s="177" t="s">
        <v>35</v>
      </c>
      <c r="K150" s="177" t="s">
        <v>35</v>
      </c>
      <c r="L150" s="177" t="s">
        <v>35</v>
      </c>
      <c r="M150" s="177" t="s">
        <v>35</v>
      </c>
      <c r="N150" s="177" t="s">
        <v>35</v>
      </c>
      <c r="O150" s="177" t="s">
        <v>35</v>
      </c>
      <c r="P150" s="177" t="s">
        <v>35</v>
      </c>
      <c r="Q150" s="177" t="s">
        <v>35</v>
      </c>
      <c r="R150" s="177" t="s">
        <v>35</v>
      </c>
      <c r="S150" s="177" t="s">
        <v>35</v>
      </c>
      <c r="T150" s="177" t="s">
        <v>35</v>
      </c>
      <c r="U150" s="177" t="s">
        <v>35</v>
      </c>
      <c r="V150" s="177" t="s">
        <v>35</v>
      </c>
      <c r="W150" s="177" t="s">
        <v>35</v>
      </c>
      <c r="X150" s="177" t="s">
        <v>35</v>
      </c>
      <c r="Y150" s="177" t="s">
        <v>35</v>
      </c>
      <c r="Z150" s="177" t="s">
        <v>35</v>
      </c>
      <c r="AA150" s="177" t="s">
        <v>35</v>
      </c>
      <c r="AB150" s="177" t="s">
        <v>35</v>
      </c>
      <c r="AC150" s="177" t="s">
        <v>35</v>
      </c>
      <c r="AD150" s="177" t="s">
        <v>35</v>
      </c>
      <c r="AE150" s="177" t="s">
        <v>35</v>
      </c>
      <c r="AF150" s="177" t="s">
        <v>35</v>
      </c>
    </row>
    <row r="151" spans="1:32">
      <c r="A151" s="90">
        <f t="shared" si="24"/>
        <v>46107</v>
      </c>
      <c r="B151" s="90">
        <f t="shared" si="25"/>
        <v>46108</v>
      </c>
      <c r="C151" s="177" t="s">
        <v>35</v>
      </c>
      <c r="D151" s="177" t="s">
        <v>35</v>
      </c>
      <c r="E151" s="177" t="s">
        <v>35</v>
      </c>
      <c r="F151" s="177" t="s">
        <v>35</v>
      </c>
      <c r="G151" s="177" t="s">
        <v>35</v>
      </c>
      <c r="H151" s="177" t="s">
        <v>35</v>
      </c>
      <c r="I151" s="177" t="s">
        <v>35</v>
      </c>
      <c r="J151" s="177" t="s">
        <v>35</v>
      </c>
      <c r="K151" s="177" t="s">
        <v>35</v>
      </c>
      <c r="L151" s="177" t="s">
        <v>35</v>
      </c>
      <c r="M151" s="177" t="s">
        <v>35</v>
      </c>
      <c r="N151" s="177" t="s">
        <v>35</v>
      </c>
      <c r="O151" s="177" t="s">
        <v>35</v>
      </c>
      <c r="P151" s="177" t="s">
        <v>35</v>
      </c>
      <c r="Q151" s="177" t="s">
        <v>35</v>
      </c>
      <c r="R151" s="177" t="s">
        <v>35</v>
      </c>
      <c r="S151" s="177" t="s">
        <v>35</v>
      </c>
      <c r="T151" s="177" t="s">
        <v>35</v>
      </c>
      <c r="U151" s="177" t="s">
        <v>35</v>
      </c>
      <c r="V151" s="177" t="s">
        <v>35</v>
      </c>
      <c r="W151" s="177" t="s">
        <v>35</v>
      </c>
      <c r="X151" s="177" t="s">
        <v>35</v>
      </c>
      <c r="Y151" s="177" t="s">
        <v>35</v>
      </c>
      <c r="Z151" s="177" t="s">
        <v>35</v>
      </c>
      <c r="AA151" s="177" t="s">
        <v>35</v>
      </c>
      <c r="AB151" s="177" t="s">
        <v>35</v>
      </c>
      <c r="AC151" s="177" t="s">
        <v>35</v>
      </c>
      <c r="AD151" s="177" t="s">
        <v>35</v>
      </c>
      <c r="AE151" s="177" t="s">
        <v>35</v>
      </c>
      <c r="AF151" s="177" t="s">
        <v>35</v>
      </c>
    </row>
    <row r="152" spans="1:32">
      <c r="A152" s="90">
        <f t="shared" si="24"/>
        <v>46108</v>
      </c>
      <c r="B152" s="90">
        <f t="shared" si="25"/>
        <v>46109</v>
      </c>
      <c r="C152" s="177" t="s">
        <v>35</v>
      </c>
      <c r="D152" s="177" t="s">
        <v>35</v>
      </c>
      <c r="E152" s="177" t="s">
        <v>35</v>
      </c>
      <c r="F152" s="177" t="s">
        <v>35</v>
      </c>
      <c r="G152" s="177" t="s">
        <v>35</v>
      </c>
      <c r="H152" s="177" t="s">
        <v>35</v>
      </c>
      <c r="I152" s="177" t="s">
        <v>35</v>
      </c>
      <c r="J152" s="177" t="s">
        <v>35</v>
      </c>
      <c r="K152" s="177" t="s">
        <v>35</v>
      </c>
      <c r="L152" s="177" t="s">
        <v>35</v>
      </c>
      <c r="M152" s="177" t="s">
        <v>35</v>
      </c>
      <c r="N152" s="177" t="s">
        <v>35</v>
      </c>
      <c r="O152" s="177" t="s">
        <v>35</v>
      </c>
      <c r="P152" s="177" t="s">
        <v>35</v>
      </c>
      <c r="Q152" s="177" t="s">
        <v>35</v>
      </c>
      <c r="R152" s="177" t="s">
        <v>35</v>
      </c>
      <c r="S152" s="177" t="s">
        <v>35</v>
      </c>
      <c r="T152" s="177" t="s">
        <v>35</v>
      </c>
      <c r="U152" s="177" t="s">
        <v>35</v>
      </c>
      <c r="V152" s="177" t="s">
        <v>35</v>
      </c>
      <c r="W152" s="177" t="s">
        <v>35</v>
      </c>
      <c r="X152" s="177" t="s">
        <v>35</v>
      </c>
      <c r="Y152" s="177" t="s">
        <v>35</v>
      </c>
      <c r="Z152" s="177" t="s">
        <v>35</v>
      </c>
      <c r="AA152" s="177" t="s">
        <v>35</v>
      </c>
      <c r="AB152" s="177" t="s">
        <v>35</v>
      </c>
      <c r="AC152" s="177" t="s">
        <v>35</v>
      </c>
      <c r="AD152" s="177" t="s">
        <v>35</v>
      </c>
      <c r="AE152" s="177" t="s">
        <v>35</v>
      </c>
      <c r="AF152" s="177" t="s">
        <v>35</v>
      </c>
    </row>
    <row r="153" spans="1:32">
      <c r="A153" s="90">
        <f t="shared" si="24"/>
        <v>46109</v>
      </c>
      <c r="B153" s="90">
        <f t="shared" si="25"/>
        <v>46110</v>
      </c>
      <c r="C153" s="177" t="s">
        <v>35</v>
      </c>
      <c r="D153" s="177" t="s">
        <v>35</v>
      </c>
      <c r="E153" s="177" t="s">
        <v>35</v>
      </c>
      <c r="F153" s="177" t="s">
        <v>35</v>
      </c>
      <c r="G153" s="177" t="s">
        <v>35</v>
      </c>
      <c r="H153" s="177" t="s">
        <v>35</v>
      </c>
      <c r="I153" s="177" t="s">
        <v>35</v>
      </c>
      <c r="J153" s="177" t="s">
        <v>35</v>
      </c>
      <c r="K153" s="177" t="s">
        <v>35</v>
      </c>
      <c r="L153" s="177" t="s">
        <v>35</v>
      </c>
      <c r="M153" s="177" t="s">
        <v>35</v>
      </c>
      <c r="N153" s="177" t="s">
        <v>35</v>
      </c>
      <c r="O153" s="177" t="s">
        <v>35</v>
      </c>
      <c r="P153" s="177" t="s">
        <v>35</v>
      </c>
      <c r="Q153" s="177" t="s">
        <v>35</v>
      </c>
      <c r="R153" s="177" t="s">
        <v>35</v>
      </c>
      <c r="S153" s="177" t="s">
        <v>35</v>
      </c>
      <c r="T153" s="177" t="s">
        <v>35</v>
      </c>
      <c r="U153" s="177" t="s">
        <v>35</v>
      </c>
      <c r="V153" s="177" t="s">
        <v>35</v>
      </c>
      <c r="W153" s="177" t="s">
        <v>35</v>
      </c>
      <c r="X153" s="177" t="s">
        <v>35</v>
      </c>
      <c r="Y153" s="177" t="s">
        <v>35</v>
      </c>
      <c r="Z153" s="177" t="s">
        <v>35</v>
      </c>
      <c r="AA153" s="177" t="s">
        <v>35</v>
      </c>
      <c r="AB153" s="177" t="s">
        <v>35</v>
      </c>
      <c r="AC153" s="177" t="s">
        <v>35</v>
      </c>
      <c r="AD153" s="177" t="s">
        <v>35</v>
      </c>
      <c r="AE153" s="177" t="s">
        <v>35</v>
      </c>
      <c r="AF153" s="177" t="s">
        <v>35</v>
      </c>
    </row>
    <row r="154" spans="1:32">
      <c r="A154" s="90">
        <f t="shared" si="24"/>
        <v>46110</v>
      </c>
      <c r="B154" s="90">
        <f t="shared" si="25"/>
        <v>46111</v>
      </c>
      <c r="C154" s="177" t="s">
        <v>35</v>
      </c>
      <c r="D154" s="177" t="s">
        <v>35</v>
      </c>
      <c r="E154" s="177" t="s">
        <v>35</v>
      </c>
      <c r="F154" s="177" t="s">
        <v>35</v>
      </c>
      <c r="G154" s="177" t="s">
        <v>35</v>
      </c>
      <c r="H154" s="177" t="s">
        <v>35</v>
      </c>
      <c r="I154" s="177" t="s">
        <v>35</v>
      </c>
      <c r="J154" s="177" t="s">
        <v>35</v>
      </c>
      <c r="K154" s="177" t="s">
        <v>35</v>
      </c>
      <c r="L154" s="177" t="s">
        <v>35</v>
      </c>
      <c r="M154" s="177" t="s">
        <v>35</v>
      </c>
      <c r="N154" s="177" t="s">
        <v>35</v>
      </c>
      <c r="O154" s="177" t="s">
        <v>35</v>
      </c>
      <c r="P154" s="177" t="s">
        <v>35</v>
      </c>
      <c r="Q154" s="177" t="s">
        <v>35</v>
      </c>
      <c r="R154" s="177" t="s">
        <v>35</v>
      </c>
      <c r="S154" s="177" t="s">
        <v>35</v>
      </c>
      <c r="T154" s="177" t="s">
        <v>35</v>
      </c>
      <c r="U154" s="177" t="s">
        <v>35</v>
      </c>
      <c r="V154" s="177" t="s">
        <v>35</v>
      </c>
      <c r="W154" s="177" t="s">
        <v>35</v>
      </c>
      <c r="X154" s="177" t="s">
        <v>35</v>
      </c>
      <c r="Y154" s="177" t="s">
        <v>35</v>
      </c>
      <c r="Z154" s="177" t="s">
        <v>35</v>
      </c>
      <c r="AA154" s="177" t="s">
        <v>35</v>
      </c>
      <c r="AB154" s="177" t="s">
        <v>35</v>
      </c>
      <c r="AC154" s="177" t="s">
        <v>35</v>
      </c>
      <c r="AD154" s="177" t="s">
        <v>35</v>
      </c>
      <c r="AE154" s="177" t="s">
        <v>35</v>
      </c>
      <c r="AF154" s="177" t="s">
        <v>35</v>
      </c>
    </row>
    <row r="155" spans="1:32">
      <c r="A155" s="90">
        <v>45777</v>
      </c>
      <c r="B155" s="90">
        <v>45778</v>
      </c>
      <c r="C155" s="177" t="s">
        <v>35</v>
      </c>
      <c r="D155" s="177" t="s">
        <v>35</v>
      </c>
      <c r="E155" s="177" t="s">
        <v>35</v>
      </c>
      <c r="F155" s="177" t="s">
        <v>35</v>
      </c>
      <c r="G155" s="177" t="s">
        <v>35</v>
      </c>
      <c r="H155" s="177" t="s">
        <v>35</v>
      </c>
      <c r="I155" s="177" t="s">
        <v>35</v>
      </c>
      <c r="J155" s="177" t="s">
        <v>35</v>
      </c>
      <c r="K155" s="177" t="s">
        <v>35</v>
      </c>
      <c r="L155" s="177" t="s">
        <v>35</v>
      </c>
      <c r="M155" s="177" t="s">
        <v>35</v>
      </c>
      <c r="N155" s="177" t="s">
        <v>35</v>
      </c>
      <c r="O155" s="177" t="s">
        <v>35</v>
      </c>
      <c r="P155" s="177" t="s">
        <v>35</v>
      </c>
      <c r="Q155" s="177" t="s">
        <v>35</v>
      </c>
      <c r="R155" s="177" t="s">
        <v>35</v>
      </c>
      <c r="S155" s="177" t="s">
        <v>35</v>
      </c>
      <c r="T155" s="177" t="s">
        <v>35</v>
      </c>
      <c r="U155" s="177" t="s">
        <v>35</v>
      </c>
      <c r="V155" s="177" t="s">
        <v>35</v>
      </c>
      <c r="W155" s="177" t="s">
        <v>35</v>
      </c>
      <c r="X155" s="177" t="s">
        <v>35</v>
      </c>
      <c r="Y155" s="177" t="s">
        <v>35</v>
      </c>
      <c r="Z155" s="177" t="s">
        <v>35</v>
      </c>
      <c r="AA155" s="177" t="s">
        <v>35</v>
      </c>
      <c r="AB155" s="177" t="s">
        <v>35</v>
      </c>
      <c r="AC155" s="177" t="s">
        <v>35</v>
      </c>
      <c r="AD155" s="177" t="s">
        <v>35</v>
      </c>
      <c r="AE155" s="177" t="s">
        <v>35</v>
      </c>
      <c r="AF155" s="177" t="s">
        <v>35</v>
      </c>
    </row>
    <row r="156" spans="1:32">
      <c r="A156" s="324" t="s">
        <v>31</v>
      </c>
      <c r="B156" s="324"/>
      <c r="C156" s="95">
        <f t="shared" ref="C156:AF156" si="26">MIN(C126:C155)</f>
        <v>1.33</v>
      </c>
      <c r="D156" s="95">
        <f t="shared" si="26"/>
        <v>2.02</v>
      </c>
      <c r="E156" s="96">
        <f t="shared" si="26"/>
        <v>329</v>
      </c>
      <c r="F156" s="95">
        <f t="shared" si="26"/>
        <v>24.4</v>
      </c>
      <c r="G156" s="96">
        <f t="shared" si="26"/>
        <v>80</v>
      </c>
      <c r="H156" s="96">
        <f t="shared" si="26"/>
        <v>110</v>
      </c>
      <c r="I156" s="95">
        <f t="shared" si="26"/>
        <v>14.12</v>
      </c>
      <c r="J156" s="95">
        <f t="shared" si="26"/>
        <v>3.06</v>
      </c>
      <c r="K156" s="95">
        <f t="shared" si="26"/>
        <v>0.84</v>
      </c>
      <c r="L156" s="95">
        <f t="shared" si="26"/>
        <v>0.5</v>
      </c>
      <c r="M156" s="95">
        <f t="shared" si="26"/>
        <v>13.29</v>
      </c>
      <c r="N156" s="95">
        <f t="shared" si="26"/>
        <v>17.3</v>
      </c>
      <c r="O156" s="95">
        <f t="shared" si="26"/>
        <v>35.43</v>
      </c>
      <c r="P156" s="95">
        <f t="shared" si="26"/>
        <v>50.66</v>
      </c>
      <c r="Q156" s="95">
        <f t="shared" si="26"/>
        <v>19.754166666666666</v>
      </c>
      <c r="R156" s="95">
        <f t="shared" si="26"/>
        <v>5.54</v>
      </c>
      <c r="S156" s="95">
        <f t="shared" si="26"/>
        <v>3.3600000000000003</v>
      </c>
      <c r="T156" s="95">
        <f t="shared" si="26"/>
        <v>65.12</v>
      </c>
      <c r="U156" s="95">
        <f t="shared" si="26"/>
        <v>1.4860000000000002</v>
      </c>
      <c r="V156" s="95">
        <f t="shared" si="26"/>
        <v>0.3</v>
      </c>
      <c r="W156" s="96">
        <f t="shared" si="26"/>
        <v>1245</v>
      </c>
      <c r="X156" s="95">
        <f t="shared" si="26"/>
        <v>2.34</v>
      </c>
      <c r="Y156" s="95">
        <f t="shared" si="26"/>
        <v>93.97</v>
      </c>
      <c r="Z156" s="95">
        <f t="shared" si="26"/>
        <v>2.04</v>
      </c>
      <c r="AA156" s="95">
        <f t="shared" si="26"/>
        <v>1.4</v>
      </c>
      <c r="AB156" s="95">
        <f t="shared" si="26"/>
        <v>45.43</v>
      </c>
      <c r="AC156" s="95">
        <f t="shared" si="26"/>
        <v>11.565809911333355</v>
      </c>
      <c r="AD156" s="95">
        <f t="shared" si="26"/>
        <v>8.06</v>
      </c>
      <c r="AE156" s="95">
        <f t="shared" si="26"/>
        <v>10.22448</v>
      </c>
      <c r="AF156" s="95">
        <f t="shared" si="26"/>
        <v>27.49</v>
      </c>
    </row>
    <row r="157" spans="1:32">
      <c r="A157" s="324" t="s">
        <v>33</v>
      </c>
      <c r="B157" s="324"/>
      <c r="C157" s="95">
        <f t="shared" ref="C157:AF157" si="27">MAX(C126:C155)</f>
        <v>2.2400000000000002</v>
      </c>
      <c r="D157" s="95">
        <f t="shared" si="27"/>
        <v>2.79</v>
      </c>
      <c r="E157" s="96">
        <f t="shared" si="27"/>
        <v>424</v>
      </c>
      <c r="F157" s="95">
        <f t="shared" si="27"/>
        <v>27.4</v>
      </c>
      <c r="G157" s="96">
        <f t="shared" si="27"/>
        <v>140</v>
      </c>
      <c r="H157" s="96">
        <f t="shared" si="27"/>
        <v>175</v>
      </c>
      <c r="I157" s="95">
        <f t="shared" si="27"/>
        <v>30.16</v>
      </c>
      <c r="J157" s="95">
        <f t="shared" si="27"/>
        <v>14.99</v>
      </c>
      <c r="K157" s="95">
        <f t="shared" si="27"/>
        <v>5.69</v>
      </c>
      <c r="L157" s="95">
        <f t="shared" si="27"/>
        <v>129.5</v>
      </c>
      <c r="M157" s="95">
        <f t="shared" si="27"/>
        <v>17.41</v>
      </c>
      <c r="N157" s="95">
        <f t="shared" si="27"/>
        <v>29.75</v>
      </c>
      <c r="O157" s="95">
        <f t="shared" si="27"/>
        <v>45.4</v>
      </c>
      <c r="P157" s="95">
        <f t="shared" si="27"/>
        <v>60.02</v>
      </c>
      <c r="Q157" s="95">
        <f t="shared" si="27"/>
        <v>21.28</v>
      </c>
      <c r="R157" s="95">
        <f t="shared" si="27"/>
        <v>6.11</v>
      </c>
      <c r="S157" s="95">
        <f t="shared" si="27"/>
        <v>4.17</v>
      </c>
      <c r="T157" s="95">
        <f t="shared" si="27"/>
        <v>66.38</v>
      </c>
      <c r="U157" s="95">
        <f t="shared" si="27"/>
        <v>2.0349999999999997</v>
      </c>
      <c r="V157" s="95">
        <f t="shared" si="27"/>
        <v>1.1000000000000001</v>
      </c>
      <c r="W157" s="96">
        <f t="shared" si="27"/>
        <v>1339</v>
      </c>
      <c r="X157" s="95">
        <f t="shared" si="27"/>
        <v>4.7391666666666667</v>
      </c>
      <c r="Y157" s="95">
        <f t="shared" si="27"/>
        <v>102.55440895730534</v>
      </c>
      <c r="Z157" s="95">
        <f t="shared" si="27"/>
        <v>2.2599999999999998</v>
      </c>
      <c r="AA157" s="95">
        <f t="shared" si="27"/>
        <v>1.7571999865282681</v>
      </c>
      <c r="AB157" s="95">
        <f t="shared" si="27"/>
        <v>60.207359166666635</v>
      </c>
      <c r="AC157" s="95">
        <f t="shared" si="27"/>
        <v>26.8</v>
      </c>
      <c r="AD157" s="95">
        <f t="shared" si="27"/>
        <v>9.9498800000000021</v>
      </c>
      <c r="AE157" s="95">
        <f t="shared" si="27"/>
        <v>12.69</v>
      </c>
      <c r="AF157" s="95">
        <f t="shared" si="27"/>
        <v>29.43</v>
      </c>
    </row>
    <row r="158" spans="1:32">
      <c r="A158" s="324" t="s">
        <v>36</v>
      </c>
      <c r="B158" s="324"/>
      <c r="C158" s="95">
        <f t="shared" ref="C158:AF158" si="28">AVERAGE(C126:C155)</f>
        <v>1.6309999999999998</v>
      </c>
      <c r="D158" s="95">
        <f t="shared" si="28"/>
        <v>2.2782999999999998</v>
      </c>
      <c r="E158" s="96">
        <f t="shared" si="28"/>
        <v>361.45</v>
      </c>
      <c r="F158" s="95">
        <f t="shared" si="28"/>
        <v>26.069999999999993</v>
      </c>
      <c r="G158" s="96">
        <f t="shared" si="28"/>
        <v>105.5</v>
      </c>
      <c r="H158" s="96">
        <f t="shared" si="28"/>
        <v>143.5</v>
      </c>
      <c r="I158" s="95">
        <f t="shared" si="28"/>
        <v>23.538000000000004</v>
      </c>
      <c r="J158" s="95">
        <f t="shared" si="28"/>
        <v>9.4845000000000006</v>
      </c>
      <c r="K158" s="95">
        <f t="shared" si="28"/>
        <v>2.7715000000000001</v>
      </c>
      <c r="L158" s="95">
        <f t="shared" si="28"/>
        <v>37.725000000000001</v>
      </c>
      <c r="M158" s="95">
        <f t="shared" si="28"/>
        <v>15.468499999999997</v>
      </c>
      <c r="N158" s="95">
        <f t="shared" si="28"/>
        <v>25.826999999999998</v>
      </c>
      <c r="O158" s="95">
        <f t="shared" si="28"/>
        <v>40.357500000000002</v>
      </c>
      <c r="P158" s="95">
        <f t="shared" si="28"/>
        <v>54.287500000000009</v>
      </c>
      <c r="Q158" s="95">
        <f t="shared" si="28"/>
        <v>20.616783333333338</v>
      </c>
      <c r="R158" s="95">
        <f t="shared" si="28"/>
        <v>5.8234166666666658</v>
      </c>
      <c r="S158" s="95">
        <f t="shared" si="28"/>
        <v>3.7404999999999999</v>
      </c>
      <c r="T158" s="95">
        <f t="shared" si="28"/>
        <v>65.786733333333331</v>
      </c>
      <c r="U158" s="95">
        <f t="shared" si="28"/>
        <v>1.6656749999999998</v>
      </c>
      <c r="V158" s="95">
        <f t="shared" si="28"/>
        <v>0.61604999999999999</v>
      </c>
      <c r="W158" s="96">
        <f t="shared" si="28"/>
        <v>1286.175</v>
      </c>
      <c r="X158" s="95">
        <f t="shared" si="28"/>
        <v>3.3019500000000002</v>
      </c>
      <c r="Y158" s="95">
        <f t="shared" si="28"/>
        <v>98.240383964688675</v>
      </c>
      <c r="Z158" s="95">
        <f t="shared" si="28"/>
        <v>2.1584255555432801</v>
      </c>
      <c r="AA158" s="95">
        <f t="shared" si="28"/>
        <v>1.5697486469278297</v>
      </c>
      <c r="AB158" s="95">
        <f t="shared" si="28"/>
        <v>53.173382883333332</v>
      </c>
      <c r="AC158" s="95">
        <f t="shared" si="28"/>
        <v>19.052237519480002</v>
      </c>
      <c r="AD158" s="95">
        <f t="shared" si="28"/>
        <v>9.1026181666666677</v>
      </c>
      <c r="AE158" s="95">
        <f t="shared" si="28"/>
        <v>11.384119000000002</v>
      </c>
      <c r="AF158" s="95">
        <f t="shared" si="28"/>
        <v>28.270497511666662</v>
      </c>
    </row>
    <row r="159" spans="1:32">
      <c r="A159" s="324" t="s">
        <v>130</v>
      </c>
      <c r="B159" s="324"/>
      <c r="C159" s="95">
        <f t="shared" ref="C159:AF159" si="29">STDEV(C126:C155)</f>
        <v>0.25476304780386816</v>
      </c>
      <c r="D159" s="95">
        <f t="shared" si="29"/>
        <v>0.17264173429693253</v>
      </c>
      <c r="E159" s="96">
        <f t="shared" si="29"/>
        <v>23.025100719820852</v>
      </c>
      <c r="F159" s="95">
        <f t="shared" si="29"/>
        <v>0.76578133473699861</v>
      </c>
      <c r="G159" s="96">
        <f t="shared" si="29"/>
        <v>18.27422688983183</v>
      </c>
      <c r="H159" s="96">
        <f t="shared" si="29"/>
        <v>19.808291724745764</v>
      </c>
      <c r="I159" s="95">
        <f t="shared" si="29"/>
        <v>4.1482978119756639</v>
      </c>
      <c r="J159" s="95">
        <f t="shared" si="29"/>
        <v>3.4734594843575879</v>
      </c>
      <c r="K159" s="95">
        <f t="shared" si="29"/>
        <v>1.1828301252771496</v>
      </c>
      <c r="L159" s="95">
        <f t="shared" si="29"/>
        <v>41.616505771527464</v>
      </c>
      <c r="M159" s="95">
        <f t="shared" si="29"/>
        <v>1.1474469371976255</v>
      </c>
      <c r="N159" s="95">
        <f t="shared" si="29"/>
        <v>2.7614719568413428</v>
      </c>
      <c r="O159" s="95">
        <f t="shared" si="29"/>
        <v>3.2559966943601477</v>
      </c>
      <c r="P159" s="95">
        <f t="shared" si="29"/>
        <v>2.5558784152780452</v>
      </c>
      <c r="Q159" s="95">
        <f t="shared" si="29"/>
        <v>0.3696928474585201</v>
      </c>
      <c r="R159" s="95">
        <f t="shared" si="29"/>
        <v>0.15859417572250073</v>
      </c>
      <c r="S159" s="95">
        <f t="shared" si="29"/>
        <v>0.22409147307314831</v>
      </c>
      <c r="T159" s="95">
        <f t="shared" si="29"/>
        <v>0.32502579924590214</v>
      </c>
      <c r="U159" s="95">
        <f t="shared" si="29"/>
        <v>0.13969224188021481</v>
      </c>
      <c r="V159" s="95">
        <f t="shared" si="29"/>
        <v>0.23962411689490024</v>
      </c>
      <c r="W159" s="96">
        <f t="shared" si="29"/>
        <v>26.594995517008602</v>
      </c>
      <c r="X159" s="95">
        <f t="shared" si="29"/>
        <v>0.52327095979847671</v>
      </c>
      <c r="Y159" s="95">
        <f t="shared" si="29"/>
        <v>2.0052480027919919</v>
      </c>
      <c r="Z159" s="95">
        <f t="shared" si="29"/>
        <v>6.0488771537155421E-2</v>
      </c>
      <c r="AA159" s="95">
        <f t="shared" si="29"/>
        <v>0.11609323639495345</v>
      </c>
      <c r="AB159" s="95">
        <f t="shared" si="29"/>
        <v>3.374171975124105</v>
      </c>
      <c r="AC159" s="95">
        <f t="shared" si="29"/>
        <v>3.3930055040456022</v>
      </c>
      <c r="AD159" s="95">
        <f t="shared" si="29"/>
        <v>0.66419530253284387</v>
      </c>
      <c r="AE159" s="95">
        <f t="shared" si="29"/>
        <v>0.68322553144731202</v>
      </c>
      <c r="AF159" s="95">
        <f t="shared" si="29"/>
        <v>0.55577787942938883</v>
      </c>
    </row>
    <row r="161" spans="1:32">
      <c r="A161" s="325" t="s">
        <v>0</v>
      </c>
      <c r="B161" s="325"/>
      <c r="C161" s="325"/>
      <c r="D161" s="325"/>
      <c r="E161" s="325"/>
      <c r="F161" s="325"/>
      <c r="G161" s="325"/>
      <c r="H161" s="325"/>
      <c r="I161" s="325"/>
      <c r="J161" s="325"/>
      <c r="K161" s="325"/>
      <c r="L161" s="325"/>
      <c r="M161" s="325"/>
      <c r="N161" s="325"/>
      <c r="O161" s="325"/>
      <c r="P161" s="325"/>
      <c r="Q161" s="325"/>
      <c r="R161" s="325"/>
      <c r="S161" s="325"/>
      <c r="T161" s="325"/>
      <c r="U161" s="325"/>
      <c r="V161" s="325"/>
      <c r="W161" s="325"/>
      <c r="X161" s="325"/>
      <c r="Y161" s="325"/>
      <c r="Z161" s="325"/>
      <c r="AA161" s="325"/>
      <c r="AB161" s="325"/>
      <c r="AC161" s="325"/>
      <c r="AD161" s="325"/>
      <c r="AE161" s="325"/>
      <c r="AF161" s="325"/>
    </row>
    <row r="162" spans="1:32">
      <c r="A162" s="325" t="s">
        <v>106</v>
      </c>
      <c r="B162" s="325"/>
      <c r="C162" s="325"/>
      <c r="D162" s="325"/>
      <c r="E162" s="325"/>
      <c r="F162" s="325"/>
      <c r="G162" s="325"/>
      <c r="H162" s="325"/>
      <c r="I162" s="325"/>
      <c r="J162" s="325"/>
      <c r="K162" s="325"/>
      <c r="L162" s="325"/>
      <c r="M162" s="325"/>
      <c r="N162" s="325"/>
      <c r="O162" s="325"/>
      <c r="P162" s="325"/>
      <c r="Q162" s="325"/>
      <c r="R162" s="325"/>
      <c r="S162" s="325"/>
      <c r="T162" s="325"/>
      <c r="U162" s="325"/>
      <c r="V162" s="325"/>
      <c r="W162" s="325"/>
      <c r="X162" s="325"/>
      <c r="Y162" s="325"/>
      <c r="Z162" s="325"/>
      <c r="AA162" s="325"/>
      <c r="AB162" s="325"/>
      <c r="AC162" s="325" t="s">
        <v>107</v>
      </c>
      <c r="AD162" s="325"/>
      <c r="AE162" s="326">
        <v>46113</v>
      </c>
      <c r="AF162" s="326"/>
    </row>
    <row r="163" spans="1:32">
      <c r="A163" s="327"/>
      <c r="B163" s="327"/>
      <c r="C163" s="328" t="s">
        <v>108</v>
      </c>
      <c r="D163" s="328"/>
      <c r="E163" s="328"/>
      <c r="F163" s="328"/>
      <c r="G163" s="328"/>
      <c r="H163" s="328"/>
      <c r="I163" s="328"/>
      <c r="J163" s="328"/>
      <c r="K163" s="328"/>
      <c r="L163" s="328"/>
      <c r="M163" s="328"/>
      <c r="N163" s="328"/>
      <c r="O163" s="328"/>
      <c r="P163" s="328"/>
      <c r="Q163" s="329" t="s">
        <v>109</v>
      </c>
      <c r="R163" s="329"/>
      <c r="S163" s="329"/>
      <c r="T163" s="329"/>
      <c r="U163" s="329"/>
      <c r="V163" s="329"/>
      <c r="W163" s="329"/>
      <c r="X163" s="329"/>
      <c r="Y163" s="329"/>
      <c r="Z163" s="329"/>
      <c r="AA163" s="329"/>
      <c r="AB163" s="329"/>
      <c r="AC163" s="329"/>
      <c r="AD163" s="329"/>
      <c r="AE163" s="329"/>
      <c r="AF163" s="329"/>
    </row>
    <row r="164" spans="1:32" ht="38.25">
      <c r="A164" s="5" t="s">
        <v>110</v>
      </c>
      <c r="B164" s="5" t="s">
        <v>111</v>
      </c>
      <c r="C164" s="64" t="s">
        <v>83</v>
      </c>
      <c r="D164" s="64" t="s">
        <v>81</v>
      </c>
      <c r="E164" s="89" t="s">
        <v>112</v>
      </c>
      <c r="F164" s="64" t="s">
        <v>113</v>
      </c>
      <c r="G164" s="89" t="s">
        <v>114</v>
      </c>
      <c r="H164" s="89" t="s">
        <v>115</v>
      </c>
      <c r="I164" s="64" t="s">
        <v>116</v>
      </c>
      <c r="J164" s="64" t="s">
        <v>117</v>
      </c>
      <c r="K164" s="64" t="s">
        <v>118</v>
      </c>
      <c r="L164" s="64" t="s">
        <v>119</v>
      </c>
      <c r="M164" s="64" t="s">
        <v>9</v>
      </c>
      <c r="N164" s="64" t="s">
        <v>120</v>
      </c>
      <c r="O164" s="64" t="s">
        <v>121</v>
      </c>
      <c r="P164" s="64" t="s">
        <v>122</v>
      </c>
      <c r="Q164" s="64" t="s">
        <v>74</v>
      </c>
      <c r="R164" s="64" t="s">
        <v>75</v>
      </c>
      <c r="S164" s="64" t="s">
        <v>76</v>
      </c>
      <c r="T164" s="64" t="s">
        <v>77</v>
      </c>
      <c r="U164" s="64" t="s">
        <v>78</v>
      </c>
      <c r="V164" s="64" t="s">
        <v>81</v>
      </c>
      <c r="W164" s="89" t="s">
        <v>123</v>
      </c>
      <c r="X164" s="64" t="s">
        <v>100</v>
      </c>
      <c r="Y164" s="64" t="s">
        <v>87</v>
      </c>
      <c r="Z164" s="64" t="s">
        <v>88</v>
      </c>
      <c r="AA164" s="64" t="s">
        <v>89</v>
      </c>
      <c r="AB164" s="64" t="s">
        <v>101</v>
      </c>
      <c r="AC164" s="64" t="s">
        <v>102</v>
      </c>
      <c r="AD164" s="64" t="s">
        <v>103</v>
      </c>
      <c r="AE164" s="64" t="s">
        <v>104</v>
      </c>
      <c r="AF164" s="64" t="s">
        <v>105</v>
      </c>
    </row>
    <row r="165" spans="1:32">
      <c r="A165" s="322" t="s">
        <v>124</v>
      </c>
      <c r="B165" s="323"/>
      <c r="C165" s="64" t="s">
        <v>53</v>
      </c>
      <c r="D165" s="64" t="s">
        <v>53</v>
      </c>
      <c r="E165" s="64" t="s">
        <v>125</v>
      </c>
      <c r="F165" s="64" t="s">
        <v>53</v>
      </c>
      <c r="G165" s="64" t="s">
        <v>126</v>
      </c>
      <c r="H165" s="64" t="s">
        <v>126</v>
      </c>
      <c r="I165" s="64" t="s">
        <v>53</v>
      </c>
      <c r="J165" s="64" t="s">
        <v>53</v>
      </c>
      <c r="K165" s="64" t="s">
        <v>53</v>
      </c>
      <c r="L165" s="64" t="s">
        <v>127</v>
      </c>
      <c r="M165" s="64" t="s">
        <v>128</v>
      </c>
      <c r="N165" s="64" t="s">
        <v>128</v>
      </c>
      <c r="O165" s="64" t="s">
        <v>128</v>
      </c>
      <c r="P165" s="64" t="s">
        <v>128</v>
      </c>
      <c r="Q165" s="64" t="s">
        <v>53</v>
      </c>
      <c r="R165" s="64" t="s">
        <v>53</v>
      </c>
      <c r="S165" s="64" t="s">
        <v>53</v>
      </c>
      <c r="T165" s="64" t="s">
        <v>53</v>
      </c>
      <c r="U165" s="64" t="s">
        <v>53</v>
      </c>
      <c r="V165" s="64" t="s">
        <v>53</v>
      </c>
      <c r="W165" s="64" t="s">
        <v>129</v>
      </c>
      <c r="X165" s="64" t="s">
        <v>53</v>
      </c>
      <c r="Y165" s="64" t="s">
        <v>53</v>
      </c>
      <c r="Z165" s="64" t="s">
        <v>53</v>
      </c>
      <c r="AA165" s="64" t="s">
        <v>53</v>
      </c>
      <c r="AB165" s="64" t="s">
        <v>53</v>
      </c>
      <c r="AC165" s="64" t="s">
        <v>53</v>
      </c>
      <c r="AD165" s="64" t="s">
        <v>53</v>
      </c>
      <c r="AE165" s="64" t="s">
        <v>53</v>
      </c>
      <c r="AF165" s="64" t="s">
        <v>53</v>
      </c>
    </row>
    <row r="166" spans="1:32">
      <c r="A166" s="90">
        <f>AE162+0</f>
        <v>46113</v>
      </c>
      <c r="B166" s="90">
        <f>A166+1</f>
        <v>46114</v>
      </c>
      <c r="C166" s="80" t="s">
        <v>35</v>
      </c>
      <c r="D166" s="80" t="s">
        <v>35</v>
      </c>
      <c r="E166" s="72" t="s">
        <v>35</v>
      </c>
      <c r="F166" s="80" t="s">
        <v>35</v>
      </c>
      <c r="G166" s="72" t="s">
        <v>35</v>
      </c>
      <c r="H166" s="72" t="s">
        <v>35</v>
      </c>
      <c r="I166" s="80" t="s">
        <v>35</v>
      </c>
      <c r="J166" s="80" t="s">
        <v>35</v>
      </c>
      <c r="K166" s="80" t="s">
        <v>35</v>
      </c>
      <c r="L166" s="80" t="s">
        <v>35</v>
      </c>
      <c r="M166" s="80" t="s">
        <v>35</v>
      </c>
      <c r="N166" s="97" t="s">
        <v>35</v>
      </c>
      <c r="O166" s="97" t="s">
        <v>35</v>
      </c>
      <c r="P166" s="97" t="s">
        <v>35</v>
      </c>
      <c r="Q166" s="92" t="s">
        <v>35</v>
      </c>
      <c r="R166" s="92" t="s">
        <v>35</v>
      </c>
      <c r="S166" s="92" t="s">
        <v>35</v>
      </c>
      <c r="T166" s="92" t="s">
        <v>35</v>
      </c>
      <c r="U166" s="92" t="s">
        <v>35</v>
      </c>
      <c r="V166" s="92" t="s">
        <v>35</v>
      </c>
      <c r="W166" s="99" t="s">
        <v>35</v>
      </c>
      <c r="X166" s="92" t="s">
        <v>35</v>
      </c>
      <c r="Y166" s="92" t="s">
        <v>35</v>
      </c>
      <c r="Z166" s="92" t="s">
        <v>35</v>
      </c>
      <c r="AA166" s="92" t="s">
        <v>35</v>
      </c>
      <c r="AB166" s="92" t="s">
        <v>35</v>
      </c>
      <c r="AC166" s="92" t="s">
        <v>35</v>
      </c>
      <c r="AD166" s="100" t="s">
        <v>35</v>
      </c>
      <c r="AE166" s="92" t="s">
        <v>35</v>
      </c>
      <c r="AF166" s="92" t="s">
        <v>35</v>
      </c>
    </row>
    <row r="167" spans="1:32">
      <c r="A167" s="90">
        <f t="shared" ref="A167:A194" si="30">A166+1</f>
        <v>46114</v>
      </c>
      <c r="B167" s="90">
        <f t="shared" ref="B167:B194" si="31">A167+1</f>
        <v>46115</v>
      </c>
      <c r="C167" s="80" t="s">
        <v>35</v>
      </c>
      <c r="D167" s="80" t="s">
        <v>35</v>
      </c>
      <c r="E167" s="72" t="s">
        <v>35</v>
      </c>
      <c r="F167" s="80" t="s">
        <v>35</v>
      </c>
      <c r="G167" s="72" t="s">
        <v>35</v>
      </c>
      <c r="H167" s="72" t="s">
        <v>35</v>
      </c>
      <c r="I167" s="80" t="s">
        <v>35</v>
      </c>
      <c r="J167" s="80" t="s">
        <v>35</v>
      </c>
      <c r="K167" s="80" t="s">
        <v>35</v>
      </c>
      <c r="L167" s="80" t="s">
        <v>35</v>
      </c>
      <c r="M167" s="80" t="s">
        <v>35</v>
      </c>
      <c r="N167" s="97" t="s">
        <v>35</v>
      </c>
      <c r="O167" s="97" t="s">
        <v>35</v>
      </c>
      <c r="P167" s="97" t="s">
        <v>35</v>
      </c>
      <c r="Q167" s="92" t="s">
        <v>35</v>
      </c>
      <c r="R167" s="92" t="s">
        <v>35</v>
      </c>
      <c r="S167" s="92" t="s">
        <v>35</v>
      </c>
      <c r="T167" s="92" t="s">
        <v>35</v>
      </c>
      <c r="U167" s="92" t="s">
        <v>35</v>
      </c>
      <c r="V167" s="92" t="s">
        <v>35</v>
      </c>
      <c r="W167" s="99" t="s">
        <v>35</v>
      </c>
      <c r="X167" s="92" t="s">
        <v>35</v>
      </c>
      <c r="Y167" s="92" t="s">
        <v>35</v>
      </c>
      <c r="Z167" s="92" t="s">
        <v>35</v>
      </c>
      <c r="AA167" s="92" t="s">
        <v>35</v>
      </c>
      <c r="AB167" s="92" t="s">
        <v>35</v>
      </c>
      <c r="AC167" s="92" t="s">
        <v>35</v>
      </c>
      <c r="AD167" s="100" t="s">
        <v>35</v>
      </c>
      <c r="AE167" s="92" t="s">
        <v>35</v>
      </c>
      <c r="AF167" s="92" t="s">
        <v>35</v>
      </c>
    </row>
    <row r="168" spans="1:32">
      <c r="A168" s="90">
        <f t="shared" si="30"/>
        <v>46115</v>
      </c>
      <c r="B168" s="90">
        <f t="shared" si="31"/>
        <v>46116</v>
      </c>
      <c r="C168" s="80">
        <v>1.44</v>
      </c>
      <c r="D168" s="80">
        <v>2.62</v>
      </c>
      <c r="E168" s="72">
        <v>330</v>
      </c>
      <c r="F168" s="80">
        <v>24.4</v>
      </c>
      <c r="G168" s="72">
        <v>90</v>
      </c>
      <c r="H168" s="72">
        <v>125</v>
      </c>
      <c r="I168" s="80">
        <v>22.28</v>
      </c>
      <c r="J168" s="80">
        <v>4.38</v>
      </c>
      <c r="K168" s="80">
        <v>0.48</v>
      </c>
      <c r="L168" s="80">
        <v>2</v>
      </c>
      <c r="M168" s="80">
        <v>15.65</v>
      </c>
      <c r="N168" s="97">
        <v>25.39</v>
      </c>
      <c r="O168" s="97">
        <v>38.07</v>
      </c>
      <c r="P168" s="97"/>
      <c r="Q168" s="92">
        <v>20.41</v>
      </c>
      <c r="R168" s="92">
        <v>6.5875000000000004</v>
      </c>
      <c r="S168" s="92">
        <v>4.1825000000000001</v>
      </c>
      <c r="T168" s="92">
        <v>64.849999999999994</v>
      </c>
      <c r="U168" s="92">
        <v>2.0674999999999999</v>
      </c>
      <c r="V168" s="92">
        <v>0.66400000000000003</v>
      </c>
      <c r="W168" s="99">
        <v>1231.25</v>
      </c>
      <c r="X168" s="92">
        <v>3.2674999999999996</v>
      </c>
      <c r="Y168" s="92">
        <v>95.880466855221854</v>
      </c>
      <c r="Z168" s="92">
        <v>1.8994133336595924</v>
      </c>
      <c r="AA168" s="92">
        <v>1.5743526377629253</v>
      </c>
      <c r="AB168" s="92">
        <v>45.309737499999969</v>
      </c>
      <c r="AC168" s="92">
        <v>24.395034030000026</v>
      </c>
      <c r="AD168" s="100">
        <v>10.380084999999999</v>
      </c>
      <c r="AE168" s="92">
        <v>12.7273475</v>
      </c>
      <c r="AF168" s="92">
        <v>31.967665175</v>
      </c>
    </row>
    <row r="169" spans="1:32">
      <c r="A169" s="90">
        <f t="shared" si="30"/>
        <v>46116</v>
      </c>
      <c r="B169" s="90">
        <f t="shared" si="31"/>
        <v>46117</v>
      </c>
      <c r="C169" s="80">
        <v>1.57</v>
      </c>
      <c r="D169" s="80">
        <v>2.46</v>
      </c>
      <c r="E169" s="72">
        <v>344</v>
      </c>
      <c r="F169" s="80">
        <v>27</v>
      </c>
      <c r="G169" s="72">
        <v>110</v>
      </c>
      <c r="H169" s="72">
        <v>180</v>
      </c>
      <c r="I169" s="80">
        <v>18.399999999999999</v>
      </c>
      <c r="J169" s="80">
        <v>4</v>
      </c>
      <c r="K169" s="80">
        <v>1.06</v>
      </c>
      <c r="L169" s="80">
        <v>52.5</v>
      </c>
      <c r="M169" s="80">
        <v>15.4</v>
      </c>
      <c r="N169" s="97">
        <v>25.58</v>
      </c>
      <c r="O169" s="97">
        <v>36.909999999999997</v>
      </c>
      <c r="P169" s="97"/>
      <c r="Q169" s="92">
        <v>20.68</v>
      </c>
      <c r="R169" s="92">
        <v>5.87</v>
      </c>
      <c r="S169" s="92">
        <v>4.03</v>
      </c>
      <c r="T169" s="92">
        <v>65.59</v>
      </c>
      <c r="U169" s="92">
        <v>1.77</v>
      </c>
      <c r="V169" s="92">
        <v>0.76</v>
      </c>
      <c r="W169" s="99">
        <v>1323</v>
      </c>
      <c r="X169" s="92">
        <v>3.45</v>
      </c>
      <c r="Y169" s="92">
        <v>97.25</v>
      </c>
      <c r="Z169" s="92">
        <v>2.09</v>
      </c>
      <c r="AA169" s="92">
        <v>1.47</v>
      </c>
      <c r="AB169" s="92">
        <v>50.54</v>
      </c>
      <c r="AC169" s="92">
        <v>21.24</v>
      </c>
      <c r="AD169" s="100">
        <v>8.74</v>
      </c>
      <c r="AE169" s="92">
        <v>12.26</v>
      </c>
      <c r="AF169" s="92">
        <v>29.25</v>
      </c>
    </row>
    <row r="170" spans="1:32">
      <c r="A170" s="90">
        <f t="shared" si="30"/>
        <v>46117</v>
      </c>
      <c r="B170" s="90">
        <f t="shared" si="31"/>
        <v>46118</v>
      </c>
      <c r="C170" s="80" t="s">
        <v>35</v>
      </c>
      <c r="D170" s="80" t="s">
        <v>35</v>
      </c>
      <c r="E170" s="72" t="s">
        <v>35</v>
      </c>
      <c r="F170" s="80" t="s">
        <v>35</v>
      </c>
      <c r="G170" s="72" t="s">
        <v>35</v>
      </c>
      <c r="H170" s="72" t="s">
        <v>35</v>
      </c>
      <c r="I170" s="80" t="s">
        <v>35</v>
      </c>
      <c r="J170" s="80" t="s">
        <v>35</v>
      </c>
      <c r="K170" s="80" t="s">
        <v>35</v>
      </c>
      <c r="L170" s="80" t="s">
        <v>35</v>
      </c>
      <c r="M170" s="80" t="s">
        <v>35</v>
      </c>
      <c r="N170" s="97" t="s">
        <v>35</v>
      </c>
      <c r="O170" s="97" t="s">
        <v>35</v>
      </c>
      <c r="P170" s="97" t="s">
        <v>35</v>
      </c>
      <c r="Q170" s="92" t="s">
        <v>35</v>
      </c>
      <c r="R170" s="92" t="s">
        <v>35</v>
      </c>
      <c r="S170" s="92" t="s">
        <v>35</v>
      </c>
      <c r="T170" s="92" t="s">
        <v>35</v>
      </c>
      <c r="U170" s="92" t="s">
        <v>35</v>
      </c>
      <c r="V170" s="92" t="s">
        <v>35</v>
      </c>
      <c r="W170" s="99" t="s">
        <v>35</v>
      </c>
      <c r="X170" s="92" t="s">
        <v>35</v>
      </c>
      <c r="Y170" s="92" t="s">
        <v>35</v>
      </c>
      <c r="Z170" s="92" t="s">
        <v>35</v>
      </c>
      <c r="AA170" s="92" t="s">
        <v>35</v>
      </c>
      <c r="AB170" s="92" t="s">
        <v>35</v>
      </c>
      <c r="AC170" s="92" t="s">
        <v>35</v>
      </c>
      <c r="AD170" s="100" t="s">
        <v>35</v>
      </c>
      <c r="AE170" s="92" t="s">
        <v>35</v>
      </c>
      <c r="AF170" s="92" t="s">
        <v>35</v>
      </c>
    </row>
    <row r="171" spans="1:32">
      <c r="A171" s="90">
        <f t="shared" si="30"/>
        <v>46118</v>
      </c>
      <c r="B171" s="90">
        <f t="shared" si="31"/>
        <v>46119</v>
      </c>
      <c r="C171" s="80">
        <v>1.64</v>
      </c>
      <c r="D171" s="80">
        <v>2.57</v>
      </c>
      <c r="E171" s="72">
        <v>319</v>
      </c>
      <c r="F171" s="80">
        <v>24</v>
      </c>
      <c r="G171" s="91">
        <v>95</v>
      </c>
      <c r="H171" s="72">
        <v>130</v>
      </c>
      <c r="I171" s="80">
        <v>29.4</v>
      </c>
      <c r="J171" s="80">
        <v>6.93</v>
      </c>
      <c r="K171" s="80">
        <v>0.42</v>
      </c>
      <c r="L171" s="80">
        <v>105</v>
      </c>
      <c r="M171" s="80">
        <v>11.29</v>
      </c>
      <c r="N171" s="97">
        <v>19.8</v>
      </c>
      <c r="O171" s="97">
        <v>31.1</v>
      </c>
      <c r="P171" s="97"/>
      <c r="Q171" s="92">
        <v>20.85</v>
      </c>
      <c r="R171" s="92">
        <v>5.53</v>
      </c>
      <c r="S171" s="92">
        <v>3.38</v>
      </c>
      <c r="T171" s="92">
        <v>65.67</v>
      </c>
      <c r="U171" s="92">
        <v>1.89</v>
      </c>
      <c r="V171" s="92">
        <v>0.77</v>
      </c>
      <c r="W171" s="99">
        <v>1209</v>
      </c>
      <c r="X171" s="92">
        <v>3.78</v>
      </c>
      <c r="Y171" s="92">
        <v>97.93</v>
      </c>
      <c r="Z171" s="92">
        <v>2.34</v>
      </c>
      <c r="AA171" s="92">
        <v>1.64</v>
      </c>
      <c r="AB171" s="92">
        <v>51.5</v>
      </c>
      <c r="AC171" s="92">
        <v>20.98</v>
      </c>
      <c r="AD171" s="100">
        <v>8.93</v>
      </c>
      <c r="AE171" s="92">
        <v>10.29</v>
      </c>
      <c r="AF171" s="92">
        <v>27.01</v>
      </c>
    </row>
    <row r="172" spans="1:32">
      <c r="A172" s="90">
        <f t="shared" si="30"/>
        <v>46119</v>
      </c>
      <c r="B172" s="90">
        <f t="shared" si="31"/>
        <v>46120</v>
      </c>
      <c r="C172" s="80">
        <v>1.7</v>
      </c>
      <c r="D172" s="80">
        <v>2.42</v>
      </c>
      <c r="E172" s="72">
        <v>329</v>
      </c>
      <c r="F172" s="80">
        <v>24.4</v>
      </c>
      <c r="G172" s="72">
        <v>110</v>
      </c>
      <c r="H172" s="72">
        <v>160</v>
      </c>
      <c r="I172" s="80">
        <v>21.12</v>
      </c>
      <c r="J172" s="80">
        <v>5.39</v>
      </c>
      <c r="K172" s="80">
        <v>0.85</v>
      </c>
      <c r="L172" s="80">
        <v>52</v>
      </c>
      <c r="M172" s="80">
        <v>16.8</v>
      </c>
      <c r="N172" s="97">
        <v>26.83</v>
      </c>
      <c r="O172" s="97">
        <v>39.82</v>
      </c>
      <c r="P172" s="97"/>
      <c r="Q172" s="92">
        <v>21.2</v>
      </c>
      <c r="R172" s="92">
        <v>5.74</v>
      </c>
      <c r="S172" s="92">
        <v>3.5</v>
      </c>
      <c r="T172" s="92">
        <v>64.8</v>
      </c>
      <c r="U172" s="92">
        <v>1.76</v>
      </c>
      <c r="V172" s="92">
        <v>0.79800000000000004</v>
      </c>
      <c r="W172" s="93">
        <v>1285</v>
      </c>
      <c r="X172" s="92">
        <v>3.13</v>
      </c>
      <c r="Y172" s="92">
        <v>94.725486125932278</v>
      </c>
      <c r="Z172" s="100">
        <v>2.2943722943722942</v>
      </c>
      <c r="AA172" s="92">
        <v>1.6400000000000001</v>
      </c>
      <c r="AB172" s="92">
        <v>46.329849999999993</v>
      </c>
      <c r="AC172" s="92">
        <v>25.892761160000006</v>
      </c>
      <c r="AD172" s="92">
        <v>9.2890000000000015</v>
      </c>
      <c r="AE172" s="92">
        <v>10.650500000000001</v>
      </c>
      <c r="AF172" s="92">
        <v>27.732745000000008</v>
      </c>
    </row>
    <row r="173" spans="1:32">
      <c r="A173" s="90">
        <f t="shared" si="30"/>
        <v>46120</v>
      </c>
      <c r="B173" s="90">
        <f t="shared" si="31"/>
        <v>46121</v>
      </c>
      <c r="C173" s="80">
        <v>1.89</v>
      </c>
      <c r="D173" s="80">
        <v>2.5299999999999998</v>
      </c>
      <c r="E173" s="72">
        <v>306</v>
      </c>
      <c r="F173" s="80">
        <v>24.8</v>
      </c>
      <c r="G173" s="72">
        <v>105</v>
      </c>
      <c r="H173" s="72">
        <v>155</v>
      </c>
      <c r="I173" s="80">
        <v>23.64</v>
      </c>
      <c r="J173" s="80">
        <v>5.16</v>
      </c>
      <c r="K173" s="80">
        <v>1.73</v>
      </c>
      <c r="L173" s="80">
        <v>54</v>
      </c>
      <c r="M173" s="80">
        <v>14.28</v>
      </c>
      <c r="N173" s="97">
        <v>24.74</v>
      </c>
      <c r="O173" s="97">
        <v>35.700000000000003</v>
      </c>
      <c r="P173" s="97"/>
      <c r="Q173" s="92">
        <v>21.8</v>
      </c>
      <c r="R173" s="92">
        <v>5.36</v>
      </c>
      <c r="S173" s="92">
        <v>3.37</v>
      </c>
      <c r="T173" s="92">
        <v>64.89</v>
      </c>
      <c r="U173" s="92">
        <v>1.6</v>
      </c>
      <c r="V173" s="92">
        <v>0.77300000000000002</v>
      </c>
      <c r="W173" s="99">
        <v>1233.3333333333333</v>
      </c>
      <c r="X173" s="92">
        <v>3.16</v>
      </c>
      <c r="Y173" s="92">
        <v>93.29267503698496</v>
      </c>
      <c r="Z173" s="92">
        <v>2.4971363115693013</v>
      </c>
      <c r="AA173" s="92">
        <v>1.5905044510385757</v>
      </c>
      <c r="AB173" s="92">
        <v>44.751650000000012</v>
      </c>
      <c r="AC173" s="92">
        <v>28.805355239999997</v>
      </c>
      <c r="AD173" s="100">
        <v>8.5019600000000004</v>
      </c>
      <c r="AE173" s="92">
        <v>10.254910000000001</v>
      </c>
      <c r="AF173" s="92">
        <v>26.088343300000002</v>
      </c>
    </row>
    <row r="174" spans="1:32">
      <c r="A174" s="90">
        <f t="shared" si="30"/>
        <v>46121</v>
      </c>
      <c r="B174" s="90">
        <f t="shared" si="31"/>
        <v>46122</v>
      </c>
      <c r="C174" s="80">
        <v>1.82</v>
      </c>
      <c r="D174" s="92">
        <v>2.0299999999999998</v>
      </c>
      <c r="E174" s="72">
        <v>289</v>
      </c>
      <c r="F174" s="80">
        <v>25.2</v>
      </c>
      <c r="G174" s="72">
        <v>100</v>
      </c>
      <c r="H174" s="72">
        <v>140</v>
      </c>
      <c r="I174" s="80">
        <v>17.16</v>
      </c>
      <c r="J174" s="80">
        <v>9.75</v>
      </c>
      <c r="K174" s="80">
        <v>0.83</v>
      </c>
      <c r="L174" s="80">
        <v>110</v>
      </c>
      <c r="M174" s="80">
        <v>13.8</v>
      </c>
      <c r="N174" s="97">
        <v>22.8</v>
      </c>
      <c r="O174" s="97">
        <v>36.04</v>
      </c>
      <c r="P174" s="97"/>
      <c r="Q174" s="92">
        <v>20.95</v>
      </c>
      <c r="R174" s="92">
        <v>5.31</v>
      </c>
      <c r="S174" s="92">
        <v>4.03</v>
      </c>
      <c r="T174" s="92">
        <v>65.78</v>
      </c>
      <c r="U174" s="92">
        <v>1.52</v>
      </c>
      <c r="V174" s="92">
        <v>0.61</v>
      </c>
      <c r="W174" s="99">
        <v>1242</v>
      </c>
      <c r="X174" s="92">
        <v>4.1399999999999997</v>
      </c>
      <c r="Y174" s="92">
        <v>97.39</v>
      </c>
      <c r="Z174" s="92">
        <v>2.2400000000000002</v>
      </c>
      <c r="AA174" s="92">
        <v>1.32</v>
      </c>
      <c r="AB174" s="92">
        <v>50.24</v>
      </c>
      <c r="AC174" s="92">
        <v>22.23</v>
      </c>
      <c r="AD174" s="100">
        <v>7.25</v>
      </c>
      <c r="AE174" s="92">
        <v>12.26</v>
      </c>
      <c r="AF174" s="92">
        <v>27.16</v>
      </c>
    </row>
    <row r="175" spans="1:32">
      <c r="A175" s="90">
        <f t="shared" si="30"/>
        <v>46122</v>
      </c>
      <c r="B175" s="90">
        <f t="shared" si="31"/>
        <v>46123</v>
      </c>
      <c r="C175" s="92">
        <v>1.21</v>
      </c>
      <c r="D175" s="92">
        <v>2.71</v>
      </c>
      <c r="E175" s="72">
        <v>302</v>
      </c>
      <c r="F175" s="80">
        <v>23.6</v>
      </c>
      <c r="G175" s="72">
        <v>105</v>
      </c>
      <c r="H175" s="72">
        <v>150</v>
      </c>
      <c r="I175" s="80">
        <v>28.04</v>
      </c>
      <c r="J175" s="80">
        <v>8.25</v>
      </c>
      <c r="K175" s="80">
        <v>0.66</v>
      </c>
      <c r="L175" s="80">
        <v>103.5</v>
      </c>
      <c r="M175" s="80">
        <v>13</v>
      </c>
      <c r="N175" s="97">
        <v>23.27</v>
      </c>
      <c r="O175" s="97">
        <v>37.92</v>
      </c>
      <c r="P175" s="97"/>
      <c r="Q175" s="92">
        <v>20.62</v>
      </c>
      <c r="R175" s="92">
        <v>5.82</v>
      </c>
      <c r="S175" s="92">
        <v>3.28</v>
      </c>
      <c r="T175" s="92">
        <v>65.94</v>
      </c>
      <c r="U175" s="92">
        <v>1.52</v>
      </c>
      <c r="V175" s="92">
        <v>0.7</v>
      </c>
      <c r="W175" s="99">
        <v>1237</v>
      </c>
      <c r="X175" s="92">
        <v>3.66</v>
      </c>
      <c r="Y175" s="92">
        <v>98.81</v>
      </c>
      <c r="Z175" s="92">
        <v>2.27</v>
      </c>
      <c r="AA175" s="92">
        <v>1.77</v>
      </c>
      <c r="AB175" s="92">
        <v>53</v>
      </c>
      <c r="AC175" s="92">
        <v>19.2</v>
      </c>
      <c r="AD175" s="100">
        <v>9.8699999999999992</v>
      </c>
      <c r="AE175" s="92">
        <v>9.98</v>
      </c>
      <c r="AF175" s="92">
        <v>27.16</v>
      </c>
    </row>
    <row r="176" spans="1:32">
      <c r="A176" s="90">
        <f t="shared" si="30"/>
        <v>46123</v>
      </c>
      <c r="B176" s="90">
        <f t="shared" si="31"/>
        <v>46124</v>
      </c>
      <c r="C176" s="92">
        <v>1.83</v>
      </c>
      <c r="D176" s="92">
        <v>2.61</v>
      </c>
      <c r="E176" s="72">
        <v>340</v>
      </c>
      <c r="F176" s="80">
        <v>24</v>
      </c>
      <c r="G176" s="72">
        <v>110</v>
      </c>
      <c r="H176" s="72">
        <v>150</v>
      </c>
      <c r="I176" s="80">
        <v>20.52</v>
      </c>
      <c r="J176" s="80">
        <v>6.45</v>
      </c>
      <c r="K176" s="80">
        <v>0.89</v>
      </c>
      <c r="L176" s="80">
        <v>77</v>
      </c>
      <c r="M176" s="80">
        <v>15.37</v>
      </c>
      <c r="N176" s="97">
        <v>26.24</v>
      </c>
      <c r="O176" s="97">
        <v>37.25</v>
      </c>
      <c r="P176" s="97"/>
      <c r="Q176" s="92">
        <v>21.09</v>
      </c>
      <c r="R176" s="92">
        <v>5.88</v>
      </c>
      <c r="S176" s="92">
        <v>3.75</v>
      </c>
      <c r="T176" s="92">
        <v>65.650000000000006</v>
      </c>
      <c r="U176" s="92">
        <v>1.51</v>
      </c>
      <c r="V176" s="92">
        <v>0.65</v>
      </c>
      <c r="W176" s="93">
        <v>1268</v>
      </c>
      <c r="X176" s="92">
        <v>3.28</v>
      </c>
      <c r="Y176" s="92">
        <v>95.94</v>
      </c>
      <c r="Z176" s="92">
        <v>2.19</v>
      </c>
      <c r="AA176" s="92">
        <v>1.57</v>
      </c>
      <c r="AB176" s="92">
        <v>48.72</v>
      </c>
      <c r="AC176" s="92">
        <v>23.78</v>
      </c>
      <c r="AD176" s="92">
        <v>9.24</v>
      </c>
      <c r="AE176" s="92">
        <v>11.41</v>
      </c>
      <c r="AF176" s="92">
        <v>28.33</v>
      </c>
    </row>
    <row r="177" spans="1:32">
      <c r="A177" s="90">
        <f t="shared" si="30"/>
        <v>46124</v>
      </c>
      <c r="B177" s="90">
        <f t="shared" si="31"/>
        <v>46125</v>
      </c>
      <c r="C177" s="92">
        <v>1.58</v>
      </c>
      <c r="D177" s="92">
        <v>2.63</v>
      </c>
      <c r="E177" s="72">
        <v>351</v>
      </c>
      <c r="F177" s="80">
        <v>25.2</v>
      </c>
      <c r="G177" s="72">
        <v>85</v>
      </c>
      <c r="H177" s="72">
        <v>115</v>
      </c>
      <c r="I177" s="80">
        <v>21.24</v>
      </c>
      <c r="J177" s="80">
        <v>4.63</v>
      </c>
      <c r="K177" s="80">
        <v>1.1100000000000001</v>
      </c>
      <c r="L177" s="80">
        <v>103.5</v>
      </c>
      <c r="M177" s="80">
        <v>14.02</v>
      </c>
      <c r="N177" s="97">
        <v>23.28</v>
      </c>
      <c r="O177" s="97">
        <v>36.200000000000003</v>
      </c>
      <c r="P177" s="97"/>
      <c r="Q177" s="92">
        <v>20.54</v>
      </c>
      <c r="R177" s="92">
        <v>5.5</v>
      </c>
      <c r="S177" s="92">
        <v>4.25</v>
      </c>
      <c r="T177" s="92">
        <v>66.31</v>
      </c>
      <c r="U177" s="92">
        <v>1.68</v>
      </c>
      <c r="V177" s="92">
        <v>0.6</v>
      </c>
      <c r="W177" s="99">
        <v>1258</v>
      </c>
      <c r="X177" s="92">
        <v>3.86</v>
      </c>
      <c r="Y177" s="92">
        <v>99.32</v>
      </c>
      <c r="Z177" s="92">
        <v>2.11</v>
      </c>
      <c r="AA177" s="92">
        <v>1.29</v>
      </c>
      <c r="AB177" s="92">
        <v>55.06</v>
      </c>
      <c r="AC177" s="92">
        <v>17.41</v>
      </c>
      <c r="AD177" s="100">
        <v>7.38</v>
      </c>
      <c r="AE177" s="92">
        <v>12.93</v>
      </c>
      <c r="AF177" s="92">
        <v>28.38</v>
      </c>
    </row>
    <row r="178" spans="1:32">
      <c r="A178" s="90">
        <f t="shared" si="30"/>
        <v>46125</v>
      </c>
      <c r="B178" s="90">
        <f t="shared" si="31"/>
        <v>46126</v>
      </c>
      <c r="C178" s="92">
        <v>1.72</v>
      </c>
      <c r="D178" s="92">
        <v>2.68</v>
      </c>
      <c r="E178" s="72">
        <v>321</v>
      </c>
      <c r="F178" s="80">
        <v>24.8</v>
      </c>
      <c r="G178" s="72">
        <v>95</v>
      </c>
      <c r="H178" s="72">
        <v>140</v>
      </c>
      <c r="I178" s="80">
        <v>23.2</v>
      </c>
      <c r="J178" s="80">
        <v>5.26</v>
      </c>
      <c r="K178" s="80">
        <v>0.72</v>
      </c>
      <c r="L178" s="80">
        <v>105</v>
      </c>
      <c r="M178" s="80">
        <v>13.56</v>
      </c>
      <c r="N178" s="97">
        <v>24.2</v>
      </c>
      <c r="O178" s="97">
        <v>36.69</v>
      </c>
      <c r="P178" s="97"/>
      <c r="Q178" s="92">
        <v>21.25</v>
      </c>
      <c r="R178" s="92">
        <v>5.5</v>
      </c>
      <c r="S178" s="92">
        <v>4.17</v>
      </c>
      <c r="T178" s="92">
        <v>65.75</v>
      </c>
      <c r="U178" s="92">
        <v>1.53</v>
      </c>
      <c r="V178" s="92">
        <v>0.61399999999999999</v>
      </c>
      <c r="W178" s="99">
        <v>1222</v>
      </c>
      <c r="X178" s="92">
        <v>3.55</v>
      </c>
      <c r="Y178" s="92">
        <v>95.705271431794543</v>
      </c>
      <c r="Z178" s="92">
        <v>2.1975180972078592</v>
      </c>
      <c r="AA178" s="92">
        <v>1.3189448441247003</v>
      </c>
      <c r="AB178" s="92">
        <v>48.761599999999959</v>
      </c>
      <c r="AC178" s="92">
        <v>24.201748960000039</v>
      </c>
      <c r="AD178" s="100">
        <v>7.5193599999999998</v>
      </c>
      <c r="AE178" s="92">
        <v>12.689310000000001</v>
      </c>
      <c r="AF178" s="92">
        <v>28.031445300000005</v>
      </c>
    </row>
    <row r="179" spans="1:32">
      <c r="A179" s="90">
        <f t="shared" si="30"/>
        <v>46126</v>
      </c>
      <c r="B179" s="90">
        <f t="shared" si="31"/>
        <v>46127</v>
      </c>
      <c r="C179" s="92">
        <v>1.24</v>
      </c>
      <c r="D179" s="92">
        <v>2.52</v>
      </c>
      <c r="E179" s="72">
        <v>305</v>
      </c>
      <c r="F179" s="80">
        <v>24.8</v>
      </c>
      <c r="G179" s="72">
        <v>105</v>
      </c>
      <c r="H179" s="72">
        <v>150</v>
      </c>
      <c r="I179" s="72">
        <v>24.8</v>
      </c>
      <c r="J179" s="80">
        <v>4</v>
      </c>
      <c r="K179" s="80">
        <v>0.72</v>
      </c>
      <c r="L179" s="80">
        <v>76</v>
      </c>
      <c r="M179" s="80">
        <v>14.46</v>
      </c>
      <c r="N179" s="97">
        <v>26.21</v>
      </c>
      <c r="O179" s="97"/>
      <c r="P179" s="97"/>
      <c r="Q179" s="92">
        <v>20.46</v>
      </c>
      <c r="R179" s="92">
        <v>5.57</v>
      </c>
      <c r="S179" s="92">
        <v>4.03</v>
      </c>
      <c r="T179" s="92">
        <v>66.42</v>
      </c>
      <c r="U179" s="92">
        <v>1.49</v>
      </c>
      <c r="V179" s="92">
        <v>0.56499999999999995</v>
      </c>
      <c r="W179" s="93">
        <v>1257.9166666666667</v>
      </c>
      <c r="X179" s="92">
        <v>3.39</v>
      </c>
      <c r="Y179" s="92">
        <v>99.909597007224733</v>
      </c>
      <c r="Z179" s="100">
        <v>2.1312499999999996</v>
      </c>
      <c r="AA179" s="92">
        <v>1.3821339950372209</v>
      </c>
      <c r="AB179" s="92">
        <v>57.876049999999964</v>
      </c>
      <c r="AC179" s="101">
        <v>15.058507880000036</v>
      </c>
      <c r="AD179" s="92">
        <v>7.9417400000000002</v>
      </c>
      <c r="AE179" s="101">
        <v>12.263290000000001</v>
      </c>
      <c r="AF179" s="92">
        <v>27.830607700000002</v>
      </c>
    </row>
    <row r="180" spans="1:32">
      <c r="A180" s="90">
        <f t="shared" si="30"/>
        <v>46127</v>
      </c>
      <c r="B180" s="90">
        <f t="shared" si="31"/>
        <v>46128</v>
      </c>
      <c r="C180" s="80">
        <v>1.48</v>
      </c>
      <c r="D180" s="80">
        <v>2.2200000000000002</v>
      </c>
      <c r="E180" s="72">
        <v>353</v>
      </c>
      <c r="F180" s="80">
        <v>25.2</v>
      </c>
      <c r="G180" s="72">
        <v>80</v>
      </c>
      <c r="H180" s="72">
        <v>115</v>
      </c>
      <c r="I180" s="80">
        <v>25.2</v>
      </c>
      <c r="J180" s="80">
        <v>4.5199999999999996</v>
      </c>
      <c r="K180" s="80">
        <v>1.1100000000000001</v>
      </c>
      <c r="L180" s="80">
        <v>93</v>
      </c>
      <c r="M180" s="80">
        <v>16.05</v>
      </c>
      <c r="N180" s="97">
        <v>28.33</v>
      </c>
      <c r="O180" s="97"/>
      <c r="P180" s="97"/>
      <c r="Q180" s="92">
        <v>20.16</v>
      </c>
      <c r="R180" s="92">
        <v>5.42</v>
      </c>
      <c r="S180" s="92">
        <v>4</v>
      </c>
      <c r="T180" s="92">
        <v>67.52</v>
      </c>
      <c r="U180" s="92">
        <v>1.49</v>
      </c>
      <c r="V180" s="92">
        <v>0.57999999999999996</v>
      </c>
      <c r="W180" s="99">
        <v>1287.9166666666667</v>
      </c>
      <c r="X180" s="92">
        <v>3.7</v>
      </c>
      <c r="Y180" s="92">
        <v>103.1728083418394</v>
      </c>
      <c r="Z180" s="92">
        <v>2.1401273885350318</v>
      </c>
      <c r="AA180" s="92">
        <v>1.355</v>
      </c>
      <c r="AB180" s="92">
        <v>64.423339999999911</v>
      </c>
      <c r="AC180" s="92">
        <v>9.2582323040000745</v>
      </c>
      <c r="AD180" s="100">
        <v>7.5949999999999998</v>
      </c>
      <c r="AE180" s="92">
        <v>12.172000000000001</v>
      </c>
      <c r="AF180" s="92">
        <v>27.315549999999998</v>
      </c>
    </row>
    <row r="181" spans="1:32">
      <c r="A181" s="90">
        <f t="shared" si="30"/>
        <v>46128</v>
      </c>
      <c r="B181" s="90">
        <f t="shared" si="31"/>
        <v>46129</v>
      </c>
      <c r="C181" s="92">
        <v>1.55</v>
      </c>
      <c r="D181" s="92">
        <v>2.44</v>
      </c>
      <c r="E181" s="72">
        <v>336</v>
      </c>
      <c r="F181" s="80">
        <v>24.8</v>
      </c>
      <c r="G181" s="72">
        <v>90</v>
      </c>
      <c r="H181" s="72">
        <v>125</v>
      </c>
      <c r="I181" s="80">
        <v>16.2</v>
      </c>
      <c r="J181" s="80">
        <v>3.53</v>
      </c>
      <c r="K181" s="80">
        <v>0.76</v>
      </c>
      <c r="L181" s="80">
        <v>41</v>
      </c>
      <c r="M181" s="80">
        <v>17.829999999999998</v>
      </c>
      <c r="N181" s="97">
        <v>27.95</v>
      </c>
      <c r="O181" s="97"/>
      <c r="P181" s="97"/>
      <c r="Q181" s="92">
        <v>21.03</v>
      </c>
      <c r="R181" s="92">
        <v>5.39</v>
      </c>
      <c r="S181" s="92">
        <v>3.83</v>
      </c>
      <c r="T181" s="92">
        <v>65.83</v>
      </c>
      <c r="U181" s="92">
        <v>1.52</v>
      </c>
      <c r="V181" s="92">
        <v>0.54</v>
      </c>
      <c r="W181" s="99">
        <v>1184</v>
      </c>
      <c r="X181" s="92">
        <v>3.25</v>
      </c>
      <c r="Y181" s="92">
        <v>97.19</v>
      </c>
      <c r="Z181" s="92">
        <v>2.2799999999999998</v>
      </c>
      <c r="AA181" s="92">
        <v>1.41</v>
      </c>
      <c r="AB181" s="92">
        <v>53.21</v>
      </c>
      <c r="AC181" s="92">
        <v>20.22</v>
      </c>
      <c r="AD181" s="100">
        <v>7.8</v>
      </c>
      <c r="AE181" s="92">
        <v>11.65</v>
      </c>
      <c r="AF181" s="92">
        <v>26.86</v>
      </c>
    </row>
    <row r="182" spans="1:32">
      <c r="A182" s="90">
        <f t="shared" si="30"/>
        <v>46129</v>
      </c>
      <c r="B182" s="90">
        <f t="shared" si="31"/>
        <v>46130</v>
      </c>
      <c r="C182" s="92">
        <v>1.8</v>
      </c>
      <c r="D182" s="92">
        <v>2.46</v>
      </c>
      <c r="E182" s="72">
        <v>365</v>
      </c>
      <c r="F182" s="80">
        <v>24.4</v>
      </c>
      <c r="G182" s="72">
        <v>95</v>
      </c>
      <c r="H182" s="72">
        <v>140</v>
      </c>
      <c r="I182" s="80">
        <v>22.64</v>
      </c>
      <c r="J182" s="80">
        <v>4.08</v>
      </c>
      <c r="K182" s="80">
        <v>1.96</v>
      </c>
      <c r="L182" s="80">
        <v>52.5</v>
      </c>
      <c r="M182" s="80">
        <v>16.89</v>
      </c>
      <c r="N182" s="97">
        <v>28.29</v>
      </c>
      <c r="O182" s="97"/>
      <c r="P182" s="97"/>
      <c r="Q182" s="92">
        <v>20.9</v>
      </c>
      <c r="R182" s="92">
        <v>5.7</v>
      </c>
      <c r="S182" s="92">
        <v>4.0199999999999996</v>
      </c>
      <c r="T182" s="92">
        <v>65.78</v>
      </c>
      <c r="U182" s="92">
        <v>1.48</v>
      </c>
      <c r="V182" s="92">
        <v>0.65</v>
      </c>
      <c r="W182" s="99">
        <v>1235</v>
      </c>
      <c r="X182" s="92">
        <v>3.06</v>
      </c>
      <c r="Y182" s="92">
        <v>96.94</v>
      </c>
      <c r="Z182" s="92">
        <v>2.15</v>
      </c>
      <c r="AA182" s="92">
        <v>1.42</v>
      </c>
      <c r="AB182" s="92">
        <v>52.41</v>
      </c>
      <c r="AC182" s="92">
        <v>20.440000000000001</v>
      </c>
      <c r="AD182" s="100">
        <v>8.3000000000000007</v>
      </c>
      <c r="AE182" s="92">
        <v>12.23</v>
      </c>
      <c r="AF182" s="92">
        <v>28.26</v>
      </c>
    </row>
    <row r="183" spans="1:32">
      <c r="A183" s="90">
        <f t="shared" si="30"/>
        <v>46130</v>
      </c>
      <c r="B183" s="90">
        <f t="shared" si="31"/>
        <v>46131</v>
      </c>
      <c r="C183" s="92">
        <v>1.69</v>
      </c>
      <c r="D183" s="92">
        <v>2.5299999999999998</v>
      </c>
      <c r="E183" s="72">
        <v>344</v>
      </c>
      <c r="F183" s="80">
        <v>24.4</v>
      </c>
      <c r="G183" s="72">
        <v>105</v>
      </c>
      <c r="H183" s="72">
        <v>140</v>
      </c>
      <c r="I183" s="80">
        <v>21.08</v>
      </c>
      <c r="J183" s="80">
        <v>3.92</v>
      </c>
      <c r="K183" s="80">
        <v>1.04</v>
      </c>
      <c r="L183" s="80">
        <v>105</v>
      </c>
      <c r="M183" s="80">
        <v>15.31</v>
      </c>
      <c r="N183" s="97">
        <v>25.45</v>
      </c>
      <c r="O183" s="97"/>
      <c r="P183" s="97"/>
      <c r="Q183" s="92">
        <v>18.88</v>
      </c>
      <c r="R183" s="92">
        <v>6.3</v>
      </c>
      <c r="S183" s="92">
        <v>3.87</v>
      </c>
      <c r="T183" s="92">
        <v>67.400000000000006</v>
      </c>
      <c r="U183" s="92">
        <v>1.48</v>
      </c>
      <c r="V183" s="92">
        <v>0.6</v>
      </c>
      <c r="W183" s="99">
        <v>1265</v>
      </c>
      <c r="X183" s="92">
        <v>4.25</v>
      </c>
      <c r="Y183" s="92">
        <v>107.3</v>
      </c>
      <c r="Z183" s="92">
        <v>1.86</v>
      </c>
      <c r="AA183" s="92">
        <v>1.63</v>
      </c>
      <c r="AB183" s="92">
        <v>65.7</v>
      </c>
      <c r="AC183" s="92">
        <v>4.62</v>
      </c>
      <c r="AD183" s="100">
        <v>10.15</v>
      </c>
      <c r="AE183" s="92">
        <v>11.78</v>
      </c>
      <c r="AF183" s="92">
        <v>29.7</v>
      </c>
    </row>
    <row r="184" spans="1:32">
      <c r="A184" s="90">
        <f t="shared" si="30"/>
        <v>46131</v>
      </c>
      <c r="B184" s="90">
        <f t="shared" si="31"/>
        <v>46132</v>
      </c>
      <c r="C184" s="92">
        <v>1.82</v>
      </c>
      <c r="D184" s="92">
        <v>2.4900000000000002</v>
      </c>
      <c r="E184" s="93">
        <v>349</v>
      </c>
      <c r="F184" s="92">
        <v>24.4</v>
      </c>
      <c r="G184" s="93">
        <v>105</v>
      </c>
      <c r="H184" s="93">
        <v>140</v>
      </c>
      <c r="I184" s="92">
        <v>19.739999999999998</v>
      </c>
      <c r="J184" s="92">
        <v>4.26</v>
      </c>
      <c r="K184" s="92">
        <v>1.1599999999999999</v>
      </c>
      <c r="L184" s="92">
        <v>104</v>
      </c>
      <c r="M184" s="92">
        <v>15.37</v>
      </c>
      <c r="N184" s="92"/>
      <c r="O184" s="92"/>
      <c r="P184" s="92"/>
      <c r="Q184" s="92">
        <v>19.53</v>
      </c>
      <c r="R184" s="92">
        <v>6.19</v>
      </c>
      <c r="S184" s="92">
        <v>4.2300000000000004</v>
      </c>
      <c r="T184" s="92">
        <v>66.349999999999994</v>
      </c>
      <c r="U184" s="92">
        <v>1.47</v>
      </c>
      <c r="V184" s="92">
        <v>0.54</v>
      </c>
      <c r="W184" s="99">
        <v>1241</v>
      </c>
      <c r="X184" s="92">
        <v>3.65</v>
      </c>
      <c r="Y184" s="92">
        <v>102.49</v>
      </c>
      <c r="Z184" s="92">
        <v>1.87</v>
      </c>
      <c r="AA184" s="92">
        <v>1.46</v>
      </c>
      <c r="AB184" s="92">
        <v>59.15</v>
      </c>
      <c r="AC184" s="92">
        <v>11.43</v>
      </c>
      <c r="AD184" s="100">
        <v>9.25</v>
      </c>
      <c r="AE184" s="92">
        <v>12.87</v>
      </c>
      <c r="AF184" s="92">
        <v>30.08</v>
      </c>
    </row>
    <row r="185" spans="1:32">
      <c r="A185" s="90">
        <f t="shared" si="30"/>
        <v>46132</v>
      </c>
      <c r="B185" s="90">
        <f t="shared" si="31"/>
        <v>46133</v>
      </c>
      <c r="C185" s="92">
        <v>1.84</v>
      </c>
      <c r="D185" s="92">
        <v>2.17</v>
      </c>
      <c r="E185" s="93">
        <v>339</v>
      </c>
      <c r="F185" s="92">
        <v>25.2</v>
      </c>
      <c r="G185" s="93">
        <v>95</v>
      </c>
      <c r="H185" s="93">
        <v>130</v>
      </c>
      <c r="I185" s="92">
        <v>22.44</v>
      </c>
      <c r="J185" s="92">
        <v>6.81</v>
      </c>
      <c r="K185" s="92">
        <v>1.17</v>
      </c>
      <c r="L185" s="92"/>
      <c r="M185" s="92"/>
      <c r="N185" s="92"/>
      <c r="O185" s="92"/>
      <c r="P185" s="92"/>
      <c r="Q185" s="92">
        <v>21.5</v>
      </c>
      <c r="R185" s="92">
        <v>5.6</v>
      </c>
      <c r="S185" s="92">
        <v>3.9</v>
      </c>
      <c r="T185" s="92">
        <v>65.78</v>
      </c>
      <c r="U185" s="92">
        <v>1.47</v>
      </c>
      <c r="V185" s="92">
        <v>0.48</v>
      </c>
      <c r="W185" s="99">
        <v>1195</v>
      </c>
      <c r="X185" s="92">
        <v>2.95</v>
      </c>
      <c r="Y185" s="92">
        <v>94.86</v>
      </c>
      <c r="Z185" s="92">
        <v>2.2599999999999998</v>
      </c>
      <c r="AA185" s="92">
        <v>1.44</v>
      </c>
      <c r="AB185" s="92">
        <v>49.14</v>
      </c>
      <c r="AC185" s="92">
        <v>24.63</v>
      </c>
      <c r="AD185" s="100">
        <v>8.24</v>
      </c>
      <c r="AE185" s="92">
        <v>11.87</v>
      </c>
      <c r="AF185" s="92">
        <v>27.55</v>
      </c>
    </row>
    <row r="186" spans="1:32">
      <c r="A186" s="90">
        <f t="shared" si="30"/>
        <v>46133</v>
      </c>
      <c r="B186" s="90">
        <f t="shared" si="31"/>
        <v>46134</v>
      </c>
      <c r="C186" s="92"/>
      <c r="D186" s="92"/>
      <c r="E186" s="93"/>
      <c r="F186" s="92"/>
      <c r="G186" s="93"/>
      <c r="H186" s="93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9"/>
      <c r="X186" s="92"/>
      <c r="Y186" s="92"/>
      <c r="Z186" s="92"/>
      <c r="AA186" s="92"/>
      <c r="AB186" s="92"/>
      <c r="AC186" s="92"/>
      <c r="AD186" s="100"/>
      <c r="AE186" s="92"/>
      <c r="AF186" s="92"/>
    </row>
    <row r="187" spans="1:32">
      <c r="A187" s="90">
        <f t="shared" si="30"/>
        <v>46134</v>
      </c>
      <c r="B187" s="90">
        <f t="shared" si="31"/>
        <v>46135</v>
      </c>
      <c r="C187" s="94"/>
      <c r="D187" s="92"/>
      <c r="E187" s="72"/>
      <c r="F187" s="80"/>
      <c r="G187" s="72"/>
      <c r="H187" s="72"/>
      <c r="I187" s="80"/>
      <c r="J187" s="80"/>
      <c r="K187" s="80"/>
      <c r="L187" s="98"/>
      <c r="M187" s="80"/>
      <c r="N187" s="97"/>
      <c r="O187" s="97"/>
      <c r="P187" s="97"/>
      <c r="Q187" s="92"/>
      <c r="R187" s="92"/>
      <c r="S187" s="92"/>
      <c r="T187" s="92"/>
      <c r="U187" s="92"/>
      <c r="V187" s="92"/>
      <c r="W187" s="93"/>
      <c r="X187" s="92"/>
      <c r="Y187" s="92"/>
      <c r="Z187" s="92"/>
      <c r="AA187" s="92"/>
      <c r="AB187" s="92"/>
      <c r="AC187" s="92"/>
      <c r="AD187" s="92"/>
      <c r="AE187" s="92"/>
      <c r="AF187" s="92"/>
    </row>
    <row r="188" spans="1:32">
      <c r="A188" s="90">
        <f t="shared" si="30"/>
        <v>46135</v>
      </c>
      <c r="B188" s="90">
        <f t="shared" si="31"/>
        <v>46136</v>
      </c>
      <c r="C188" s="92"/>
      <c r="D188" s="92"/>
      <c r="E188" s="93"/>
      <c r="F188" s="92"/>
      <c r="G188" s="93"/>
      <c r="H188" s="93"/>
      <c r="I188" s="92"/>
      <c r="J188" s="92"/>
      <c r="K188" s="92"/>
      <c r="L188" s="92"/>
      <c r="M188" s="92"/>
      <c r="N188" s="94"/>
      <c r="O188" s="94"/>
      <c r="P188" s="94"/>
      <c r="Q188" s="92"/>
      <c r="R188" s="92"/>
      <c r="S188" s="92"/>
      <c r="T188" s="92"/>
      <c r="U188" s="92"/>
      <c r="V188" s="92"/>
      <c r="W188" s="93"/>
      <c r="X188" s="92"/>
      <c r="Y188" s="92"/>
      <c r="Z188" s="92"/>
      <c r="AA188" s="92"/>
      <c r="AB188" s="92"/>
      <c r="AC188" s="92"/>
      <c r="AD188" s="100"/>
      <c r="AE188" s="92"/>
      <c r="AF188" s="92"/>
    </row>
    <row r="189" spans="1:32">
      <c r="A189" s="90">
        <f t="shared" si="30"/>
        <v>46136</v>
      </c>
      <c r="B189" s="90">
        <f t="shared" si="31"/>
        <v>46137</v>
      </c>
      <c r="C189" s="92"/>
      <c r="D189" s="92"/>
      <c r="E189" s="93"/>
      <c r="F189" s="92"/>
      <c r="G189" s="93"/>
      <c r="H189" s="93"/>
      <c r="I189" s="92"/>
      <c r="J189" s="92"/>
      <c r="K189" s="92"/>
      <c r="L189" s="92"/>
      <c r="M189" s="92"/>
      <c r="N189" s="94"/>
      <c r="O189" s="94"/>
      <c r="P189" s="94"/>
      <c r="Q189" s="92"/>
      <c r="R189" s="92"/>
      <c r="S189" s="92"/>
      <c r="T189" s="92"/>
      <c r="U189" s="92"/>
      <c r="V189" s="92"/>
      <c r="W189" s="93"/>
      <c r="X189" s="92"/>
      <c r="Y189" s="92"/>
      <c r="Z189" s="100"/>
      <c r="AA189" s="92"/>
      <c r="AB189" s="92"/>
      <c r="AC189" s="101"/>
      <c r="AD189" s="101"/>
      <c r="AE189" s="101"/>
      <c r="AF189" s="92"/>
    </row>
    <row r="190" spans="1:32">
      <c r="A190" s="90">
        <f t="shared" si="30"/>
        <v>46137</v>
      </c>
      <c r="B190" s="90">
        <f t="shared" si="31"/>
        <v>46138</v>
      </c>
      <c r="C190" s="92"/>
      <c r="D190" s="92"/>
      <c r="E190" s="93"/>
      <c r="F190" s="92"/>
      <c r="G190" s="93"/>
      <c r="H190" s="93"/>
      <c r="I190" s="92"/>
      <c r="J190" s="92"/>
      <c r="K190" s="92"/>
      <c r="L190" s="92"/>
      <c r="M190" s="92"/>
      <c r="N190" s="94"/>
      <c r="O190" s="94"/>
      <c r="P190" s="94"/>
      <c r="Q190" s="92"/>
      <c r="R190" s="92"/>
      <c r="S190" s="92"/>
      <c r="T190" s="92"/>
      <c r="U190" s="92"/>
      <c r="V190" s="92"/>
      <c r="W190" s="99"/>
      <c r="X190" s="92"/>
      <c r="Y190" s="92"/>
      <c r="Z190" s="92"/>
      <c r="AA190" s="92"/>
      <c r="AB190" s="92"/>
      <c r="AC190" s="92"/>
      <c r="AD190" s="100"/>
      <c r="AE190" s="92"/>
      <c r="AF190" s="92"/>
    </row>
    <row r="191" spans="1:32">
      <c r="A191" s="90">
        <f t="shared" si="30"/>
        <v>46138</v>
      </c>
      <c r="B191" s="90">
        <f t="shared" si="31"/>
        <v>46139</v>
      </c>
      <c r="C191" s="92"/>
      <c r="D191" s="92"/>
      <c r="E191" s="93"/>
      <c r="F191" s="92"/>
      <c r="G191" s="93"/>
      <c r="H191" s="93"/>
      <c r="I191" s="92"/>
      <c r="J191" s="92"/>
      <c r="K191" s="92"/>
      <c r="L191" s="92"/>
      <c r="M191" s="92"/>
      <c r="N191" s="94"/>
      <c r="O191" s="94"/>
      <c r="P191" s="94"/>
      <c r="Q191" s="92"/>
      <c r="R191" s="92"/>
      <c r="S191" s="92"/>
      <c r="T191" s="92"/>
      <c r="U191" s="92"/>
      <c r="V191" s="92"/>
      <c r="W191" s="99"/>
      <c r="X191" s="92"/>
      <c r="Y191" s="92"/>
      <c r="Z191" s="92"/>
      <c r="AA191" s="92"/>
      <c r="AB191" s="92"/>
      <c r="AC191" s="92"/>
      <c r="AD191" s="100"/>
      <c r="AE191" s="92"/>
      <c r="AF191" s="92"/>
    </row>
    <row r="192" spans="1:32">
      <c r="A192" s="90">
        <f t="shared" si="30"/>
        <v>46139</v>
      </c>
      <c r="B192" s="90">
        <f t="shared" si="31"/>
        <v>46140</v>
      </c>
      <c r="C192" s="92"/>
      <c r="D192" s="92"/>
      <c r="E192" s="93"/>
      <c r="F192" s="92"/>
      <c r="G192" s="93"/>
      <c r="H192" s="93"/>
      <c r="I192" s="92"/>
      <c r="J192" s="92"/>
      <c r="K192" s="92"/>
      <c r="L192" s="92"/>
      <c r="M192" s="92"/>
      <c r="N192" s="94"/>
      <c r="O192" s="94"/>
      <c r="P192" s="94"/>
      <c r="Q192" s="92"/>
      <c r="R192" s="92"/>
      <c r="S192" s="92"/>
      <c r="T192" s="92"/>
      <c r="U192" s="92"/>
      <c r="V192" s="92"/>
      <c r="W192" s="99"/>
      <c r="X192" s="92"/>
      <c r="Y192" s="92"/>
      <c r="Z192" s="92"/>
      <c r="AA192" s="92"/>
      <c r="AB192" s="92"/>
      <c r="AC192" s="92"/>
      <c r="AD192" s="100"/>
      <c r="AE192" s="92"/>
      <c r="AF192" s="92"/>
    </row>
    <row r="193" spans="1:32">
      <c r="A193" s="90">
        <f t="shared" si="30"/>
        <v>46140</v>
      </c>
      <c r="B193" s="90">
        <f t="shared" si="31"/>
        <v>46141</v>
      </c>
      <c r="C193" s="92"/>
      <c r="D193" s="92"/>
      <c r="E193" s="93"/>
      <c r="F193" s="92"/>
      <c r="G193" s="93"/>
      <c r="H193" s="93"/>
      <c r="I193" s="92"/>
      <c r="J193" s="92"/>
      <c r="K193" s="92"/>
      <c r="L193" s="92"/>
      <c r="M193" s="92"/>
      <c r="N193" s="94"/>
      <c r="O193" s="94"/>
      <c r="P193" s="94"/>
      <c r="Q193" s="92"/>
      <c r="R193" s="92"/>
      <c r="S193" s="92"/>
      <c r="T193" s="92"/>
      <c r="U193" s="92"/>
      <c r="V193" s="92"/>
      <c r="W193" s="99"/>
      <c r="X193" s="92"/>
      <c r="Y193" s="92"/>
      <c r="Z193" s="92"/>
      <c r="AA193" s="92"/>
      <c r="AB193" s="92"/>
      <c r="AC193" s="92"/>
      <c r="AD193" s="100"/>
      <c r="AE193" s="92"/>
      <c r="AF193" s="92"/>
    </row>
    <row r="194" spans="1:32">
      <c r="A194" s="90">
        <f t="shared" si="30"/>
        <v>46141</v>
      </c>
      <c r="B194" s="90">
        <f t="shared" si="31"/>
        <v>46142</v>
      </c>
      <c r="C194" s="92"/>
      <c r="D194" s="92"/>
      <c r="E194" s="93"/>
      <c r="F194" s="92"/>
      <c r="G194" s="93"/>
      <c r="H194" s="93"/>
      <c r="I194" s="92"/>
      <c r="J194" s="92"/>
      <c r="K194" s="92"/>
      <c r="L194" s="92"/>
      <c r="M194" s="92"/>
      <c r="N194" s="94"/>
      <c r="O194" s="94"/>
      <c r="P194" s="94"/>
      <c r="Q194" s="92"/>
      <c r="R194" s="92"/>
      <c r="S194" s="92"/>
      <c r="T194" s="92"/>
      <c r="U194" s="92"/>
      <c r="V194" s="92"/>
      <c r="W194" s="99"/>
      <c r="X194" s="92"/>
      <c r="Y194" s="92"/>
      <c r="Z194" s="92"/>
      <c r="AA194" s="92"/>
      <c r="AB194" s="92"/>
      <c r="AC194" s="92"/>
      <c r="AD194" s="100"/>
      <c r="AE194" s="92"/>
      <c r="AF194" s="92"/>
    </row>
    <row r="195" spans="1:32">
      <c r="A195" s="90">
        <v>45777</v>
      </c>
      <c r="B195" s="90">
        <v>45778</v>
      </c>
      <c r="C195" s="80"/>
      <c r="D195" s="80"/>
      <c r="E195" s="72"/>
      <c r="F195" s="80"/>
      <c r="G195" s="72"/>
      <c r="H195" s="72"/>
      <c r="I195" s="80"/>
      <c r="J195" s="80"/>
      <c r="K195" s="80"/>
      <c r="L195" s="80"/>
      <c r="M195" s="80"/>
      <c r="N195" s="97"/>
      <c r="O195" s="97"/>
      <c r="P195" s="97"/>
      <c r="Q195" s="92"/>
      <c r="R195" s="92"/>
      <c r="S195" s="92"/>
      <c r="T195" s="92"/>
      <c r="U195" s="92"/>
      <c r="V195" s="92"/>
      <c r="W195" s="99"/>
      <c r="X195" s="92"/>
      <c r="Y195" s="92"/>
      <c r="Z195" s="92"/>
      <c r="AA195" s="92"/>
      <c r="AB195" s="92"/>
      <c r="AC195" s="92"/>
      <c r="AD195" s="100"/>
      <c r="AE195" s="92"/>
      <c r="AF195" s="92"/>
    </row>
    <row r="196" spans="1:32">
      <c r="A196" s="324" t="s">
        <v>31</v>
      </c>
      <c r="B196" s="324"/>
      <c r="C196" s="95">
        <f t="shared" ref="C196:AF196" si="32">MIN(C166:C195)</f>
        <v>1.21</v>
      </c>
      <c r="D196" s="95">
        <f t="shared" si="32"/>
        <v>2.0299999999999998</v>
      </c>
      <c r="E196" s="96">
        <f t="shared" si="32"/>
        <v>289</v>
      </c>
      <c r="F196" s="95">
        <f t="shared" si="32"/>
        <v>23.6</v>
      </c>
      <c r="G196" s="96">
        <f t="shared" si="32"/>
        <v>80</v>
      </c>
      <c r="H196" s="96">
        <f t="shared" si="32"/>
        <v>115</v>
      </c>
      <c r="I196" s="95">
        <f t="shared" si="32"/>
        <v>16.2</v>
      </c>
      <c r="J196" s="95">
        <f t="shared" si="32"/>
        <v>3.53</v>
      </c>
      <c r="K196" s="95">
        <f t="shared" si="32"/>
        <v>0.42</v>
      </c>
      <c r="L196" s="95">
        <f t="shared" si="32"/>
        <v>2</v>
      </c>
      <c r="M196" s="95">
        <f t="shared" si="32"/>
        <v>11.29</v>
      </c>
      <c r="N196" s="95">
        <f t="shared" si="32"/>
        <v>19.8</v>
      </c>
      <c r="O196" s="95">
        <f t="shared" si="32"/>
        <v>31.1</v>
      </c>
      <c r="P196" s="95">
        <f t="shared" si="32"/>
        <v>0</v>
      </c>
      <c r="Q196" s="95">
        <f t="shared" si="32"/>
        <v>18.88</v>
      </c>
      <c r="R196" s="95">
        <f t="shared" si="32"/>
        <v>5.31</v>
      </c>
      <c r="S196" s="95">
        <f t="shared" si="32"/>
        <v>3.28</v>
      </c>
      <c r="T196" s="95">
        <f t="shared" si="32"/>
        <v>64.8</v>
      </c>
      <c r="U196" s="95">
        <f t="shared" si="32"/>
        <v>1.47</v>
      </c>
      <c r="V196" s="95">
        <f t="shared" si="32"/>
        <v>0.48</v>
      </c>
      <c r="W196" s="96">
        <f t="shared" si="32"/>
        <v>1184</v>
      </c>
      <c r="X196" s="95">
        <f t="shared" si="32"/>
        <v>2.95</v>
      </c>
      <c r="Y196" s="95">
        <f t="shared" si="32"/>
        <v>93.29267503698496</v>
      </c>
      <c r="Z196" s="95">
        <f t="shared" si="32"/>
        <v>1.86</v>
      </c>
      <c r="AA196" s="95">
        <f t="shared" si="32"/>
        <v>1.29</v>
      </c>
      <c r="AB196" s="95">
        <f t="shared" si="32"/>
        <v>44.751650000000012</v>
      </c>
      <c r="AC196" s="95">
        <f t="shared" si="32"/>
        <v>4.62</v>
      </c>
      <c r="AD196" s="95">
        <f t="shared" si="32"/>
        <v>7.25</v>
      </c>
      <c r="AE196" s="95">
        <f t="shared" si="32"/>
        <v>9.98</v>
      </c>
      <c r="AF196" s="95">
        <f t="shared" si="32"/>
        <v>26.088343300000002</v>
      </c>
    </row>
    <row r="197" spans="1:32">
      <c r="A197" s="324" t="s">
        <v>33</v>
      </c>
      <c r="B197" s="324"/>
      <c r="C197" s="95">
        <f t="shared" ref="C197:AF197" si="33">MAX(C166:C195)</f>
        <v>1.89</v>
      </c>
      <c r="D197" s="95">
        <f t="shared" si="33"/>
        <v>2.71</v>
      </c>
      <c r="E197" s="96">
        <f t="shared" si="33"/>
        <v>365</v>
      </c>
      <c r="F197" s="95">
        <f t="shared" si="33"/>
        <v>27</v>
      </c>
      <c r="G197" s="96">
        <f t="shared" si="33"/>
        <v>110</v>
      </c>
      <c r="H197" s="96">
        <f t="shared" si="33"/>
        <v>180</v>
      </c>
      <c r="I197" s="95">
        <f t="shared" si="33"/>
        <v>29.4</v>
      </c>
      <c r="J197" s="95">
        <f t="shared" si="33"/>
        <v>9.75</v>
      </c>
      <c r="K197" s="95">
        <f t="shared" si="33"/>
        <v>1.96</v>
      </c>
      <c r="L197" s="95">
        <f t="shared" si="33"/>
        <v>110</v>
      </c>
      <c r="M197" s="95">
        <f t="shared" si="33"/>
        <v>17.829999999999998</v>
      </c>
      <c r="N197" s="95">
        <f t="shared" si="33"/>
        <v>28.33</v>
      </c>
      <c r="O197" s="95">
        <f t="shared" si="33"/>
        <v>39.82</v>
      </c>
      <c r="P197" s="95">
        <f t="shared" si="33"/>
        <v>0</v>
      </c>
      <c r="Q197" s="95">
        <f t="shared" si="33"/>
        <v>21.8</v>
      </c>
      <c r="R197" s="95">
        <f t="shared" si="33"/>
        <v>6.5875000000000004</v>
      </c>
      <c r="S197" s="95">
        <f t="shared" si="33"/>
        <v>4.25</v>
      </c>
      <c r="T197" s="95">
        <f t="shared" si="33"/>
        <v>67.52</v>
      </c>
      <c r="U197" s="95">
        <f t="shared" si="33"/>
        <v>2.0674999999999999</v>
      </c>
      <c r="V197" s="95">
        <f t="shared" si="33"/>
        <v>0.79800000000000004</v>
      </c>
      <c r="W197" s="96">
        <f t="shared" si="33"/>
        <v>1323</v>
      </c>
      <c r="X197" s="95">
        <f t="shared" si="33"/>
        <v>4.25</v>
      </c>
      <c r="Y197" s="95">
        <f t="shared" si="33"/>
        <v>107.3</v>
      </c>
      <c r="Z197" s="95">
        <f t="shared" si="33"/>
        <v>2.4971363115693013</v>
      </c>
      <c r="AA197" s="95">
        <f t="shared" si="33"/>
        <v>1.77</v>
      </c>
      <c r="AB197" s="95">
        <f t="shared" si="33"/>
        <v>65.7</v>
      </c>
      <c r="AC197" s="95">
        <f t="shared" si="33"/>
        <v>28.805355239999997</v>
      </c>
      <c r="AD197" s="95">
        <f t="shared" si="33"/>
        <v>10.380084999999999</v>
      </c>
      <c r="AE197" s="95">
        <f t="shared" si="33"/>
        <v>12.93</v>
      </c>
      <c r="AF197" s="95">
        <f t="shared" si="33"/>
        <v>31.967665175</v>
      </c>
    </row>
    <row r="198" spans="1:32">
      <c r="A198" s="324" t="s">
        <v>36</v>
      </c>
      <c r="B198" s="324"/>
      <c r="C198" s="95">
        <f t="shared" ref="C198:AF198" si="34">AVERAGE(C166:C195)</f>
        <v>1.6364705882352941</v>
      </c>
      <c r="D198" s="95">
        <f t="shared" si="34"/>
        <v>2.4758823529411766</v>
      </c>
      <c r="E198" s="96">
        <f t="shared" si="34"/>
        <v>330.70588235294116</v>
      </c>
      <c r="F198" s="95">
        <f t="shared" si="34"/>
        <v>24.741176470588229</v>
      </c>
      <c r="G198" s="96">
        <f t="shared" si="34"/>
        <v>98.82352941176471</v>
      </c>
      <c r="H198" s="96">
        <f t="shared" si="34"/>
        <v>140.29411764705881</v>
      </c>
      <c r="I198" s="95">
        <f t="shared" si="34"/>
        <v>22.182352941176468</v>
      </c>
      <c r="J198" s="95">
        <f t="shared" si="34"/>
        <v>5.3717647058823532</v>
      </c>
      <c r="K198" s="95">
        <f t="shared" si="34"/>
        <v>0.98058823529411776</v>
      </c>
      <c r="L198" s="95">
        <f t="shared" si="34"/>
        <v>77.25</v>
      </c>
      <c r="M198" s="95">
        <f t="shared" si="34"/>
        <v>14.942500000000003</v>
      </c>
      <c r="N198" s="95">
        <f t="shared" si="34"/>
        <v>25.223999999999997</v>
      </c>
      <c r="O198" s="95">
        <f t="shared" si="34"/>
        <v>36.569999999999993</v>
      </c>
      <c r="P198" s="95" t="e">
        <f t="shared" si="34"/>
        <v>#DIV/0!</v>
      </c>
      <c r="Q198" s="95">
        <f t="shared" si="34"/>
        <v>20.697058823529407</v>
      </c>
      <c r="R198" s="95">
        <f t="shared" si="34"/>
        <v>5.7216176470588236</v>
      </c>
      <c r="S198" s="95">
        <f t="shared" si="34"/>
        <v>3.8719117647058825</v>
      </c>
      <c r="T198" s="95">
        <f t="shared" si="34"/>
        <v>65.900588235294109</v>
      </c>
      <c r="U198" s="95">
        <f t="shared" si="34"/>
        <v>1.6027941176470586</v>
      </c>
      <c r="V198" s="95">
        <f t="shared" si="34"/>
        <v>0.64082352941176457</v>
      </c>
      <c r="W198" s="96">
        <f t="shared" si="34"/>
        <v>1245.5539215686274</v>
      </c>
      <c r="X198" s="95">
        <f t="shared" si="34"/>
        <v>3.5016176470588238</v>
      </c>
      <c r="Y198" s="95">
        <f t="shared" si="34"/>
        <v>98.123900282293988</v>
      </c>
      <c r="Z198" s="95">
        <f t="shared" si="34"/>
        <v>2.165871613255534</v>
      </c>
      <c r="AA198" s="95">
        <f t="shared" si="34"/>
        <v>1.4871138781154958</v>
      </c>
      <c r="AB198" s="95">
        <f t="shared" si="34"/>
        <v>52.713072205882348</v>
      </c>
      <c r="AC198" s="95">
        <f t="shared" si="34"/>
        <v>19.634802327882362</v>
      </c>
      <c r="AD198" s="95">
        <f t="shared" si="34"/>
        <v>8.6104202941176453</v>
      </c>
      <c r="AE198" s="95">
        <f t="shared" si="34"/>
        <v>11.781609264705883</v>
      </c>
      <c r="AF198" s="95">
        <f t="shared" si="34"/>
        <v>28.159197439705881</v>
      </c>
    </row>
    <row r="199" spans="1:32">
      <c r="A199" s="324" t="s">
        <v>130</v>
      </c>
      <c r="B199" s="324"/>
      <c r="C199" s="95">
        <f t="shared" ref="C199:AF199" si="35">STDEV(C166:C195)</f>
        <v>0.20438753559324957</v>
      </c>
      <c r="D199" s="95">
        <f t="shared" si="35"/>
        <v>0.18347543512448106</v>
      </c>
      <c r="E199" s="96">
        <f t="shared" si="35"/>
        <v>20.954607804377876</v>
      </c>
      <c r="F199" s="95">
        <f t="shared" si="35"/>
        <v>0.74754500159640203</v>
      </c>
      <c r="G199" s="96">
        <f t="shared" si="35"/>
        <v>9.1051859818844925</v>
      </c>
      <c r="H199" s="96">
        <f t="shared" si="35"/>
        <v>16.627404735414775</v>
      </c>
      <c r="I199" s="95">
        <f t="shared" si="35"/>
        <v>3.4739162508107442</v>
      </c>
      <c r="J199" s="95">
        <f t="shared" si="35"/>
        <v>1.7247689529836909</v>
      </c>
      <c r="K199" s="95">
        <f t="shared" si="35"/>
        <v>0.39782958958948889</v>
      </c>
      <c r="L199" s="95">
        <f t="shared" si="35"/>
        <v>31.7343137103462</v>
      </c>
      <c r="M199" s="95">
        <f t="shared" si="35"/>
        <v>1.6303598784726219</v>
      </c>
      <c r="N199" s="95">
        <f t="shared" si="35"/>
        <v>2.3213813621573309</v>
      </c>
      <c r="O199" s="95">
        <f t="shared" si="35"/>
        <v>2.2687000683210634</v>
      </c>
      <c r="P199" s="95" t="e">
        <f t="shared" si="35"/>
        <v>#DIV/0!</v>
      </c>
      <c r="Q199" s="95">
        <f t="shared" si="35"/>
        <v>0.704243962575136</v>
      </c>
      <c r="R199" s="95">
        <f t="shared" si="35"/>
        <v>0.35664335868500024</v>
      </c>
      <c r="S199" s="95">
        <f t="shared" si="35"/>
        <v>0.31322856247944758</v>
      </c>
      <c r="T199" s="95">
        <f t="shared" si="35"/>
        <v>0.75546732712470244</v>
      </c>
      <c r="U199" s="95">
        <f t="shared" si="35"/>
        <v>0.17364178813936457</v>
      </c>
      <c r="V199" s="95">
        <f t="shared" si="35"/>
        <v>9.2843440327063612E-2</v>
      </c>
      <c r="W199" s="96">
        <f t="shared" si="35"/>
        <v>34.772149480488906</v>
      </c>
      <c r="X199" s="95">
        <f t="shared" si="35"/>
        <v>0.3707097723207633</v>
      </c>
      <c r="Y199" s="95">
        <f t="shared" si="35"/>
        <v>3.5236174991463831</v>
      </c>
      <c r="Z199" s="95">
        <f t="shared" si="35"/>
        <v>0.1694596593282946</v>
      </c>
      <c r="AA199" s="95">
        <f t="shared" si="35"/>
        <v>0.13910312017129473</v>
      </c>
      <c r="AB199" s="95">
        <f t="shared" si="35"/>
        <v>6.1001272654672816</v>
      </c>
      <c r="AC199" s="95">
        <f t="shared" si="35"/>
        <v>6.3617124869739623</v>
      </c>
      <c r="AD199" s="95">
        <f t="shared" si="35"/>
        <v>0.98135122353772641</v>
      </c>
      <c r="AE199" s="95">
        <f t="shared" si="35"/>
        <v>0.9522693591690935</v>
      </c>
      <c r="AF199" s="95">
        <f t="shared" si="35"/>
        <v>1.4258491516796139</v>
      </c>
    </row>
    <row r="201" spans="1:32">
      <c r="A201" s="325" t="s">
        <v>0</v>
      </c>
      <c r="B201" s="325"/>
      <c r="C201" s="325"/>
      <c r="D201" s="325"/>
      <c r="E201" s="325"/>
      <c r="F201" s="325"/>
      <c r="G201" s="325"/>
      <c r="H201" s="325"/>
      <c r="I201" s="325"/>
      <c r="J201" s="325"/>
      <c r="K201" s="325"/>
      <c r="L201" s="325"/>
      <c r="M201" s="325"/>
      <c r="N201" s="325"/>
      <c r="O201" s="325"/>
      <c r="P201" s="325"/>
      <c r="Q201" s="325"/>
      <c r="R201" s="325"/>
      <c r="S201" s="325"/>
      <c r="T201" s="325"/>
      <c r="U201" s="325"/>
      <c r="V201" s="325"/>
      <c r="W201" s="325"/>
      <c r="X201" s="325"/>
      <c r="Y201" s="325"/>
      <c r="Z201" s="325"/>
      <c r="AA201" s="325"/>
      <c r="AB201" s="325"/>
      <c r="AC201" s="325"/>
      <c r="AD201" s="325"/>
      <c r="AE201" s="325"/>
      <c r="AF201" s="325"/>
    </row>
    <row r="202" spans="1:32">
      <c r="A202" s="325" t="s">
        <v>106</v>
      </c>
      <c r="B202" s="325"/>
      <c r="C202" s="325"/>
      <c r="D202" s="325"/>
      <c r="E202" s="325"/>
      <c r="F202" s="325"/>
      <c r="G202" s="325"/>
      <c r="H202" s="325"/>
      <c r="I202" s="325"/>
      <c r="J202" s="325"/>
      <c r="K202" s="325"/>
      <c r="L202" s="325"/>
      <c r="M202" s="325"/>
      <c r="N202" s="325"/>
      <c r="O202" s="325"/>
      <c r="P202" s="325"/>
      <c r="Q202" s="325"/>
      <c r="R202" s="325"/>
      <c r="S202" s="325"/>
      <c r="T202" s="325"/>
      <c r="U202" s="325"/>
      <c r="V202" s="325"/>
      <c r="W202" s="325"/>
      <c r="X202" s="325"/>
      <c r="Y202" s="325"/>
      <c r="Z202" s="325"/>
      <c r="AA202" s="325"/>
      <c r="AB202" s="325"/>
      <c r="AC202" s="325" t="s">
        <v>107</v>
      </c>
      <c r="AD202" s="325"/>
      <c r="AE202" s="326">
        <v>46143</v>
      </c>
      <c r="AF202" s="326"/>
    </row>
    <row r="203" spans="1:32">
      <c r="A203" s="327"/>
      <c r="B203" s="327"/>
      <c r="C203" s="328" t="s">
        <v>108</v>
      </c>
      <c r="D203" s="328"/>
      <c r="E203" s="328"/>
      <c r="F203" s="328"/>
      <c r="G203" s="328"/>
      <c r="H203" s="328"/>
      <c r="I203" s="328"/>
      <c r="J203" s="328"/>
      <c r="K203" s="328"/>
      <c r="L203" s="328"/>
      <c r="M203" s="328"/>
      <c r="N203" s="328"/>
      <c r="O203" s="328"/>
      <c r="P203" s="328"/>
      <c r="Q203" s="329" t="s">
        <v>109</v>
      </c>
      <c r="R203" s="329"/>
      <c r="S203" s="329"/>
      <c r="T203" s="329"/>
      <c r="U203" s="329"/>
      <c r="V203" s="329"/>
      <c r="W203" s="329"/>
      <c r="X203" s="329"/>
      <c r="Y203" s="329"/>
      <c r="Z203" s="329"/>
      <c r="AA203" s="329"/>
      <c r="AB203" s="329"/>
      <c r="AC203" s="329"/>
      <c r="AD203" s="329"/>
      <c r="AE203" s="329"/>
      <c r="AF203" s="329"/>
    </row>
    <row r="204" spans="1:32" ht="38.25">
      <c r="A204" s="5" t="s">
        <v>110</v>
      </c>
      <c r="B204" s="5" t="s">
        <v>111</v>
      </c>
      <c r="C204" s="64" t="s">
        <v>83</v>
      </c>
      <c r="D204" s="64" t="s">
        <v>81</v>
      </c>
      <c r="E204" s="89" t="s">
        <v>112</v>
      </c>
      <c r="F204" s="64" t="s">
        <v>113</v>
      </c>
      <c r="G204" s="89" t="s">
        <v>114</v>
      </c>
      <c r="H204" s="89" t="s">
        <v>115</v>
      </c>
      <c r="I204" s="64" t="s">
        <v>116</v>
      </c>
      <c r="J204" s="64" t="s">
        <v>117</v>
      </c>
      <c r="K204" s="64" t="s">
        <v>118</v>
      </c>
      <c r="L204" s="64" t="s">
        <v>119</v>
      </c>
      <c r="M204" s="64" t="s">
        <v>9</v>
      </c>
      <c r="N204" s="64" t="s">
        <v>120</v>
      </c>
      <c r="O204" s="64" t="s">
        <v>121</v>
      </c>
      <c r="P204" s="64" t="s">
        <v>122</v>
      </c>
      <c r="Q204" s="64" t="s">
        <v>74</v>
      </c>
      <c r="R204" s="64" t="s">
        <v>75</v>
      </c>
      <c r="S204" s="64" t="s">
        <v>76</v>
      </c>
      <c r="T204" s="64" t="s">
        <v>77</v>
      </c>
      <c r="U204" s="64" t="s">
        <v>78</v>
      </c>
      <c r="V204" s="64" t="s">
        <v>81</v>
      </c>
      <c r="W204" s="89" t="s">
        <v>123</v>
      </c>
      <c r="X204" s="64" t="s">
        <v>100</v>
      </c>
      <c r="Y204" s="64" t="s">
        <v>87</v>
      </c>
      <c r="Z204" s="64" t="s">
        <v>88</v>
      </c>
      <c r="AA204" s="64" t="s">
        <v>89</v>
      </c>
      <c r="AB204" s="64" t="s">
        <v>101</v>
      </c>
      <c r="AC204" s="64" t="s">
        <v>102</v>
      </c>
      <c r="AD204" s="64" t="s">
        <v>103</v>
      </c>
      <c r="AE204" s="64" t="s">
        <v>104</v>
      </c>
      <c r="AF204" s="64" t="s">
        <v>105</v>
      </c>
    </row>
    <row r="205" spans="1:32">
      <c r="A205" s="322" t="s">
        <v>124</v>
      </c>
      <c r="B205" s="323"/>
      <c r="C205" s="64" t="s">
        <v>53</v>
      </c>
      <c r="D205" s="64" t="s">
        <v>53</v>
      </c>
      <c r="E205" s="64" t="s">
        <v>125</v>
      </c>
      <c r="F205" s="64" t="s">
        <v>53</v>
      </c>
      <c r="G205" s="64" t="s">
        <v>126</v>
      </c>
      <c r="H205" s="64" t="s">
        <v>126</v>
      </c>
      <c r="I205" s="64" t="s">
        <v>53</v>
      </c>
      <c r="J205" s="64" t="s">
        <v>53</v>
      </c>
      <c r="K205" s="64" t="s">
        <v>53</v>
      </c>
      <c r="L205" s="64" t="s">
        <v>127</v>
      </c>
      <c r="M205" s="64" t="s">
        <v>128</v>
      </c>
      <c r="N205" s="64" t="s">
        <v>128</v>
      </c>
      <c r="O205" s="64" t="s">
        <v>128</v>
      </c>
      <c r="P205" s="64" t="s">
        <v>128</v>
      </c>
      <c r="Q205" s="64" t="s">
        <v>53</v>
      </c>
      <c r="R205" s="64" t="s">
        <v>53</v>
      </c>
      <c r="S205" s="64" t="s">
        <v>53</v>
      </c>
      <c r="T205" s="64" t="s">
        <v>53</v>
      </c>
      <c r="U205" s="64" t="s">
        <v>53</v>
      </c>
      <c r="V205" s="64" t="s">
        <v>53</v>
      </c>
      <c r="W205" s="64" t="s">
        <v>129</v>
      </c>
      <c r="X205" s="64" t="s">
        <v>53</v>
      </c>
      <c r="Y205" s="64" t="s">
        <v>53</v>
      </c>
      <c r="Z205" s="64" t="s">
        <v>53</v>
      </c>
      <c r="AA205" s="64" t="s">
        <v>53</v>
      </c>
      <c r="AB205" s="64" t="s">
        <v>53</v>
      </c>
      <c r="AC205" s="64" t="s">
        <v>53</v>
      </c>
      <c r="AD205" s="64" t="s">
        <v>53</v>
      </c>
      <c r="AE205" s="64" t="s">
        <v>53</v>
      </c>
      <c r="AF205" s="64" t="s">
        <v>53</v>
      </c>
    </row>
    <row r="206" spans="1:32">
      <c r="A206" s="90">
        <f>AE202+0</f>
        <v>46143</v>
      </c>
      <c r="B206" s="90">
        <f>A206+1</f>
        <v>46144</v>
      </c>
      <c r="C206" s="80"/>
      <c r="D206" s="80"/>
      <c r="E206" s="72"/>
      <c r="F206" s="80"/>
      <c r="G206" s="72"/>
      <c r="H206" s="72"/>
      <c r="I206" s="80"/>
      <c r="J206" s="80"/>
      <c r="K206" s="80"/>
      <c r="L206" s="80"/>
      <c r="M206" s="80"/>
      <c r="N206" s="97"/>
      <c r="O206" s="97"/>
      <c r="P206" s="97"/>
      <c r="Q206" s="92"/>
      <c r="R206" s="92"/>
      <c r="S206" s="92"/>
      <c r="T206" s="92"/>
      <c r="U206" s="92"/>
      <c r="V206" s="92"/>
      <c r="W206" s="99"/>
      <c r="X206" s="92"/>
      <c r="Y206" s="92"/>
      <c r="Z206" s="92"/>
      <c r="AA206" s="92"/>
      <c r="AB206" s="92"/>
      <c r="AC206" s="92"/>
      <c r="AD206" s="100"/>
      <c r="AE206" s="92"/>
      <c r="AF206" s="92"/>
    </row>
    <row r="207" spans="1:32">
      <c r="A207" s="90">
        <f t="shared" ref="A207:A234" si="36">A206+1</f>
        <v>46144</v>
      </c>
      <c r="B207" s="90">
        <f t="shared" ref="B207:B234" si="37">A207+1</f>
        <v>46145</v>
      </c>
      <c r="C207" s="80"/>
      <c r="D207" s="80"/>
      <c r="E207" s="72"/>
      <c r="F207" s="80"/>
      <c r="G207" s="72"/>
      <c r="H207" s="72"/>
      <c r="I207" s="80"/>
      <c r="J207" s="80"/>
      <c r="K207" s="80"/>
      <c r="L207" s="80"/>
      <c r="M207" s="80"/>
      <c r="N207" s="97"/>
      <c r="O207" s="97"/>
      <c r="P207" s="97"/>
      <c r="Q207" s="92"/>
      <c r="R207" s="92"/>
      <c r="S207" s="92"/>
      <c r="T207" s="92"/>
      <c r="U207" s="92"/>
      <c r="V207" s="92"/>
      <c r="W207" s="99"/>
      <c r="X207" s="92"/>
      <c r="Y207" s="92"/>
      <c r="Z207" s="92"/>
      <c r="AA207" s="92"/>
      <c r="AB207" s="92"/>
      <c r="AC207" s="92"/>
      <c r="AD207" s="100"/>
      <c r="AE207" s="92"/>
      <c r="AF207" s="92"/>
    </row>
    <row r="208" spans="1:32">
      <c r="A208" s="90">
        <f t="shared" si="36"/>
        <v>46145</v>
      </c>
      <c r="B208" s="90">
        <f t="shared" si="37"/>
        <v>46146</v>
      </c>
      <c r="C208" s="80"/>
      <c r="D208" s="80"/>
      <c r="E208" s="72"/>
      <c r="F208" s="80"/>
      <c r="G208" s="72"/>
      <c r="H208" s="72"/>
      <c r="I208" s="80"/>
      <c r="J208" s="80"/>
      <c r="K208" s="80"/>
      <c r="L208" s="80"/>
      <c r="M208" s="80"/>
      <c r="N208" s="97"/>
      <c r="O208" s="97"/>
      <c r="P208" s="97"/>
      <c r="Q208" s="92"/>
      <c r="R208" s="92"/>
      <c r="S208" s="92"/>
      <c r="T208" s="92"/>
      <c r="U208" s="92"/>
      <c r="V208" s="92"/>
      <c r="W208" s="99"/>
      <c r="X208" s="92"/>
      <c r="Y208" s="92"/>
      <c r="Z208" s="92"/>
      <c r="AA208" s="92"/>
      <c r="AB208" s="92"/>
      <c r="AC208" s="92"/>
      <c r="AD208" s="100"/>
      <c r="AE208" s="92"/>
      <c r="AF208" s="92"/>
    </row>
    <row r="209" spans="1:32">
      <c r="A209" s="90">
        <f t="shared" si="36"/>
        <v>46146</v>
      </c>
      <c r="B209" s="90">
        <f t="shared" si="37"/>
        <v>46147</v>
      </c>
      <c r="C209" s="80"/>
      <c r="D209" s="80"/>
      <c r="E209" s="72"/>
      <c r="F209" s="80"/>
      <c r="G209" s="72"/>
      <c r="H209" s="72"/>
      <c r="I209" s="80"/>
      <c r="J209" s="80"/>
      <c r="K209" s="80"/>
      <c r="L209" s="80"/>
      <c r="M209" s="80"/>
      <c r="N209" s="97"/>
      <c r="O209" s="97"/>
      <c r="P209" s="97"/>
      <c r="Q209" s="92"/>
      <c r="R209" s="92"/>
      <c r="S209" s="92"/>
      <c r="T209" s="92"/>
      <c r="U209" s="92"/>
      <c r="V209" s="92"/>
      <c r="W209" s="99"/>
      <c r="X209" s="92"/>
      <c r="Y209" s="92"/>
      <c r="Z209" s="92"/>
      <c r="AA209" s="92"/>
      <c r="AB209" s="92"/>
      <c r="AC209" s="92"/>
      <c r="AD209" s="100"/>
      <c r="AE209" s="92"/>
      <c r="AF209" s="92"/>
    </row>
    <row r="210" spans="1:32">
      <c r="A210" s="90">
        <f t="shared" si="36"/>
        <v>46147</v>
      </c>
      <c r="B210" s="90">
        <f t="shared" si="37"/>
        <v>46148</v>
      </c>
      <c r="C210" s="80"/>
      <c r="D210" s="80"/>
      <c r="E210" s="72"/>
      <c r="F210" s="80"/>
      <c r="G210" s="72"/>
      <c r="H210" s="72"/>
      <c r="I210" s="80"/>
      <c r="J210" s="80"/>
      <c r="K210" s="80"/>
      <c r="L210" s="80"/>
      <c r="M210" s="80"/>
      <c r="N210" s="97"/>
      <c r="O210" s="97"/>
      <c r="P210" s="97"/>
      <c r="Q210" s="92"/>
      <c r="R210" s="92"/>
      <c r="S210" s="92"/>
      <c r="T210" s="92"/>
      <c r="U210" s="92"/>
      <c r="V210" s="92"/>
      <c r="W210" s="99"/>
      <c r="X210" s="92"/>
      <c r="Y210" s="92"/>
      <c r="Z210" s="92"/>
      <c r="AA210" s="92"/>
      <c r="AB210" s="92"/>
      <c r="AC210" s="92"/>
      <c r="AD210" s="100"/>
      <c r="AE210" s="92"/>
      <c r="AF210" s="92"/>
    </row>
    <row r="211" spans="1:32">
      <c r="A211" s="90">
        <f t="shared" si="36"/>
        <v>46148</v>
      </c>
      <c r="B211" s="90">
        <f t="shared" si="37"/>
        <v>46149</v>
      </c>
      <c r="C211" s="80"/>
      <c r="D211" s="80"/>
      <c r="E211" s="72"/>
      <c r="F211" s="80"/>
      <c r="G211" s="91"/>
      <c r="H211" s="72"/>
      <c r="I211" s="80"/>
      <c r="J211" s="80"/>
      <c r="K211" s="80"/>
      <c r="L211" s="80"/>
      <c r="M211" s="80"/>
      <c r="N211" s="97"/>
      <c r="O211" s="97"/>
      <c r="P211" s="97"/>
      <c r="Q211" s="92"/>
      <c r="R211" s="92"/>
      <c r="S211" s="92"/>
      <c r="T211" s="92"/>
      <c r="U211" s="92"/>
      <c r="V211" s="92"/>
      <c r="W211" s="99"/>
      <c r="X211" s="92"/>
      <c r="Y211" s="92"/>
      <c r="Z211" s="92"/>
      <c r="AA211" s="92"/>
      <c r="AB211" s="92"/>
      <c r="AC211" s="92"/>
      <c r="AD211" s="100"/>
      <c r="AE211" s="92"/>
      <c r="AF211" s="92"/>
    </row>
    <row r="212" spans="1:32">
      <c r="A212" s="90">
        <f t="shared" si="36"/>
        <v>46149</v>
      </c>
      <c r="B212" s="90">
        <f t="shared" si="37"/>
        <v>46150</v>
      </c>
      <c r="C212" s="80"/>
      <c r="D212" s="80"/>
      <c r="E212" s="72"/>
      <c r="F212" s="80"/>
      <c r="G212" s="72"/>
      <c r="H212" s="72"/>
      <c r="I212" s="80"/>
      <c r="J212" s="80"/>
      <c r="K212" s="80"/>
      <c r="L212" s="80"/>
      <c r="M212" s="80"/>
      <c r="N212" s="97"/>
      <c r="O212" s="97"/>
      <c r="P212" s="97"/>
      <c r="Q212" s="92"/>
      <c r="R212" s="92"/>
      <c r="S212" s="92"/>
      <c r="T212" s="92"/>
      <c r="U212" s="92"/>
      <c r="V212" s="92"/>
      <c r="W212" s="93"/>
      <c r="X212" s="92"/>
      <c r="Y212" s="92"/>
      <c r="Z212" s="100"/>
      <c r="AA212" s="92"/>
      <c r="AB212" s="92"/>
      <c r="AC212" s="101"/>
      <c r="AD212" s="101"/>
      <c r="AE212" s="101"/>
      <c r="AF212" s="92"/>
    </row>
    <row r="213" spans="1:32">
      <c r="A213" s="90">
        <f t="shared" si="36"/>
        <v>46150</v>
      </c>
      <c r="B213" s="90">
        <f t="shared" si="37"/>
        <v>46151</v>
      </c>
      <c r="C213" s="80"/>
      <c r="D213" s="80"/>
      <c r="E213" s="72"/>
      <c r="F213" s="80"/>
      <c r="G213" s="72"/>
      <c r="H213" s="72"/>
      <c r="I213" s="80"/>
      <c r="J213" s="80"/>
      <c r="K213" s="80"/>
      <c r="L213" s="80"/>
      <c r="M213" s="80"/>
      <c r="N213" s="97"/>
      <c r="O213" s="97"/>
      <c r="P213" s="97"/>
      <c r="Q213" s="92"/>
      <c r="R213" s="92"/>
      <c r="S213" s="92"/>
      <c r="T213" s="92"/>
      <c r="U213" s="92"/>
      <c r="V213" s="92"/>
      <c r="W213" s="99"/>
      <c r="X213" s="92"/>
      <c r="Y213" s="92"/>
      <c r="Z213" s="92"/>
      <c r="AA213" s="92"/>
      <c r="AB213" s="92"/>
      <c r="AC213" s="92"/>
      <c r="AD213" s="100"/>
      <c r="AE213" s="92"/>
      <c r="AF213" s="92"/>
    </row>
    <row r="214" spans="1:32">
      <c r="A214" s="90">
        <f t="shared" si="36"/>
        <v>46151</v>
      </c>
      <c r="B214" s="90">
        <f t="shared" si="37"/>
        <v>46152</v>
      </c>
      <c r="C214" s="80"/>
      <c r="D214" s="92"/>
      <c r="E214" s="72"/>
      <c r="F214" s="80"/>
      <c r="G214" s="72"/>
      <c r="H214" s="72"/>
      <c r="I214" s="80"/>
      <c r="J214" s="80"/>
      <c r="K214" s="80"/>
      <c r="L214" s="80"/>
      <c r="M214" s="80"/>
      <c r="N214" s="97"/>
      <c r="O214" s="97"/>
      <c r="P214" s="97"/>
      <c r="Q214" s="92"/>
      <c r="R214" s="92"/>
      <c r="S214" s="92"/>
      <c r="T214" s="92"/>
      <c r="U214" s="92"/>
      <c r="V214" s="92"/>
      <c r="W214" s="99"/>
      <c r="X214" s="92"/>
      <c r="Y214" s="92"/>
      <c r="Z214" s="92"/>
      <c r="AA214" s="92"/>
      <c r="AB214" s="92"/>
      <c r="AC214" s="92"/>
      <c r="AD214" s="100"/>
      <c r="AE214" s="92"/>
      <c r="AF214" s="92"/>
    </row>
    <row r="215" spans="1:32">
      <c r="A215" s="90">
        <f t="shared" si="36"/>
        <v>46152</v>
      </c>
      <c r="B215" s="90">
        <f t="shared" si="37"/>
        <v>46153</v>
      </c>
      <c r="C215" s="92"/>
      <c r="D215" s="92"/>
      <c r="E215" s="72"/>
      <c r="F215" s="80"/>
      <c r="G215" s="72"/>
      <c r="H215" s="72"/>
      <c r="I215" s="80"/>
      <c r="J215" s="80"/>
      <c r="K215" s="80"/>
      <c r="L215" s="80"/>
      <c r="M215" s="80"/>
      <c r="N215" s="97"/>
      <c r="O215" s="97"/>
      <c r="P215" s="97"/>
      <c r="Q215" s="92"/>
      <c r="R215" s="92"/>
      <c r="S215" s="92"/>
      <c r="T215" s="92"/>
      <c r="U215" s="92"/>
      <c r="V215" s="92"/>
      <c r="W215" s="99"/>
      <c r="X215" s="92"/>
      <c r="Y215" s="92"/>
      <c r="Z215" s="92"/>
      <c r="AA215" s="92"/>
      <c r="AB215" s="92"/>
      <c r="AC215" s="92"/>
      <c r="AD215" s="100"/>
      <c r="AE215" s="92"/>
      <c r="AF215" s="92"/>
    </row>
    <row r="216" spans="1:32">
      <c r="A216" s="90">
        <f t="shared" si="36"/>
        <v>46153</v>
      </c>
      <c r="B216" s="90">
        <f t="shared" si="37"/>
        <v>46154</v>
      </c>
      <c r="C216" s="92"/>
      <c r="D216" s="92"/>
      <c r="E216" s="72"/>
      <c r="F216" s="80"/>
      <c r="G216" s="72"/>
      <c r="H216" s="72"/>
      <c r="I216" s="80"/>
      <c r="J216" s="80"/>
      <c r="K216" s="80"/>
      <c r="L216" s="80"/>
      <c r="M216" s="80"/>
      <c r="N216" s="97"/>
      <c r="O216" s="97"/>
      <c r="P216" s="97"/>
      <c r="Q216" s="92"/>
      <c r="R216" s="92"/>
      <c r="S216" s="92"/>
      <c r="T216" s="92"/>
      <c r="U216" s="92"/>
      <c r="V216" s="92"/>
      <c r="W216" s="93"/>
      <c r="X216" s="92"/>
      <c r="Y216" s="92"/>
      <c r="Z216" s="92"/>
      <c r="AA216" s="92"/>
      <c r="AB216" s="92"/>
      <c r="AC216" s="92"/>
      <c r="AD216" s="92"/>
      <c r="AE216" s="92"/>
      <c r="AF216" s="92"/>
    </row>
    <row r="217" spans="1:32">
      <c r="A217" s="90">
        <f t="shared" si="36"/>
        <v>46154</v>
      </c>
      <c r="B217" s="90">
        <f t="shared" si="37"/>
        <v>46155</v>
      </c>
      <c r="C217" s="92"/>
      <c r="D217" s="92"/>
      <c r="E217" s="72"/>
      <c r="F217" s="80"/>
      <c r="G217" s="72"/>
      <c r="H217" s="72"/>
      <c r="I217" s="80"/>
      <c r="J217" s="80"/>
      <c r="K217" s="80"/>
      <c r="L217" s="80"/>
      <c r="M217" s="80"/>
      <c r="N217" s="97"/>
      <c r="O217" s="97"/>
      <c r="P217" s="97"/>
      <c r="Q217" s="92"/>
      <c r="R217" s="92"/>
      <c r="S217" s="92"/>
      <c r="T217" s="92"/>
      <c r="U217" s="92"/>
      <c r="V217" s="92"/>
      <c r="W217" s="99"/>
      <c r="X217" s="92"/>
      <c r="Y217" s="92"/>
      <c r="Z217" s="92"/>
      <c r="AA217" s="92"/>
      <c r="AB217" s="92"/>
      <c r="AC217" s="92"/>
      <c r="AD217" s="100"/>
      <c r="AE217" s="92"/>
      <c r="AF217" s="92"/>
    </row>
    <row r="218" spans="1:32">
      <c r="A218" s="90">
        <f t="shared" si="36"/>
        <v>46155</v>
      </c>
      <c r="B218" s="90">
        <f t="shared" si="37"/>
        <v>46156</v>
      </c>
      <c r="C218" s="92"/>
      <c r="D218" s="92"/>
      <c r="E218" s="72"/>
      <c r="F218" s="80"/>
      <c r="G218" s="72"/>
      <c r="H218" s="72"/>
      <c r="I218" s="80"/>
      <c r="J218" s="80"/>
      <c r="K218" s="80"/>
      <c r="L218" s="80"/>
      <c r="M218" s="80"/>
      <c r="N218" s="97"/>
      <c r="O218" s="97"/>
      <c r="P218" s="97"/>
      <c r="Q218" s="92"/>
      <c r="R218" s="92"/>
      <c r="S218" s="92"/>
      <c r="T218" s="92"/>
      <c r="U218" s="92"/>
      <c r="V218" s="92"/>
      <c r="W218" s="99"/>
      <c r="X218" s="92"/>
      <c r="Y218" s="92"/>
      <c r="Z218" s="92"/>
      <c r="AA218" s="92"/>
      <c r="AB218" s="92"/>
      <c r="AC218" s="92"/>
      <c r="AD218" s="100"/>
      <c r="AE218" s="92"/>
      <c r="AF218" s="92"/>
    </row>
    <row r="219" spans="1:32">
      <c r="A219" s="90">
        <f t="shared" si="36"/>
        <v>46156</v>
      </c>
      <c r="B219" s="90">
        <f t="shared" si="37"/>
        <v>46157</v>
      </c>
      <c r="C219" s="92"/>
      <c r="D219" s="92"/>
      <c r="E219" s="72"/>
      <c r="F219" s="80"/>
      <c r="G219" s="72"/>
      <c r="H219" s="72"/>
      <c r="I219" s="80"/>
      <c r="J219" s="80"/>
      <c r="K219" s="80"/>
      <c r="L219" s="80"/>
      <c r="M219" s="80"/>
      <c r="N219" s="97"/>
      <c r="O219" s="97"/>
      <c r="P219" s="97"/>
      <c r="Q219" s="92"/>
      <c r="R219" s="92"/>
      <c r="S219" s="92"/>
      <c r="T219" s="92"/>
      <c r="U219" s="92"/>
      <c r="V219" s="92"/>
      <c r="W219" s="93"/>
      <c r="X219" s="92"/>
      <c r="Y219" s="92"/>
      <c r="Z219" s="100"/>
      <c r="AA219" s="92"/>
      <c r="AB219" s="92"/>
      <c r="AC219" s="101"/>
      <c r="AD219" s="92"/>
      <c r="AE219" s="101"/>
      <c r="AF219" s="92"/>
    </row>
    <row r="220" spans="1:32">
      <c r="A220" s="90">
        <f t="shared" si="36"/>
        <v>46157</v>
      </c>
      <c r="B220" s="90">
        <f t="shared" si="37"/>
        <v>46158</v>
      </c>
      <c r="C220" s="80"/>
      <c r="D220" s="80"/>
      <c r="E220" s="72"/>
      <c r="F220" s="80"/>
      <c r="G220" s="72"/>
      <c r="H220" s="72"/>
      <c r="I220" s="80"/>
      <c r="J220" s="80"/>
      <c r="K220" s="80"/>
      <c r="L220" s="80"/>
      <c r="M220" s="80"/>
      <c r="N220" s="97"/>
      <c r="O220" s="97"/>
      <c r="P220" s="97"/>
      <c r="Q220" s="92"/>
      <c r="R220" s="92"/>
      <c r="S220" s="92"/>
      <c r="T220" s="92"/>
      <c r="U220" s="92"/>
      <c r="V220" s="92"/>
      <c r="W220" s="99"/>
      <c r="X220" s="92"/>
      <c r="Y220" s="92"/>
      <c r="Z220" s="92"/>
      <c r="AA220" s="92"/>
      <c r="AB220" s="92"/>
      <c r="AC220" s="92"/>
      <c r="AD220" s="100"/>
      <c r="AE220" s="92"/>
      <c r="AF220" s="92"/>
    </row>
    <row r="221" spans="1:32">
      <c r="A221" s="90">
        <f t="shared" si="36"/>
        <v>46158</v>
      </c>
      <c r="B221" s="90">
        <f t="shared" si="37"/>
        <v>46159</v>
      </c>
      <c r="C221" s="92"/>
      <c r="D221" s="92"/>
      <c r="E221" s="72"/>
      <c r="F221" s="80"/>
      <c r="G221" s="72"/>
      <c r="H221" s="72"/>
      <c r="I221" s="80"/>
      <c r="J221" s="80"/>
      <c r="K221" s="80"/>
      <c r="L221" s="80"/>
      <c r="M221" s="80"/>
      <c r="N221" s="97"/>
      <c r="O221" s="97"/>
      <c r="P221" s="97"/>
      <c r="Q221" s="92"/>
      <c r="R221" s="92"/>
      <c r="S221" s="92"/>
      <c r="T221" s="92"/>
      <c r="U221" s="92"/>
      <c r="V221" s="92"/>
      <c r="W221" s="99"/>
      <c r="X221" s="92"/>
      <c r="Y221" s="92"/>
      <c r="Z221" s="92"/>
      <c r="AA221" s="92"/>
      <c r="AB221" s="92"/>
      <c r="AC221" s="92"/>
      <c r="AD221" s="100"/>
      <c r="AE221" s="92"/>
      <c r="AF221" s="92"/>
    </row>
    <row r="222" spans="1:32">
      <c r="A222" s="90">
        <f t="shared" si="36"/>
        <v>46159</v>
      </c>
      <c r="B222" s="90">
        <f t="shared" si="37"/>
        <v>46160</v>
      </c>
      <c r="C222" s="92"/>
      <c r="D222" s="92"/>
      <c r="E222" s="72"/>
      <c r="F222" s="80"/>
      <c r="G222" s="72"/>
      <c r="H222" s="72"/>
      <c r="I222" s="80"/>
      <c r="J222" s="80"/>
      <c r="K222" s="80"/>
      <c r="L222" s="80"/>
      <c r="M222" s="80"/>
      <c r="N222" s="97"/>
      <c r="O222" s="97"/>
      <c r="P222" s="97"/>
      <c r="Q222" s="92"/>
      <c r="R222" s="92"/>
      <c r="S222" s="92"/>
      <c r="T222" s="92"/>
      <c r="U222" s="92"/>
      <c r="V222" s="92"/>
      <c r="W222" s="99"/>
      <c r="X222" s="92"/>
      <c r="Y222" s="92"/>
      <c r="Z222" s="92"/>
      <c r="AA222" s="92"/>
      <c r="AB222" s="92"/>
      <c r="AC222" s="92"/>
      <c r="AD222" s="100"/>
      <c r="AE222" s="92"/>
      <c r="AF222" s="92"/>
    </row>
    <row r="223" spans="1:32">
      <c r="A223" s="90">
        <f t="shared" si="36"/>
        <v>46160</v>
      </c>
      <c r="B223" s="90">
        <f t="shared" si="37"/>
        <v>46161</v>
      </c>
      <c r="C223" s="92"/>
      <c r="D223" s="92"/>
      <c r="E223" s="72"/>
      <c r="F223" s="80"/>
      <c r="G223" s="72"/>
      <c r="H223" s="72"/>
      <c r="I223" s="80"/>
      <c r="J223" s="80"/>
      <c r="K223" s="80"/>
      <c r="L223" s="80"/>
      <c r="M223" s="80"/>
      <c r="N223" s="97"/>
      <c r="O223" s="97"/>
      <c r="P223" s="97"/>
      <c r="Q223" s="92"/>
      <c r="R223" s="92"/>
      <c r="S223" s="92"/>
      <c r="T223" s="92"/>
      <c r="U223" s="92"/>
      <c r="V223" s="92"/>
      <c r="W223" s="99"/>
      <c r="X223" s="92"/>
      <c r="Y223" s="92"/>
      <c r="Z223" s="92"/>
      <c r="AA223" s="92"/>
      <c r="AB223" s="92"/>
      <c r="AC223" s="92"/>
      <c r="AD223" s="100"/>
      <c r="AE223" s="92"/>
      <c r="AF223" s="92"/>
    </row>
    <row r="224" spans="1:32">
      <c r="A224" s="90">
        <f t="shared" si="36"/>
        <v>46161</v>
      </c>
      <c r="B224" s="90">
        <f t="shared" si="37"/>
        <v>46162</v>
      </c>
      <c r="C224" s="92"/>
      <c r="D224" s="92"/>
      <c r="E224" s="93"/>
      <c r="F224" s="92"/>
      <c r="G224" s="93"/>
      <c r="H224" s="93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9"/>
      <c r="X224" s="92"/>
      <c r="Y224" s="92"/>
      <c r="Z224" s="92"/>
      <c r="AA224" s="92"/>
      <c r="AB224" s="92"/>
      <c r="AC224" s="92"/>
      <c r="AD224" s="100"/>
      <c r="AE224" s="92"/>
      <c r="AF224" s="92"/>
    </row>
    <row r="225" spans="1:32">
      <c r="A225" s="90">
        <f t="shared" si="36"/>
        <v>46162</v>
      </c>
      <c r="B225" s="90">
        <f t="shared" si="37"/>
        <v>46163</v>
      </c>
      <c r="C225" s="92"/>
      <c r="D225" s="92"/>
      <c r="E225" s="93"/>
      <c r="F225" s="92"/>
      <c r="G225" s="93"/>
      <c r="H225" s="93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9"/>
      <c r="X225" s="92"/>
      <c r="Y225" s="92"/>
      <c r="Z225" s="92"/>
      <c r="AA225" s="92"/>
      <c r="AB225" s="92"/>
      <c r="AC225" s="92"/>
      <c r="AD225" s="100"/>
      <c r="AE225" s="92"/>
      <c r="AF225" s="92"/>
    </row>
    <row r="226" spans="1:32">
      <c r="A226" s="90">
        <f t="shared" si="36"/>
        <v>46163</v>
      </c>
      <c r="B226" s="90">
        <f t="shared" si="37"/>
        <v>46164</v>
      </c>
      <c r="C226" s="92"/>
      <c r="D226" s="92"/>
      <c r="E226" s="93"/>
      <c r="F226" s="92"/>
      <c r="G226" s="93"/>
      <c r="H226" s="93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9"/>
      <c r="X226" s="92"/>
      <c r="Y226" s="92"/>
      <c r="Z226" s="92"/>
      <c r="AA226" s="92"/>
      <c r="AB226" s="92"/>
      <c r="AC226" s="92"/>
      <c r="AD226" s="100"/>
      <c r="AE226" s="92"/>
      <c r="AF226" s="92"/>
    </row>
    <row r="227" spans="1:32">
      <c r="A227" s="90">
        <f t="shared" si="36"/>
        <v>46164</v>
      </c>
      <c r="B227" s="90">
        <f t="shared" si="37"/>
        <v>46165</v>
      </c>
      <c r="C227" s="94"/>
      <c r="D227" s="92"/>
      <c r="E227" s="72"/>
      <c r="F227" s="80"/>
      <c r="G227" s="72"/>
      <c r="H227" s="72"/>
      <c r="I227" s="80"/>
      <c r="J227" s="80"/>
      <c r="K227" s="80"/>
      <c r="L227" s="98"/>
      <c r="M227" s="80"/>
      <c r="N227" s="97"/>
      <c r="O227" s="97"/>
      <c r="P227" s="97"/>
      <c r="Q227" s="92"/>
      <c r="R227" s="92"/>
      <c r="S227" s="92"/>
      <c r="T227" s="92"/>
      <c r="U227" s="92"/>
      <c r="V227" s="92"/>
      <c r="W227" s="93"/>
      <c r="X227" s="92"/>
      <c r="Y227" s="92"/>
      <c r="Z227" s="92"/>
      <c r="AA227" s="92"/>
      <c r="AB227" s="92"/>
      <c r="AC227" s="92"/>
      <c r="AD227" s="92"/>
      <c r="AE227" s="92"/>
      <c r="AF227" s="92"/>
    </row>
    <row r="228" spans="1:32">
      <c r="A228" s="90">
        <f t="shared" si="36"/>
        <v>46165</v>
      </c>
      <c r="B228" s="90">
        <f t="shared" si="37"/>
        <v>46166</v>
      </c>
      <c r="C228" s="92"/>
      <c r="D228" s="92"/>
      <c r="E228" s="93"/>
      <c r="F228" s="92"/>
      <c r="G228" s="93"/>
      <c r="H228" s="93"/>
      <c r="I228" s="92"/>
      <c r="J228" s="92"/>
      <c r="K228" s="92"/>
      <c r="L228" s="92"/>
      <c r="M228" s="92"/>
      <c r="N228" s="94"/>
      <c r="O228" s="94"/>
      <c r="P228" s="94"/>
      <c r="Q228" s="92"/>
      <c r="R228" s="92"/>
      <c r="S228" s="92"/>
      <c r="T228" s="92"/>
      <c r="U228" s="92"/>
      <c r="V228" s="92"/>
      <c r="W228" s="93"/>
      <c r="X228" s="92"/>
      <c r="Y228" s="92"/>
      <c r="Z228" s="92"/>
      <c r="AA228" s="92"/>
      <c r="AB228" s="92"/>
      <c r="AC228" s="92"/>
      <c r="AD228" s="100"/>
      <c r="AE228" s="92"/>
      <c r="AF228" s="92"/>
    </row>
    <row r="229" spans="1:32">
      <c r="A229" s="90">
        <f t="shared" si="36"/>
        <v>46166</v>
      </c>
      <c r="B229" s="90">
        <f t="shared" si="37"/>
        <v>46167</v>
      </c>
      <c r="C229" s="92"/>
      <c r="D229" s="92"/>
      <c r="E229" s="93"/>
      <c r="F229" s="92"/>
      <c r="G229" s="93"/>
      <c r="H229" s="93"/>
      <c r="I229" s="92"/>
      <c r="J229" s="92"/>
      <c r="K229" s="92"/>
      <c r="L229" s="92"/>
      <c r="M229" s="92"/>
      <c r="N229" s="94"/>
      <c r="O229" s="94"/>
      <c r="P229" s="94"/>
      <c r="Q229" s="92"/>
      <c r="R229" s="92"/>
      <c r="S229" s="92"/>
      <c r="T229" s="92"/>
      <c r="U229" s="92"/>
      <c r="V229" s="92"/>
      <c r="W229" s="93"/>
      <c r="X229" s="92"/>
      <c r="Y229" s="92"/>
      <c r="Z229" s="100"/>
      <c r="AA229" s="92"/>
      <c r="AB229" s="92"/>
      <c r="AC229" s="101"/>
      <c r="AD229" s="101"/>
      <c r="AE229" s="101"/>
      <c r="AF229" s="92"/>
    </row>
    <row r="230" spans="1:32">
      <c r="A230" s="90">
        <f t="shared" si="36"/>
        <v>46167</v>
      </c>
      <c r="B230" s="90">
        <f t="shared" si="37"/>
        <v>46168</v>
      </c>
      <c r="C230" s="92"/>
      <c r="D230" s="92"/>
      <c r="E230" s="93"/>
      <c r="F230" s="92"/>
      <c r="G230" s="93"/>
      <c r="H230" s="93"/>
      <c r="I230" s="92"/>
      <c r="J230" s="92"/>
      <c r="K230" s="92"/>
      <c r="L230" s="92"/>
      <c r="M230" s="92"/>
      <c r="N230" s="94"/>
      <c r="O230" s="94"/>
      <c r="P230" s="94"/>
      <c r="Q230" s="92"/>
      <c r="R230" s="92"/>
      <c r="S230" s="92"/>
      <c r="T230" s="92"/>
      <c r="U230" s="92"/>
      <c r="V230" s="92"/>
      <c r="W230" s="99"/>
      <c r="X230" s="92"/>
      <c r="Y230" s="92"/>
      <c r="Z230" s="92"/>
      <c r="AA230" s="92"/>
      <c r="AB230" s="92"/>
      <c r="AC230" s="92"/>
      <c r="AD230" s="100"/>
      <c r="AE230" s="92"/>
      <c r="AF230" s="92"/>
    </row>
    <row r="231" spans="1:32">
      <c r="A231" s="90">
        <f t="shared" si="36"/>
        <v>46168</v>
      </c>
      <c r="B231" s="90">
        <f t="shared" si="37"/>
        <v>46169</v>
      </c>
      <c r="C231" s="92"/>
      <c r="D231" s="92"/>
      <c r="E231" s="93"/>
      <c r="F231" s="92"/>
      <c r="G231" s="93"/>
      <c r="H231" s="93"/>
      <c r="I231" s="92"/>
      <c r="J231" s="92"/>
      <c r="K231" s="92"/>
      <c r="L231" s="92"/>
      <c r="M231" s="92"/>
      <c r="N231" s="94"/>
      <c r="O231" s="94"/>
      <c r="P231" s="94"/>
      <c r="Q231" s="92"/>
      <c r="R231" s="92"/>
      <c r="S231" s="92"/>
      <c r="T231" s="92"/>
      <c r="U231" s="92"/>
      <c r="V231" s="92"/>
      <c r="W231" s="99"/>
      <c r="X231" s="92"/>
      <c r="Y231" s="92"/>
      <c r="Z231" s="92"/>
      <c r="AA231" s="92"/>
      <c r="AB231" s="92"/>
      <c r="AC231" s="92"/>
      <c r="AD231" s="100"/>
      <c r="AE231" s="92"/>
      <c r="AF231" s="92"/>
    </row>
    <row r="232" spans="1:32">
      <c r="A232" s="90">
        <f t="shared" si="36"/>
        <v>46169</v>
      </c>
      <c r="B232" s="90">
        <f t="shared" si="37"/>
        <v>46170</v>
      </c>
      <c r="C232" s="92"/>
      <c r="D232" s="92"/>
      <c r="E232" s="93"/>
      <c r="F232" s="92"/>
      <c r="G232" s="93"/>
      <c r="H232" s="93"/>
      <c r="I232" s="92"/>
      <c r="J232" s="92"/>
      <c r="K232" s="92"/>
      <c r="L232" s="92"/>
      <c r="M232" s="92"/>
      <c r="N232" s="94"/>
      <c r="O232" s="94"/>
      <c r="P232" s="94"/>
      <c r="Q232" s="92"/>
      <c r="R232" s="92"/>
      <c r="S232" s="92"/>
      <c r="T232" s="92"/>
      <c r="U232" s="92"/>
      <c r="V232" s="92"/>
      <c r="W232" s="99"/>
      <c r="X232" s="92"/>
      <c r="Y232" s="92"/>
      <c r="Z232" s="92"/>
      <c r="AA232" s="92"/>
      <c r="AB232" s="92"/>
      <c r="AC232" s="92"/>
      <c r="AD232" s="100"/>
      <c r="AE232" s="92"/>
      <c r="AF232" s="92"/>
    </row>
    <row r="233" spans="1:32">
      <c r="A233" s="90">
        <f t="shared" si="36"/>
        <v>46170</v>
      </c>
      <c r="B233" s="90">
        <f t="shared" si="37"/>
        <v>46171</v>
      </c>
      <c r="C233" s="92"/>
      <c r="D233" s="92"/>
      <c r="E233" s="93"/>
      <c r="F233" s="92"/>
      <c r="G233" s="93"/>
      <c r="H233" s="93"/>
      <c r="I233" s="92"/>
      <c r="J233" s="92"/>
      <c r="K233" s="92"/>
      <c r="L233" s="92"/>
      <c r="M233" s="92"/>
      <c r="N233" s="94"/>
      <c r="O233" s="94"/>
      <c r="P233" s="94"/>
      <c r="Q233" s="92"/>
      <c r="R233" s="92"/>
      <c r="S233" s="92"/>
      <c r="T233" s="92"/>
      <c r="U233" s="92"/>
      <c r="V233" s="92"/>
      <c r="W233" s="99"/>
      <c r="X233" s="92"/>
      <c r="Y233" s="92"/>
      <c r="Z233" s="92"/>
      <c r="AA233" s="92"/>
      <c r="AB233" s="92"/>
      <c r="AC233" s="92"/>
      <c r="AD233" s="100"/>
      <c r="AE233" s="92"/>
      <c r="AF233" s="92"/>
    </row>
    <row r="234" spans="1:32">
      <c r="A234" s="90">
        <f t="shared" si="36"/>
        <v>46171</v>
      </c>
      <c r="B234" s="90">
        <f t="shared" si="37"/>
        <v>46172</v>
      </c>
      <c r="C234" s="92"/>
      <c r="D234" s="92"/>
      <c r="E234" s="93"/>
      <c r="F234" s="92"/>
      <c r="G234" s="93"/>
      <c r="H234" s="93"/>
      <c r="I234" s="92"/>
      <c r="J234" s="92"/>
      <c r="K234" s="92"/>
      <c r="L234" s="92"/>
      <c r="M234" s="92"/>
      <c r="N234" s="94"/>
      <c r="O234" s="94"/>
      <c r="P234" s="94"/>
      <c r="Q234" s="92"/>
      <c r="R234" s="92"/>
      <c r="S234" s="92"/>
      <c r="T234" s="92"/>
      <c r="U234" s="92"/>
      <c r="V234" s="92"/>
      <c r="W234" s="99"/>
      <c r="X234" s="92"/>
      <c r="Y234" s="92"/>
      <c r="Z234" s="92"/>
      <c r="AA234" s="92"/>
      <c r="AB234" s="92"/>
      <c r="AC234" s="92"/>
      <c r="AD234" s="100"/>
      <c r="AE234" s="92"/>
      <c r="AF234" s="92"/>
    </row>
    <row r="235" spans="1:32">
      <c r="A235" s="90">
        <v>45777</v>
      </c>
      <c r="B235" s="90">
        <v>45778</v>
      </c>
      <c r="C235" s="80"/>
      <c r="D235" s="80"/>
      <c r="E235" s="72"/>
      <c r="F235" s="80"/>
      <c r="G235" s="72"/>
      <c r="H235" s="72"/>
      <c r="I235" s="80"/>
      <c r="J235" s="80"/>
      <c r="K235" s="80"/>
      <c r="L235" s="80"/>
      <c r="M235" s="80"/>
      <c r="N235" s="97"/>
      <c r="O235" s="97"/>
      <c r="P235" s="97"/>
      <c r="Q235" s="92"/>
      <c r="R235" s="92"/>
      <c r="S235" s="92"/>
      <c r="T235" s="92"/>
      <c r="U235" s="92"/>
      <c r="V235" s="92"/>
      <c r="W235" s="99"/>
      <c r="X235" s="92"/>
      <c r="Y235" s="92"/>
      <c r="Z235" s="92"/>
      <c r="AA235" s="92"/>
      <c r="AB235" s="92"/>
      <c r="AC235" s="92"/>
      <c r="AD235" s="100"/>
      <c r="AE235" s="92"/>
      <c r="AF235" s="92"/>
    </row>
    <row r="236" spans="1:32">
      <c r="A236" s="324" t="s">
        <v>31</v>
      </c>
      <c r="B236" s="324"/>
      <c r="C236" s="95">
        <f t="shared" ref="C236:AF236" si="38">MIN(C206:C235)</f>
        <v>0</v>
      </c>
      <c r="D236" s="95">
        <f t="shared" si="38"/>
        <v>0</v>
      </c>
      <c r="E236" s="96">
        <f t="shared" si="38"/>
        <v>0</v>
      </c>
      <c r="F236" s="95">
        <f t="shared" si="38"/>
        <v>0</v>
      </c>
      <c r="G236" s="96">
        <f t="shared" si="38"/>
        <v>0</v>
      </c>
      <c r="H236" s="96">
        <f t="shared" si="38"/>
        <v>0</v>
      </c>
      <c r="I236" s="95">
        <f t="shared" si="38"/>
        <v>0</v>
      </c>
      <c r="J236" s="95">
        <f t="shared" si="38"/>
        <v>0</v>
      </c>
      <c r="K236" s="95">
        <f t="shared" si="38"/>
        <v>0</v>
      </c>
      <c r="L236" s="95">
        <f t="shared" si="38"/>
        <v>0</v>
      </c>
      <c r="M236" s="95">
        <f t="shared" si="38"/>
        <v>0</v>
      </c>
      <c r="N236" s="95">
        <f t="shared" si="38"/>
        <v>0</v>
      </c>
      <c r="O236" s="95">
        <f t="shared" si="38"/>
        <v>0</v>
      </c>
      <c r="P236" s="95">
        <f t="shared" si="38"/>
        <v>0</v>
      </c>
      <c r="Q236" s="95">
        <f t="shared" si="38"/>
        <v>0</v>
      </c>
      <c r="R236" s="95">
        <f t="shared" si="38"/>
        <v>0</v>
      </c>
      <c r="S236" s="95">
        <f t="shared" si="38"/>
        <v>0</v>
      </c>
      <c r="T236" s="95">
        <f t="shared" si="38"/>
        <v>0</v>
      </c>
      <c r="U236" s="95">
        <f t="shared" si="38"/>
        <v>0</v>
      </c>
      <c r="V236" s="95">
        <f t="shared" si="38"/>
        <v>0</v>
      </c>
      <c r="W236" s="96">
        <f t="shared" si="38"/>
        <v>0</v>
      </c>
      <c r="X236" s="95">
        <f t="shared" si="38"/>
        <v>0</v>
      </c>
      <c r="Y236" s="95">
        <f t="shared" si="38"/>
        <v>0</v>
      </c>
      <c r="Z236" s="95">
        <f t="shared" si="38"/>
        <v>0</v>
      </c>
      <c r="AA236" s="95">
        <f t="shared" si="38"/>
        <v>0</v>
      </c>
      <c r="AB236" s="95">
        <f t="shared" si="38"/>
        <v>0</v>
      </c>
      <c r="AC236" s="95">
        <f t="shared" si="38"/>
        <v>0</v>
      </c>
      <c r="AD236" s="95">
        <f t="shared" si="38"/>
        <v>0</v>
      </c>
      <c r="AE236" s="95">
        <f t="shared" si="38"/>
        <v>0</v>
      </c>
      <c r="AF236" s="95">
        <f t="shared" si="38"/>
        <v>0</v>
      </c>
    </row>
    <row r="237" spans="1:32">
      <c r="A237" s="324" t="s">
        <v>33</v>
      </c>
      <c r="B237" s="324"/>
      <c r="C237" s="95">
        <f t="shared" ref="C237:AF237" si="39">MAX(C206:C235)</f>
        <v>0</v>
      </c>
      <c r="D237" s="95">
        <f t="shared" si="39"/>
        <v>0</v>
      </c>
      <c r="E237" s="96">
        <f t="shared" si="39"/>
        <v>0</v>
      </c>
      <c r="F237" s="95">
        <f t="shared" si="39"/>
        <v>0</v>
      </c>
      <c r="G237" s="96">
        <f t="shared" si="39"/>
        <v>0</v>
      </c>
      <c r="H237" s="96">
        <f t="shared" si="39"/>
        <v>0</v>
      </c>
      <c r="I237" s="95">
        <f t="shared" si="39"/>
        <v>0</v>
      </c>
      <c r="J237" s="95">
        <f t="shared" si="39"/>
        <v>0</v>
      </c>
      <c r="K237" s="95">
        <f t="shared" si="39"/>
        <v>0</v>
      </c>
      <c r="L237" s="95">
        <f t="shared" si="39"/>
        <v>0</v>
      </c>
      <c r="M237" s="95">
        <f t="shared" si="39"/>
        <v>0</v>
      </c>
      <c r="N237" s="95">
        <f t="shared" si="39"/>
        <v>0</v>
      </c>
      <c r="O237" s="95">
        <f t="shared" si="39"/>
        <v>0</v>
      </c>
      <c r="P237" s="95">
        <f t="shared" si="39"/>
        <v>0</v>
      </c>
      <c r="Q237" s="95">
        <f t="shared" si="39"/>
        <v>0</v>
      </c>
      <c r="R237" s="95">
        <f t="shared" si="39"/>
        <v>0</v>
      </c>
      <c r="S237" s="95">
        <f t="shared" si="39"/>
        <v>0</v>
      </c>
      <c r="T237" s="95">
        <f t="shared" si="39"/>
        <v>0</v>
      </c>
      <c r="U237" s="95">
        <f t="shared" si="39"/>
        <v>0</v>
      </c>
      <c r="V237" s="95">
        <f t="shared" si="39"/>
        <v>0</v>
      </c>
      <c r="W237" s="96">
        <f t="shared" si="39"/>
        <v>0</v>
      </c>
      <c r="X237" s="95">
        <f t="shared" si="39"/>
        <v>0</v>
      </c>
      <c r="Y237" s="95">
        <f t="shared" si="39"/>
        <v>0</v>
      </c>
      <c r="Z237" s="95">
        <f t="shared" si="39"/>
        <v>0</v>
      </c>
      <c r="AA237" s="95">
        <f t="shared" si="39"/>
        <v>0</v>
      </c>
      <c r="AB237" s="95">
        <f t="shared" si="39"/>
        <v>0</v>
      </c>
      <c r="AC237" s="95">
        <f t="shared" si="39"/>
        <v>0</v>
      </c>
      <c r="AD237" s="95">
        <f t="shared" si="39"/>
        <v>0</v>
      </c>
      <c r="AE237" s="95">
        <f t="shared" si="39"/>
        <v>0</v>
      </c>
      <c r="AF237" s="95">
        <f t="shared" si="39"/>
        <v>0</v>
      </c>
    </row>
    <row r="238" spans="1:32">
      <c r="A238" s="324" t="s">
        <v>36</v>
      </c>
      <c r="B238" s="324"/>
      <c r="C238" s="95" t="e">
        <f t="shared" ref="C238:AF238" si="40">AVERAGE(C206:C235)</f>
        <v>#DIV/0!</v>
      </c>
      <c r="D238" s="95" t="e">
        <f t="shared" si="40"/>
        <v>#DIV/0!</v>
      </c>
      <c r="E238" s="96" t="e">
        <f t="shared" si="40"/>
        <v>#DIV/0!</v>
      </c>
      <c r="F238" s="95" t="e">
        <f t="shared" si="40"/>
        <v>#DIV/0!</v>
      </c>
      <c r="G238" s="96" t="e">
        <f t="shared" si="40"/>
        <v>#DIV/0!</v>
      </c>
      <c r="H238" s="96" t="e">
        <f t="shared" si="40"/>
        <v>#DIV/0!</v>
      </c>
      <c r="I238" s="95" t="e">
        <f t="shared" si="40"/>
        <v>#DIV/0!</v>
      </c>
      <c r="J238" s="95" t="e">
        <f t="shared" si="40"/>
        <v>#DIV/0!</v>
      </c>
      <c r="K238" s="95" t="e">
        <f t="shared" si="40"/>
        <v>#DIV/0!</v>
      </c>
      <c r="L238" s="95" t="e">
        <f t="shared" si="40"/>
        <v>#DIV/0!</v>
      </c>
      <c r="M238" s="95" t="e">
        <f t="shared" si="40"/>
        <v>#DIV/0!</v>
      </c>
      <c r="N238" s="95" t="e">
        <f t="shared" si="40"/>
        <v>#DIV/0!</v>
      </c>
      <c r="O238" s="95" t="e">
        <f t="shared" si="40"/>
        <v>#DIV/0!</v>
      </c>
      <c r="P238" s="95" t="e">
        <f t="shared" si="40"/>
        <v>#DIV/0!</v>
      </c>
      <c r="Q238" s="95" t="e">
        <f t="shared" si="40"/>
        <v>#DIV/0!</v>
      </c>
      <c r="R238" s="95" t="e">
        <f t="shared" si="40"/>
        <v>#DIV/0!</v>
      </c>
      <c r="S238" s="95" t="e">
        <f t="shared" si="40"/>
        <v>#DIV/0!</v>
      </c>
      <c r="T238" s="95" t="e">
        <f t="shared" si="40"/>
        <v>#DIV/0!</v>
      </c>
      <c r="U238" s="95" t="e">
        <f t="shared" si="40"/>
        <v>#DIV/0!</v>
      </c>
      <c r="V238" s="95" t="e">
        <f t="shared" si="40"/>
        <v>#DIV/0!</v>
      </c>
      <c r="W238" s="96" t="e">
        <f t="shared" si="40"/>
        <v>#DIV/0!</v>
      </c>
      <c r="X238" s="95" t="e">
        <f t="shared" si="40"/>
        <v>#DIV/0!</v>
      </c>
      <c r="Y238" s="95" t="e">
        <f t="shared" si="40"/>
        <v>#DIV/0!</v>
      </c>
      <c r="Z238" s="95" t="e">
        <f t="shared" si="40"/>
        <v>#DIV/0!</v>
      </c>
      <c r="AA238" s="95" t="e">
        <f t="shared" si="40"/>
        <v>#DIV/0!</v>
      </c>
      <c r="AB238" s="95" t="e">
        <f t="shared" si="40"/>
        <v>#DIV/0!</v>
      </c>
      <c r="AC238" s="95" t="e">
        <f t="shared" si="40"/>
        <v>#DIV/0!</v>
      </c>
      <c r="AD238" s="95" t="e">
        <f t="shared" si="40"/>
        <v>#DIV/0!</v>
      </c>
      <c r="AE238" s="95" t="e">
        <f t="shared" si="40"/>
        <v>#DIV/0!</v>
      </c>
      <c r="AF238" s="95" t="e">
        <f t="shared" si="40"/>
        <v>#DIV/0!</v>
      </c>
    </row>
    <row r="239" spans="1:32">
      <c r="A239" s="324" t="s">
        <v>130</v>
      </c>
      <c r="B239" s="324"/>
      <c r="C239" s="95" t="e">
        <f t="shared" ref="C239:AF239" si="41">STDEV(C206:C235)</f>
        <v>#DIV/0!</v>
      </c>
      <c r="D239" s="95" t="e">
        <f t="shared" si="41"/>
        <v>#DIV/0!</v>
      </c>
      <c r="E239" s="96" t="e">
        <f t="shared" si="41"/>
        <v>#DIV/0!</v>
      </c>
      <c r="F239" s="95" t="e">
        <f t="shared" si="41"/>
        <v>#DIV/0!</v>
      </c>
      <c r="G239" s="96" t="e">
        <f t="shared" si="41"/>
        <v>#DIV/0!</v>
      </c>
      <c r="H239" s="96" t="e">
        <f t="shared" si="41"/>
        <v>#DIV/0!</v>
      </c>
      <c r="I239" s="95" t="e">
        <f t="shared" si="41"/>
        <v>#DIV/0!</v>
      </c>
      <c r="J239" s="95" t="e">
        <f t="shared" si="41"/>
        <v>#DIV/0!</v>
      </c>
      <c r="K239" s="95" t="e">
        <f t="shared" si="41"/>
        <v>#DIV/0!</v>
      </c>
      <c r="L239" s="95" t="e">
        <f t="shared" si="41"/>
        <v>#DIV/0!</v>
      </c>
      <c r="M239" s="95" t="e">
        <f t="shared" si="41"/>
        <v>#DIV/0!</v>
      </c>
      <c r="N239" s="95" t="e">
        <f t="shared" si="41"/>
        <v>#DIV/0!</v>
      </c>
      <c r="O239" s="95" t="e">
        <f t="shared" si="41"/>
        <v>#DIV/0!</v>
      </c>
      <c r="P239" s="95" t="e">
        <f t="shared" si="41"/>
        <v>#DIV/0!</v>
      </c>
      <c r="Q239" s="95" t="e">
        <f t="shared" si="41"/>
        <v>#DIV/0!</v>
      </c>
      <c r="R239" s="95" t="e">
        <f t="shared" si="41"/>
        <v>#DIV/0!</v>
      </c>
      <c r="S239" s="95" t="e">
        <f t="shared" si="41"/>
        <v>#DIV/0!</v>
      </c>
      <c r="T239" s="95" t="e">
        <f t="shared" si="41"/>
        <v>#DIV/0!</v>
      </c>
      <c r="U239" s="95" t="e">
        <f t="shared" si="41"/>
        <v>#DIV/0!</v>
      </c>
      <c r="V239" s="95" t="e">
        <f t="shared" si="41"/>
        <v>#DIV/0!</v>
      </c>
      <c r="W239" s="96" t="e">
        <f t="shared" si="41"/>
        <v>#DIV/0!</v>
      </c>
      <c r="X239" s="95" t="e">
        <f t="shared" si="41"/>
        <v>#DIV/0!</v>
      </c>
      <c r="Y239" s="95" t="e">
        <f t="shared" si="41"/>
        <v>#DIV/0!</v>
      </c>
      <c r="Z239" s="95" t="e">
        <f t="shared" si="41"/>
        <v>#DIV/0!</v>
      </c>
      <c r="AA239" s="95" t="e">
        <f t="shared" si="41"/>
        <v>#DIV/0!</v>
      </c>
      <c r="AB239" s="95" t="e">
        <f t="shared" si="41"/>
        <v>#DIV/0!</v>
      </c>
      <c r="AC239" s="95" t="e">
        <f t="shared" si="41"/>
        <v>#DIV/0!</v>
      </c>
      <c r="AD239" s="95" t="e">
        <f t="shared" si="41"/>
        <v>#DIV/0!</v>
      </c>
      <c r="AE239" s="95" t="e">
        <f t="shared" si="41"/>
        <v>#DIV/0!</v>
      </c>
      <c r="AF239" s="95" t="e">
        <f t="shared" si="41"/>
        <v>#DIV/0!</v>
      </c>
    </row>
    <row r="241" spans="1:32">
      <c r="A241" s="325" t="s">
        <v>0</v>
      </c>
      <c r="B241" s="325"/>
      <c r="C241" s="325"/>
      <c r="D241" s="325"/>
      <c r="E241" s="325"/>
      <c r="F241" s="325"/>
      <c r="G241" s="325"/>
      <c r="H241" s="325"/>
      <c r="I241" s="325"/>
      <c r="J241" s="325"/>
      <c r="K241" s="325"/>
      <c r="L241" s="325"/>
      <c r="M241" s="325"/>
      <c r="N241" s="325"/>
      <c r="O241" s="325"/>
      <c r="P241" s="325"/>
      <c r="Q241" s="325"/>
      <c r="R241" s="325"/>
      <c r="S241" s="325"/>
      <c r="T241" s="325"/>
      <c r="U241" s="325"/>
      <c r="V241" s="325"/>
      <c r="W241" s="325"/>
      <c r="X241" s="325"/>
      <c r="Y241" s="325"/>
      <c r="Z241" s="325"/>
      <c r="AA241" s="325"/>
      <c r="AB241" s="325"/>
      <c r="AC241" s="325"/>
      <c r="AD241" s="325"/>
      <c r="AE241" s="325"/>
      <c r="AF241" s="325"/>
    </row>
    <row r="242" spans="1:32">
      <c r="A242" s="325" t="s">
        <v>106</v>
      </c>
      <c r="B242" s="325"/>
      <c r="C242" s="325"/>
      <c r="D242" s="325"/>
      <c r="E242" s="325"/>
      <c r="F242" s="325"/>
      <c r="G242" s="325"/>
      <c r="H242" s="325"/>
      <c r="I242" s="325"/>
      <c r="J242" s="325"/>
      <c r="K242" s="325"/>
      <c r="L242" s="325"/>
      <c r="M242" s="325"/>
      <c r="N242" s="325"/>
      <c r="O242" s="325"/>
      <c r="P242" s="325"/>
      <c r="Q242" s="325"/>
      <c r="R242" s="325"/>
      <c r="S242" s="325"/>
      <c r="T242" s="325"/>
      <c r="U242" s="325"/>
      <c r="V242" s="325"/>
      <c r="W242" s="325"/>
      <c r="X242" s="325"/>
      <c r="Y242" s="325"/>
      <c r="Z242" s="325"/>
      <c r="AA242" s="325"/>
      <c r="AB242" s="325"/>
      <c r="AC242" s="325" t="s">
        <v>107</v>
      </c>
      <c r="AD242" s="325"/>
      <c r="AE242" s="326">
        <v>46174</v>
      </c>
      <c r="AF242" s="326"/>
    </row>
    <row r="243" spans="1:32">
      <c r="A243" s="327"/>
      <c r="B243" s="327"/>
      <c r="C243" s="328" t="s">
        <v>108</v>
      </c>
      <c r="D243" s="328"/>
      <c r="E243" s="328"/>
      <c r="F243" s="328"/>
      <c r="G243" s="328"/>
      <c r="H243" s="328"/>
      <c r="I243" s="328"/>
      <c r="J243" s="328"/>
      <c r="K243" s="328"/>
      <c r="L243" s="328"/>
      <c r="M243" s="328"/>
      <c r="N243" s="328"/>
      <c r="O243" s="328"/>
      <c r="P243" s="328"/>
      <c r="Q243" s="329" t="s">
        <v>109</v>
      </c>
      <c r="R243" s="329"/>
      <c r="S243" s="329"/>
      <c r="T243" s="329"/>
      <c r="U243" s="329"/>
      <c r="V243" s="329"/>
      <c r="W243" s="329"/>
      <c r="X243" s="329"/>
      <c r="Y243" s="329"/>
      <c r="Z243" s="329"/>
      <c r="AA243" s="329"/>
      <c r="AB243" s="329"/>
      <c r="AC243" s="329"/>
      <c r="AD243" s="329"/>
      <c r="AE243" s="329"/>
      <c r="AF243" s="329"/>
    </row>
    <row r="244" spans="1:32" ht="38.25">
      <c r="A244" s="5" t="s">
        <v>110</v>
      </c>
      <c r="B244" s="5" t="s">
        <v>111</v>
      </c>
      <c r="C244" s="64" t="s">
        <v>83</v>
      </c>
      <c r="D244" s="64" t="s">
        <v>81</v>
      </c>
      <c r="E244" s="89" t="s">
        <v>112</v>
      </c>
      <c r="F244" s="64" t="s">
        <v>113</v>
      </c>
      <c r="G244" s="89" t="s">
        <v>114</v>
      </c>
      <c r="H244" s="89" t="s">
        <v>115</v>
      </c>
      <c r="I244" s="64" t="s">
        <v>116</v>
      </c>
      <c r="J244" s="64" t="s">
        <v>117</v>
      </c>
      <c r="K244" s="64" t="s">
        <v>118</v>
      </c>
      <c r="L244" s="64" t="s">
        <v>119</v>
      </c>
      <c r="M244" s="64" t="s">
        <v>9</v>
      </c>
      <c r="N244" s="64" t="s">
        <v>120</v>
      </c>
      <c r="O244" s="64" t="s">
        <v>121</v>
      </c>
      <c r="P244" s="64" t="s">
        <v>122</v>
      </c>
      <c r="Q244" s="64" t="s">
        <v>74</v>
      </c>
      <c r="R244" s="64" t="s">
        <v>75</v>
      </c>
      <c r="S244" s="64" t="s">
        <v>76</v>
      </c>
      <c r="T244" s="64" t="s">
        <v>77</v>
      </c>
      <c r="U244" s="64" t="s">
        <v>78</v>
      </c>
      <c r="V244" s="64" t="s">
        <v>81</v>
      </c>
      <c r="W244" s="89" t="s">
        <v>123</v>
      </c>
      <c r="X244" s="64" t="s">
        <v>100</v>
      </c>
      <c r="Y244" s="64" t="s">
        <v>87</v>
      </c>
      <c r="Z244" s="64" t="s">
        <v>88</v>
      </c>
      <c r="AA244" s="64" t="s">
        <v>89</v>
      </c>
      <c r="AB244" s="64" t="s">
        <v>101</v>
      </c>
      <c r="AC244" s="64" t="s">
        <v>102</v>
      </c>
      <c r="AD244" s="64" t="s">
        <v>103</v>
      </c>
      <c r="AE244" s="64" t="s">
        <v>104</v>
      </c>
      <c r="AF244" s="64" t="s">
        <v>105</v>
      </c>
    </row>
    <row r="245" spans="1:32">
      <c r="A245" s="322" t="s">
        <v>124</v>
      </c>
      <c r="B245" s="323"/>
      <c r="C245" s="64" t="s">
        <v>53</v>
      </c>
      <c r="D245" s="64" t="s">
        <v>53</v>
      </c>
      <c r="E245" s="64" t="s">
        <v>125</v>
      </c>
      <c r="F245" s="64" t="s">
        <v>53</v>
      </c>
      <c r="G245" s="64" t="s">
        <v>126</v>
      </c>
      <c r="H245" s="64" t="s">
        <v>126</v>
      </c>
      <c r="I245" s="64" t="s">
        <v>53</v>
      </c>
      <c r="J245" s="64" t="s">
        <v>53</v>
      </c>
      <c r="K245" s="64" t="s">
        <v>53</v>
      </c>
      <c r="L245" s="64" t="s">
        <v>127</v>
      </c>
      <c r="M245" s="64" t="s">
        <v>128</v>
      </c>
      <c r="N245" s="64" t="s">
        <v>128</v>
      </c>
      <c r="O245" s="64" t="s">
        <v>128</v>
      </c>
      <c r="P245" s="64" t="s">
        <v>128</v>
      </c>
      <c r="Q245" s="64" t="s">
        <v>53</v>
      </c>
      <c r="R245" s="64" t="s">
        <v>53</v>
      </c>
      <c r="S245" s="64" t="s">
        <v>53</v>
      </c>
      <c r="T245" s="64" t="s">
        <v>53</v>
      </c>
      <c r="U245" s="64" t="s">
        <v>53</v>
      </c>
      <c r="V245" s="64" t="s">
        <v>53</v>
      </c>
      <c r="W245" s="64" t="s">
        <v>129</v>
      </c>
      <c r="X245" s="64" t="s">
        <v>53</v>
      </c>
      <c r="Y245" s="64" t="s">
        <v>53</v>
      </c>
      <c r="Z245" s="64" t="s">
        <v>53</v>
      </c>
      <c r="AA245" s="64" t="s">
        <v>53</v>
      </c>
      <c r="AB245" s="64" t="s">
        <v>53</v>
      </c>
      <c r="AC245" s="64" t="s">
        <v>53</v>
      </c>
      <c r="AD245" s="64" t="s">
        <v>53</v>
      </c>
      <c r="AE245" s="64" t="s">
        <v>53</v>
      </c>
      <c r="AF245" s="64" t="s">
        <v>53</v>
      </c>
    </row>
    <row r="246" spans="1:32">
      <c r="A246" s="90">
        <f>AE242+0</f>
        <v>46174</v>
      </c>
      <c r="B246" s="90">
        <f>A246+1</f>
        <v>46175</v>
      </c>
      <c r="C246" s="80"/>
      <c r="D246" s="80"/>
      <c r="E246" s="72"/>
      <c r="F246" s="80"/>
      <c r="G246" s="72"/>
      <c r="H246" s="72"/>
      <c r="I246" s="80"/>
      <c r="J246" s="80"/>
      <c r="K246" s="80"/>
      <c r="L246" s="80"/>
      <c r="M246" s="80"/>
      <c r="N246" s="97"/>
      <c r="O246" s="97"/>
      <c r="P246" s="97"/>
      <c r="Q246" s="92"/>
      <c r="R246" s="92"/>
      <c r="S246" s="92"/>
      <c r="T246" s="92"/>
      <c r="U246" s="92"/>
      <c r="V246" s="92"/>
      <c r="W246" s="99"/>
      <c r="X246" s="92"/>
      <c r="Y246" s="92"/>
      <c r="Z246" s="92"/>
      <c r="AA246" s="92"/>
      <c r="AB246" s="92"/>
      <c r="AC246" s="92"/>
      <c r="AD246" s="100"/>
      <c r="AE246" s="92"/>
      <c r="AF246" s="92"/>
    </row>
    <row r="247" spans="1:32">
      <c r="A247" s="90">
        <f t="shared" ref="A247:A274" si="42">A246+1</f>
        <v>46175</v>
      </c>
      <c r="B247" s="90">
        <f t="shared" ref="B247:B274" si="43">A247+1</f>
        <v>46176</v>
      </c>
      <c r="C247" s="80"/>
      <c r="D247" s="80"/>
      <c r="E247" s="72"/>
      <c r="F247" s="80"/>
      <c r="G247" s="72"/>
      <c r="H247" s="72"/>
      <c r="I247" s="80"/>
      <c r="J247" s="80"/>
      <c r="K247" s="80"/>
      <c r="L247" s="80"/>
      <c r="M247" s="80"/>
      <c r="N247" s="97"/>
      <c r="O247" s="97"/>
      <c r="P247" s="97"/>
      <c r="Q247" s="92"/>
      <c r="R247" s="92"/>
      <c r="S247" s="92"/>
      <c r="T247" s="92"/>
      <c r="U247" s="92"/>
      <c r="V247" s="92"/>
      <c r="W247" s="99"/>
      <c r="X247" s="92"/>
      <c r="Y247" s="92"/>
      <c r="Z247" s="92"/>
      <c r="AA247" s="92"/>
      <c r="AB247" s="92"/>
      <c r="AC247" s="92"/>
      <c r="AD247" s="100"/>
      <c r="AE247" s="92"/>
      <c r="AF247" s="92"/>
    </row>
    <row r="248" spans="1:32">
      <c r="A248" s="90">
        <f t="shared" si="42"/>
        <v>46176</v>
      </c>
      <c r="B248" s="90">
        <f t="shared" si="43"/>
        <v>46177</v>
      </c>
      <c r="C248" s="80"/>
      <c r="D248" s="80"/>
      <c r="E248" s="72"/>
      <c r="F248" s="80"/>
      <c r="G248" s="72"/>
      <c r="H248" s="72"/>
      <c r="I248" s="80"/>
      <c r="J248" s="80"/>
      <c r="K248" s="80"/>
      <c r="L248" s="80"/>
      <c r="M248" s="80"/>
      <c r="N248" s="97"/>
      <c r="O248" s="97"/>
      <c r="P248" s="97"/>
      <c r="Q248" s="92"/>
      <c r="R248" s="92"/>
      <c r="S248" s="92"/>
      <c r="T248" s="92"/>
      <c r="U248" s="92"/>
      <c r="V248" s="92"/>
      <c r="W248" s="99"/>
      <c r="X248" s="92"/>
      <c r="Y248" s="92"/>
      <c r="Z248" s="92"/>
      <c r="AA248" s="92"/>
      <c r="AB248" s="92"/>
      <c r="AC248" s="92"/>
      <c r="AD248" s="100"/>
      <c r="AE248" s="92"/>
      <c r="AF248" s="92"/>
    </row>
    <row r="249" spans="1:32">
      <c r="A249" s="90">
        <f t="shared" si="42"/>
        <v>46177</v>
      </c>
      <c r="B249" s="90">
        <f t="shared" si="43"/>
        <v>46178</v>
      </c>
      <c r="C249" s="80"/>
      <c r="D249" s="80"/>
      <c r="E249" s="72"/>
      <c r="F249" s="80"/>
      <c r="G249" s="72"/>
      <c r="H249" s="72"/>
      <c r="I249" s="80"/>
      <c r="J249" s="80"/>
      <c r="K249" s="80"/>
      <c r="L249" s="80"/>
      <c r="M249" s="80"/>
      <c r="N249" s="97"/>
      <c r="O249" s="97"/>
      <c r="P249" s="97"/>
      <c r="Q249" s="92"/>
      <c r="R249" s="92"/>
      <c r="S249" s="92"/>
      <c r="T249" s="92"/>
      <c r="U249" s="92"/>
      <c r="V249" s="92"/>
      <c r="W249" s="99"/>
      <c r="X249" s="92"/>
      <c r="Y249" s="92"/>
      <c r="Z249" s="92"/>
      <c r="AA249" s="92"/>
      <c r="AB249" s="92"/>
      <c r="AC249" s="92"/>
      <c r="AD249" s="100"/>
      <c r="AE249" s="92"/>
      <c r="AF249" s="92"/>
    </row>
    <row r="250" spans="1:32">
      <c r="A250" s="90">
        <f t="shared" si="42"/>
        <v>46178</v>
      </c>
      <c r="B250" s="90">
        <f t="shared" si="43"/>
        <v>46179</v>
      </c>
      <c r="C250" s="80"/>
      <c r="D250" s="80"/>
      <c r="E250" s="72"/>
      <c r="F250" s="80"/>
      <c r="G250" s="72"/>
      <c r="H250" s="72"/>
      <c r="I250" s="80"/>
      <c r="J250" s="80"/>
      <c r="K250" s="80"/>
      <c r="L250" s="80"/>
      <c r="M250" s="80"/>
      <c r="N250" s="97"/>
      <c r="O250" s="97"/>
      <c r="P250" s="97"/>
      <c r="Q250" s="92"/>
      <c r="R250" s="92"/>
      <c r="S250" s="92"/>
      <c r="T250" s="92"/>
      <c r="U250" s="92"/>
      <c r="V250" s="92"/>
      <c r="W250" s="99"/>
      <c r="X250" s="92"/>
      <c r="Y250" s="92"/>
      <c r="Z250" s="92"/>
      <c r="AA250" s="92"/>
      <c r="AB250" s="92"/>
      <c r="AC250" s="92"/>
      <c r="AD250" s="100"/>
      <c r="AE250" s="92"/>
      <c r="AF250" s="92"/>
    </row>
    <row r="251" spans="1:32">
      <c r="A251" s="90">
        <f t="shared" si="42"/>
        <v>46179</v>
      </c>
      <c r="B251" s="90">
        <f t="shared" si="43"/>
        <v>46180</v>
      </c>
      <c r="C251" s="80"/>
      <c r="D251" s="80"/>
      <c r="E251" s="72"/>
      <c r="F251" s="80"/>
      <c r="G251" s="91"/>
      <c r="H251" s="72"/>
      <c r="I251" s="80"/>
      <c r="J251" s="80"/>
      <c r="K251" s="80"/>
      <c r="L251" s="80"/>
      <c r="M251" s="80"/>
      <c r="N251" s="97"/>
      <c r="O251" s="97"/>
      <c r="P251" s="97"/>
      <c r="Q251" s="92"/>
      <c r="R251" s="92"/>
      <c r="S251" s="92"/>
      <c r="T251" s="92"/>
      <c r="U251" s="92"/>
      <c r="V251" s="92"/>
      <c r="W251" s="99"/>
      <c r="X251" s="92"/>
      <c r="Y251" s="92"/>
      <c r="Z251" s="92"/>
      <c r="AA251" s="92"/>
      <c r="AB251" s="92"/>
      <c r="AC251" s="92"/>
      <c r="AD251" s="100"/>
      <c r="AE251" s="92"/>
      <c r="AF251" s="92"/>
    </row>
    <row r="252" spans="1:32">
      <c r="A252" s="90">
        <f t="shared" si="42"/>
        <v>46180</v>
      </c>
      <c r="B252" s="90">
        <f t="shared" si="43"/>
        <v>46181</v>
      </c>
      <c r="C252" s="80"/>
      <c r="D252" s="80"/>
      <c r="E252" s="72"/>
      <c r="F252" s="80"/>
      <c r="G252" s="72"/>
      <c r="H252" s="72"/>
      <c r="I252" s="80"/>
      <c r="J252" s="80"/>
      <c r="K252" s="80"/>
      <c r="L252" s="80"/>
      <c r="M252" s="80"/>
      <c r="N252" s="97"/>
      <c r="O252" s="97"/>
      <c r="P252" s="97"/>
      <c r="Q252" s="92"/>
      <c r="R252" s="92"/>
      <c r="S252" s="92"/>
      <c r="T252" s="92"/>
      <c r="U252" s="92"/>
      <c r="V252" s="92"/>
      <c r="W252" s="93"/>
      <c r="X252" s="92"/>
      <c r="Y252" s="92"/>
      <c r="Z252" s="100"/>
      <c r="AA252" s="92"/>
      <c r="AB252" s="92"/>
      <c r="AC252" s="101"/>
      <c r="AD252" s="101"/>
      <c r="AE252" s="101"/>
      <c r="AF252" s="92"/>
    </row>
    <row r="253" spans="1:32">
      <c r="A253" s="90">
        <f t="shared" si="42"/>
        <v>46181</v>
      </c>
      <c r="B253" s="90">
        <f t="shared" si="43"/>
        <v>46182</v>
      </c>
      <c r="C253" s="80"/>
      <c r="D253" s="80"/>
      <c r="E253" s="72"/>
      <c r="F253" s="80"/>
      <c r="G253" s="72"/>
      <c r="H253" s="72"/>
      <c r="I253" s="80"/>
      <c r="J253" s="80"/>
      <c r="K253" s="80"/>
      <c r="L253" s="80"/>
      <c r="M253" s="80"/>
      <c r="N253" s="97"/>
      <c r="O253" s="97"/>
      <c r="P253" s="97"/>
      <c r="Q253" s="92"/>
      <c r="R253" s="92"/>
      <c r="S253" s="92"/>
      <c r="T253" s="92"/>
      <c r="U253" s="92"/>
      <c r="V253" s="92"/>
      <c r="W253" s="99"/>
      <c r="X253" s="92"/>
      <c r="Y253" s="92"/>
      <c r="Z253" s="92"/>
      <c r="AA253" s="92"/>
      <c r="AB253" s="92"/>
      <c r="AC253" s="92"/>
      <c r="AD253" s="100"/>
      <c r="AE253" s="92"/>
      <c r="AF253" s="92"/>
    </row>
    <row r="254" spans="1:32">
      <c r="A254" s="90">
        <f t="shared" si="42"/>
        <v>46182</v>
      </c>
      <c r="B254" s="90">
        <f t="shared" si="43"/>
        <v>46183</v>
      </c>
      <c r="C254" s="80"/>
      <c r="D254" s="92"/>
      <c r="E254" s="72"/>
      <c r="F254" s="80"/>
      <c r="G254" s="72"/>
      <c r="H254" s="72"/>
      <c r="I254" s="80"/>
      <c r="J254" s="80"/>
      <c r="K254" s="80"/>
      <c r="L254" s="80"/>
      <c r="M254" s="80"/>
      <c r="N254" s="97"/>
      <c r="O254" s="97"/>
      <c r="P254" s="97"/>
      <c r="Q254" s="92"/>
      <c r="R254" s="92"/>
      <c r="S254" s="92"/>
      <c r="T254" s="92"/>
      <c r="U254" s="92"/>
      <c r="V254" s="92"/>
      <c r="W254" s="99"/>
      <c r="X254" s="92"/>
      <c r="Y254" s="92"/>
      <c r="Z254" s="92"/>
      <c r="AA254" s="92"/>
      <c r="AB254" s="92"/>
      <c r="AC254" s="92"/>
      <c r="AD254" s="100"/>
      <c r="AE254" s="92"/>
      <c r="AF254" s="92"/>
    </row>
    <row r="255" spans="1:32">
      <c r="A255" s="90">
        <f t="shared" si="42"/>
        <v>46183</v>
      </c>
      <c r="B255" s="90">
        <f t="shared" si="43"/>
        <v>46184</v>
      </c>
      <c r="C255" s="92"/>
      <c r="D255" s="92"/>
      <c r="E255" s="72"/>
      <c r="F255" s="80"/>
      <c r="G255" s="72"/>
      <c r="H255" s="72"/>
      <c r="I255" s="80"/>
      <c r="J255" s="80"/>
      <c r="K255" s="80"/>
      <c r="L255" s="80"/>
      <c r="M255" s="80"/>
      <c r="N255" s="97"/>
      <c r="O255" s="97"/>
      <c r="P255" s="97"/>
      <c r="Q255" s="92"/>
      <c r="R255" s="92"/>
      <c r="S255" s="92"/>
      <c r="T255" s="92"/>
      <c r="U255" s="92"/>
      <c r="V255" s="92"/>
      <c r="W255" s="99"/>
      <c r="X255" s="92"/>
      <c r="Y255" s="92"/>
      <c r="Z255" s="92"/>
      <c r="AA255" s="92"/>
      <c r="AB255" s="92"/>
      <c r="AC255" s="92"/>
      <c r="AD255" s="100"/>
      <c r="AE255" s="92"/>
      <c r="AF255" s="92"/>
    </row>
    <row r="256" spans="1:32">
      <c r="A256" s="90">
        <f t="shared" si="42"/>
        <v>46184</v>
      </c>
      <c r="B256" s="90">
        <f t="shared" si="43"/>
        <v>46185</v>
      </c>
      <c r="C256" s="92"/>
      <c r="D256" s="92"/>
      <c r="E256" s="72"/>
      <c r="F256" s="80"/>
      <c r="G256" s="72"/>
      <c r="H256" s="72"/>
      <c r="I256" s="80"/>
      <c r="J256" s="80"/>
      <c r="K256" s="80"/>
      <c r="L256" s="80"/>
      <c r="M256" s="80"/>
      <c r="N256" s="97"/>
      <c r="O256" s="97"/>
      <c r="P256" s="97"/>
      <c r="Q256" s="92"/>
      <c r="R256" s="92"/>
      <c r="S256" s="92"/>
      <c r="T256" s="92"/>
      <c r="U256" s="92"/>
      <c r="V256" s="92"/>
      <c r="W256" s="93"/>
      <c r="X256" s="92"/>
      <c r="Y256" s="92"/>
      <c r="Z256" s="92"/>
      <c r="AA256" s="92"/>
      <c r="AB256" s="92"/>
      <c r="AC256" s="92"/>
      <c r="AD256" s="92"/>
      <c r="AE256" s="92"/>
      <c r="AF256" s="92"/>
    </row>
    <row r="257" spans="1:32">
      <c r="A257" s="90">
        <f t="shared" si="42"/>
        <v>46185</v>
      </c>
      <c r="B257" s="90">
        <f t="shared" si="43"/>
        <v>46186</v>
      </c>
      <c r="C257" s="92"/>
      <c r="D257" s="92"/>
      <c r="E257" s="72"/>
      <c r="F257" s="80"/>
      <c r="G257" s="72"/>
      <c r="H257" s="72"/>
      <c r="I257" s="80"/>
      <c r="J257" s="80"/>
      <c r="K257" s="80"/>
      <c r="L257" s="80"/>
      <c r="M257" s="80"/>
      <c r="N257" s="97"/>
      <c r="O257" s="97"/>
      <c r="P257" s="97"/>
      <c r="Q257" s="92"/>
      <c r="R257" s="92"/>
      <c r="S257" s="92"/>
      <c r="T257" s="92"/>
      <c r="U257" s="92"/>
      <c r="V257" s="92"/>
      <c r="W257" s="99"/>
      <c r="X257" s="92"/>
      <c r="Y257" s="92"/>
      <c r="Z257" s="92"/>
      <c r="AA257" s="92"/>
      <c r="AB257" s="92"/>
      <c r="AC257" s="92"/>
      <c r="AD257" s="100"/>
      <c r="AE257" s="92"/>
      <c r="AF257" s="92"/>
    </row>
    <row r="258" spans="1:32">
      <c r="A258" s="90">
        <f t="shared" si="42"/>
        <v>46186</v>
      </c>
      <c r="B258" s="90">
        <f t="shared" si="43"/>
        <v>46187</v>
      </c>
      <c r="C258" s="92"/>
      <c r="D258" s="92"/>
      <c r="E258" s="72"/>
      <c r="F258" s="80"/>
      <c r="G258" s="72"/>
      <c r="H258" s="72"/>
      <c r="I258" s="80"/>
      <c r="J258" s="80"/>
      <c r="K258" s="80"/>
      <c r="L258" s="80"/>
      <c r="M258" s="80"/>
      <c r="N258" s="97"/>
      <c r="O258" s="97"/>
      <c r="P258" s="97"/>
      <c r="Q258" s="92"/>
      <c r="R258" s="92"/>
      <c r="S258" s="92"/>
      <c r="T258" s="92"/>
      <c r="U258" s="92"/>
      <c r="V258" s="92"/>
      <c r="W258" s="99"/>
      <c r="X258" s="92"/>
      <c r="Y258" s="92"/>
      <c r="Z258" s="92"/>
      <c r="AA258" s="92"/>
      <c r="AB258" s="92"/>
      <c r="AC258" s="92"/>
      <c r="AD258" s="100"/>
      <c r="AE258" s="92"/>
      <c r="AF258" s="92"/>
    </row>
    <row r="259" spans="1:32">
      <c r="A259" s="90">
        <f t="shared" si="42"/>
        <v>46187</v>
      </c>
      <c r="B259" s="90">
        <f t="shared" si="43"/>
        <v>46188</v>
      </c>
      <c r="C259" s="92"/>
      <c r="D259" s="92"/>
      <c r="E259" s="72"/>
      <c r="F259" s="80"/>
      <c r="G259" s="72"/>
      <c r="H259" s="72"/>
      <c r="I259" s="80"/>
      <c r="J259" s="80"/>
      <c r="K259" s="80"/>
      <c r="L259" s="80"/>
      <c r="M259" s="80"/>
      <c r="N259" s="97"/>
      <c r="O259" s="97"/>
      <c r="P259" s="97"/>
      <c r="Q259" s="92"/>
      <c r="R259" s="92"/>
      <c r="S259" s="92"/>
      <c r="T259" s="92"/>
      <c r="U259" s="92"/>
      <c r="V259" s="92"/>
      <c r="W259" s="93"/>
      <c r="X259" s="92"/>
      <c r="Y259" s="92"/>
      <c r="Z259" s="100"/>
      <c r="AA259" s="92"/>
      <c r="AB259" s="92"/>
      <c r="AC259" s="101"/>
      <c r="AD259" s="92"/>
      <c r="AE259" s="101"/>
      <c r="AF259" s="92"/>
    </row>
    <row r="260" spans="1:32">
      <c r="A260" s="90">
        <f t="shared" si="42"/>
        <v>46188</v>
      </c>
      <c r="B260" s="90">
        <f t="shared" si="43"/>
        <v>46189</v>
      </c>
      <c r="C260" s="80"/>
      <c r="D260" s="80"/>
      <c r="E260" s="72"/>
      <c r="F260" s="80"/>
      <c r="G260" s="72"/>
      <c r="H260" s="72"/>
      <c r="I260" s="80"/>
      <c r="J260" s="80"/>
      <c r="K260" s="80"/>
      <c r="L260" s="80"/>
      <c r="M260" s="80"/>
      <c r="N260" s="97"/>
      <c r="O260" s="97"/>
      <c r="P260" s="97"/>
      <c r="Q260" s="92"/>
      <c r="R260" s="92"/>
      <c r="S260" s="92"/>
      <c r="T260" s="92"/>
      <c r="U260" s="92"/>
      <c r="V260" s="92"/>
      <c r="W260" s="99"/>
      <c r="X260" s="92"/>
      <c r="Y260" s="92"/>
      <c r="Z260" s="92"/>
      <c r="AA260" s="92"/>
      <c r="AB260" s="92"/>
      <c r="AC260" s="92"/>
      <c r="AD260" s="100"/>
      <c r="AE260" s="92"/>
      <c r="AF260" s="92"/>
    </row>
    <row r="261" spans="1:32">
      <c r="A261" s="90">
        <f t="shared" si="42"/>
        <v>46189</v>
      </c>
      <c r="B261" s="90">
        <f t="shared" si="43"/>
        <v>46190</v>
      </c>
      <c r="C261" s="92"/>
      <c r="D261" s="92"/>
      <c r="E261" s="72"/>
      <c r="F261" s="80"/>
      <c r="G261" s="72"/>
      <c r="H261" s="72"/>
      <c r="I261" s="80"/>
      <c r="J261" s="80"/>
      <c r="K261" s="80"/>
      <c r="L261" s="80"/>
      <c r="M261" s="80"/>
      <c r="N261" s="97"/>
      <c r="O261" s="97"/>
      <c r="P261" s="97"/>
      <c r="Q261" s="92"/>
      <c r="R261" s="92"/>
      <c r="S261" s="92"/>
      <c r="T261" s="92"/>
      <c r="U261" s="92"/>
      <c r="V261" s="92"/>
      <c r="W261" s="99"/>
      <c r="X261" s="92"/>
      <c r="Y261" s="92"/>
      <c r="Z261" s="92"/>
      <c r="AA261" s="92"/>
      <c r="AB261" s="92"/>
      <c r="AC261" s="92"/>
      <c r="AD261" s="100"/>
      <c r="AE261" s="92"/>
      <c r="AF261" s="92"/>
    </row>
    <row r="262" spans="1:32">
      <c r="A262" s="90">
        <f t="shared" si="42"/>
        <v>46190</v>
      </c>
      <c r="B262" s="90">
        <f t="shared" si="43"/>
        <v>46191</v>
      </c>
      <c r="C262" s="92"/>
      <c r="D262" s="92"/>
      <c r="E262" s="72"/>
      <c r="F262" s="80"/>
      <c r="G262" s="72"/>
      <c r="H262" s="72"/>
      <c r="I262" s="80"/>
      <c r="J262" s="80"/>
      <c r="K262" s="80"/>
      <c r="L262" s="80"/>
      <c r="M262" s="80"/>
      <c r="N262" s="97"/>
      <c r="O262" s="97"/>
      <c r="P262" s="97"/>
      <c r="Q262" s="92"/>
      <c r="R262" s="92"/>
      <c r="S262" s="92"/>
      <c r="T262" s="92"/>
      <c r="U262" s="92"/>
      <c r="V262" s="92"/>
      <c r="W262" s="99"/>
      <c r="X262" s="92"/>
      <c r="Y262" s="92"/>
      <c r="Z262" s="92"/>
      <c r="AA262" s="92"/>
      <c r="AB262" s="92"/>
      <c r="AC262" s="92"/>
      <c r="AD262" s="100"/>
      <c r="AE262" s="92"/>
      <c r="AF262" s="92"/>
    </row>
    <row r="263" spans="1:32">
      <c r="A263" s="90">
        <f t="shared" si="42"/>
        <v>46191</v>
      </c>
      <c r="B263" s="90">
        <f t="shared" si="43"/>
        <v>46192</v>
      </c>
      <c r="C263" s="92"/>
      <c r="D263" s="92"/>
      <c r="E263" s="72"/>
      <c r="F263" s="80"/>
      <c r="G263" s="72"/>
      <c r="H263" s="72"/>
      <c r="I263" s="80"/>
      <c r="J263" s="80"/>
      <c r="K263" s="80"/>
      <c r="L263" s="80"/>
      <c r="M263" s="80"/>
      <c r="N263" s="97"/>
      <c r="O263" s="97"/>
      <c r="P263" s="97"/>
      <c r="Q263" s="92"/>
      <c r="R263" s="92"/>
      <c r="S263" s="92"/>
      <c r="T263" s="92"/>
      <c r="U263" s="92"/>
      <c r="V263" s="92"/>
      <c r="W263" s="99"/>
      <c r="X263" s="92"/>
      <c r="Y263" s="92"/>
      <c r="Z263" s="92"/>
      <c r="AA263" s="92"/>
      <c r="AB263" s="92"/>
      <c r="AC263" s="92"/>
      <c r="AD263" s="100"/>
      <c r="AE263" s="92"/>
      <c r="AF263" s="92"/>
    </row>
    <row r="264" spans="1:32">
      <c r="A264" s="90">
        <f t="shared" si="42"/>
        <v>46192</v>
      </c>
      <c r="B264" s="90">
        <f t="shared" si="43"/>
        <v>46193</v>
      </c>
      <c r="C264" s="92"/>
      <c r="D264" s="92"/>
      <c r="E264" s="93"/>
      <c r="F264" s="92"/>
      <c r="G264" s="93"/>
      <c r="H264" s="93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9"/>
      <c r="X264" s="92"/>
      <c r="Y264" s="92"/>
      <c r="Z264" s="92"/>
      <c r="AA264" s="92"/>
      <c r="AB264" s="92"/>
      <c r="AC264" s="92"/>
      <c r="AD264" s="100"/>
      <c r="AE264" s="92"/>
      <c r="AF264" s="92"/>
    </row>
    <row r="265" spans="1:32">
      <c r="A265" s="90">
        <f t="shared" si="42"/>
        <v>46193</v>
      </c>
      <c r="B265" s="90">
        <f t="shared" si="43"/>
        <v>46194</v>
      </c>
      <c r="C265" s="92"/>
      <c r="D265" s="92"/>
      <c r="E265" s="93"/>
      <c r="F265" s="92"/>
      <c r="G265" s="93"/>
      <c r="H265" s="93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9"/>
      <c r="X265" s="92"/>
      <c r="Y265" s="92"/>
      <c r="Z265" s="92"/>
      <c r="AA265" s="92"/>
      <c r="AB265" s="92"/>
      <c r="AC265" s="92"/>
      <c r="AD265" s="100"/>
      <c r="AE265" s="92"/>
      <c r="AF265" s="92"/>
    </row>
    <row r="266" spans="1:32">
      <c r="A266" s="90">
        <f t="shared" si="42"/>
        <v>46194</v>
      </c>
      <c r="B266" s="90">
        <f t="shared" si="43"/>
        <v>46195</v>
      </c>
      <c r="C266" s="92"/>
      <c r="D266" s="92"/>
      <c r="E266" s="93"/>
      <c r="F266" s="92"/>
      <c r="G266" s="93"/>
      <c r="H266" s="93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9"/>
      <c r="X266" s="92"/>
      <c r="Y266" s="92"/>
      <c r="Z266" s="92"/>
      <c r="AA266" s="92"/>
      <c r="AB266" s="92"/>
      <c r="AC266" s="92"/>
      <c r="AD266" s="100"/>
      <c r="AE266" s="92"/>
      <c r="AF266" s="92"/>
    </row>
    <row r="267" spans="1:32">
      <c r="A267" s="90">
        <f t="shared" si="42"/>
        <v>46195</v>
      </c>
      <c r="B267" s="90">
        <f t="shared" si="43"/>
        <v>46196</v>
      </c>
      <c r="C267" s="94"/>
      <c r="D267" s="92"/>
      <c r="E267" s="72"/>
      <c r="F267" s="80"/>
      <c r="G267" s="72"/>
      <c r="H267" s="72"/>
      <c r="I267" s="80"/>
      <c r="J267" s="80"/>
      <c r="K267" s="80"/>
      <c r="L267" s="98"/>
      <c r="M267" s="80"/>
      <c r="N267" s="97"/>
      <c r="O267" s="97"/>
      <c r="P267" s="97"/>
      <c r="Q267" s="92"/>
      <c r="R267" s="92"/>
      <c r="S267" s="92"/>
      <c r="T267" s="92"/>
      <c r="U267" s="92"/>
      <c r="V267" s="92"/>
      <c r="W267" s="93"/>
      <c r="X267" s="92"/>
      <c r="Y267" s="92"/>
      <c r="Z267" s="92"/>
      <c r="AA267" s="92"/>
      <c r="AB267" s="92"/>
      <c r="AC267" s="92"/>
      <c r="AD267" s="92"/>
      <c r="AE267" s="92"/>
      <c r="AF267" s="92"/>
    </row>
    <row r="268" spans="1:32">
      <c r="A268" s="90">
        <f t="shared" si="42"/>
        <v>46196</v>
      </c>
      <c r="B268" s="90">
        <f t="shared" si="43"/>
        <v>46197</v>
      </c>
      <c r="C268" s="92"/>
      <c r="D268" s="92"/>
      <c r="E268" s="93"/>
      <c r="F268" s="92"/>
      <c r="G268" s="93"/>
      <c r="H268" s="93"/>
      <c r="I268" s="92"/>
      <c r="J268" s="92"/>
      <c r="K268" s="92"/>
      <c r="L268" s="92"/>
      <c r="M268" s="92"/>
      <c r="N268" s="94"/>
      <c r="O268" s="94"/>
      <c r="P268" s="94"/>
      <c r="Q268" s="92"/>
      <c r="R268" s="92"/>
      <c r="S268" s="92"/>
      <c r="T268" s="92"/>
      <c r="U268" s="92"/>
      <c r="V268" s="92"/>
      <c r="W268" s="93"/>
      <c r="X268" s="92"/>
      <c r="Y268" s="92"/>
      <c r="Z268" s="92"/>
      <c r="AA268" s="92"/>
      <c r="AB268" s="92"/>
      <c r="AC268" s="92"/>
      <c r="AD268" s="100"/>
      <c r="AE268" s="92"/>
      <c r="AF268" s="92"/>
    </row>
    <row r="269" spans="1:32">
      <c r="A269" s="90">
        <f t="shared" si="42"/>
        <v>46197</v>
      </c>
      <c r="B269" s="90">
        <f t="shared" si="43"/>
        <v>46198</v>
      </c>
      <c r="C269" s="92"/>
      <c r="D269" s="92"/>
      <c r="E269" s="93"/>
      <c r="F269" s="92"/>
      <c r="G269" s="93"/>
      <c r="H269" s="93"/>
      <c r="I269" s="92"/>
      <c r="J269" s="92"/>
      <c r="K269" s="92"/>
      <c r="L269" s="92"/>
      <c r="M269" s="92"/>
      <c r="N269" s="94"/>
      <c r="O269" s="94"/>
      <c r="P269" s="94"/>
      <c r="Q269" s="92"/>
      <c r="R269" s="92"/>
      <c r="S269" s="92"/>
      <c r="T269" s="92"/>
      <c r="U269" s="92"/>
      <c r="V269" s="92"/>
      <c r="W269" s="93"/>
      <c r="X269" s="92"/>
      <c r="Y269" s="92"/>
      <c r="Z269" s="100"/>
      <c r="AA269" s="92"/>
      <c r="AB269" s="92"/>
      <c r="AC269" s="101"/>
      <c r="AD269" s="101"/>
      <c r="AE269" s="101"/>
      <c r="AF269" s="92"/>
    </row>
    <row r="270" spans="1:32">
      <c r="A270" s="90">
        <f t="shared" si="42"/>
        <v>46198</v>
      </c>
      <c r="B270" s="90">
        <f t="shared" si="43"/>
        <v>46199</v>
      </c>
      <c r="C270" s="92"/>
      <c r="D270" s="92"/>
      <c r="E270" s="93"/>
      <c r="F270" s="92"/>
      <c r="G270" s="93"/>
      <c r="H270" s="93"/>
      <c r="I270" s="92"/>
      <c r="J270" s="92"/>
      <c r="K270" s="92"/>
      <c r="L270" s="92"/>
      <c r="M270" s="92"/>
      <c r="N270" s="94"/>
      <c r="O270" s="94"/>
      <c r="P270" s="94"/>
      <c r="Q270" s="92"/>
      <c r="R270" s="92"/>
      <c r="S270" s="92"/>
      <c r="T270" s="92"/>
      <c r="U270" s="92"/>
      <c r="V270" s="92"/>
      <c r="W270" s="99"/>
      <c r="X270" s="92"/>
      <c r="Y270" s="92"/>
      <c r="Z270" s="92"/>
      <c r="AA270" s="92"/>
      <c r="AB270" s="92"/>
      <c r="AC270" s="92"/>
      <c r="AD270" s="100"/>
      <c r="AE270" s="92"/>
      <c r="AF270" s="92"/>
    </row>
    <row r="271" spans="1:32">
      <c r="A271" s="90">
        <f t="shared" si="42"/>
        <v>46199</v>
      </c>
      <c r="B271" s="90">
        <f t="shared" si="43"/>
        <v>46200</v>
      </c>
      <c r="C271" s="92"/>
      <c r="D271" s="92"/>
      <c r="E271" s="93"/>
      <c r="F271" s="92"/>
      <c r="G271" s="93"/>
      <c r="H271" s="93"/>
      <c r="I271" s="92"/>
      <c r="J271" s="92"/>
      <c r="K271" s="92"/>
      <c r="L271" s="92"/>
      <c r="M271" s="92"/>
      <c r="N271" s="94"/>
      <c r="O271" s="94"/>
      <c r="P271" s="94"/>
      <c r="Q271" s="92"/>
      <c r="R271" s="92"/>
      <c r="S271" s="92"/>
      <c r="T271" s="92"/>
      <c r="U271" s="92"/>
      <c r="V271" s="92"/>
      <c r="W271" s="99"/>
      <c r="X271" s="92"/>
      <c r="Y271" s="92"/>
      <c r="Z271" s="92"/>
      <c r="AA271" s="92"/>
      <c r="AB271" s="92"/>
      <c r="AC271" s="92"/>
      <c r="AD271" s="100"/>
      <c r="AE271" s="92"/>
      <c r="AF271" s="92"/>
    </row>
    <row r="272" spans="1:32">
      <c r="A272" s="90">
        <f t="shared" si="42"/>
        <v>46200</v>
      </c>
      <c r="B272" s="90">
        <f t="shared" si="43"/>
        <v>46201</v>
      </c>
      <c r="C272" s="92"/>
      <c r="D272" s="92"/>
      <c r="E272" s="93"/>
      <c r="F272" s="92"/>
      <c r="G272" s="93"/>
      <c r="H272" s="93"/>
      <c r="I272" s="92"/>
      <c r="J272" s="92"/>
      <c r="K272" s="92"/>
      <c r="L272" s="92"/>
      <c r="M272" s="92"/>
      <c r="N272" s="94"/>
      <c r="O272" s="94"/>
      <c r="P272" s="94"/>
      <c r="Q272" s="92"/>
      <c r="R272" s="92"/>
      <c r="S272" s="92"/>
      <c r="T272" s="92"/>
      <c r="U272" s="92"/>
      <c r="V272" s="92"/>
      <c r="W272" s="99"/>
      <c r="X272" s="92"/>
      <c r="Y272" s="92"/>
      <c r="Z272" s="92"/>
      <c r="AA272" s="92"/>
      <c r="AB272" s="92"/>
      <c r="AC272" s="92"/>
      <c r="AD272" s="100"/>
      <c r="AE272" s="92"/>
      <c r="AF272" s="92"/>
    </row>
    <row r="273" spans="1:32">
      <c r="A273" s="90">
        <f t="shared" si="42"/>
        <v>46201</v>
      </c>
      <c r="B273" s="90">
        <f t="shared" si="43"/>
        <v>46202</v>
      </c>
      <c r="C273" s="92"/>
      <c r="D273" s="92"/>
      <c r="E273" s="93"/>
      <c r="F273" s="92"/>
      <c r="G273" s="93"/>
      <c r="H273" s="93"/>
      <c r="I273" s="92"/>
      <c r="J273" s="92"/>
      <c r="K273" s="92"/>
      <c r="L273" s="92"/>
      <c r="M273" s="92"/>
      <c r="N273" s="94"/>
      <c r="O273" s="94"/>
      <c r="P273" s="94"/>
      <c r="Q273" s="92"/>
      <c r="R273" s="92"/>
      <c r="S273" s="92"/>
      <c r="T273" s="92"/>
      <c r="U273" s="92"/>
      <c r="V273" s="92"/>
      <c r="W273" s="99"/>
      <c r="X273" s="92"/>
      <c r="Y273" s="92"/>
      <c r="Z273" s="92"/>
      <c r="AA273" s="92"/>
      <c r="AB273" s="92"/>
      <c r="AC273" s="92"/>
      <c r="AD273" s="100"/>
      <c r="AE273" s="92"/>
      <c r="AF273" s="92"/>
    </row>
    <row r="274" spans="1:32">
      <c r="A274" s="90">
        <f t="shared" si="42"/>
        <v>46202</v>
      </c>
      <c r="B274" s="90">
        <f t="shared" si="43"/>
        <v>46203</v>
      </c>
      <c r="C274" s="92"/>
      <c r="D274" s="92"/>
      <c r="E274" s="93"/>
      <c r="F274" s="92"/>
      <c r="G274" s="93"/>
      <c r="H274" s="93"/>
      <c r="I274" s="92"/>
      <c r="J274" s="92"/>
      <c r="K274" s="92"/>
      <c r="L274" s="92"/>
      <c r="M274" s="92"/>
      <c r="N274" s="94"/>
      <c r="O274" s="94"/>
      <c r="P274" s="94"/>
      <c r="Q274" s="92"/>
      <c r="R274" s="92"/>
      <c r="S274" s="92"/>
      <c r="T274" s="92"/>
      <c r="U274" s="92"/>
      <c r="V274" s="92"/>
      <c r="W274" s="99"/>
      <c r="X274" s="92"/>
      <c r="Y274" s="92"/>
      <c r="Z274" s="92"/>
      <c r="AA274" s="92"/>
      <c r="AB274" s="92"/>
      <c r="AC274" s="92"/>
      <c r="AD274" s="100"/>
      <c r="AE274" s="92"/>
      <c r="AF274" s="92"/>
    </row>
    <row r="275" spans="1:32">
      <c r="A275" s="90">
        <v>45777</v>
      </c>
      <c r="B275" s="90">
        <v>45778</v>
      </c>
      <c r="C275" s="80"/>
      <c r="D275" s="80"/>
      <c r="E275" s="72"/>
      <c r="F275" s="80"/>
      <c r="G275" s="72"/>
      <c r="H275" s="72"/>
      <c r="I275" s="80"/>
      <c r="J275" s="80"/>
      <c r="K275" s="80"/>
      <c r="L275" s="80"/>
      <c r="M275" s="80"/>
      <c r="N275" s="97"/>
      <c r="O275" s="97"/>
      <c r="P275" s="97"/>
      <c r="Q275" s="92"/>
      <c r="R275" s="92"/>
      <c r="S275" s="92"/>
      <c r="T275" s="92"/>
      <c r="U275" s="92"/>
      <c r="V275" s="92"/>
      <c r="W275" s="99"/>
      <c r="X275" s="92"/>
      <c r="Y275" s="92"/>
      <c r="Z275" s="92"/>
      <c r="AA275" s="92"/>
      <c r="AB275" s="92"/>
      <c r="AC275" s="92"/>
      <c r="AD275" s="100"/>
      <c r="AE275" s="92"/>
      <c r="AF275" s="92"/>
    </row>
    <row r="276" spans="1:32">
      <c r="A276" s="324" t="s">
        <v>31</v>
      </c>
      <c r="B276" s="324"/>
      <c r="C276" s="95">
        <f t="shared" ref="C276:AF276" si="44">MIN(C246:C275)</f>
        <v>0</v>
      </c>
      <c r="D276" s="95">
        <f t="shared" si="44"/>
        <v>0</v>
      </c>
      <c r="E276" s="96">
        <f t="shared" si="44"/>
        <v>0</v>
      </c>
      <c r="F276" s="95">
        <f t="shared" si="44"/>
        <v>0</v>
      </c>
      <c r="G276" s="96">
        <f t="shared" si="44"/>
        <v>0</v>
      </c>
      <c r="H276" s="96">
        <f t="shared" si="44"/>
        <v>0</v>
      </c>
      <c r="I276" s="95">
        <f t="shared" si="44"/>
        <v>0</v>
      </c>
      <c r="J276" s="95">
        <f t="shared" si="44"/>
        <v>0</v>
      </c>
      <c r="K276" s="95">
        <f t="shared" si="44"/>
        <v>0</v>
      </c>
      <c r="L276" s="95">
        <f t="shared" si="44"/>
        <v>0</v>
      </c>
      <c r="M276" s="95">
        <f t="shared" si="44"/>
        <v>0</v>
      </c>
      <c r="N276" s="95">
        <f t="shared" si="44"/>
        <v>0</v>
      </c>
      <c r="O276" s="95">
        <f t="shared" si="44"/>
        <v>0</v>
      </c>
      <c r="P276" s="95">
        <f t="shared" si="44"/>
        <v>0</v>
      </c>
      <c r="Q276" s="95">
        <f t="shared" si="44"/>
        <v>0</v>
      </c>
      <c r="R276" s="95">
        <f t="shared" si="44"/>
        <v>0</v>
      </c>
      <c r="S276" s="95">
        <f t="shared" si="44"/>
        <v>0</v>
      </c>
      <c r="T276" s="95">
        <f t="shared" si="44"/>
        <v>0</v>
      </c>
      <c r="U276" s="95">
        <f t="shared" si="44"/>
        <v>0</v>
      </c>
      <c r="V276" s="95">
        <f t="shared" si="44"/>
        <v>0</v>
      </c>
      <c r="W276" s="96">
        <f t="shared" si="44"/>
        <v>0</v>
      </c>
      <c r="X276" s="95">
        <f t="shared" si="44"/>
        <v>0</v>
      </c>
      <c r="Y276" s="95">
        <f t="shared" si="44"/>
        <v>0</v>
      </c>
      <c r="Z276" s="95">
        <f t="shared" si="44"/>
        <v>0</v>
      </c>
      <c r="AA276" s="95">
        <f t="shared" si="44"/>
        <v>0</v>
      </c>
      <c r="AB276" s="95">
        <f t="shared" si="44"/>
        <v>0</v>
      </c>
      <c r="AC276" s="95">
        <f t="shared" si="44"/>
        <v>0</v>
      </c>
      <c r="AD276" s="95">
        <f t="shared" si="44"/>
        <v>0</v>
      </c>
      <c r="AE276" s="95">
        <f t="shared" si="44"/>
        <v>0</v>
      </c>
      <c r="AF276" s="95">
        <f t="shared" si="44"/>
        <v>0</v>
      </c>
    </row>
    <row r="277" spans="1:32">
      <c r="A277" s="324" t="s">
        <v>33</v>
      </c>
      <c r="B277" s="324"/>
      <c r="C277" s="95">
        <f t="shared" ref="C277:AF277" si="45">MAX(C246:C275)</f>
        <v>0</v>
      </c>
      <c r="D277" s="95">
        <f t="shared" si="45"/>
        <v>0</v>
      </c>
      <c r="E277" s="96">
        <f t="shared" si="45"/>
        <v>0</v>
      </c>
      <c r="F277" s="95">
        <f t="shared" si="45"/>
        <v>0</v>
      </c>
      <c r="G277" s="96">
        <f t="shared" si="45"/>
        <v>0</v>
      </c>
      <c r="H277" s="96">
        <f t="shared" si="45"/>
        <v>0</v>
      </c>
      <c r="I277" s="95">
        <f t="shared" si="45"/>
        <v>0</v>
      </c>
      <c r="J277" s="95">
        <f t="shared" si="45"/>
        <v>0</v>
      </c>
      <c r="K277" s="95">
        <f t="shared" si="45"/>
        <v>0</v>
      </c>
      <c r="L277" s="95">
        <f t="shared" si="45"/>
        <v>0</v>
      </c>
      <c r="M277" s="95">
        <f t="shared" si="45"/>
        <v>0</v>
      </c>
      <c r="N277" s="95">
        <f t="shared" si="45"/>
        <v>0</v>
      </c>
      <c r="O277" s="95">
        <f t="shared" si="45"/>
        <v>0</v>
      </c>
      <c r="P277" s="95">
        <f t="shared" si="45"/>
        <v>0</v>
      </c>
      <c r="Q277" s="95">
        <f t="shared" si="45"/>
        <v>0</v>
      </c>
      <c r="R277" s="95">
        <f t="shared" si="45"/>
        <v>0</v>
      </c>
      <c r="S277" s="95">
        <f t="shared" si="45"/>
        <v>0</v>
      </c>
      <c r="T277" s="95">
        <f t="shared" si="45"/>
        <v>0</v>
      </c>
      <c r="U277" s="95">
        <f t="shared" si="45"/>
        <v>0</v>
      </c>
      <c r="V277" s="95">
        <f t="shared" si="45"/>
        <v>0</v>
      </c>
      <c r="W277" s="96">
        <f t="shared" si="45"/>
        <v>0</v>
      </c>
      <c r="X277" s="95">
        <f t="shared" si="45"/>
        <v>0</v>
      </c>
      <c r="Y277" s="95">
        <f t="shared" si="45"/>
        <v>0</v>
      </c>
      <c r="Z277" s="95">
        <f t="shared" si="45"/>
        <v>0</v>
      </c>
      <c r="AA277" s="95">
        <f t="shared" si="45"/>
        <v>0</v>
      </c>
      <c r="AB277" s="95">
        <f t="shared" si="45"/>
        <v>0</v>
      </c>
      <c r="AC277" s="95">
        <f t="shared" si="45"/>
        <v>0</v>
      </c>
      <c r="AD277" s="95">
        <f t="shared" si="45"/>
        <v>0</v>
      </c>
      <c r="AE277" s="95">
        <f t="shared" si="45"/>
        <v>0</v>
      </c>
      <c r="AF277" s="95">
        <f t="shared" si="45"/>
        <v>0</v>
      </c>
    </row>
    <row r="278" spans="1:32">
      <c r="A278" s="324" t="s">
        <v>36</v>
      </c>
      <c r="B278" s="324"/>
      <c r="C278" s="95" t="e">
        <f t="shared" ref="C278:AF278" si="46">AVERAGE(C246:C275)</f>
        <v>#DIV/0!</v>
      </c>
      <c r="D278" s="95" t="e">
        <f t="shared" si="46"/>
        <v>#DIV/0!</v>
      </c>
      <c r="E278" s="96" t="e">
        <f t="shared" si="46"/>
        <v>#DIV/0!</v>
      </c>
      <c r="F278" s="95" t="e">
        <f t="shared" si="46"/>
        <v>#DIV/0!</v>
      </c>
      <c r="G278" s="96" t="e">
        <f t="shared" si="46"/>
        <v>#DIV/0!</v>
      </c>
      <c r="H278" s="96" t="e">
        <f t="shared" si="46"/>
        <v>#DIV/0!</v>
      </c>
      <c r="I278" s="95" t="e">
        <f t="shared" si="46"/>
        <v>#DIV/0!</v>
      </c>
      <c r="J278" s="95" t="e">
        <f t="shared" si="46"/>
        <v>#DIV/0!</v>
      </c>
      <c r="K278" s="95" t="e">
        <f t="shared" si="46"/>
        <v>#DIV/0!</v>
      </c>
      <c r="L278" s="95" t="e">
        <f t="shared" si="46"/>
        <v>#DIV/0!</v>
      </c>
      <c r="M278" s="95" t="e">
        <f t="shared" si="46"/>
        <v>#DIV/0!</v>
      </c>
      <c r="N278" s="95" t="e">
        <f t="shared" si="46"/>
        <v>#DIV/0!</v>
      </c>
      <c r="O278" s="95" t="e">
        <f t="shared" si="46"/>
        <v>#DIV/0!</v>
      </c>
      <c r="P278" s="95" t="e">
        <f t="shared" si="46"/>
        <v>#DIV/0!</v>
      </c>
      <c r="Q278" s="95" t="e">
        <f t="shared" si="46"/>
        <v>#DIV/0!</v>
      </c>
      <c r="R278" s="95" t="e">
        <f t="shared" si="46"/>
        <v>#DIV/0!</v>
      </c>
      <c r="S278" s="95" t="e">
        <f t="shared" si="46"/>
        <v>#DIV/0!</v>
      </c>
      <c r="T278" s="95" t="e">
        <f t="shared" si="46"/>
        <v>#DIV/0!</v>
      </c>
      <c r="U278" s="95" t="e">
        <f t="shared" si="46"/>
        <v>#DIV/0!</v>
      </c>
      <c r="V278" s="95" t="e">
        <f t="shared" si="46"/>
        <v>#DIV/0!</v>
      </c>
      <c r="W278" s="96" t="e">
        <f t="shared" si="46"/>
        <v>#DIV/0!</v>
      </c>
      <c r="X278" s="95" t="e">
        <f t="shared" si="46"/>
        <v>#DIV/0!</v>
      </c>
      <c r="Y278" s="95" t="e">
        <f t="shared" si="46"/>
        <v>#DIV/0!</v>
      </c>
      <c r="Z278" s="95" t="e">
        <f t="shared" si="46"/>
        <v>#DIV/0!</v>
      </c>
      <c r="AA278" s="95" t="e">
        <f t="shared" si="46"/>
        <v>#DIV/0!</v>
      </c>
      <c r="AB278" s="95" t="e">
        <f t="shared" si="46"/>
        <v>#DIV/0!</v>
      </c>
      <c r="AC278" s="95" t="e">
        <f t="shared" si="46"/>
        <v>#DIV/0!</v>
      </c>
      <c r="AD278" s="95" t="e">
        <f t="shared" si="46"/>
        <v>#DIV/0!</v>
      </c>
      <c r="AE278" s="95" t="e">
        <f t="shared" si="46"/>
        <v>#DIV/0!</v>
      </c>
      <c r="AF278" s="95" t="e">
        <f t="shared" si="46"/>
        <v>#DIV/0!</v>
      </c>
    </row>
    <row r="279" spans="1:32">
      <c r="A279" s="324" t="s">
        <v>130</v>
      </c>
      <c r="B279" s="324"/>
      <c r="C279" s="95" t="e">
        <f t="shared" ref="C279:AF279" si="47">STDEV(C246:C275)</f>
        <v>#DIV/0!</v>
      </c>
      <c r="D279" s="95" t="e">
        <f t="shared" si="47"/>
        <v>#DIV/0!</v>
      </c>
      <c r="E279" s="96" t="e">
        <f t="shared" si="47"/>
        <v>#DIV/0!</v>
      </c>
      <c r="F279" s="95" t="e">
        <f t="shared" si="47"/>
        <v>#DIV/0!</v>
      </c>
      <c r="G279" s="96" t="e">
        <f t="shared" si="47"/>
        <v>#DIV/0!</v>
      </c>
      <c r="H279" s="96" t="e">
        <f t="shared" si="47"/>
        <v>#DIV/0!</v>
      </c>
      <c r="I279" s="95" t="e">
        <f t="shared" si="47"/>
        <v>#DIV/0!</v>
      </c>
      <c r="J279" s="95" t="e">
        <f t="shared" si="47"/>
        <v>#DIV/0!</v>
      </c>
      <c r="K279" s="95" t="e">
        <f t="shared" si="47"/>
        <v>#DIV/0!</v>
      </c>
      <c r="L279" s="95" t="e">
        <f t="shared" si="47"/>
        <v>#DIV/0!</v>
      </c>
      <c r="M279" s="95" t="e">
        <f t="shared" si="47"/>
        <v>#DIV/0!</v>
      </c>
      <c r="N279" s="95" t="e">
        <f t="shared" si="47"/>
        <v>#DIV/0!</v>
      </c>
      <c r="O279" s="95" t="e">
        <f t="shared" si="47"/>
        <v>#DIV/0!</v>
      </c>
      <c r="P279" s="95" t="e">
        <f t="shared" si="47"/>
        <v>#DIV/0!</v>
      </c>
      <c r="Q279" s="95" t="e">
        <f t="shared" si="47"/>
        <v>#DIV/0!</v>
      </c>
      <c r="R279" s="95" t="e">
        <f t="shared" si="47"/>
        <v>#DIV/0!</v>
      </c>
      <c r="S279" s="95" t="e">
        <f t="shared" si="47"/>
        <v>#DIV/0!</v>
      </c>
      <c r="T279" s="95" t="e">
        <f t="shared" si="47"/>
        <v>#DIV/0!</v>
      </c>
      <c r="U279" s="95" t="e">
        <f t="shared" si="47"/>
        <v>#DIV/0!</v>
      </c>
      <c r="V279" s="95" t="e">
        <f t="shared" si="47"/>
        <v>#DIV/0!</v>
      </c>
      <c r="W279" s="96" t="e">
        <f t="shared" si="47"/>
        <v>#DIV/0!</v>
      </c>
      <c r="X279" s="95" t="e">
        <f t="shared" si="47"/>
        <v>#DIV/0!</v>
      </c>
      <c r="Y279" s="95" t="e">
        <f t="shared" si="47"/>
        <v>#DIV/0!</v>
      </c>
      <c r="Z279" s="95" t="e">
        <f t="shared" si="47"/>
        <v>#DIV/0!</v>
      </c>
      <c r="AA279" s="95" t="e">
        <f t="shared" si="47"/>
        <v>#DIV/0!</v>
      </c>
      <c r="AB279" s="95" t="e">
        <f t="shared" si="47"/>
        <v>#DIV/0!</v>
      </c>
      <c r="AC279" s="95" t="e">
        <f t="shared" si="47"/>
        <v>#DIV/0!</v>
      </c>
      <c r="AD279" s="95" t="e">
        <f t="shared" si="47"/>
        <v>#DIV/0!</v>
      </c>
      <c r="AE279" s="95" t="e">
        <f t="shared" si="47"/>
        <v>#DIV/0!</v>
      </c>
      <c r="AF279" s="95" t="e">
        <f t="shared" si="47"/>
        <v>#DIV/0!</v>
      </c>
    </row>
    <row r="281" spans="1:32">
      <c r="A281" s="325" t="s">
        <v>0</v>
      </c>
      <c r="B281" s="325"/>
      <c r="C281" s="325"/>
      <c r="D281" s="325"/>
      <c r="E281" s="325"/>
      <c r="F281" s="325"/>
      <c r="G281" s="325"/>
      <c r="H281" s="325"/>
      <c r="I281" s="325"/>
      <c r="J281" s="325"/>
      <c r="K281" s="325"/>
      <c r="L281" s="325"/>
      <c r="M281" s="325"/>
      <c r="N281" s="325"/>
      <c r="O281" s="325"/>
      <c r="P281" s="325"/>
      <c r="Q281" s="325"/>
      <c r="R281" s="325"/>
      <c r="S281" s="325"/>
      <c r="T281" s="325"/>
      <c r="U281" s="325"/>
      <c r="V281" s="325"/>
      <c r="W281" s="325"/>
      <c r="X281" s="325"/>
      <c r="Y281" s="325"/>
      <c r="Z281" s="325"/>
      <c r="AA281" s="325"/>
      <c r="AB281" s="325"/>
      <c r="AC281" s="325"/>
      <c r="AD281" s="325"/>
      <c r="AE281" s="325"/>
      <c r="AF281" s="325"/>
    </row>
    <row r="282" spans="1:32">
      <c r="A282" s="325" t="s">
        <v>106</v>
      </c>
      <c r="B282" s="325"/>
      <c r="C282" s="325"/>
      <c r="D282" s="325"/>
      <c r="E282" s="325"/>
      <c r="F282" s="325"/>
      <c r="G282" s="325"/>
      <c r="H282" s="325"/>
      <c r="I282" s="325"/>
      <c r="J282" s="325"/>
      <c r="K282" s="325"/>
      <c r="L282" s="325"/>
      <c r="M282" s="325"/>
      <c r="N282" s="325"/>
      <c r="O282" s="325"/>
      <c r="P282" s="325"/>
      <c r="Q282" s="325"/>
      <c r="R282" s="325"/>
      <c r="S282" s="325"/>
      <c r="T282" s="325"/>
      <c r="U282" s="325"/>
      <c r="V282" s="325"/>
      <c r="W282" s="325"/>
      <c r="X282" s="325"/>
      <c r="Y282" s="325"/>
      <c r="Z282" s="325"/>
      <c r="AA282" s="325"/>
      <c r="AB282" s="325"/>
      <c r="AC282" s="325" t="s">
        <v>107</v>
      </c>
      <c r="AD282" s="325"/>
      <c r="AE282" s="326">
        <v>46204</v>
      </c>
      <c r="AF282" s="326"/>
    </row>
    <row r="283" spans="1:32">
      <c r="A283" s="327"/>
      <c r="B283" s="327"/>
      <c r="C283" s="328" t="s">
        <v>108</v>
      </c>
      <c r="D283" s="328"/>
      <c r="E283" s="328"/>
      <c r="F283" s="328"/>
      <c r="G283" s="328"/>
      <c r="H283" s="328"/>
      <c r="I283" s="328"/>
      <c r="J283" s="328"/>
      <c r="K283" s="328"/>
      <c r="L283" s="328"/>
      <c r="M283" s="328"/>
      <c r="N283" s="328"/>
      <c r="O283" s="328"/>
      <c r="P283" s="328"/>
      <c r="Q283" s="329" t="s">
        <v>109</v>
      </c>
      <c r="R283" s="329"/>
      <c r="S283" s="329"/>
      <c r="T283" s="329"/>
      <c r="U283" s="329"/>
      <c r="V283" s="329"/>
      <c r="W283" s="329"/>
      <c r="X283" s="329"/>
      <c r="Y283" s="329"/>
      <c r="Z283" s="329"/>
      <c r="AA283" s="329"/>
      <c r="AB283" s="329"/>
      <c r="AC283" s="329"/>
      <c r="AD283" s="329"/>
      <c r="AE283" s="329"/>
      <c r="AF283" s="329"/>
    </row>
    <row r="284" spans="1:32" ht="38.25">
      <c r="A284" s="5" t="s">
        <v>110</v>
      </c>
      <c r="B284" s="5" t="s">
        <v>111</v>
      </c>
      <c r="C284" s="64" t="s">
        <v>83</v>
      </c>
      <c r="D284" s="64" t="s">
        <v>81</v>
      </c>
      <c r="E284" s="89" t="s">
        <v>112</v>
      </c>
      <c r="F284" s="64" t="s">
        <v>113</v>
      </c>
      <c r="G284" s="89" t="s">
        <v>114</v>
      </c>
      <c r="H284" s="89" t="s">
        <v>115</v>
      </c>
      <c r="I284" s="64" t="s">
        <v>116</v>
      </c>
      <c r="J284" s="64" t="s">
        <v>117</v>
      </c>
      <c r="K284" s="64" t="s">
        <v>118</v>
      </c>
      <c r="L284" s="64" t="s">
        <v>119</v>
      </c>
      <c r="M284" s="64" t="s">
        <v>9</v>
      </c>
      <c r="N284" s="64" t="s">
        <v>120</v>
      </c>
      <c r="O284" s="64" t="s">
        <v>121</v>
      </c>
      <c r="P284" s="64" t="s">
        <v>122</v>
      </c>
      <c r="Q284" s="64" t="s">
        <v>74</v>
      </c>
      <c r="R284" s="64" t="s">
        <v>75</v>
      </c>
      <c r="S284" s="64" t="s">
        <v>76</v>
      </c>
      <c r="T284" s="64" t="s">
        <v>77</v>
      </c>
      <c r="U284" s="64" t="s">
        <v>78</v>
      </c>
      <c r="V284" s="64" t="s">
        <v>81</v>
      </c>
      <c r="W284" s="89" t="s">
        <v>123</v>
      </c>
      <c r="X284" s="64" t="s">
        <v>100</v>
      </c>
      <c r="Y284" s="64" t="s">
        <v>87</v>
      </c>
      <c r="Z284" s="64" t="s">
        <v>88</v>
      </c>
      <c r="AA284" s="64" t="s">
        <v>89</v>
      </c>
      <c r="AB284" s="64" t="s">
        <v>101</v>
      </c>
      <c r="AC284" s="64" t="s">
        <v>102</v>
      </c>
      <c r="AD284" s="64" t="s">
        <v>103</v>
      </c>
      <c r="AE284" s="64" t="s">
        <v>104</v>
      </c>
      <c r="AF284" s="64" t="s">
        <v>105</v>
      </c>
    </row>
    <row r="285" spans="1:32">
      <c r="A285" s="322" t="s">
        <v>124</v>
      </c>
      <c r="B285" s="323"/>
      <c r="C285" s="64" t="s">
        <v>53</v>
      </c>
      <c r="D285" s="64" t="s">
        <v>53</v>
      </c>
      <c r="E285" s="64" t="s">
        <v>125</v>
      </c>
      <c r="F285" s="64" t="s">
        <v>53</v>
      </c>
      <c r="G285" s="64" t="s">
        <v>126</v>
      </c>
      <c r="H285" s="64" t="s">
        <v>126</v>
      </c>
      <c r="I285" s="64" t="s">
        <v>53</v>
      </c>
      <c r="J285" s="64" t="s">
        <v>53</v>
      </c>
      <c r="K285" s="64" t="s">
        <v>53</v>
      </c>
      <c r="L285" s="64" t="s">
        <v>127</v>
      </c>
      <c r="M285" s="64" t="s">
        <v>128</v>
      </c>
      <c r="N285" s="64" t="s">
        <v>128</v>
      </c>
      <c r="O285" s="64" t="s">
        <v>128</v>
      </c>
      <c r="P285" s="64" t="s">
        <v>128</v>
      </c>
      <c r="Q285" s="64" t="s">
        <v>53</v>
      </c>
      <c r="R285" s="64" t="s">
        <v>53</v>
      </c>
      <c r="S285" s="64" t="s">
        <v>53</v>
      </c>
      <c r="T285" s="64" t="s">
        <v>53</v>
      </c>
      <c r="U285" s="64" t="s">
        <v>53</v>
      </c>
      <c r="V285" s="64" t="s">
        <v>53</v>
      </c>
      <c r="W285" s="64" t="s">
        <v>129</v>
      </c>
      <c r="X285" s="64" t="s">
        <v>53</v>
      </c>
      <c r="Y285" s="64" t="s">
        <v>53</v>
      </c>
      <c r="Z285" s="64" t="s">
        <v>53</v>
      </c>
      <c r="AA285" s="64" t="s">
        <v>53</v>
      </c>
      <c r="AB285" s="64" t="s">
        <v>53</v>
      </c>
      <c r="AC285" s="64" t="s">
        <v>53</v>
      </c>
      <c r="AD285" s="64" t="s">
        <v>53</v>
      </c>
      <c r="AE285" s="64" t="s">
        <v>53</v>
      </c>
      <c r="AF285" s="64" t="s">
        <v>53</v>
      </c>
    </row>
    <row r="286" spans="1:32">
      <c r="A286" s="90">
        <f>AE282+0</f>
        <v>46204</v>
      </c>
      <c r="B286" s="90">
        <f>A286+1</f>
        <v>46205</v>
      </c>
      <c r="C286" s="80"/>
      <c r="D286" s="80"/>
      <c r="E286" s="72"/>
      <c r="F286" s="80"/>
      <c r="G286" s="72"/>
      <c r="H286" s="72"/>
      <c r="I286" s="80"/>
      <c r="J286" s="80"/>
      <c r="K286" s="80"/>
      <c r="L286" s="80"/>
      <c r="M286" s="80"/>
      <c r="N286" s="97"/>
      <c r="O286" s="97"/>
      <c r="P286" s="97"/>
      <c r="Q286" s="92"/>
      <c r="R286" s="92"/>
      <c r="S286" s="92"/>
      <c r="T286" s="92"/>
      <c r="U286" s="92"/>
      <c r="V286" s="92"/>
      <c r="W286" s="99"/>
      <c r="X286" s="92"/>
      <c r="Y286" s="92"/>
      <c r="Z286" s="92"/>
      <c r="AA286" s="92"/>
      <c r="AB286" s="92"/>
      <c r="AC286" s="92"/>
      <c r="AD286" s="100"/>
      <c r="AE286" s="92"/>
      <c r="AF286" s="92"/>
    </row>
    <row r="287" spans="1:32">
      <c r="A287" s="90">
        <f t="shared" ref="A287:A314" si="48">A286+1</f>
        <v>46205</v>
      </c>
      <c r="B287" s="90">
        <f t="shared" ref="B287:B314" si="49">A287+1</f>
        <v>46206</v>
      </c>
      <c r="C287" s="80"/>
      <c r="D287" s="80"/>
      <c r="E287" s="72"/>
      <c r="F287" s="80"/>
      <c r="G287" s="72"/>
      <c r="H287" s="72"/>
      <c r="I287" s="80"/>
      <c r="J287" s="80"/>
      <c r="K287" s="80"/>
      <c r="L287" s="80"/>
      <c r="M287" s="80"/>
      <c r="N287" s="97"/>
      <c r="O287" s="97"/>
      <c r="P287" s="97"/>
      <c r="Q287" s="92"/>
      <c r="R287" s="92"/>
      <c r="S287" s="92"/>
      <c r="T287" s="92"/>
      <c r="U287" s="92"/>
      <c r="V287" s="92"/>
      <c r="W287" s="99"/>
      <c r="X287" s="92"/>
      <c r="Y287" s="92"/>
      <c r="Z287" s="92"/>
      <c r="AA287" s="92"/>
      <c r="AB287" s="92"/>
      <c r="AC287" s="92"/>
      <c r="AD287" s="100"/>
      <c r="AE287" s="92"/>
      <c r="AF287" s="92"/>
    </row>
    <row r="288" spans="1:32">
      <c r="A288" s="90">
        <f t="shared" si="48"/>
        <v>46206</v>
      </c>
      <c r="B288" s="90">
        <f t="shared" si="49"/>
        <v>46207</v>
      </c>
      <c r="C288" s="80"/>
      <c r="D288" s="80"/>
      <c r="E288" s="72"/>
      <c r="F288" s="80"/>
      <c r="G288" s="72"/>
      <c r="H288" s="72"/>
      <c r="I288" s="80"/>
      <c r="J288" s="80"/>
      <c r="K288" s="80"/>
      <c r="L288" s="80"/>
      <c r="M288" s="80"/>
      <c r="N288" s="97"/>
      <c r="O288" s="97"/>
      <c r="P288" s="97"/>
      <c r="Q288" s="92"/>
      <c r="R288" s="92"/>
      <c r="S288" s="92"/>
      <c r="T288" s="92"/>
      <c r="U288" s="92"/>
      <c r="V288" s="92"/>
      <c r="W288" s="99"/>
      <c r="X288" s="92"/>
      <c r="Y288" s="92"/>
      <c r="Z288" s="92"/>
      <c r="AA288" s="92"/>
      <c r="AB288" s="92"/>
      <c r="AC288" s="92"/>
      <c r="AD288" s="100"/>
      <c r="AE288" s="92"/>
      <c r="AF288" s="92"/>
    </row>
    <row r="289" spans="1:32">
      <c r="A289" s="90">
        <f t="shared" si="48"/>
        <v>46207</v>
      </c>
      <c r="B289" s="90">
        <f t="shared" si="49"/>
        <v>46208</v>
      </c>
      <c r="C289" s="80"/>
      <c r="D289" s="80"/>
      <c r="E289" s="72"/>
      <c r="F289" s="80"/>
      <c r="G289" s="72"/>
      <c r="H289" s="72"/>
      <c r="I289" s="80"/>
      <c r="J289" s="80"/>
      <c r="K289" s="80"/>
      <c r="L289" s="80"/>
      <c r="M289" s="80"/>
      <c r="N289" s="97"/>
      <c r="O289" s="97"/>
      <c r="P289" s="97"/>
      <c r="Q289" s="92"/>
      <c r="R289" s="92"/>
      <c r="S289" s="92"/>
      <c r="T289" s="92"/>
      <c r="U289" s="92"/>
      <c r="V289" s="92"/>
      <c r="W289" s="99"/>
      <c r="X289" s="92"/>
      <c r="Y289" s="92"/>
      <c r="Z289" s="92"/>
      <c r="AA289" s="92"/>
      <c r="AB289" s="92"/>
      <c r="AC289" s="92"/>
      <c r="AD289" s="100"/>
      <c r="AE289" s="92"/>
      <c r="AF289" s="92"/>
    </row>
    <row r="290" spans="1:32">
      <c r="A290" s="90">
        <f t="shared" si="48"/>
        <v>46208</v>
      </c>
      <c r="B290" s="90">
        <f t="shared" si="49"/>
        <v>46209</v>
      </c>
      <c r="C290" s="80"/>
      <c r="D290" s="80"/>
      <c r="E290" s="72"/>
      <c r="F290" s="80"/>
      <c r="G290" s="72"/>
      <c r="H290" s="72"/>
      <c r="I290" s="80"/>
      <c r="J290" s="80"/>
      <c r="K290" s="80"/>
      <c r="L290" s="80"/>
      <c r="M290" s="80"/>
      <c r="N290" s="97"/>
      <c r="O290" s="97"/>
      <c r="P290" s="97"/>
      <c r="Q290" s="92"/>
      <c r="R290" s="92"/>
      <c r="S290" s="92"/>
      <c r="T290" s="92"/>
      <c r="U290" s="92"/>
      <c r="V290" s="92"/>
      <c r="W290" s="99"/>
      <c r="X290" s="92"/>
      <c r="Y290" s="92"/>
      <c r="Z290" s="92"/>
      <c r="AA290" s="92"/>
      <c r="AB290" s="92"/>
      <c r="AC290" s="92"/>
      <c r="AD290" s="100"/>
      <c r="AE290" s="92"/>
      <c r="AF290" s="92"/>
    </row>
    <row r="291" spans="1:32">
      <c r="A291" s="90">
        <f t="shared" si="48"/>
        <v>46209</v>
      </c>
      <c r="B291" s="90">
        <f t="shared" si="49"/>
        <v>46210</v>
      </c>
      <c r="C291" s="80"/>
      <c r="D291" s="80"/>
      <c r="E291" s="72"/>
      <c r="F291" s="80"/>
      <c r="G291" s="91"/>
      <c r="H291" s="72"/>
      <c r="I291" s="80"/>
      <c r="J291" s="80"/>
      <c r="K291" s="80"/>
      <c r="L291" s="80"/>
      <c r="M291" s="80"/>
      <c r="N291" s="97"/>
      <c r="O291" s="97"/>
      <c r="P291" s="97"/>
      <c r="Q291" s="92"/>
      <c r="R291" s="92"/>
      <c r="S291" s="92"/>
      <c r="T291" s="92"/>
      <c r="U291" s="92"/>
      <c r="V291" s="92"/>
      <c r="W291" s="99"/>
      <c r="X291" s="92"/>
      <c r="Y291" s="92"/>
      <c r="Z291" s="92"/>
      <c r="AA291" s="92"/>
      <c r="AB291" s="92"/>
      <c r="AC291" s="92"/>
      <c r="AD291" s="100"/>
      <c r="AE291" s="92"/>
      <c r="AF291" s="92"/>
    </row>
    <row r="292" spans="1:32">
      <c r="A292" s="90">
        <f t="shared" si="48"/>
        <v>46210</v>
      </c>
      <c r="B292" s="90">
        <f t="shared" si="49"/>
        <v>46211</v>
      </c>
      <c r="C292" s="80"/>
      <c r="D292" s="80"/>
      <c r="E292" s="72"/>
      <c r="F292" s="80"/>
      <c r="G292" s="72"/>
      <c r="H292" s="72"/>
      <c r="I292" s="80"/>
      <c r="J292" s="80"/>
      <c r="K292" s="80"/>
      <c r="L292" s="80"/>
      <c r="M292" s="80"/>
      <c r="N292" s="97"/>
      <c r="O292" s="97"/>
      <c r="P292" s="97"/>
      <c r="Q292" s="92"/>
      <c r="R292" s="92"/>
      <c r="S292" s="92"/>
      <c r="T292" s="92"/>
      <c r="U292" s="92"/>
      <c r="V292" s="92"/>
      <c r="W292" s="93"/>
      <c r="X292" s="92"/>
      <c r="Y292" s="92"/>
      <c r="Z292" s="100"/>
      <c r="AA292" s="92"/>
      <c r="AB292" s="92"/>
      <c r="AC292" s="101"/>
      <c r="AD292" s="101"/>
      <c r="AE292" s="101"/>
      <c r="AF292" s="92"/>
    </row>
    <row r="293" spans="1:32">
      <c r="A293" s="90">
        <f t="shared" si="48"/>
        <v>46211</v>
      </c>
      <c r="B293" s="90">
        <f t="shared" si="49"/>
        <v>46212</v>
      </c>
      <c r="C293" s="80"/>
      <c r="D293" s="80"/>
      <c r="E293" s="72"/>
      <c r="F293" s="80"/>
      <c r="G293" s="72"/>
      <c r="H293" s="72"/>
      <c r="I293" s="80"/>
      <c r="J293" s="80"/>
      <c r="K293" s="80"/>
      <c r="L293" s="80"/>
      <c r="M293" s="80"/>
      <c r="N293" s="97"/>
      <c r="O293" s="97"/>
      <c r="P293" s="97"/>
      <c r="Q293" s="92"/>
      <c r="R293" s="92"/>
      <c r="S293" s="92"/>
      <c r="T293" s="92"/>
      <c r="U293" s="92"/>
      <c r="V293" s="92"/>
      <c r="W293" s="99"/>
      <c r="X293" s="92"/>
      <c r="Y293" s="92"/>
      <c r="Z293" s="92"/>
      <c r="AA293" s="92"/>
      <c r="AB293" s="92"/>
      <c r="AC293" s="92"/>
      <c r="AD293" s="100"/>
      <c r="AE293" s="92"/>
      <c r="AF293" s="92"/>
    </row>
    <row r="294" spans="1:32">
      <c r="A294" s="90">
        <f t="shared" si="48"/>
        <v>46212</v>
      </c>
      <c r="B294" s="90">
        <f t="shared" si="49"/>
        <v>46213</v>
      </c>
      <c r="C294" s="80"/>
      <c r="D294" s="92"/>
      <c r="E294" s="72"/>
      <c r="F294" s="80"/>
      <c r="G294" s="72"/>
      <c r="H294" s="72"/>
      <c r="I294" s="80"/>
      <c r="J294" s="80"/>
      <c r="K294" s="80"/>
      <c r="L294" s="80"/>
      <c r="M294" s="80"/>
      <c r="N294" s="97"/>
      <c r="O294" s="97"/>
      <c r="P294" s="97"/>
      <c r="Q294" s="92"/>
      <c r="R294" s="92"/>
      <c r="S294" s="92"/>
      <c r="T294" s="92"/>
      <c r="U294" s="92"/>
      <c r="V294" s="92"/>
      <c r="W294" s="99"/>
      <c r="X294" s="92"/>
      <c r="Y294" s="92"/>
      <c r="Z294" s="92"/>
      <c r="AA294" s="92"/>
      <c r="AB294" s="92"/>
      <c r="AC294" s="92"/>
      <c r="AD294" s="100"/>
      <c r="AE294" s="92"/>
      <c r="AF294" s="92"/>
    </row>
    <row r="295" spans="1:32">
      <c r="A295" s="90">
        <f t="shared" si="48"/>
        <v>46213</v>
      </c>
      <c r="B295" s="90">
        <f t="shared" si="49"/>
        <v>46214</v>
      </c>
      <c r="C295" s="92"/>
      <c r="D295" s="92"/>
      <c r="E295" s="72"/>
      <c r="F295" s="80"/>
      <c r="G295" s="72"/>
      <c r="H295" s="72"/>
      <c r="I295" s="80"/>
      <c r="J295" s="80"/>
      <c r="K295" s="80"/>
      <c r="L295" s="80"/>
      <c r="M295" s="80"/>
      <c r="N295" s="97"/>
      <c r="O295" s="97"/>
      <c r="P295" s="97"/>
      <c r="Q295" s="92"/>
      <c r="R295" s="92"/>
      <c r="S295" s="92"/>
      <c r="T295" s="92"/>
      <c r="U295" s="92"/>
      <c r="V295" s="92"/>
      <c r="W295" s="99"/>
      <c r="X295" s="92"/>
      <c r="Y295" s="92"/>
      <c r="Z295" s="92"/>
      <c r="AA295" s="92"/>
      <c r="AB295" s="92"/>
      <c r="AC295" s="92"/>
      <c r="AD295" s="100"/>
      <c r="AE295" s="92"/>
      <c r="AF295" s="92"/>
    </row>
    <row r="296" spans="1:32">
      <c r="A296" s="90">
        <f t="shared" si="48"/>
        <v>46214</v>
      </c>
      <c r="B296" s="90">
        <f t="shared" si="49"/>
        <v>46215</v>
      </c>
      <c r="C296" s="92"/>
      <c r="D296" s="92"/>
      <c r="E296" s="72"/>
      <c r="F296" s="80"/>
      <c r="G296" s="72"/>
      <c r="H296" s="72"/>
      <c r="I296" s="80"/>
      <c r="J296" s="80"/>
      <c r="K296" s="80"/>
      <c r="L296" s="80"/>
      <c r="M296" s="80"/>
      <c r="N296" s="97"/>
      <c r="O296" s="97"/>
      <c r="P296" s="97"/>
      <c r="Q296" s="92"/>
      <c r="R296" s="92"/>
      <c r="S296" s="92"/>
      <c r="T296" s="92"/>
      <c r="U296" s="92"/>
      <c r="V296" s="92"/>
      <c r="W296" s="93"/>
      <c r="X296" s="92"/>
      <c r="Y296" s="92"/>
      <c r="Z296" s="92"/>
      <c r="AA296" s="92"/>
      <c r="AB296" s="92"/>
      <c r="AC296" s="92"/>
      <c r="AD296" s="92"/>
      <c r="AE296" s="92"/>
      <c r="AF296" s="92"/>
    </row>
    <row r="297" spans="1:32">
      <c r="A297" s="90">
        <f t="shared" si="48"/>
        <v>46215</v>
      </c>
      <c r="B297" s="90">
        <f t="shared" si="49"/>
        <v>46216</v>
      </c>
      <c r="C297" s="92"/>
      <c r="D297" s="92"/>
      <c r="E297" s="72"/>
      <c r="F297" s="80"/>
      <c r="G297" s="72"/>
      <c r="H297" s="72"/>
      <c r="I297" s="80"/>
      <c r="J297" s="80"/>
      <c r="K297" s="80"/>
      <c r="L297" s="80"/>
      <c r="M297" s="80"/>
      <c r="N297" s="97"/>
      <c r="O297" s="97"/>
      <c r="P297" s="97"/>
      <c r="Q297" s="92"/>
      <c r="R297" s="92"/>
      <c r="S297" s="92"/>
      <c r="T297" s="92"/>
      <c r="U297" s="92"/>
      <c r="V297" s="92"/>
      <c r="W297" s="99"/>
      <c r="X297" s="92"/>
      <c r="Y297" s="92"/>
      <c r="Z297" s="92"/>
      <c r="AA297" s="92"/>
      <c r="AB297" s="92"/>
      <c r="AC297" s="92"/>
      <c r="AD297" s="100"/>
      <c r="AE297" s="92"/>
      <c r="AF297" s="92"/>
    </row>
    <row r="298" spans="1:32">
      <c r="A298" s="90">
        <f t="shared" si="48"/>
        <v>46216</v>
      </c>
      <c r="B298" s="90">
        <f t="shared" si="49"/>
        <v>46217</v>
      </c>
      <c r="C298" s="92"/>
      <c r="D298" s="92"/>
      <c r="E298" s="72"/>
      <c r="F298" s="80"/>
      <c r="G298" s="72"/>
      <c r="H298" s="72"/>
      <c r="I298" s="80"/>
      <c r="J298" s="80"/>
      <c r="K298" s="80"/>
      <c r="L298" s="80"/>
      <c r="M298" s="80"/>
      <c r="N298" s="97"/>
      <c r="O298" s="97"/>
      <c r="P298" s="97"/>
      <c r="Q298" s="92"/>
      <c r="R298" s="92"/>
      <c r="S298" s="92"/>
      <c r="T298" s="92"/>
      <c r="U298" s="92"/>
      <c r="V298" s="92"/>
      <c r="W298" s="99"/>
      <c r="X298" s="92"/>
      <c r="Y298" s="92"/>
      <c r="Z298" s="92"/>
      <c r="AA298" s="92"/>
      <c r="AB298" s="92"/>
      <c r="AC298" s="92"/>
      <c r="AD298" s="100"/>
      <c r="AE298" s="92"/>
      <c r="AF298" s="92"/>
    </row>
    <row r="299" spans="1:32">
      <c r="A299" s="90">
        <f t="shared" si="48"/>
        <v>46217</v>
      </c>
      <c r="B299" s="90">
        <f t="shared" si="49"/>
        <v>46218</v>
      </c>
      <c r="C299" s="92"/>
      <c r="D299" s="92"/>
      <c r="E299" s="72"/>
      <c r="F299" s="80"/>
      <c r="G299" s="72"/>
      <c r="H299" s="72"/>
      <c r="I299" s="80"/>
      <c r="J299" s="80"/>
      <c r="K299" s="80"/>
      <c r="L299" s="80"/>
      <c r="M299" s="80"/>
      <c r="N299" s="97"/>
      <c r="O299" s="97"/>
      <c r="P299" s="97"/>
      <c r="Q299" s="92"/>
      <c r="R299" s="92"/>
      <c r="S299" s="92"/>
      <c r="T299" s="92"/>
      <c r="U299" s="92"/>
      <c r="V299" s="92"/>
      <c r="W299" s="93"/>
      <c r="X299" s="92"/>
      <c r="Y299" s="92"/>
      <c r="Z299" s="100"/>
      <c r="AA299" s="92"/>
      <c r="AB299" s="92"/>
      <c r="AC299" s="101"/>
      <c r="AD299" s="92"/>
      <c r="AE299" s="101"/>
      <c r="AF299" s="92"/>
    </row>
    <row r="300" spans="1:32">
      <c r="A300" s="90">
        <f t="shared" si="48"/>
        <v>46218</v>
      </c>
      <c r="B300" s="90">
        <f t="shared" si="49"/>
        <v>46219</v>
      </c>
      <c r="C300" s="80"/>
      <c r="D300" s="80"/>
      <c r="E300" s="72"/>
      <c r="F300" s="80"/>
      <c r="G300" s="72"/>
      <c r="H300" s="72"/>
      <c r="I300" s="80"/>
      <c r="J300" s="80"/>
      <c r="K300" s="80"/>
      <c r="L300" s="80"/>
      <c r="M300" s="80"/>
      <c r="N300" s="97"/>
      <c r="O300" s="97"/>
      <c r="P300" s="97"/>
      <c r="Q300" s="92"/>
      <c r="R300" s="92"/>
      <c r="S300" s="92"/>
      <c r="T300" s="92"/>
      <c r="U300" s="92"/>
      <c r="V300" s="92"/>
      <c r="W300" s="99"/>
      <c r="X300" s="92"/>
      <c r="Y300" s="92"/>
      <c r="Z300" s="92"/>
      <c r="AA300" s="92"/>
      <c r="AB300" s="92"/>
      <c r="AC300" s="92"/>
      <c r="AD300" s="100"/>
      <c r="AE300" s="92"/>
      <c r="AF300" s="92"/>
    </row>
    <row r="301" spans="1:32">
      <c r="A301" s="90">
        <f t="shared" si="48"/>
        <v>46219</v>
      </c>
      <c r="B301" s="90">
        <f t="shared" si="49"/>
        <v>46220</v>
      </c>
      <c r="C301" s="92"/>
      <c r="D301" s="92"/>
      <c r="E301" s="72"/>
      <c r="F301" s="80"/>
      <c r="G301" s="72"/>
      <c r="H301" s="72"/>
      <c r="I301" s="80"/>
      <c r="J301" s="80"/>
      <c r="K301" s="80"/>
      <c r="L301" s="80"/>
      <c r="M301" s="80"/>
      <c r="N301" s="97"/>
      <c r="O301" s="97"/>
      <c r="P301" s="97"/>
      <c r="Q301" s="92"/>
      <c r="R301" s="92"/>
      <c r="S301" s="92"/>
      <c r="T301" s="92"/>
      <c r="U301" s="92"/>
      <c r="V301" s="92"/>
      <c r="W301" s="99"/>
      <c r="X301" s="92"/>
      <c r="Y301" s="92"/>
      <c r="Z301" s="92"/>
      <c r="AA301" s="92"/>
      <c r="AB301" s="92"/>
      <c r="AC301" s="92"/>
      <c r="AD301" s="100"/>
      <c r="AE301" s="92"/>
      <c r="AF301" s="92"/>
    </row>
    <row r="302" spans="1:32">
      <c r="A302" s="90">
        <f t="shared" si="48"/>
        <v>46220</v>
      </c>
      <c r="B302" s="90">
        <f t="shared" si="49"/>
        <v>46221</v>
      </c>
      <c r="C302" s="92"/>
      <c r="D302" s="92"/>
      <c r="E302" s="72"/>
      <c r="F302" s="80"/>
      <c r="G302" s="72"/>
      <c r="H302" s="72"/>
      <c r="I302" s="80"/>
      <c r="J302" s="80"/>
      <c r="K302" s="80"/>
      <c r="L302" s="80"/>
      <c r="M302" s="80"/>
      <c r="N302" s="97"/>
      <c r="O302" s="97"/>
      <c r="P302" s="97"/>
      <c r="Q302" s="92"/>
      <c r="R302" s="92"/>
      <c r="S302" s="92"/>
      <c r="T302" s="92"/>
      <c r="U302" s="92"/>
      <c r="V302" s="92"/>
      <c r="W302" s="99"/>
      <c r="X302" s="92"/>
      <c r="Y302" s="92"/>
      <c r="Z302" s="92"/>
      <c r="AA302" s="92"/>
      <c r="AB302" s="92"/>
      <c r="AC302" s="92"/>
      <c r="AD302" s="100"/>
      <c r="AE302" s="92"/>
      <c r="AF302" s="92"/>
    </row>
    <row r="303" spans="1:32">
      <c r="A303" s="90">
        <f t="shared" si="48"/>
        <v>46221</v>
      </c>
      <c r="B303" s="90">
        <f t="shared" si="49"/>
        <v>46222</v>
      </c>
      <c r="C303" s="92"/>
      <c r="D303" s="92"/>
      <c r="E303" s="72"/>
      <c r="F303" s="80"/>
      <c r="G303" s="72"/>
      <c r="H303" s="72"/>
      <c r="I303" s="80"/>
      <c r="J303" s="80"/>
      <c r="K303" s="80"/>
      <c r="L303" s="80"/>
      <c r="M303" s="80"/>
      <c r="N303" s="97"/>
      <c r="O303" s="97"/>
      <c r="P303" s="97"/>
      <c r="Q303" s="92"/>
      <c r="R303" s="92"/>
      <c r="S303" s="92"/>
      <c r="T303" s="92"/>
      <c r="U303" s="92"/>
      <c r="V303" s="92"/>
      <c r="W303" s="99"/>
      <c r="X303" s="92"/>
      <c r="Y303" s="92"/>
      <c r="Z303" s="92"/>
      <c r="AA303" s="92"/>
      <c r="AB303" s="92"/>
      <c r="AC303" s="92"/>
      <c r="AD303" s="100"/>
      <c r="AE303" s="92"/>
      <c r="AF303" s="92"/>
    </row>
    <row r="304" spans="1:32">
      <c r="A304" s="90">
        <f t="shared" si="48"/>
        <v>46222</v>
      </c>
      <c r="B304" s="90">
        <f t="shared" si="49"/>
        <v>46223</v>
      </c>
      <c r="C304" s="92"/>
      <c r="D304" s="92"/>
      <c r="E304" s="93"/>
      <c r="F304" s="92"/>
      <c r="G304" s="93"/>
      <c r="H304" s="93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9"/>
      <c r="X304" s="92"/>
      <c r="Y304" s="92"/>
      <c r="Z304" s="92"/>
      <c r="AA304" s="92"/>
      <c r="AB304" s="92"/>
      <c r="AC304" s="92"/>
      <c r="AD304" s="100"/>
      <c r="AE304" s="92"/>
      <c r="AF304" s="92"/>
    </row>
    <row r="305" spans="1:32">
      <c r="A305" s="90">
        <f t="shared" si="48"/>
        <v>46223</v>
      </c>
      <c r="B305" s="90">
        <f t="shared" si="49"/>
        <v>46224</v>
      </c>
      <c r="C305" s="92"/>
      <c r="D305" s="92"/>
      <c r="E305" s="93"/>
      <c r="F305" s="92"/>
      <c r="G305" s="93"/>
      <c r="H305" s="93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9"/>
      <c r="X305" s="92"/>
      <c r="Y305" s="92"/>
      <c r="Z305" s="92"/>
      <c r="AA305" s="92"/>
      <c r="AB305" s="92"/>
      <c r="AC305" s="92"/>
      <c r="AD305" s="100"/>
      <c r="AE305" s="92"/>
      <c r="AF305" s="92"/>
    </row>
    <row r="306" spans="1:32">
      <c r="A306" s="90">
        <f t="shared" si="48"/>
        <v>46224</v>
      </c>
      <c r="B306" s="90">
        <f t="shared" si="49"/>
        <v>46225</v>
      </c>
      <c r="C306" s="92"/>
      <c r="D306" s="92"/>
      <c r="E306" s="93"/>
      <c r="F306" s="92"/>
      <c r="G306" s="93"/>
      <c r="H306" s="93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9"/>
      <c r="X306" s="92"/>
      <c r="Y306" s="92"/>
      <c r="Z306" s="92"/>
      <c r="AA306" s="92"/>
      <c r="AB306" s="92"/>
      <c r="AC306" s="92"/>
      <c r="AD306" s="100"/>
      <c r="AE306" s="92"/>
      <c r="AF306" s="92"/>
    </row>
    <row r="307" spans="1:32">
      <c r="A307" s="90">
        <f t="shared" si="48"/>
        <v>46225</v>
      </c>
      <c r="B307" s="90">
        <f t="shared" si="49"/>
        <v>46226</v>
      </c>
      <c r="C307" s="94"/>
      <c r="D307" s="92"/>
      <c r="E307" s="72"/>
      <c r="F307" s="80"/>
      <c r="G307" s="72"/>
      <c r="H307" s="72"/>
      <c r="I307" s="80"/>
      <c r="J307" s="80"/>
      <c r="K307" s="80"/>
      <c r="L307" s="98"/>
      <c r="M307" s="80"/>
      <c r="N307" s="97"/>
      <c r="O307" s="97"/>
      <c r="P307" s="97"/>
      <c r="Q307" s="92"/>
      <c r="R307" s="92"/>
      <c r="S307" s="92"/>
      <c r="T307" s="92"/>
      <c r="U307" s="92"/>
      <c r="V307" s="92"/>
      <c r="W307" s="93"/>
      <c r="X307" s="92"/>
      <c r="Y307" s="92"/>
      <c r="Z307" s="92"/>
      <c r="AA307" s="92"/>
      <c r="AB307" s="92"/>
      <c r="AC307" s="92"/>
      <c r="AD307" s="92"/>
      <c r="AE307" s="92"/>
      <c r="AF307" s="92"/>
    </row>
    <row r="308" spans="1:32">
      <c r="A308" s="90">
        <f t="shared" si="48"/>
        <v>46226</v>
      </c>
      <c r="B308" s="90">
        <f t="shared" si="49"/>
        <v>46227</v>
      </c>
      <c r="C308" s="92"/>
      <c r="D308" s="92"/>
      <c r="E308" s="93"/>
      <c r="F308" s="92"/>
      <c r="G308" s="93"/>
      <c r="H308" s="93"/>
      <c r="I308" s="92"/>
      <c r="J308" s="92"/>
      <c r="K308" s="92"/>
      <c r="L308" s="92"/>
      <c r="M308" s="92"/>
      <c r="N308" s="94"/>
      <c r="O308" s="94"/>
      <c r="P308" s="94"/>
      <c r="Q308" s="92"/>
      <c r="R308" s="92"/>
      <c r="S308" s="92"/>
      <c r="T308" s="92"/>
      <c r="U308" s="92"/>
      <c r="V308" s="92"/>
      <c r="W308" s="93"/>
      <c r="X308" s="92"/>
      <c r="Y308" s="92"/>
      <c r="Z308" s="92"/>
      <c r="AA308" s="92"/>
      <c r="AB308" s="92"/>
      <c r="AC308" s="92"/>
      <c r="AD308" s="100"/>
      <c r="AE308" s="92"/>
      <c r="AF308" s="92"/>
    </row>
    <row r="309" spans="1:32">
      <c r="A309" s="90">
        <f t="shared" si="48"/>
        <v>46227</v>
      </c>
      <c r="B309" s="90">
        <f t="shared" si="49"/>
        <v>46228</v>
      </c>
      <c r="C309" s="92"/>
      <c r="D309" s="92"/>
      <c r="E309" s="93"/>
      <c r="F309" s="92"/>
      <c r="G309" s="93"/>
      <c r="H309" s="93"/>
      <c r="I309" s="92"/>
      <c r="J309" s="92"/>
      <c r="K309" s="92"/>
      <c r="L309" s="92"/>
      <c r="M309" s="92"/>
      <c r="N309" s="94"/>
      <c r="O309" s="94"/>
      <c r="P309" s="94"/>
      <c r="Q309" s="92"/>
      <c r="R309" s="92"/>
      <c r="S309" s="92"/>
      <c r="T309" s="92"/>
      <c r="U309" s="92"/>
      <c r="V309" s="92"/>
      <c r="W309" s="93"/>
      <c r="X309" s="92"/>
      <c r="Y309" s="92"/>
      <c r="Z309" s="100"/>
      <c r="AA309" s="92"/>
      <c r="AB309" s="92"/>
      <c r="AC309" s="101"/>
      <c r="AD309" s="101"/>
      <c r="AE309" s="101"/>
      <c r="AF309" s="92"/>
    </row>
    <row r="310" spans="1:32">
      <c r="A310" s="90">
        <f t="shared" si="48"/>
        <v>46228</v>
      </c>
      <c r="B310" s="90">
        <f t="shared" si="49"/>
        <v>46229</v>
      </c>
      <c r="C310" s="92"/>
      <c r="D310" s="92"/>
      <c r="E310" s="93"/>
      <c r="F310" s="92"/>
      <c r="G310" s="93"/>
      <c r="H310" s="93"/>
      <c r="I310" s="92"/>
      <c r="J310" s="92"/>
      <c r="K310" s="92"/>
      <c r="L310" s="92"/>
      <c r="M310" s="92"/>
      <c r="N310" s="94"/>
      <c r="O310" s="94"/>
      <c r="P310" s="94"/>
      <c r="Q310" s="92"/>
      <c r="R310" s="92"/>
      <c r="S310" s="92"/>
      <c r="T310" s="92"/>
      <c r="U310" s="92"/>
      <c r="V310" s="92"/>
      <c r="W310" s="99"/>
      <c r="X310" s="92"/>
      <c r="Y310" s="92"/>
      <c r="Z310" s="92"/>
      <c r="AA310" s="92"/>
      <c r="AB310" s="92"/>
      <c r="AC310" s="92"/>
      <c r="AD310" s="100"/>
      <c r="AE310" s="92"/>
      <c r="AF310" s="92"/>
    </row>
    <row r="311" spans="1:32">
      <c r="A311" s="90">
        <f t="shared" si="48"/>
        <v>46229</v>
      </c>
      <c r="B311" s="90">
        <f t="shared" si="49"/>
        <v>46230</v>
      </c>
      <c r="C311" s="92"/>
      <c r="D311" s="92"/>
      <c r="E311" s="93"/>
      <c r="F311" s="92"/>
      <c r="G311" s="93"/>
      <c r="H311" s="93"/>
      <c r="I311" s="92"/>
      <c r="J311" s="92"/>
      <c r="K311" s="92"/>
      <c r="L311" s="92"/>
      <c r="M311" s="92"/>
      <c r="N311" s="94"/>
      <c r="O311" s="94"/>
      <c r="P311" s="94"/>
      <c r="Q311" s="92"/>
      <c r="R311" s="92"/>
      <c r="S311" s="92"/>
      <c r="T311" s="92"/>
      <c r="U311" s="92"/>
      <c r="V311" s="92"/>
      <c r="W311" s="99"/>
      <c r="X311" s="92"/>
      <c r="Y311" s="92"/>
      <c r="Z311" s="92"/>
      <c r="AA311" s="92"/>
      <c r="AB311" s="92"/>
      <c r="AC311" s="92"/>
      <c r="AD311" s="100"/>
      <c r="AE311" s="92"/>
      <c r="AF311" s="92"/>
    </row>
    <row r="312" spans="1:32">
      <c r="A312" s="90">
        <f t="shared" si="48"/>
        <v>46230</v>
      </c>
      <c r="B312" s="90">
        <f t="shared" si="49"/>
        <v>46231</v>
      </c>
      <c r="C312" s="92"/>
      <c r="D312" s="92"/>
      <c r="E312" s="93"/>
      <c r="F312" s="92"/>
      <c r="G312" s="93"/>
      <c r="H312" s="93"/>
      <c r="I312" s="92"/>
      <c r="J312" s="92"/>
      <c r="K312" s="92"/>
      <c r="L312" s="92"/>
      <c r="M312" s="92"/>
      <c r="N312" s="94"/>
      <c r="O312" s="94"/>
      <c r="P312" s="94"/>
      <c r="Q312" s="92"/>
      <c r="R312" s="92"/>
      <c r="S312" s="92"/>
      <c r="T312" s="92"/>
      <c r="U312" s="92"/>
      <c r="V312" s="92"/>
      <c r="W312" s="99"/>
      <c r="X312" s="92"/>
      <c r="Y312" s="92"/>
      <c r="Z312" s="92"/>
      <c r="AA312" s="92"/>
      <c r="AB312" s="92"/>
      <c r="AC312" s="92"/>
      <c r="AD312" s="100"/>
      <c r="AE312" s="92"/>
      <c r="AF312" s="92"/>
    </row>
    <row r="313" spans="1:32">
      <c r="A313" s="90">
        <f t="shared" si="48"/>
        <v>46231</v>
      </c>
      <c r="B313" s="90">
        <f t="shared" si="49"/>
        <v>46232</v>
      </c>
      <c r="C313" s="92"/>
      <c r="D313" s="92"/>
      <c r="E313" s="93"/>
      <c r="F313" s="92"/>
      <c r="G313" s="93"/>
      <c r="H313" s="93"/>
      <c r="I313" s="92"/>
      <c r="J313" s="92"/>
      <c r="K313" s="92"/>
      <c r="L313" s="92"/>
      <c r="M313" s="92"/>
      <c r="N313" s="94"/>
      <c r="O313" s="94"/>
      <c r="P313" s="94"/>
      <c r="Q313" s="92"/>
      <c r="R313" s="92"/>
      <c r="S313" s="92"/>
      <c r="T313" s="92"/>
      <c r="U313" s="92"/>
      <c r="V313" s="92"/>
      <c r="W313" s="99"/>
      <c r="X313" s="92"/>
      <c r="Y313" s="92"/>
      <c r="Z313" s="92"/>
      <c r="AA313" s="92"/>
      <c r="AB313" s="92"/>
      <c r="AC313" s="92"/>
      <c r="AD313" s="100"/>
      <c r="AE313" s="92"/>
      <c r="AF313" s="92"/>
    </row>
    <row r="314" spans="1:32">
      <c r="A314" s="90">
        <f t="shared" si="48"/>
        <v>46232</v>
      </c>
      <c r="B314" s="90">
        <f t="shared" si="49"/>
        <v>46233</v>
      </c>
      <c r="C314" s="92"/>
      <c r="D314" s="92"/>
      <c r="E314" s="93"/>
      <c r="F314" s="92"/>
      <c r="G314" s="93"/>
      <c r="H314" s="93"/>
      <c r="I314" s="92"/>
      <c r="J314" s="92"/>
      <c r="K314" s="92"/>
      <c r="L314" s="92"/>
      <c r="M314" s="92"/>
      <c r="N314" s="94"/>
      <c r="O314" s="94"/>
      <c r="P314" s="94"/>
      <c r="Q314" s="92"/>
      <c r="R314" s="92"/>
      <c r="S314" s="92"/>
      <c r="T314" s="92"/>
      <c r="U314" s="92"/>
      <c r="V314" s="92"/>
      <c r="W314" s="99"/>
      <c r="X314" s="92"/>
      <c r="Y314" s="92"/>
      <c r="Z314" s="92"/>
      <c r="AA314" s="92"/>
      <c r="AB314" s="92"/>
      <c r="AC314" s="92"/>
      <c r="AD314" s="100"/>
      <c r="AE314" s="92"/>
      <c r="AF314" s="92"/>
    </row>
    <row r="315" spans="1:32">
      <c r="A315" s="90">
        <v>45777</v>
      </c>
      <c r="B315" s="90">
        <v>45778</v>
      </c>
      <c r="C315" s="80"/>
      <c r="D315" s="80"/>
      <c r="E315" s="72"/>
      <c r="F315" s="80"/>
      <c r="G315" s="72"/>
      <c r="H315" s="72"/>
      <c r="I315" s="80"/>
      <c r="J315" s="80"/>
      <c r="K315" s="80"/>
      <c r="L315" s="80"/>
      <c r="M315" s="80"/>
      <c r="N315" s="97"/>
      <c r="O315" s="97"/>
      <c r="P315" s="97"/>
      <c r="Q315" s="92"/>
      <c r="R315" s="92"/>
      <c r="S315" s="92"/>
      <c r="T315" s="92"/>
      <c r="U315" s="92"/>
      <c r="V315" s="92"/>
      <c r="W315" s="99"/>
      <c r="X315" s="92"/>
      <c r="Y315" s="92"/>
      <c r="Z315" s="92"/>
      <c r="AA315" s="92"/>
      <c r="AB315" s="92"/>
      <c r="AC315" s="92"/>
      <c r="AD315" s="100"/>
      <c r="AE315" s="92"/>
      <c r="AF315" s="92"/>
    </row>
    <row r="316" spans="1:32">
      <c r="A316" s="324" t="s">
        <v>31</v>
      </c>
      <c r="B316" s="324"/>
      <c r="C316" s="95">
        <f t="shared" ref="C316:AF316" si="50">MIN(C286:C315)</f>
        <v>0</v>
      </c>
      <c r="D316" s="95">
        <f t="shared" si="50"/>
        <v>0</v>
      </c>
      <c r="E316" s="96">
        <f t="shared" si="50"/>
        <v>0</v>
      </c>
      <c r="F316" s="95">
        <f t="shared" si="50"/>
        <v>0</v>
      </c>
      <c r="G316" s="96">
        <f t="shared" si="50"/>
        <v>0</v>
      </c>
      <c r="H316" s="96">
        <f t="shared" si="50"/>
        <v>0</v>
      </c>
      <c r="I316" s="95">
        <f t="shared" si="50"/>
        <v>0</v>
      </c>
      <c r="J316" s="95">
        <f t="shared" si="50"/>
        <v>0</v>
      </c>
      <c r="K316" s="95">
        <f t="shared" si="50"/>
        <v>0</v>
      </c>
      <c r="L316" s="95">
        <f t="shared" si="50"/>
        <v>0</v>
      </c>
      <c r="M316" s="95">
        <f t="shared" si="50"/>
        <v>0</v>
      </c>
      <c r="N316" s="95">
        <f t="shared" si="50"/>
        <v>0</v>
      </c>
      <c r="O316" s="95">
        <f t="shared" si="50"/>
        <v>0</v>
      </c>
      <c r="P316" s="95">
        <f t="shared" si="50"/>
        <v>0</v>
      </c>
      <c r="Q316" s="95">
        <f t="shared" si="50"/>
        <v>0</v>
      </c>
      <c r="R316" s="95">
        <f t="shared" si="50"/>
        <v>0</v>
      </c>
      <c r="S316" s="95">
        <f t="shared" si="50"/>
        <v>0</v>
      </c>
      <c r="T316" s="95">
        <f t="shared" si="50"/>
        <v>0</v>
      </c>
      <c r="U316" s="95">
        <f t="shared" si="50"/>
        <v>0</v>
      </c>
      <c r="V316" s="95">
        <f t="shared" si="50"/>
        <v>0</v>
      </c>
      <c r="W316" s="96">
        <f t="shared" si="50"/>
        <v>0</v>
      </c>
      <c r="X316" s="95">
        <f t="shared" si="50"/>
        <v>0</v>
      </c>
      <c r="Y316" s="95">
        <f t="shared" si="50"/>
        <v>0</v>
      </c>
      <c r="Z316" s="95">
        <f t="shared" si="50"/>
        <v>0</v>
      </c>
      <c r="AA316" s="95">
        <f t="shared" si="50"/>
        <v>0</v>
      </c>
      <c r="AB316" s="95">
        <f t="shared" si="50"/>
        <v>0</v>
      </c>
      <c r="AC316" s="95">
        <f t="shared" si="50"/>
        <v>0</v>
      </c>
      <c r="AD316" s="95">
        <f t="shared" si="50"/>
        <v>0</v>
      </c>
      <c r="AE316" s="95">
        <f t="shared" si="50"/>
        <v>0</v>
      </c>
      <c r="AF316" s="95">
        <f t="shared" si="50"/>
        <v>0</v>
      </c>
    </row>
    <row r="317" spans="1:32">
      <c r="A317" s="324" t="s">
        <v>33</v>
      </c>
      <c r="B317" s="324"/>
      <c r="C317" s="95">
        <f t="shared" ref="C317:AF317" si="51">MAX(C286:C315)</f>
        <v>0</v>
      </c>
      <c r="D317" s="95">
        <f t="shared" si="51"/>
        <v>0</v>
      </c>
      <c r="E317" s="96">
        <f t="shared" si="51"/>
        <v>0</v>
      </c>
      <c r="F317" s="95">
        <f t="shared" si="51"/>
        <v>0</v>
      </c>
      <c r="G317" s="96">
        <f t="shared" si="51"/>
        <v>0</v>
      </c>
      <c r="H317" s="96">
        <f t="shared" si="51"/>
        <v>0</v>
      </c>
      <c r="I317" s="95">
        <f t="shared" si="51"/>
        <v>0</v>
      </c>
      <c r="J317" s="95">
        <f t="shared" si="51"/>
        <v>0</v>
      </c>
      <c r="K317" s="95">
        <f t="shared" si="51"/>
        <v>0</v>
      </c>
      <c r="L317" s="95">
        <f t="shared" si="51"/>
        <v>0</v>
      </c>
      <c r="M317" s="95">
        <f t="shared" si="51"/>
        <v>0</v>
      </c>
      <c r="N317" s="95">
        <f t="shared" si="51"/>
        <v>0</v>
      </c>
      <c r="O317" s="95">
        <f t="shared" si="51"/>
        <v>0</v>
      </c>
      <c r="P317" s="95">
        <f t="shared" si="51"/>
        <v>0</v>
      </c>
      <c r="Q317" s="95">
        <f t="shared" si="51"/>
        <v>0</v>
      </c>
      <c r="R317" s="95">
        <f t="shared" si="51"/>
        <v>0</v>
      </c>
      <c r="S317" s="95">
        <f t="shared" si="51"/>
        <v>0</v>
      </c>
      <c r="T317" s="95">
        <f t="shared" si="51"/>
        <v>0</v>
      </c>
      <c r="U317" s="95">
        <f t="shared" si="51"/>
        <v>0</v>
      </c>
      <c r="V317" s="95">
        <f t="shared" si="51"/>
        <v>0</v>
      </c>
      <c r="W317" s="96">
        <f t="shared" si="51"/>
        <v>0</v>
      </c>
      <c r="X317" s="95">
        <f t="shared" si="51"/>
        <v>0</v>
      </c>
      <c r="Y317" s="95">
        <f t="shared" si="51"/>
        <v>0</v>
      </c>
      <c r="Z317" s="95">
        <f t="shared" si="51"/>
        <v>0</v>
      </c>
      <c r="AA317" s="95">
        <f t="shared" si="51"/>
        <v>0</v>
      </c>
      <c r="AB317" s="95">
        <f t="shared" si="51"/>
        <v>0</v>
      </c>
      <c r="AC317" s="95">
        <f t="shared" si="51"/>
        <v>0</v>
      </c>
      <c r="AD317" s="95">
        <f t="shared" si="51"/>
        <v>0</v>
      </c>
      <c r="AE317" s="95">
        <f t="shared" si="51"/>
        <v>0</v>
      </c>
      <c r="AF317" s="95">
        <f t="shared" si="51"/>
        <v>0</v>
      </c>
    </row>
    <row r="318" spans="1:32">
      <c r="A318" s="324" t="s">
        <v>36</v>
      </c>
      <c r="B318" s="324"/>
      <c r="C318" s="95" t="e">
        <f t="shared" ref="C318:AF318" si="52">AVERAGE(C286:C315)</f>
        <v>#DIV/0!</v>
      </c>
      <c r="D318" s="95" t="e">
        <f t="shared" si="52"/>
        <v>#DIV/0!</v>
      </c>
      <c r="E318" s="96" t="e">
        <f t="shared" si="52"/>
        <v>#DIV/0!</v>
      </c>
      <c r="F318" s="95" t="e">
        <f t="shared" si="52"/>
        <v>#DIV/0!</v>
      </c>
      <c r="G318" s="96" t="e">
        <f t="shared" si="52"/>
        <v>#DIV/0!</v>
      </c>
      <c r="H318" s="96" t="e">
        <f t="shared" si="52"/>
        <v>#DIV/0!</v>
      </c>
      <c r="I318" s="95" t="e">
        <f t="shared" si="52"/>
        <v>#DIV/0!</v>
      </c>
      <c r="J318" s="95" t="e">
        <f t="shared" si="52"/>
        <v>#DIV/0!</v>
      </c>
      <c r="K318" s="95" t="e">
        <f t="shared" si="52"/>
        <v>#DIV/0!</v>
      </c>
      <c r="L318" s="95" t="e">
        <f t="shared" si="52"/>
        <v>#DIV/0!</v>
      </c>
      <c r="M318" s="95" t="e">
        <f t="shared" si="52"/>
        <v>#DIV/0!</v>
      </c>
      <c r="N318" s="95" t="e">
        <f t="shared" si="52"/>
        <v>#DIV/0!</v>
      </c>
      <c r="O318" s="95" t="e">
        <f t="shared" si="52"/>
        <v>#DIV/0!</v>
      </c>
      <c r="P318" s="95" t="e">
        <f t="shared" si="52"/>
        <v>#DIV/0!</v>
      </c>
      <c r="Q318" s="95" t="e">
        <f t="shared" si="52"/>
        <v>#DIV/0!</v>
      </c>
      <c r="R318" s="95" t="e">
        <f t="shared" si="52"/>
        <v>#DIV/0!</v>
      </c>
      <c r="S318" s="95" t="e">
        <f t="shared" si="52"/>
        <v>#DIV/0!</v>
      </c>
      <c r="T318" s="95" t="e">
        <f t="shared" si="52"/>
        <v>#DIV/0!</v>
      </c>
      <c r="U318" s="95" t="e">
        <f t="shared" si="52"/>
        <v>#DIV/0!</v>
      </c>
      <c r="V318" s="95" t="e">
        <f t="shared" si="52"/>
        <v>#DIV/0!</v>
      </c>
      <c r="W318" s="96" t="e">
        <f t="shared" si="52"/>
        <v>#DIV/0!</v>
      </c>
      <c r="X318" s="95" t="e">
        <f t="shared" si="52"/>
        <v>#DIV/0!</v>
      </c>
      <c r="Y318" s="95" t="e">
        <f t="shared" si="52"/>
        <v>#DIV/0!</v>
      </c>
      <c r="Z318" s="95" t="e">
        <f t="shared" si="52"/>
        <v>#DIV/0!</v>
      </c>
      <c r="AA318" s="95" t="e">
        <f t="shared" si="52"/>
        <v>#DIV/0!</v>
      </c>
      <c r="AB318" s="95" t="e">
        <f t="shared" si="52"/>
        <v>#DIV/0!</v>
      </c>
      <c r="AC318" s="95" t="e">
        <f t="shared" si="52"/>
        <v>#DIV/0!</v>
      </c>
      <c r="AD318" s="95" t="e">
        <f t="shared" si="52"/>
        <v>#DIV/0!</v>
      </c>
      <c r="AE318" s="95" t="e">
        <f t="shared" si="52"/>
        <v>#DIV/0!</v>
      </c>
      <c r="AF318" s="95" t="e">
        <f t="shared" si="52"/>
        <v>#DIV/0!</v>
      </c>
    </row>
    <row r="319" spans="1:32">
      <c r="A319" s="324" t="s">
        <v>130</v>
      </c>
      <c r="B319" s="324"/>
      <c r="C319" s="95" t="e">
        <f t="shared" ref="C319:AF319" si="53">STDEV(C286:C315)</f>
        <v>#DIV/0!</v>
      </c>
      <c r="D319" s="95" t="e">
        <f t="shared" si="53"/>
        <v>#DIV/0!</v>
      </c>
      <c r="E319" s="96" t="e">
        <f t="shared" si="53"/>
        <v>#DIV/0!</v>
      </c>
      <c r="F319" s="95" t="e">
        <f t="shared" si="53"/>
        <v>#DIV/0!</v>
      </c>
      <c r="G319" s="96" t="e">
        <f t="shared" si="53"/>
        <v>#DIV/0!</v>
      </c>
      <c r="H319" s="96" t="e">
        <f t="shared" si="53"/>
        <v>#DIV/0!</v>
      </c>
      <c r="I319" s="95" t="e">
        <f t="shared" si="53"/>
        <v>#DIV/0!</v>
      </c>
      <c r="J319" s="95" t="e">
        <f t="shared" si="53"/>
        <v>#DIV/0!</v>
      </c>
      <c r="K319" s="95" t="e">
        <f t="shared" si="53"/>
        <v>#DIV/0!</v>
      </c>
      <c r="L319" s="95" t="e">
        <f t="shared" si="53"/>
        <v>#DIV/0!</v>
      </c>
      <c r="M319" s="95" t="e">
        <f t="shared" si="53"/>
        <v>#DIV/0!</v>
      </c>
      <c r="N319" s="95" t="e">
        <f t="shared" si="53"/>
        <v>#DIV/0!</v>
      </c>
      <c r="O319" s="95" t="e">
        <f t="shared" si="53"/>
        <v>#DIV/0!</v>
      </c>
      <c r="P319" s="95" t="e">
        <f t="shared" si="53"/>
        <v>#DIV/0!</v>
      </c>
      <c r="Q319" s="95" t="e">
        <f t="shared" si="53"/>
        <v>#DIV/0!</v>
      </c>
      <c r="R319" s="95" t="e">
        <f t="shared" si="53"/>
        <v>#DIV/0!</v>
      </c>
      <c r="S319" s="95" t="e">
        <f t="shared" si="53"/>
        <v>#DIV/0!</v>
      </c>
      <c r="T319" s="95" t="e">
        <f t="shared" si="53"/>
        <v>#DIV/0!</v>
      </c>
      <c r="U319" s="95" t="e">
        <f t="shared" si="53"/>
        <v>#DIV/0!</v>
      </c>
      <c r="V319" s="95" t="e">
        <f t="shared" si="53"/>
        <v>#DIV/0!</v>
      </c>
      <c r="W319" s="96" t="e">
        <f t="shared" si="53"/>
        <v>#DIV/0!</v>
      </c>
      <c r="X319" s="95" t="e">
        <f t="shared" si="53"/>
        <v>#DIV/0!</v>
      </c>
      <c r="Y319" s="95" t="e">
        <f t="shared" si="53"/>
        <v>#DIV/0!</v>
      </c>
      <c r="Z319" s="95" t="e">
        <f t="shared" si="53"/>
        <v>#DIV/0!</v>
      </c>
      <c r="AA319" s="95" t="e">
        <f t="shared" si="53"/>
        <v>#DIV/0!</v>
      </c>
      <c r="AB319" s="95" t="e">
        <f t="shared" si="53"/>
        <v>#DIV/0!</v>
      </c>
      <c r="AC319" s="95" t="e">
        <f t="shared" si="53"/>
        <v>#DIV/0!</v>
      </c>
      <c r="AD319" s="95" t="e">
        <f t="shared" si="53"/>
        <v>#DIV/0!</v>
      </c>
      <c r="AE319" s="95" t="e">
        <f t="shared" si="53"/>
        <v>#DIV/0!</v>
      </c>
      <c r="AF319" s="95" t="e">
        <f t="shared" si="53"/>
        <v>#DIV/0!</v>
      </c>
    </row>
    <row r="321" spans="1:32">
      <c r="A321" s="325" t="s">
        <v>0</v>
      </c>
      <c r="B321" s="325"/>
      <c r="C321" s="325"/>
      <c r="D321" s="325"/>
      <c r="E321" s="325"/>
      <c r="F321" s="325"/>
      <c r="G321" s="325"/>
      <c r="H321" s="325"/>
      <c r="I321" s="325"/>
      <c r="J321" s="325"/>
      <c r="K321" s="325"/>
      <c r="L321" s="325"/>
      <c r="M321" s="325"/>
      <c r="N321" s="325"/>
      <c r="O321" s="325"/>
      <c r="P321" s="325"/>
      <c r="Q321" s="325"/>
      <c r="R321" s="325"/>
      <c r="S321" s="325"/>
      <c r="T321" s="325"/>
      <c r="U321" s="325"/>
      <c r="V321" s="325"/>
      <c r="W321" s="325"/>
      <c r="X321" s="325"/>
      <c r="Y321" s="325"/>
      <c r="Z321" s="325"/>
      <c r="AA321" s="325"/>
      <c r="AB321" s="325"/>
      <c r="AC321" s="325"/>
      <c r="AD321" s="325"/>
      <c r="AE321" s="325"/>
      <c r="AF321" s="325"/>
    </row>
    <row r="322" spans="1:32">
      <c r="A322" s="325" t="s">
        <v>106</v>
      </c>
      <c r="B322" s="325"/>
      <c r="C322" s="325"/>
      <c r="D322" s="325"/>
      <c r="E322" s="325"/>
      <c r="F322" s="325"/>
      <c r="G322" s="325"/>
      <c r="H322" s="325"/>
      <c r="I322" s="325"/>
      <c r="J322" s="325"/>
      <c r="K322" s="325"/>
      <c r="L322" s="325"/>
      <c r="M322" s="325"/>
      <c r="N322" s="325"/>
      <c r="O322" s="325"/>
      <c r="P322" s="325"/>
      <c r="Q322" s="325"/>
      <c r="R322" s="325"/>
      <c r="S322" s="325"/>
      <c r="T322" s="325"/>
      <c r="U322" s="325"/>
      <c r="V322" s="325"/>
      <c r="W322" s="325"/>
      <c r="X322" s="325"/>
      <c r="Y322" s="325"/>
      <c r="Z322" s="325"/>
      <c r="AA322" s="325"/>
      <c r="AB322" s="325"/>
      <c r="AC322" s="325" t="s">
        <v>107</v>
      </c>
      <c r="AD322" s="325"/>
      <c r="AE322" s="326">
        <v>46235</v>
      </c>
      <c r="AF322" s="326"/>
    </row>
    <row r="323" spans="1:32">
      <c r="A323" s="327"/>
      <c r="B323" s="327"/>
      <c r="C323" s="328" t="s">
        <v>108</v>
      </c>
      <c r="D323" s="328"/>
      <c r="E323" s="328"/>
      <c r="F323" s="328"/>
      <c r="G323" s="328"/>
      <c r="H323" s="328"/>
      <c r="I323" s="328"/>
      <c r="J323" s="328"/>
      <c r="K323" s="328"/>
      <c r="L323" s="328"/>
      <c r="M323" s="328"/>
      <c r="N323" s="328"/>
      <c r="O323" s="328"/>
      <c r="P323" s="328"/>
      <c r="Q323" s="329" t="s">
        <v>109</v>
      </c>
      <c r="R323" s="329"/>
      <c r="S323" s="329"/>
      <c r="T323" s="329"/>
      <c r="U323" s="329"/>
      <c r="V323" s="329"/>
      <c r="W323" s="329"/>
      <c r="X323" s="329"/>
      <c r="Y323" s="329"/>
      <c r="Z323" s="329"/>
      <c r="AA323" s="329"/>
      <c r="AB323" s="329"/>
      <c r="AC323" s="329"/>
      <c r="AD323" s="329"/>
      <c r="AE323" s="329"/>
      <c r="AF323" s="329"/>
    </row>
    <row r="324" spans="1:32" ht="38.25">
      <c r="A324" s="5" t="s">
        <v>110</v>
      </c>
      <c r="B324" s="5" t="s">
        <v>111</v>
      </c>
      <c r="C324" s="64" t="s">
        <v>83</v>
      </c>
      <c r="D324" s="64" t="s">
        <v>81</v>
      </c>
      <c r="E324" s="89" t="s">
        <v>112</v>
      </c>
      <c r="F324" s="64" t="s">
        <v>113</v>
      </c>
      <c r="G324" s="89" t="s">
        <v>114</v>
      </c>
      <c r="H324" s="89" t="s">
        <v>115</v>
      </c>
      <c r="I324" s="64" t="s">
        <v>116</v>
      </c>
      <c r="J324" s="64" t="s">
        <v>117</v>
      </c>
      <c r="K324" s="64" t="s">
        <v>118</v>
      </c>
      <c r="L324" s="64" t="s">
        <v>119</v>
      </c>
      <c r="M324" s="64" t="s">
        <v>9</v>
      </c>
      <c r="N324" s="64" t="s">
        <v>120</v>
      </c>
      <c r="O324" s="64" t="s">
        <v>121</v>
      </c>
      <c r="P324" s="64" t="s">
        <v>122</v>
      </c>
      <c r="Q324" s="64" t="s">
        <v>74</v>
      </c>
      <c r="R324" s="64" t="s">
        <v>75</v>
      </c>
      <c r="S324" s="64" t="s">
        <v>76</v>
      </c>
      <c r="T324" s="64" t="s">
        <v>77</v>
      </c>
      <c r="U324" s="64" t="s">
        <v>78</v>
      </c>
      <c r="V324" s="64" t="s">
        <v>81</v>
      </c>
      <c r="W324" s="89" t="s">
        <v>123</v>
      </c>
      <c r="X324" s="64" t="s">
        <v>100</v>
      </c>
      <c r="Y324" s="64" t="s">
        <v>87</v>
      </c>
      <c r="Z324" s="64" t="s">
        <v>88</v>
      </c>
      <c r="AA324" s="64" t="s">
        <v>89</v>
      </c>
      <c r="AB324" s="64" t="s">
        <v>101</v>
      </c>
      <c r="AC324" s="64" t="s">
        <v>102</v>
      </c>
      <c r="AD324" s="64" t="s">
        <v>103</v>
      </c>
      <c r="AE324" s="64" t="s">
        <v>104</v>
      </c>
      <c r="AF324" s="64" t="s">
        <v>105</v>
      </c>
    </row>
    <row r="325" spans="1:32">
      <c r="A325" s="322" t="s">
        <v>124</v>
      </c>
      <c r="B325" s="323"/>
      <c r="C325" s="64" t="s">
        <v>53</v>
      </c>
      <c r="D325" s="64" t="s">
        <v>53</v>
      </c>
      <c r="E325" s="64" t="s">
        <v>125</v>
      </c>
      <c r="F325" s="64" t="s">
        <v>53</v>
      </c>
      <c r="G325" s="64" t="s">
        <v>126</v>
      </c>
      <c r="H325" s="64" t="s">
        <v>126</v>
      </c>
      <c r="I325" s="64" t="s">
        <v>53</v>
      </c>
      <c r="J325" s="64" t="s">
        <v>53</v>
      </c>
      <c r="K325" s="64" t="s">
        <v>53</v>
      </c>
      <c r="L325" s="64" t="s">
        <v>127</v>
      </c>
      <c r="M325" s="64" t="s">
        <v>128</v>
      </c>
      <c r="N325" s="64" t="s">
        <v>128</v>
      </c>
      <c r="O325" s="64" t="s">
        <v>128</v>
      </c>
      <c r="P325" s="64" t="s">
        <v>128</v>
      </c>
      <c r="Q325" s="64" t="s">
        <v>53</v>
      </c>
      <c r="R325" s="64" t="s">
        <v>53</v>
      </c>
      <c r="S325" s="64" t="s">
        <v>53</v>
      </c>
      <c r="T325" s="64" t="s">
        <v>53</v>
      </c>
      <c r="U325" s="64" t="s">
        <v>53</v>
      </c>
      <c r="V325" s="64" t="s">
        <v>53</v>
      </c>
      <c r="W325" s="64" t="s">
        <v>129</v>
      </c>
      <c r="X325" s="64" t="s">
        <v>53</v>
      </c>
      <c r="Y325" s="64" t="s">
        <v>53</v>
      </c>
      <c r="Z325" s="64" t="s">
        <v>53</v>
      </c>
      <c r="AA325" s="64" t="s">
        <v>53</v>
      </c>
      <c r="AB325" s="64" t="s">
        <v>53</v>
      </c>
      <c r="AC325" s="64" t="s">
        <v>53</v>
      </c>
      <c r="AD325" s="64" t="s">
        <v>53</v>
      </c>
      <c r="AE325" s="64" t="s">
        <v>53</v>
      </c>
      <c r="AF325" s="64" t="s">
        <v>53</v>
      </c>
    </row>
    <row r="326" spans="1:32">
      <c r="A326" s="90">
        <f>AE322+0</f>
        <v>46235</v>
      </c>
      <c r="B326" s="90">
        <f>A326+1</f>
        <v>46236</v>
      </c>
      <c r="C326" s="80"/>
      <c r="D326" s="80"/>
      <c r="E326" s="72"/>
      <c r="F326" s="80"/>
      <c r="G326" s="72"/>
      <c r="H326" s="72"/>
      <c r="I326" s="80"/>
      <c r="J326" s="80"/>
      <c r="K326" s="80"/>
      <c r="L326" s="80"/>
      <c r="M326" s="80"/>
      <c r="N326" s="97"/>
      <c r="O326" s="97"/>
      <c r="P326" s="97"/>
      <c r="Q326" s="92"/>
      <c r="R326" s="92"/>
      <c r="S326" s="92"/>
      <c r="T326" s="92"/>
      <c r="U326" s="92"/>
      <c r="V326" s="92"/>
      <c r="W326" s="99"/>
      <c r="X326" s="92"/>
      <c r="Y326" s="92"/>
      <c r="Z326" s="92"/>
      <c r="AA326" s="92"/>
      <c r="AB326" s="92"/>
      <c r="AC326" s="92"/>
      <c r="AD326" s="100"/>
      <c r="AE326" s="92"/>
      <c r="AF326" s="92"/>
    </row>
    <row r="327" spans="1:32">
      <c r="A327" s="90">
        <f t="shared" ref="A327:A354" si="54">A326+1</f>
        <v>46236</v>
      </c>
      <c r="B327" s="90">
        <f t="shared" ref="B327:B354" si="55">A327+1</f>
        <v>46237</v>
      </c>
      <c r="C327" s="80"/>
      <c r="D327" s="80"/>
      <c r="E327" s="72"/>
      <c r="F327" s="80"/>
      <c r="G327" s="72"/>
      <c r="H327" s="72"/>
      <c r="I327" s="80"/>
      <c r="J327" s="80"/>
      <c r="K327" s="80"/>
      <c r="L327" s="80"/>
      <c r="M327" s="80"/>
      <c r="N327" s="97"/>
      <c r="O327" s="97"/>
      <c r="P327" s="97"/>
      <c r="Q327" s="92"/>
      <c r="R327" s="92"/>
      <c r="S327" s="92"/>
      <c r="T327" s="92"/>
      <c r="U327" s="92"/>
      <c r="V327" s="92"/>
      <c r="W327" s="99"/>
      <c r="X327" s="92"/>
      <c r="Y327" s="92"/>
      <c r="Z327" s="92"/>
      <c r="AA327" s="92"/>
      <c r="AB327" s="92"/>
      <c r="AC327" s="92"/>
      <c r="AD327" s="100"/>
      <c r="AE327" s="92"/>
      <c r="AF327" s="92"/>
    </row>
    <row r="328" spans="1:32">
      <c r="A328" s="90">
        <f t="shared" si="54"/>
        <v>46237</v>
      </c>
      <c r="B328" s="90">
        <f t="shared" si="55"/>
        <v>46238</v>
      </c>
      <c r="C328" s="80"/>
      <c r="D328" s="80"/>
      <c r="E328" s="72"/>
      <c r="F328" s="80"/>
      <c r="G328" s="72"/>
      <c r="H328" s="72"/>
      <c r="I328" s="80"/>
      <c r="J328" s="80"/>
      <c r="K328" s="80"/>
      <c r="L328" s="80"/>
      <c r="M328" s="80"/>
      <c r="N328" s="97"/>
      <c r="O328" s="97"/>
      <c r="P328" s="97"/>
      <c r="Q328" s="92"/>
      <c r="R328" s="92"/>
      <c r="S328" s="92"/>
      <c r="T328" s="92"/>
      <c r="U328" s="92"/>
      <c r="V328" s="92"/>
      <c r="W328" s="99"/>
      <c r="X328" s="92"/>
      <c r="Y328" s="92"/>
      <c r="Z328" s="92"/>
      <c r="AA328" s="92"/>
      <c r="AB328" s="92"/>
      <c r="AC328" s="92"/>
      <c r="AD328" s="100"/>
      <c r="AE328" s="92"/>
      <c r="AF328" s="92"/>
    </row>
    <row r="329" spans="1:32">
      <c r="A329" s="90">
        <f t="shared" si="54"/>
        <v>46238</v>
      </c>
      <c r="B329" s="90">
        <f t="shared" si="55"/>
        <v>46239</v>
      </c>
      <c r="C329" s="80"/>
      <c r="D329" s="80"/>
      <c r="E329" s="72"/>
      <c r="F329" s="80"/>
      <c r="G329" s="72"/>
      <c r="H329" s="72"/>
      <c r="I329" s="80"/>
      <c r="J329" s="80"/>
      <c r="K329" s="80"/>
      <c r="L329" s="80"/>
      <c r="M329" s="80"/>
      <c r="N329" s="97"/>
      <c r="O329" s="97"/>
      <c r="P329" s="97"/>
      <c r="Q329" s="92"/>
      <c r="R329" s="92"/>
      <c r="S329" s="92"/>
      <c r="T329" s="92"/>
      <c r="U329" s="92"/>
      <c r="V329" s="92"/>
      <c r="W329" s="99"/>
      <c r="X329" s="92"/>
      <c r="Y329" s="92"/>
      <c r="Z329" s="92"/>
      <c r="AA329" s="92"/>
      <c r="AB329" s="92"/>
      <c r="AC329" s="92"/>
      <c r="AD329" s="100"/>
      <c r="AE329" s="92"/>
      <c r="AF329" s="92"/>
    </row>
    <row r="330" spans="1:32">
      <c r="A330" s="90">
        <f t="shared" si="54"/>
        <v>46239</v>
      </c>
      <c r="B330" s="90">
        <f t="shared" si="55"/>
        <v>46240</v>
      </c>
      <c r="C330" s="80"/>
      <c r="D330" s="80"/>
      <c r="E330" s="72"/>
      <c r="F330" s="80"/>
      <c r="G330" s="72"/>
      <c r="H330" s="72"/>
      <c r="I330" s="80"/>
      <c r="J330" s="80"/>
      <c r="K330" s="80"/>
      <c r="L330" s="80"/>
      <c r="M330" s="80"/>
      <c r="N330" s="97"/>
      <c r="O330" s="97"/>
      <c r="P330" s="97"/>
      <c r="Q330" s="92"/>
      <c r="R330" s="92"/>
      <c r="S330" s="92"/>
      <c r="T330" s="92"/>
      <c r="U330" s="92"/>
      <c r="V330" s="92"/>
      <c r="W330" s="99"/>
      <c r="X330" s="92"/>
      <c r="Y330" s="92"/>
      <c r="Z330" s="92"/>
      <c r="AA330" s="92"/>
      <c r="AB330" s="92"/>
      <c r="AC330" s="92"/>
      <c r="AD330" s="100"/>
      <c r="AE330" s="92"/>
      <c r="AF330" s="92"/>
    </row>
    <row r="331" spans="1:32">
      <c r="A331" s="90">
        <f t="shared" si="54"/>
        <v>46240</v>
      </c>
      <c r="B331" s="90">
        <f t="shared" si="55"/>
        <v>46241</v>
      </c>
      <c r="C331" s="80"/>
      <c r="D331" s="80"/>
      <c r="E331" s="72"/>
      <c r="F331" s="80"/>
      <c r="G331" s="91"/>
      <c r="H331" s="72"/>
      <c r="I331" s="80"/>
      <c r="J331" s="80"/>
      <c r="K331" s="80"/>
      <c r="L331" s="80"/>
      <c r="M331" s="80"/>
      <c r="N331" s="97"/>
      <c r="O331" s="97"/>
      <c r="P331" s="97"/>
      <c r="Q331" s="92"/>
      <c r="R331" s="92"/>
      <c r="S331" s="92"/>
      <c r="T331" s="92"/>
      <c r="U331" s="92"/>
      <c r="V331" s="92"/>
      <c r="W331" s="99"/>
      <c r="X331" s="92"/>
      <c r="Y331" s="92"/>
      <c r="Z331" s="92"/>
      <c r="AA331" s="92"/>
      <c r="AB331" s="92"/>
      <c r="AC331" s="92"/>
      <c r="AD331" s="100"/>
      <c r="AE331" s="92"/>
      <c r="AF331" s="92"/>
    </row>
    <row r="332" spans="1:32">
      <c r="A332" s="90">
        <f t="shared" si="54"/>
        <v>46241</v>
      </c>
      <c r="B332" s="90">
        <f t="shared" si="55"/>
        <v>46242</v>
      </c>
      <c r="C332" s="80"/>
      <c r="D332" s="80"/>
      <c r="E332" s="72"/>
      <c r="F332" s="80"/>
      <c r="G332" s="72"/>
      <c r="H332" s="72"/>
      <c r="I332" s="80"/>
      <c r="J332" s="80"/>
      <c r="K332" s="80"/>
      <c r="L332" s="80"/>
      <c r="M332" s="80"/>
      <c r="N332" s="97"/>
      <c r="O332" s="97"/>
      <c r="P332" s="97"/>
      <c r="Q332" s="92"/>
      <c r="R332" s="92"/>
      <c r="S332" s="92"/>
      <c r="T332" s="92"/>
      <c r="U332" s="92"/>
      <c r="V332" s="92"/>
      <c r="W332" s="93"/>
      <c r="X332" s="92"/>
      <c r="Y332" s="92"/>
      <c r="Z332" s="100"/>
      <c r="AA332" s="92"/>
      <c r="AB332" s="92"/>
      <c r="AC332" s="101"/>
      <c r="AD332" s="101"/>
      <c r="AE332" s="101"/>
      <c r="AF332" s="92"/>
    </row>
    <row r="333" spans="1:32">
      <c r="A333" s="90">
        <f t="shared" si="54"/>
        <v>46242</v>
      </c>
      <c r="B333" s="90">
        <f t="shared" si="55"/>
        <v>46243</v>
      </c>
      <c r="C333" s="80"/>
      <c r="D333" s="80"/>
      <c r="E333" s="72"/>
      <c r="F333" s="80"/>
      <c r="G333" s="72"/>
      <c r="H333" s="72"/>
      <c r="I333" s="80"/>
      <c r="J333" s="80"/>
      <c r="K333" s="80"/>
      <c r="L333" s="80"/>
      <c r="M333" s="80"/>
      <c r="N333" s="97"/>
      <c r="O333" s="97"/>
      <c r="P333" s="97"/>
      <c r="Q333" s="92"/>
      <c r="R333" s="92"/>
      <c r="S333" s="92"/>
      <c r="T333" s="92"/>
      <c r="U333" s="92"/>
      <c r="V333" s="92"/>
      <c r="W333" s="99"/>
      <c r="X333" s="92"/>
      <c r="Y333" s="92"/>
      <c r="Z333" s="92"/>
      <c r="AA333" s="92"/>
      <c r="AB333" s="92"/>
      <c r="AC333" s="92"/>
      <c r="AD333" s="100"/>
      <c r="AE333" s="92"/>
      <c r="AF333" s="92"/>
    </row>
    <row r="334" spans="1:32">
      <c r="A334" s="90">
        <f t="shared" si="54"/>
        <v>46243</v>
      </c>
      <c r="B334" s="90">
        <f t="shared" si="55"/>
        <v>46244</v>
      </c>
      <c r="C334" s="80"/>
      <c r="D334" s="92"/>
      <c r="E334" s="72"/>
      <c r="F334" s="80"/>
      <c r="G334" s="72"/>
      <c r="H334" s="72"/>
      <c r="I334" s="80"/>
      <c r="J334" s="80"/>
      <c r="K334" s="80"/>
      <c r="L334" s="80"/>
      <c r="M334" s="80"/>
      <c r="N334" s="97"/>
      <c r="O334" s="97"/>
      <c r="P334" s="97"/>
      <c r="Q334" s="92"/>
      <c r="R334" s="92"/>
      <c r="S334" s="92"/>
      <c r="T334" s="92"/>
      <c r="U334" s="92"/>
      <c r="V334" s="92"/>
      <c r="W334" s="99"/>
      <c r="X334" s="92"/>
      <c r="Y334" s="92"/>
      <c r="Z334" s="92"/>
      <c r="AA334" s="92"/>
      <c r="AB334" s="92"/>
      <c r="AC334" s="92"/>
      <c r="AD334" s="100"/>
      <c r="AE334" s="92"/>
      <c r="AF334" s="92"/>
    </row>
    <row r="335" spans="1:32">
      <c r="A335" s="90">
        <f t="shared" si="54"/>
        <v>46244</v>
      </c>
      <c r="B335" s="90">
        <f t="shared" si="55"/>
        <v>46245</v>
      </c>
      <c r="C335" s="92"/>
      <c r="D335" s="92"/>
      <c r="E335" s="72"/>
      <c r="F335" s="80"/>
      <c r="G335" s="72"/>
      <c r="H335" s="72"/>
      <c r="I335" s="80"/>
      <c r="J335" s="80"/>
      <c r="K335" s="80"/>
      <c r="L335" s="80"/>
      <c r="M335" s="80"/>
      <c r="N335" s="97"/>
      <c r="O335" s="97"/>
      <c r="P335" s="97"/>
      <c r="Q335" s="92"/>
      <c r="R335" s="92"/>
      <c r="S335" s="92"/>
      <c r="T335" s="92"/>
      <c r="U335" s="92"/>
      <c r="V335" s="92"/>
      <c r="W335" s="99"/>
      <c r="X335" s="92"/>
      <c r="Y335" s="92"/>
      <c r="Z335" s="92"/>
      <c r="AA335" s="92"/>
      <c r="AB335" s="92"/>
      <c r="AC335" s="92"/>
      <c r="AD335" s="100"/>
      <c r="AE335" s="92"/>
      <c r="AF335" s="92"/>
    </row>
    <row r="336" spans="1:32">
      <c r="A336" s="90">
        <f t="shared" si="54"/>
        <v>46245</v>
      </c>
      <c r="B336" s="90">
        <f t="shared" si="55"/>
        <v>46246</v>
      </c>
      <c r="C336" s="92"/>
      <c r="D336" s="92"/>
      <c r="E336" s="72"/>
      <c r="F336" s="80"/>
      <c r="G336" s="72"/>
      <c r="H336" s="72"/>
      <c r="I336" s="80"/>
      <c r="J336" s="80"/>
      <c r="K336" s="80"/>
      <c r="L336" s="80"/>
      <c r="M336" s="80"/>
      <c r="N336" s="97"/>
      <c r="O336" s="97"/>
      <c r="P336" s="97"/>
      <c r="Q336" s="92"/>
      <c r="R336" s="92"/>
      <c r="S336" s="92"/>
      <c r="T336" s="92"/>
      <c r="U336" s="92"/>
      <c r="V336" s="92"/>
      <c r="W336" s="93"/>
      <c r="X336" s="92"/>
      <c r="Y336" s="92"/>
      <c r="Z336" s="92"/>
      <c r="AA336" s="92"/>
      <c r="AB336" s="92"/>
      <c r="AC336" s="92"/>
      <c r="AD336" s="92"/>
      <c r="AE336" s="92"/>
      <c r="AF336" s="92"/>
    </row>
    <row r="337" spans="1:32">
      <c r="A337" s="90">
        <f t="shared" si="54"/>
        <v>46246</v>
      </c>
      <c r="B337" s="90">
        <f t="shared" si="55"/>
        <v>46247</v>
      </c>
      <c r="C337" s="92"/>
      <c r="D337" s="92"/>
      <c r="E337" s="72"/>
      <c r="F337" s="80"/>
      <c r="G337" s="72"/>
      <c r="H337" s="72"/>
      <c r="I337" s="80"/>
      <c r="J337" s="80"/>
      <c r="K337" s="80"/>
      <c r="L337" s="80"/>
      <c r="M337" s="80"/>
      <c r="N337" s="97"/>
      <c r="O337" s="97"/>
      <c r="P337" s="97"/>
      <c r="Q337" s="92"/>
      <c r="R337" s="92"/>
      <c r="S337" s="92"/>
      <c r="T337" s="92"/>
      <c r="U337" s="92"/>
      <c r="V337" s="92"/>
      <c r="W337" s="99"/>
      <c r="X337" s="92"/>
      <c r="Y337" s="92"/>
      <c r="Z337" s="92"/>
      <c r="AA337" s="92"/>
      <c r="AB337" s="92"/>
      <c r="AC337" s="92"/>
      <c r="AD337" s="100"/>
      <c r="AE337" s="92"/>
      <c r="AF337" s="92"/>
    </row>
    <row r="338" spans="1:32">
      <c r="A338" s="90">
        <f t="shared" si="54"/>
        <v>46247</v>
      </c>
      <c r="B338" s="90">
        <f t="shared" si="55"/>
        <v>46248</v>
      </c>
      <c r="C338" s="92"/>
      <c r="D338" s="92"/>
      <c r="E338" s="72"/>
      <c r="F338" s="80"/>
      <c r="G338" s="72"/>
      <c r="H338" s="72"/>
      <c r="I338" s="80"/>
      <c r="J338" s="80"/>
      <c r="K338" s="80"/>
      <c r="L338" s="80"/>
      <c r="M338" s="80"/>
      <c r="N338" s="97"/>
      <c r="O338" s="97"/>
      <c r="P338" s="97"/>
      <c r="Q338" s="92"/>
      <c r="R338" s="92"/>
      <c r="S338" s="92"/>
      <c r="T338" s="92"/>
      <c r="U338" s="92"/>
      <c r="V338" s="92"/>
      <c r="W338" s="99"/>
      <c r="X338" s="92"/>
      <c r="Y338" s="92"/>
      <c r="Z338" s="92"/>
      <c r="AA338" s="92"/>
      <c r="AB338" s="92"/>
      <c r="AC338" s="92"/>
      <c r="AD338" s="100"/>
      <c r="AE338" s="92"/>
      <c r="AF338" s="92"/>
    </row>
    <row r="339" spans="1:32">
      <c r="A339" s="90">
        <f t="shared" si="54"/>
        <v>46248</v>
      </c>
      <c r="B339" s="90">
        <f t="shared" si="55"/>
        <v>46249</v>
      </c>
      <c r="C339" s="92"/>
      <c r="D339" s="92"/>
      <c r="E339" s="72"/>
      <c r="F339" s="80"/>
      <c r="G339" s="72"/>
      <c r="H339" s="72"/>
      <c r="I339" s="80"/>
      <c r="J339" s="80"/>
      <c r="K339" s="80"/>
      <c r="L339" s="80"/>
      <c r="M339" s="80"/>
      <c r="N339" s="97"/>
      <c r="O339" s="97"/>
      <c r="P339" s="97"/>
      <c r="Q339" s="92"/>
      <c r="R339" s="92"/>
      <c r="S339" s="92"/>
      <c r="T339" s="92"/>
      <c r="U339" s="92"/>
      <c r="V339" s="92"/>
      <c r="W339" s="93"/>
      <c r="X339" s="92"/>
      <c r="Y339" s="92"/>
      <c r="Z339" s="100"/>
      <c r="AA339" s="92"/>
      <c r="AB339" s="92"/>
      <c r="AC339" s="101"/>
      <c r="AD339" s="92"/>
      <c r="AE339" s="101"/>
      <c r="AF339" s="92"/>
    </row>
    <row r="340" spans="1:32">
      <c r="A340" s="90">
        <f t="shared" si="54"/>
        <v>46249</v>
      </c>
      <c r="B340" s="90">
        <f t="shared" si="55"/>
        <v>46250</v>
      </c>
      <c r="C340" s="80"/>
      <c r="D340" s="80"/>
      <c r="E340" s="72"/>
      <c r="F340" s="80"/>
      <c r="G340" s="72"/>
      <c r="H340" s="72"/>
      <c r="I340" s="80"/>
      <c r="J340" s="80"/>
      <c r="K340" s="80"/>
      <c r="L340" s="80"/>
      <c r="M340" s="80"/>
      <c r="N340" s="97"/>
      <c r="O340" s="97"/>
      <c r="P340" s="97"/>
      <c r="Q340" s="92"/>
      <c r="R340" s="92"/>
      <c r="S340" s="92"/>
      <c r="T340" s="92"/>
      <c r="U340" s="92"/>
      <c r="V340" s="92"/>
      <c r="W340" s="99"/>
      <c r="X340" s="92"/>
      <c r="Y340" s="92"/>
      <c r="Z340" s="92"/>
      <c r="AA340" s="92"/>
      <c r="AB340" s="92"/>
      <c r="AC340" s="92"/>
      <c r="AD340" s="100"/>
      <c r="AE340" s="92"/>
      <c r="AF340" s="92"/>
    </row>
    <row r="341" spans="1:32">
      <c r="A341" s="90">
        <f t="shared" si="54"/>
        <v>46250</v>
      </c>
      <c r="B341" s="90">
        <f t="shared" si="55"/>
        <v>46251</v>
      </c>
      <c r="C341" s="92"/>
      <c r="D341" s="92"/>
      <c r="E341" s="72"/>
      <c r="F341" s="80"/>
      <c r="G341" s="72"/>
      <c r="H341" s="72"/>
      <c r="I341" s="80"/>
      <c r="J341" s="80"/>
      <c r="K341" s="80"/>
      <c r="L341" s="80"/>
      <c r="M341" s="80"/>
      <c r="N341" s="97"/>
      <c r="O341" s="97"/>
      <c r="P341" s="97"/>
      <c r="Q341" s="92"/>
      <c r="R341" s="92"/>
      <c r="S341" s="92"/>
      <c r="T341" s="92"/>
      <c r="U341" s="92"/>
      <c r="V341" s="92"/>
      <c r="W341" s="99"/>
      <c r="X341" s="92"/>
      <c r="Y341" s="92"/>
      <c r="Z341" s="92"/>
      <c r="AA341" s="92"/>
      <c r="AB341" s="92"/>
      <c r="AC341" s="92"/>
      <c r="AD341" s="100"/>
      <c r="AE341" s="92"/>
      <c r="AF341" s="92"/>
    </row>
    <row r="342" spans="1:32">
      <c r="A342" s="90">
        <f t="shared" si="54"/>
        <v>46251</v>
      </c>
      <c r="B342" s="90">
        <f t="shared" si="55"/>
        <v>46252</v>
      </c>
      <c r="C342" s="92"/>
      <c r="D342" s="92"/>
      <c r="E342" s="72"/>
      <c r="F342" s="80"/>
      <c r="G342" s="72"/>
      <c r="H342" s="72"/>
      <c r="I342" s="80"/>
      <c r="J342" s="80"/>
      <c r="K342" s="80"/>
      <c r="L342" s="80"/>
      <c r="M342" s="80"/>
      <c r="N342" s="97"/>
      <c r="O342" s="97"/>
      <c r="P342" s="97"/>
      <c r="Q342" s="92"/>
      <c r="R342" s="92"/>
      <c r="S342" s="92"/>
      <c r="T342" s="92"/>
      <c r="U342" s="92"/>
      <c r="V342" s="92"/>
      <c r="W342" s="99"/>
      <c r="X342" s="92"/>
      <c r="Y342" s="92"/>
      <c r="Z342" s="92"/>
      <c r="AA342" s="92"/>
      <c r="AB342" s="92"/>
      <c r="AC342" s="92"/>
      <c r="AD342" s="100"/>
      <c r="AE342" s="92"/>
      <c r="AF342" s="92"/>
    </row>
    <row r="343" spans="1:32">
      <c r="A343" s="90">
        <f t="shared" si="54"/>
        <v>46252</v>
      </c>
      <c r="B343" s="90">
        <f t="shared" si="55"/>
        <v>46253</v>
      </c>
      <c r="C343" s="92"/>
      <c r="D343" s="92"/>
      <c r="E343" s="72"/>
      <c r="F343" s="80"/>
      <c r="G343" s="72"/>
      <c r="H343" s="72"/>
      <c r="I343" s="80"/>
      <c r="J343" s="80"/>
      <c r="K343" s="80"/>
      <c r="L343" s="80"/>
      <c r="M343" s="80"/>
      <c r="N343" s="97"/>
      <c r="O343" s="97"/>
      <c r="P343" s="97"/>
      <c r="Q343" s="92"/>
      <c r="R343" s="92"/>
      <c r="S343" s="92"/>
      <c r="T343" s="92"/>
      <c r="U343" s="92"/>
      <c r="V343" s="92"/>
      <c r="W343" s="99"/>
      <c r="X343" s="92"/>
      <c r="Y343" s="92"/>
      <c r="Z343" s="92"/>
      <c r="AA343" s="92"/>
      <c r="AB343" s="92"/>
      <c r="AC343" s="92"/>
      <c r="AD343" s="100"/>
      <c r="AE343" s="92"/>
      <c r="AF343" s="92"/>
    </row>
    <row r="344" spans="1:32">
      <c r="A344" s="90">
        <f t="shared" si="54"/>
        <v>46253</v>
      </c>
      <c r="B344" s="90">
        <f t="shared" si="55"/>
        <v>46254</v>
      </c>
      <c r="C344" s="92"/>
      <c r="D344" s="92"/>
      <c r="E344" s="93"/>
      <c r="F344" s="92"/>
      <c r="G344" s="93"/>
      <c r="H344" s="93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9"/>
      <c r="X344" s="92"/>
      <c r="Y344" s="92"/>
      <c r="Z344" s="92"/>
      <c r="AA344" s="92"/>
      <c r="AB344" s="92"/>
      <c r="AC344" s="92"/>
      <c r="AD344" s="100"/>
      <c r="AE344" s="92"/>
      <c r="AF344" s="92"/>
    </row>
    <row r="345" spans="1:32">
      <c r="A345" s="90">
        <f t="shared" si="54"/>
        <v>46254</v>
      </c>
      <c r="B345" s="90">
        <f t="shared" si="55"/>
        <v>46255</v>
      </c>
      <c r="C345" s="92"/>
      <c r="D345" s="92"/>
      <c r="E345" s="93"/>
      <c r="F345" s="92"/>
      <c r="G345" s="93"/>
      <c r="H345" s="93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9"/>
      <c r="X345" s="92"/>
      <c r="Y345" s="92"/>
      <c r="Z345" s="92"/>
      <c r="AA345" s="92"/>
      <c r="AB345" s="92"/>
      <c r="AC345" s="92"/>
      <c r="AD345" s="100"/>
      <c r="AE345" s="92"/>
      <c r="AF345" s="92"/>
    </row>
    <row r="346" spans="1:32">
      <c r="A346" s="90">
        <f t="shared" si="54"/>
        <v>46255</v>
      </c>
      <c r="B346" s="90">
        <f t="shared" si="55"/>
        <v>46256</v>
      </c>
      <c r="C346" s="92"/>
      <c r="D346" s="92"/>
      <c r="E346" s="93"/>
      <c r="F346" s="92"/>
      <c r="G346" s="93"/>
      <c r="H346" s="93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9"/>
      <c r="X346" s="92"/>
      <c r="Y346" s="92"/>
      <c r="Z346" s="92"/>
      <c r="AA346" s="92"/>
      <c r="AB346" s="92"/>
      <c r="AC346" s="92"/>
      <c r="AD346" s="100"/>
      <c r="AE346" s="92"/>
      <c r="AF346" s="92"/>
    </row>
    <row r="347" spans="1:32">
      <c r="A347" s="90">
        <f t="shared" si="54"/>
        <v>46256</v>
      </c>
      <c r="B347" s="90">
        <f t="shared" si="55"/>
        <v>46257</v>
      </c>
      <c r="C347" s="94"/>
      <c r="D347" s="92"/>
      <c r="E347" s="72"/>
      <c r="F347" s="80"/>
      <c r="G347" s="72"/>
      <c r="H347" s="72"/>
      <c r="I347" s="80"/>
      <c r="J347" s="80"/>
      <c r="K347" s="80"/>
      <c r="L347" s="98"/>
      <c r="M347" s="80"/>
      <c r="N347" s="97"/>
      <c r="O347" s="97"/>
      <c r="P347" s="97"/>
      <c r="Q347" s="92"/>
      <c r="R347" s="92"/>
      <c r="S347" s="92"/>
      <c r="T347" s="92"/>
      <c r="U347" s="92"/>
      <c r="V347" s="92"/>
      <c r="W347" s="93"/>
      <c r="X347" s="92"/>
      <c r="Y347" s="92"/>
      <c r="Z347" s="92"/>
      <c r="AA347" s="92"/>
      <c r="AB347" s="92"/>
      <c r="AC347" s="92"/>
      <c r="AD347" s="92"/>
      <c r="AE347" s="92"/>
      <c r="AF347" s="92"/>
    </row>
    <row r="348" spans="1:32">
      <c r="A348" s="90">
        <f t="shared" si="54"/>
        <v>46257</v>
      </c>
      <c r="B348" s="90">
        <f t="shared" si="55"/>
        <v>46258</v>
      </c>
      <c r="C348" s="92"/>
      <c r="D348" s="92"/>
      <c r="E348" s="93"/>
      <c r="F348" s="92"/>
      <c r="G348" s="93"/>
      <c r="H348" s="93"/>
      <c r="I348" s="92"/>
      <c r="J348" s="92"/>
      <c r="K348" s="92"/>
      <c r="L348" s="92"/>
      <c r="M348" s="92"/>
      <c r="N348" s="94"/>
      <c r="O348" s="94"/>
      <c r="P348" s="94"/>
      <c r="Q348" s="92"/>
      <c r="R348" s="92"/>
      <c r="S348" s="92"/>
      <c r="T348" s="92"/>
      <c r="U348" s="92"/>
      <c r="V348" s="92"/>
      <c r="W348" s="93"/>
      <c r="X348" s="92"/>
      <c r="Y348" s="92"/>
      <c r="Z348" s="92"/>
      <c r="AA348" s="92"/>
      <c r="AB348" s="92"/>
      <c r="AC348" s="92"/>
      <c r="AD348" s="100"/>
      <c r="AE348" s="92"/>
      <c r="AF348" s="92"/>
    </row>
    <row r="349" spans="1:32">
      <c r="A349" s="90">
        <f t="shared" si="54"/>
        <v>46258</v>
      </c>
      <c r="B349" s="90">
        <f t="shared" si="55"/>
        <v>46259</v>
      </c>
      <c r="C349" s="92"/>
      <c r="D349" s="92"/>
      <c r="E349" s="93"/>
      <c r="F349" s="92"/>
      <c r="G349" s="93"/>
      <c r="H349" s="93"/>
      <c r="I349" s="92"/>
      <c r="J349" s="92"/>
      <c r="K349" s="92"/>
      <c r="L349" s="92"/>
      <c r="M349" s="92"/>
      <c r="N349" s="94"/>
      <c r="O349" s="94"/>
      <c r="P349" s="94"/>
      <c r="Q349" s="92"/>
      <c r="R349" s="92"/>
      <c r="S349" s="92"/>
      <c r="T349" s="92"/>
      <c r="U349" s="92"/>
      <c r="V349" s="92"/>
      <c r="W349" s="93"/>
      <c r="X349" s="92"/>
      <c r="Y349" s="92"/>
      <c r="Z349" s="100"/>
      <c r="AA349" s="92"/>
      <c r="AB349" s="92"/>
      <c r="AC349" s="101"/>
      <c r="AD349" s="101"/>
      <c r="AE349" s="101"/>
      <c r="AF349" s="92"/>
    </row>
    <row r="350" spans="1:32">
      <c r="A350" s="90">
        <f t="shared" si="54"/>
        <v>46259</v>
      </c>
      <c r="B350" s="90">
        <f t="shared" si="55"/>
        <v>46260</v>
      </c>
      <c r="C350" s="92"/>
      <c r="D350" s="92"/>
      <c r="E350" s="93"/>
      <c r="F350" s="92"/>
      <c r="G350" s="93"/>
      <c r="H350" s="93"/>
      <c r="I350" s="92"/>
      <c r="J350" s="92"/>
      <c r="K350" s="92"/>
      <c r="L350" s="92"/>
      <c r="M350" s="92"/>
      <c r="N350" s="94"/>
      <c r="O350" s="94"/>
      <c r="P350" s="94"/>
      <c r="Q350" s="92"/>
      <c r="R350" s="92"/>
      <c r="S350" s="92"/>
      <c r="T350" s="92"/>
      <c r="U350" s="92"/>
      <c r="V350" s="92"/>
      <c r="W350" s="99"/>
      <c r="X350" s="92"/>
      <c r="Y350" s="92"/>
      <c r="Z350" s="92"/>
      <c r="AA350" s="92"/>
      <c r="AB350" s="92"/>
      <c r="AC350" s="92"/>
      <c r="AD350" s="100"/>
      <c r="AE350" s="92"/>
      <c r="AF350" s="92"/>
    </row>
    <row r="351" spans="1:32">
      <c r="A351" s="90">
        <f t="shared" si="54"/>
        <v>46260</v>
      </c>
      <c r="B351" s="90">
        <f t="shared" si="55"/>
        <v>46261</v>
      </c>
      <c r="C351" s="92"/>
      <c r="D351" s="92"/>
      <c r="E351" s="93"/>
      <c r="F351" s="92"/>
      <c r="G351" s="93"/>
      <c r="H351" s="93"/>
      <c r="I351" s="92"/>
      <c r="J351" s="92"/>
      <c r="K351" s="92"/>
      <c r="L351" s="92"/>
      <c r="M351" s="92"/>
      <c r="N351" s="94"/>
      <c r="O351" s="94"/>
      <c r="P351" s="94"/>
      <c r="Q351" s="92"/>
      <c r="R351" s="92"/>
      <c r="S351" s="92"/>
      <c r="T351" s="92"/>
      <c r="U351" s="92"/>
      <c r="V351" s="92"/>
      <c r="W351" s="99"/>
      <c r="X351" s="92"/>
      <c r="Y351" s="92"/>
      <c r="Z351" s="92"/>
      <c r="AA351" s="92"/>
      <c r="AB351" s="92"/>
      <c r="AC351" s="92"/>
      <c r="AD351" s="100"/>
      <c r="AE351" s="92"/>
      <c r="AF351" s="92"/>
    </row>
    <row r="352" spans="1:32">
      <c r="A352" s="90">
        <f t="shared" si="54"/>
        <v>46261</v>
      </c>
      <c r="B352" s="90">
        <f t="shared" si="55"/>
        <v>46262</v>
      </c>
      <c r="C352" s="92"/>
      <c r="D352" s="92"/>
      <c r="E352" s="93"/>
      <c r="F352" s="92"/>
      <c r="G352" s="93"/>
      <c r="H352" s="93"/>
      <c r="I352" s="92"/>
      <c r="J352" s="92"/>
      <c r="K352" s="92"/>
      <c r="L352" s="92"/>
      <c r="M352" s="92"/>
      <c r="N352" s="94"/>
      <c r="O352" s="94"/>
      <c r="P352" s="94"/>
      <c r="Q352" s="92"/>
      <c r="R352" s="92"/>
      <c r="S352" s="92"/>
      <c r="T352" s="92"/>
      <c r="U352" s="92"/>
      <c r="V352" s="92"/>
      <c r="W352" s="99"/>
      <c r="X352" s="92"/>
      <c r="Y352" s="92"/>
      <c r="Z352" s="92"/>
      <c r="AA352" s="92"/>
      <c r="AB352" s="92"/>
      <c r="AC352" s="92"/>
      <c r="AD352" s="100"/>
      <c r="AE352" s="92"/>
      <c r="AF352" s="92"/>
    </row>
    <row r="353" spans="1:32">
      <c r="A353" s="90">
        <f t="shared" si="54"/>
        <v>46262</v>
      </c>
      <c r="B353" s="90">
        <f t="shared" si="55"/>
        <v>46263</v>
      </c>
      <c r="C353" s="92"/>
      <c r="D353" s="92"/>
      <c r="E353" s="93"/>
      <c r="F353" s="92"/>
      <c r="G353" s="93"/>
      <c r="H353" s="93"/>
      <c r="I353" s="92"/>
      <c r="J353" s="92"/>
      <c r="K353" s="92"/>
      <c r="L353" s="92"/>
      <c r="M353" s="92"/>
      <c r="N353" s="94"/>
      <c r="O353" s="94"/>
      <c r="P353" s="94"/>
      <c r="Q353" s="92"/>
      <c r="R353" s="92"/>
      <c r="S353" s="92"/>
      <c r="T353" s="92"/>
      <c r="U353" s="92"/>
      <c r="V353" s="92"/>
      <c r="W353" s="99"/>
      <c r="X353" s="92"/>
      <c r="Y353" s="92"/>
      <c r="Z353" s="92"/>
      <c r="AA353" s="92"/>
      <c r="AB353" s="92"/>
      <c r="AC353" s="92"/>
      <c r="AD353" s="100"/>
      <c r="AE353" s="92"/>
      <c r="AF353" s="92"/>
    </row>
    <row r="354" spans="1:32">
      <c r="A354" s="90">
        <f t="shared" si="54"/>
        <v>46263</v>
      </c>
      <c r="B354" s="90">
        <f t="shared" si="55"/>
        <v>46264</v>
      </c>
      <c r="C354" s="92"/>
      <c r="D354" s="92"/>
      <c r="E354" s="93"/>
      <c r="F354" s="92"/>
      <c r="G354" s="93"/>
      <c r="H354" s="93"/>
      <c r="I354" s="92"/>
      <c r="J354" s="92"/>
      <c r="K354" s="92"/>
      <c r="L354" s="92"/>
      <c r="M354" s="92"/>
      <c r="N354" s="94"/>
      <c r="O354" s="94"/>
      <c r="P354" s="94"/>
      <c r="Q354" s="92"/>
      <c r="R354" s="92"/>
      <c r="S354" s="92"/>
      <c r="T354" s="92"/>
      <c r="U354" s="92"/>
      <c r="V354" s="92"/>
      <c r="W354" s="99"/>
      <c r="X354" s="92"/>
      <c r="Y354" s="92"/>
      <c r="Z354" s="92"/>
      <c r="AA354" s="92"/>
      <c r="AB354" s="92"/>
      <c r="AC354" s="92"/>
      <c r="AD354" s="100"/>
      <c r="AE354" s="92"/>
      <c r="AF354" s="92"/>
    </row>
    <row r="355" spans="1:32">
      <c r="A355" s="90">
        <v>45777</v>
      </c>
      <c r="B355" s="90">
        <v>45778</v>
      </c>
      <c r="C355" s="80"/>
      <c r="D355" s="80"/>
      <c r="E355" s="72"/>
      <c r="F355" s="80"/>
      <c r="G355" s="72"/>
      <c r="H355" s="72"/>
      <c r="I355" s="80"/>
      <c r="J355" s="80"/>
      <c r="K355" s="80"/>
      <c r="L355" s="80"/>
      <c r="M355" s="80"/>
      <c r="N355" s="97"/>
      <c r="O355" s="97"/>
      <c r="P355" s="97"/>
      <c r="Q355" s="92"/>
      <c r="R355" s="92"/>
      <c r="S355" s="92"/>
      <c r="T355" s="92"/>
      <c r="U355" s="92"/>
      <c r="V355" s="92"/>
      <c r="W355" s="99"/>
      <c r="X355" s="92"/>
      <c r="Y355" s="92"/>
      <c r="Z355" s="92"/>
      <c r="AA355" s="92"/>
      <c r="AB355" s="92"/>
      <c r="AC355" s="92"/>
      <c r="AD355" s="100"/>
      <c r="AE355" s="92"/>
      <c r="AF355" s="92"/>
    </row>
    <row r="356" spans="1:32">
      <c r="A356" s="324" t="s">
        <v>31</v>
      </c>
      <c r="B356" s="324"/>
      <c r="C356" s="95">
        <f t="shared" ref="C356:AF356" si="56">MIN(C326:C355)</f>
        <v>0</v>
      </c>
      <c r="D356" s="95">
        <f t="shared" si="56"/>
        <v>0</v>
      </c>
      <c r="E356" s="96">
        <f t="shared" si="56"/>
        <v>0</v>
      </c>
      <c r="F356" s="95">
        <f t="shared" si="56"/>
        <v>0</v>
      </c>
      <c r="G356" s="96">
        <f t="shared" si="56"/>
        <v>0</v>
      </c>
      <c r="H356" s="96">
        <f t="shared" si="56"/>
        <v>0</v>
      </c>
      <c r="I356" s="95">
        <f t="shared" si="56"/>
        <v>0</v>
      </c>
      <c r="J356" s="95">
        <f t="shared" si="56"/>
        <v>0</v>
      </c>
      <c r="K356" s="95">
        <f t="shared" si="56"/>
        <v>0</v>
      </c>
      <c r="L356" s="95">
        <f t="shared" si="56"/>
        <v>0</v>
      </c>
      <c r="M356" s="95">
        <f t="shared" si="56"/>
        <v>0</v>
      </c>
      <c r="N356" s="95">
        <f t="shared" si="56"/>
        <v>0</v>
      </c>
      <c r="O356" s="95">
        <f t="shared" si="56"/>
        <v>0</v>
      </c>
      <c r="P356" s="95">
        <f t="shared" si="56"/>
        <v>0</v>
      </c>
      <c r="Q356" s="95">
        <f t="shared" si="56"/>
        <v>0</v>
      </c>
      <c r="R356" s="95">
        <f t="shared" si="56"/>
        <v>0</v>
      </c>
      <c r="S356" s="95">
        <f t="shared" si="56"/>
        <v>0</v>
      </c>
      <c r="T356" s="95">
        <f t="shared" si="56"/>
        <v>0</v>
      </c>
      <c r="U356" s="95">
        <f t="shared" si="56"/>
        <v>0</v>
      </c>
      <c r="V356" s="95">
        <f t="shared" si="56"/>
        <v>0</v>
      </c>
      <c r="W356" s="96">
        <f t="shared" si="56"/>
        <v>0</v>
      </c>
      <c r="X356" s="95">
        <f t="shared" si="56"/>
        <v>0</v>
      </c>
      <c r="Y356" s="95">
        <f t="shared" si="56"/>
        <v>0</v>
      </c>
      <c r="Z356" s="95">
        <f t="shared" si="56"/>
        <v>0</v>
      </c>
      <c r="AA356" s="95">
        <f t="shared" si="56"/>
        <v>0</v>
      </c>
      <c r="AB356" s="95">
        <f t="shared" si="56"/>
        <v>0</v>
      </c>
      <c r="AC356" s="95">
        <f t="shared" si="56"/>
        <v>0</v>
      </c>
      <c r="AD356" s="95">
        <f t="shared" si="56"/>
        <v>0</v>
      </c>
      <c r="AE356" s="95">
        <f t="shared" si="56"/>
        <v>0</v>
      </c>
      <c r="AF356" s="95">
        <f t="shared" si="56"/>
        <v>0</v>
      </c>
    </row>
    <row r="357" spans="1:32">
      <c r="A357" s="324" t="s">
        <v>33</v>
      </c>
      <c r="B357" s="324"/>
      <c r="C357" s="95">
        <f t="shared" ref="C357:AF357" si="57">MAX(C326:C355)</f>
        <v>0</v>
      </c>
      <c r="D357" s="95">
        <f t="shared" si="57"/>
        <v>0</v>
      </c>
      <c r="E357" s="96">
        <f t="shared" si="57"/>
        <v>0</v>
      </c>
      <c r="F357" s="95">
        <f t="shared" si="57"/>
        <v>0</v>
      </c>
      <c r="G357" s="96">
        <f t="shared" si="57"/>
        <v>0</v>
      </c>
      <c r="H357" s="96">
        <f t="shared" si="57"/>
        <v>0</v>
      </c>
      <c r="I357" s="95">
        <f t="shared" si="57"/>
        <v>0</v>
      </c>
      <c r="J357" s="95">
        <f t="shared" si="57"/>
        <v>0</v>
      </c>
      <c r="K357" s="95">
        <f t="shared" si="57"/>
        <v>0</v>
      </c>
      <c r="L357" s="95">
        <f t="shared" si="57"/>
        <v>0</v>
      </c>
      <c r="M357" s="95">
        <f t="shared" si="57"/>
        <v>0</v>
      </c>
      <c r="N357" s="95">
        <f t="shared" si="57"/>
        <v>0</v>
      </c>
      <c r="O357" s="95">
        <f t="shared" si="57"/>
        <v>0</v>
      </c>
      <c r="P357" s="95">
        <f t="shared" si="57"/>
        <v>0</v>
      </c>
      <c r="Q357" s="95">
        <f t="shared" si="57"/>
        <v>0</v>
      </c>
      <c r="R357" s="95">
        <f t="shared" si="57"/>
        <v>0</v>
      </c>
      <c r="S357" s="95">
        <f t="shared" si="57"/>
        <v>0</v>
      </c>
      <c r="T357" s="95">
        <f t="shared" si="57"/>
        <v>0</v>
      </c>
      <c r="U357" s="95">
        <f t="shared" si="57"/>
        <v>0</v>
      </c>
      <c r="V357" s="95">
        <f t="shared" si="57"/>
        <v>0</v>
      </c>
      <c r="W357" s="96">
        <f t="shared" si="57"/>
        <v>0</v>
      </c>
      <c r="X357" s="95">
        <f t="shared" si="57"/>
        <v>0</v>
      </c>
      <c r="Y357" s="95">
        <f t="shared" si="57"/>
        <v>0</v>
      </c>
      <c r="Z357" s="95">
        <f t="shared" si="57"/>
        <v>0</v>
      </c>
      <c r="AA357" s="95">
        <f t="shared" si="57"/>
        <v>0</v>
      </c>
      <c r="AB357" s="95">
        <f t="shared" si="57"/>
        <v>0</v>
      </c>
      <c r="AC357" s="95">
        <f t="shared" si="57"/>
        <v>0</v>
      </c>
      <c r="AD357" s="95">
        <f t="shared" si="57"/>
        <v>0</v>
      </c>
      <c r="AE357" s="95">
        <f t="shared" si="57"/>
        <v>0</v>
      </c>
      <c r="AF357" s="95">
        <f t="shared" si="57"/>
        <v>0</v>
      </c>
    </row>
    <row r="358" spans="1:32">
      <c r="A358" s="324" t="s">
        <v>36</v>
      </c>
      <c r="B358" s="324"/>
      <c r="C358" s="95" t="e">
        <f t="shared" ref="C358:AF358" si="58">AVERAGE(C326:C355)</f>
        <v>#DIV/0!</v>
      </c>
      <c r="D358" s="95" t="e">
        <f t="shared" si="58"/>
        <v>#DIV/0!</v>
      </c>
      <c r="E358" s="96" t="e">
        <f t="shared" si="58"/>
        <v>#DIV/0!</v>
      </c>
      <c r="F358" s="95" t="e">
        <f t="shared" si="58"/>
        <v>#DIV/0!</v>
      </c>
      <c r="G358" s="96" t="e">
        <f t="shared" si="58"/>
        <v>#DIV/0!</v>
      </c>
      <c r="H358" s="96" t="e">
        <f t="shared" si="58"/>
        <v>#DIV/0!</v>
      </c>
      <c r="I358" s="95" t="e">
        <f t="shared" si="58"/>
        <v>#DIV/0!</v>
      </c>
      <c r="J358" s="95" t="e">
        <f t="shared" si="58"/>
        <v>#DIV/0!</v>
      </c>
      <c r="K358" s="95" t="e">
        <f t="shared" si="58"/>
        <v>#DIV/0!</v>
      </c>
      <c r="L358" s="95" t="e">
        <f t="shared" si="58"/>
        <v>#DIV/0!</v>
      </c>
      <c r="M358" s="95" t="e">
        <f t="shared" si="58"/>
        <v>#DIV/0!</v>
      </c>
      <c r="N358" s="95" t="e">
        <f t="shared" si="58"/>
        <v>#DIV/0!</v>
      </c>
      <c r="O358" s="95" t="e">
        <f t="shared" si="58"/>
        <v>#DIV/0!</v>
      </c>
      <c r="P358" s="95" t="e">
        <f t="shared" si="58"/>
        <v>#DIV/0!</v>
      </c>
      <c r="Q358" s="95" t="e">
        <f t="shared" si="58"/>
        <v>#DIV/0!</v>
      </c>
      <c r="R358" s="95" t="e">
        <f t="shared" si="58"/>
        <v>#DIV/0!</v>
      </c>
      <c r="S358" s="95" t="e">
        <f t="shared" si="58"/>
        <v>#DIV/0!</v>
      </c>
      <c r="T358" s="95" t="e">
        <f t="shared" si="58"/>
        <v>#DIV/0!</v>
      </c>
      <c r="U358" s="95" t="e">
        <f t="shared" si="58"/>
        <v>#DIV/0!</v>
      </c>
      <c r="V358" s="95" t="e">
        <f t="shared" si="58"/>
        <v>#DIV/0!</v>
      </c>
      <c r="W358" s="96" t="e">
        <f t="shared" si="58"/>
        <v>#DIV/0!</v>
      </c>
      <c r="X358" s="95" t="e">
        <f t="shared" si="58"/>
        <v>#DIV/0!</v>
      </c>
      <c r="Y358" s="95" t="e">
        <f t="shared" si="58"/>
        <v>#DIV/0!</v>
      </c>
      <c r="Z358" s="95" t="e">
        <f t="shared" si="58"/>
        <v>#DIV/0!</v>
      </c>
      <c r="AA358" s="95" t="e">
        <f t="shared" si="58"/>
        <v>#DIV/0!</v>
      </c>
      <c r="AB358" s="95" t="e">
        <f t="shared" si="58"/>
        <v>#DIV/0!</v>
      </c>
      <c r="AC358" s="95" t="e">
        <f t="shared" si="58"/>
        <v>#DIV/0!</v>
      </c>
      <c r="AD358" s="95" t="e">
        <f t="shared" si="58"/>
        <v>#DIV/0!</v>
      </c>
      <c r="AE358" s="95" t="e">
        <f t="shared" si="58"/>
        <v>#DIV/0!</v>
      </c>
      <c r="AF358" s="95" t="e">
        <f t="shared" si="58"/>
        <v>#DIV/0!</v>
      </c>
    </row>
    <row r="359" spans="1:32">
      <c r="A359" s="324" t="s">
        <v>130</v>
      </c>
      <c r="B359" s="324"/>
      <c r="C359" s="95" t="e">
        <f t="shared" ref="C359:AF359" si="59">STDEV(C326:C355)</f>
        <v>#DIV/0!</v>
      </c>
      <c r="D359" s="95" t="e">
        <f t="shared" si="59"/>
        <v>#DIV/0!</v>
      </c>
      <c r="E359" s="96" t="e">
        <f t="shared" si="59"/>
        <v>#DIV/0!</v>
      </c>
      <c r="F359" s="95" t="e">
        <f t="shared" si="59"/>
        <v>#DIV/0!</v>
      </c>
      <c r="G359" s="96" t="e">
        <f t="shared" si="59"/>
        <v>#DIV/0!</v>
      </c>
      <c r="H359" s="96" t="e">
        <f t="shared" si="59"/>
        <v>#DIV/0!</v>
      </c>
      <c r="I359" s="95" t="e">
        <f t="shared" si="59"/>
        <v>#DIV/0!</v>
      </c>
      <c r="J359" s="95" t="e">
        <f t="shared" si="59"/>
        <v>#DIV/0!</v>
      </c>
      <c r="K359" s="95" t="e">
        <f t="shared" si="59"/>
        <v>#DIV/0!</v>
      </c>
      <c r="L359" s="95" t="e">
        <f t="shared" si="59"/>
        <v>#DIV/0!</v>
      </c>
      <c r="M359" s="95" t="e">
        <f t="shared" si="59"/>
        <v>#DIV/0!</v>
      </c>
      <c r="N359" s="95" t="e">
        <f t="shared" si="59"/>
        <v>#DIV/0!</v>
      </c>
      <c r="O359" s="95" t="e">
        <f t="shared" si="59"/>
        <v>#DIV/0!</v>
      </c>
      <c r="P359" s="95" t="e">
        <f t="shared" si="59"/>
        <v>#DIV/0!</v>
      </c>
      <c r="Q359" s="95" t="e">
        <f t="shared" si="59"/>
        <v>#DIV/0!</v>
      </c>
      <c r="R359" s="95" t="e">
        <f t="shared" si="59"/>
        <v>#DIV/0!</v>
      </c>
      <c r="S359" s="95" t="e">
        <f t="shared" si="59"/>
        <v>#DIV/0!</v>
      </c>
      <c r="T359" s="95" t="e">
        <f t="shared" si="59"/>
        <v>#DIV/0!</v>
      </c>
      <c r="U359" s="95" t="e">
        <f t="shared" si="59"/>
        <v>#DIV/0!</v>
      </c>
      <c r="V359" s="95" t="e">
        <f t="shared" si="59"/>
        <v>#DIV/0!</v>
      </c>
      <c r="W359" s="96" t="e">
        <f t="shared" si="59"/>
        <v>#DIV/0!</v>
      </c>
      <c r="X359" s="95" t="e">
        <f t="shared" si="59"/>
        <v>#DIV/0!</v>
      </c>
      <c r="Y359" s="95" t="e">
        <f t="shared" si="59"/>
        <v>#DIV/0!</v>
      </c>
      <c r="Z359" s="95" t="e">
        <f t="shared" si="59"/>
        <v>#DIV/0!</v>
      </c>
      <c r="AA359" s="95" t="e">
        <f t="shared" si="59"/>
        <v>#DIV/0!</v>
      </c>
      <c r="AB359" s="95" t="e">
        <f t="shared" si="59"/>
        <v>#DIV/0!</v>
      </c>
      <c r="AC359" s="95" t="e">
        <f t="shared" si="59"/>
        <v>#DIV/0!</v>
      </c>
      <c r="AD359" s="95" t="e">
        <f t="shared" si="59"/>
        <v>#DIV/0!</v>
      </c>
      <c r="AE359" s="95" t="e">
        <f t="shared" si="59"/>
        <v>#DIV/0!</v>
      </c>
      <c r="AF359" s="95" t="e">
        <f t="shared" si="59"/>
        <v>#DIV/0!</v>
      </c>
    </row>
    <row r="361" spans="1:32">
      <c r="A361" s="325" t="s">
        <v>0</v>
      </c>
      <c r="B361" s="325"/>
      <c r="C361" s="325"/>
      <c r="D361" s="325"/>
      <c r="E361" s="325"/>
      <c r="F361" s="325"/>
      <c r="G361" s="325"/>
      <c r="H361" s="325"/>
      <c r="I361" s="325"/>
      <c r="J361" s="325"/>
      <c r="K361" s="325"/>
      <c r="L361" s="325"/>
      <c r="M361" s="325"/>
      <c r="N361" s="325"/>
      <c r="O361" s="325"/>
      <c r="P361" s="325"/>
      <c r="Q361" s="325"/>
      <c r="R361" s="325"/>
      <c r="S361" s="325"/>
      <c r="T361" s="325"/>
      <c r="U361" s="325"/>
      <c r="V361" s="325"/>
      <c r="W361" s="325"/>
      <c r="X361" s="325"/>
      <c r="Y361" s="325"/>
      <c r="Z361" s="325"/>
      <c r="AA361" s="325"/>
      <c r="AB361" s="325"/>
      <c r="AC361" s="325"/>
      <c r="AD361" s="325"/>
      <c r="AE361" s="325"/>
      <c r="AF361" s="325"/>
    </row>
    <row r="362" spans="1:32">
      <c r="A362" s="325" t="s">
        <v>106</v>
      </c>
      <c r="B362" s="325"/>
      <c r="C362" s="325"/>
      <c r="D362" s="325"/>
      <c r="E362" s="325"/>
      <c r="F362" s="325"/>
      <c r="G362" s="325"/>
      <c r="H362" s="325"/>
      <c r="I362" s="325"/>
      <c r="J362" s="325"/>
      <c r="K362" s="325"/>
      <c r="L362" s="325"/>
      <c r="M362" s="325"/>
      <c r="N362" s="325"/>
      <c r="O362" s="325"/>
      <c r="P362" s="325"/>
      <c r="Q362" s="325"/>
      <c r="R362" s="325"/>
      <c r="S362" s="325"/>
      <c r="T362" s="325"/>
      <c r="U362" s="325"/>
      <c r="V362" s="325"/>
      <c r="W362" s="325"/>
      <c r="X362" s="325"/>
      <c r="Y362" s="325"/>
      <c r="Z362" s="325"/>
      <c r="AA362" s="325"/>
      <c r="AB362" s="325"/>
      <c r="AC362" s="325" t="s">
        <v>107</v>
      </c>
      <c r="AD362" s="325"/>
      <c r="AE362" s="326">
        <v>46266</v>
      </c>
      <c r="AF362" s="326"/>
    </row>
    <row r="363" spans="1:32">
      <c r="A363" s="327"/>
      <c r="B363" s="327"/>
      <c r="C363" s="328" t="s">
        <v>108</v>
      </c>
      <c r="D363" s="328"/>
      <c r="E363" s="328"/>
      <c r="F363" s="328"/>
      <c r="G363" s="328"/>
      <c r="H363" s="328"/>
      <c r="I363" s="328"/>
      <c r="J363" s="328"/>
      <c r="K363" s="328"/>
      <c r="L363" s="328"/>
      <c r="M363" s="328"/>
      <c r="N363" s="328"/>
      <c r="O363" s="328"/>
      <c r="P363" s="328"/>
      <c r="Q363" s="329" t="s">
        <v>109</v>
      </c>
      <c r="R363" s="329"/>
      <c r="S363" s="329"/>
      <c r="T363" s="329"/>
      <c r="U363" s="329"/>
      <c r="V363" s="329"/>
      <c r="W363" s="329"/>
      <c r="X363" s="329"/>
      <c r="Y363" s="329"/>
      <c r="Z363" s="329"/>
      <c r="AA363" s="329"/>
      <c r="AB363" s="329"/>
      <c r="AC363" s="329"/>
      <c r="AD363" s="329"/>
      <c r="AE363" s="329"/>
      <c r="AF363" s="329"/>
    </row>
    <row r="364" spans="1:32" ht="38.25">
      <c r="A364" s="5" t="s">
        <v>110</v>
      </c>
      <c r="B364" s="5" t="s">
        <v>111</v>
      </c>
      <c r="C364" s="64" t="s">
        <v>83</v>
      </c>
      <c r="D364" s="64" t="s">
        <v>81</v>
      </c>
      <c r="E364" s="89" t="s">
        <v>112</v>
      </c>
      <c r="F364" s="64" t="s">
        <v>113</v>
      </c>
      <c r="G364" s="89" t="s">
        <v>114</v>
      </c>
      <c r="H364" s="89" t="s">
        <v>115</v>
      </c>
      <c r="I364" s="64" t="s">
        <v>116</v>
      </c>
      <c r="J364" s="64" t="s">
        <v>117</v>
      </c>
      <c r="K364" s="64" t="s">
        <v>118</v>
      </c>
      <c r="L364" s="64" t="s">
        <v>119</v>
      </c>
      <c r="M364" s="64" t="s">
        <v>9</v>
      </c>
      <c r="N364" s="64" t="s">
        <v>120</v>
      </c>
      <c r="O364" s="64" t="s">
        <v>121</v>
      </c>
      <c r="P364" s="64" t="s">
        <v>122</v>
      </c>
      <c r="Q364" s="64" t="s">
        <v>74</v>
      </c>
      <c r="R364" s="64" t="s">
        <v>75</v>
      </c>
      <c r="S364" s="64" t="s">
        <v>76</v>
      </c>
      <c r="T364" s="64" t="s">
        <v>77</v>
      </c>
      <c r="U364" s="64" t="s">
        <v>78</v>
      </c>
      <c r="V364" s="64" t="s">
        <v>81</v>
      </c>
      <c r="W364" s="89" t="s">
        <v>123</v>
      </c>
      <c r="X364" s="64" t="s">
        <v>100</v>
      </c>
      <c r="Y364" s="64" t="s">
        <v>87</v>
      </c>
      <c r="Z364" s="64" t="s">
        <v>88</v>
      </c>
      <c r="AA364" s="64" t="s">
        <v>89</v>
      </c>
      <c r="AB364" s="64" t="s">
        <v>101</v>
      </c>
      <c r="AC364" s="64" t="s">
        <v>102</v>
      </c>
      <c r="AD364" s="64" t="s">
        <v>103</v>
      </c>
      <c r="AE364" s="64" t="s">
        <v>104</v>
      </c>
      <c r="AF364" s="64" t="s">
        <v>105</v>
      </c>
    </row>
    <row r="365" spans="1:32">
      <c r="A365" s="322" t="s">
        <v>124</v>
      </c>
      <c r="B365" s="323"/>
      <c r="C365" s="64" t="s">
        <v>53</v>
      </c>
      <c r="D365" s="64" t="s">
        <v>53</v>
      </c>
      <c r="E365" s="64" t="s">
        <v>125</v>
      </c>
      <c r="F365" s="64" t="s">
        <v>53</v>
      </c>
      <c r="G365" s="64" t="s">
        <v>126</v>
      </c>
      <c r="H365" s="64" t="s">
        <v>126</v>
      </c>
      <c r="I365" s="64" t="s">
        <v>53</v>
      </c>
      <c r="J365" s="64" t="s">
        <v>53</v>
      </c>
      <c r="K365" s="64" t="s">
        <v>53</v>
      </c>
      <c r="L365" s="64" t="s">
        <v>127</v>
      </c>
      <c r="M365" s="64" t="s">
        <v>128</v>
      </c>
      <c r="N365" s="64" t="s">
        <v>128</v>
      </c>
      <c r="O365" s="64" t="s">
        <v>128</v>
      </c>
      <c r="P365" s="64" t="s">
        <v>128</v>
      </c>
      <c r="Q365" s="64" t="s">
        <v>53</v>
      </c>
      <c r="R365" s="64" t="s">
        <v>53</v>
      </c>
      <c r="S365" s="64" t="s">
        <v>53</v>
      </c>
      <c r="T365" s="64" t="s">
        <v>53</v>
      </c>
      <c r="U365" s="64" t="s">
        <v>53</v>
      </c>
      <c r="V365" s="64" t="s">
        <v>53</v>
      </c>
      <c r="W365" s="64" t="s">
        <v>129</v>
      </c>
      <c r="X365" s="64" t="s">
        <v>53</v>
      </c>
      <c r="Y365" s="64" t="s">
        <v>53</v>
      </c>
      <c r="Z365" s="64" t="s">
        <v>53</v>
      </c>
      <c r="AA365" s="64" t="s">
        <v>53</v>
      </c>
      <c r="AB365" s="64" t="s">
        <v>53</v>
      </c>
      <c r="AC365" s="64" t="s">
        <v>53</v>
      </c>
      <c r="AD365" s="64" t="s">
        <v>53</v>
      </c>
      <c r="AE365" s="64" t="s">
        <v>53</v>
      </c>
      <c r="AF365" s="64" t="s">
        <v>53</v>
      </c>
    </row>
    <row r="366" spans="1:32">
      <c r="A366" s="90">
        <f>AE362+0</f>
        <v>46266</v>
      </c>
      <c r="B366" s="90">
        <f>A366+1</f>
        <v>46267</v>
      </c>
      <c r="C366" s="80"/>
      <c r="D366" s="80"/>
      <c r="E366" s="72"/>
      <c r="F366" s="80"/>
      <c r="G366" s="72"/>
      <c r="H366" s="72"/>
      <c r="I366" s="80"/>
      <c r="J366" s="80"/>
      <c r="K366" s="80"/>
      <c r="L366" s="80"/>
      <c r="M366" s="80"/>
      <c r="N366" s="97"/>
      <c r="O366" s="97"/>
      <c r="P366" s="97"/>
      <c r="Q366" s="92"/>
      <c r="R366" s="92"/>
      <c r="S366" s="92"/>
      <c r="T366" s="92"/>
      <c r="U366" s="92"/>
      <c r="V366" s="92"/>
      <c r="W366" s="99"/>
      <c r="X366" s="92"/>
      <c r="Y366" s="92"/>
      <c r="Z366" s="92"/>
      <c r="AA366" s="92"/>
      <c r="AB366" s="92"/>
      <c r="AC366" s="92"/>
      <c r="AD366" s="100"/>
      <c r="AE366" s="92"/>
      <c r="AF366" s="92"/>
    </row>
    <row r="367" spans="1:32">
      <c r="A367" s="90">
        <f t="shared" ref="A367:A394" si="60">A366+1</f>
        <v>46267</v>
      </c>
      <c r="B367" s="90">
        <f t="shared" ref="B367:B394" si="61">A367+1</f>
        <v>46268</v>
      </c>
      <c r="C367" s="80"/>
      <c r="D367" s="80"/>
      <c r="E367" s="72"/>
      <c r="F367" s="80"/>
      <c r="G367" s="72"/>
      <c r="H367" s="72"/>
      <c r="I367" s="80"/>
      <c r="J367" s="80"/>
      <c r="K367" s="80"/>
      <c r="L367" s="80"/>
      <c r="M367" s="80"/>
      <c r="N367" s="97"/>
      <c r="O367" s="97"/>
      <c r="P367" s="97"/>
      <c r="Q367" s="92"/>
      <c r="R367" s="92"/>
      <c r="S367" s="92"/>
      <c r="T367" s="92"/>
      <c r="U367" s="92"/>
      <c r="V367" s="92"/>
      <c r="W367" s="99"/>
      <c r="X367" s="92"/>
      <c r="Y367" s="92"/>
      <c r="Z367" s="92"/>
      <c r="AA367" s="92"/>
      <c r="AB367" s="92"/>
      <c r="AC367" s="92"/>
      <c r="AD367" s="100"/>
      <c r="AE367" s="92"/>
      <c r="AF367" s="92"/>
    </row>
    <row r="368" spans="1:32">
      <c r="A368" s="90">
        <f t="shared" si="60"/>
        <v>46268</v>
      </c>
      <c r="B368" s="90">
        <f t="shared" si="61"/>
        <v>46269</v>
      </c>
      <c r="C368" s="80"/>
      <c r="D368" s="80"/>
      <c r="E368" s="72"/>
      <c r="F368" s="80"/>
      <c r="G368" s="72"/>
      <c r="H368" s="72"/>
      <c r="I368" s="80"/>
      <c r="J368" s="80"/>
      <c r="K368" s="80"/>
      <c r="L368" s="80"/>
      <c r="M368" s="80"/>
      <c r="N368" s="97"/>
      <c r="O368" s="97"/>
      <c r="P368" s="97"/>
      <c r="Q368" s="92"/>
      <c r="R368" s="92"/>
      <c r="S368" s="92"/>
      <c r="T368" s="92"/>
      <c r="U368" s="92"/>
      <c r="V368" s="92"/>
      <c r="W368" s="99"/>
      <c r="X368" s="92"/>
      <c r="Y368" s="92"/>
      <c r="Z368" s="92"/>
      <c r="AA368" s="92"/>
      <c r="AB368" s="92"/>
      <c r="AC368" s="92"/>
      <c r="AD368" s="100"/>
      <c r="AE368" s="92"/>
      <c r="AF368" s="92"/>
    </row>
    <row r="369" spans="1:32">
      <c r="A369" s="90">
        <f t="shared" si="60"/>
        <v>46269</v>
      </c>
      <c r="B369" s="90">
        <f t="shared" si="61"/>
        <v>46270</v>
      </c>
      <c r="C369" s="80"/>
      <c r="D369" s="80"/>
      <c r="E369" s="72"/>
      <c r="F369" s="80"/>
      <c r="G369" s="72"/>
      <c r="H369" s="72"/>
      <c r="I369" s="80"/>
      <c r="J369" s="80"/>
      <c r="K369" s="80"/>
      <c r="L369" s="80"/>
      <c r="M369" s="80"/>
      <c r="N369" s="97"/>
      <c r="O369" s="97"/>
      <c r="P369" s="97"/>
      <c r="Q369" s="92"/>
      <c r="R369" s="92"/>
      <c r="S369" s="92"/>
      <c r="T369" s="92"/>
      <c r="U369" s="92"/>
      <c r="V369" s="92"/>
      <c r="W369" s="99"/>
      <c r="X369" s="92"/>
      <c r="Y369" s="92"/>
      <c r="Z369" s="92"/>
      <c r="AA369" s="92"/>
      <c r="AB369" s="92"/>
      <c r="AC369" s="92"/>
      <c r="AD369" s="100"/>
      <c r="AE369" s="92"/>
      <c r="AF369" s="92"/>
    </row>
    <row r="370" spans="1:32">
      <c r="A370" s="90">
        <f t="shared" si="60"/>
        <v>46270</v>
      </c>
      <c r="B370" s="90">
        <f t="shared" si="61"/>
        <v>46271</v>
      </c>
      <c r="C370" s="80"/>
      <c r="D370" s="80"/>
      <c r="E370" s="72"/>
      <c r="F370" s="80"/>
      <c r="G370" s="72"/>
      <c r="H370" s="72"/>
      <c r="I370" s="80"/>
      <c r="J370" s="80"/>
      <c r="K370" s="80"/>
      <c r="L370" s="80"/>
      <c r="M370" s="80"/>
      <c r="N370" s="97"/>
      <c r="O370" s="97"/>
      <c r="P370" s="97"/>
      <c r="Q370" s="92"/>
      <c r="R370" s="92"/>
      <c r="S370" s="92"/>
      <c r="T370" s="92"/>
      <c r="U370" s="92"/>
      <c r="V370" s="92"/>
      <c r="W370" s="99"/>
      <c r="X370" s="92"/>
      <c r="Y370" s="92"/>
      <c r="Z370" s="92"/>
      <c r="AA370" s="92"/>
      <c r="AB370" s="92"/>
      <c r="AC370" s="92"/>
      <c r="AD370" s="100"/>
      <c r="AE370" s="92"/>
      <c r="AF370" s="92"/>
    </row>
    <row r="371" spans="1:32">
      <c r="A371" s="90">
        <f t="shared" si="60"/>
        <v>46271</v>
      </c>
      <c r="B371" s="90">
        <f t="shared" si="61"/>
        <v>46272</v>
      </c>
      <c r="C371" s="80"/>
      <c r="D371" s="80"/>
      <c r="E371" s="72"/>
      <c r="F371" s="80"/>
      <c r="G371" s="91"/>
      <c r="H371" s="72"/>
      <c r="I371" s="80"/>
      <c r="J371" s="80"/>
      <c r="K371" s="80"/>
      <c r="L371" s="80"/>
      <c r="M371" s="80"/>
      <c r="N371" s="97"/>
      <c r="O371" s="97"/>
      <c r="P371" s="97"/>
      <c r="Q371" s="92"/>
      <c r="R371" s="92"/>
      <c r="S371" s="92"/>
      <c r="T371" s="92"/>
      <c r="U371" s="92"/>
      <c r="V371" s="92"/>
      <c r="W371" s="99"/>
      <c r="X371" s="92"/>
      <c r="Y371" s="92"/>
      <c r="Z371" s="92"/>
      <c r="AA371" s="92"/>
      <c r="AB371" s="92"/>
      <c r="AC371" s="92"/>
      <c r="AD371" s="100"/>
      <c r="AE371" s="92"/>
      <c r="AF371" s="92"/>
    </row>
    <row r="372" spans="1:32">
      <c r="A372" s="90">
        <f t="shared" si="60"/>
        <v>46272</v>
      </c>
      <c r="B372" s="90">
        <f t="shared" si="61"/>
        <v>46273</v>
      </c>
      <c r="C372" s="80"/>
      <c r="D372" s="80"/>
      <c r="E372" s="72"/>
      <c r="F372" s="80"/>
      <c r="G372" s="72"/>
      <c r="H372" s="72"/>
      <c r="I372" s="80"/>
      <c r="J372" s="80"/>
      <c r="K372" s="80"/>
      <c r="L372" s="80"/>
      <c r="M372" s="80"/>
      <c r="N372" s="97"/>
      <c r="O372" s="97"/>
      <c r="P372" s="97"/>
      <c r="Q372" s="92"/>
      <c r="R372" s="92"/>
      <c r="S372" s="92"/>
      <c r="T372" s="92"/>
      <c r="U372" s="92"/>
      <c r="V372" s="92"/>
      <c r="W372" s="93"/>
      <c r="X372" s="92"/>
      <c r="Y372" s="92"/>
      <c r="Z372" s="100"/>
      <c r="AA372" s="92"/>
      <c r="AB372" s="92"/>
      <c r="AC372" s="101"/>
      <c r="AD372" s="101"/>
      <c r="AE372" s="101"/>
      <c r="AF372" s="92"/>
    </row>
    <row r="373" spans="1:32">
      <c r="A373" s="90">
        <f t="shared" si="60"/>
        <v>46273</v>
      </c>
      <c r="B373" s="90">
        <f t="shared" si="61"/>
        <v>46274</v>
      </c>
      <c r="C373" s="80"/>
      <c r="D373" s="80"/>
      <c r="E373" s="72"/>
      <c r="F373" s="80"/>
      <c r="G373" s="72"/>
      <c r="H373" s="72"/>
      <c r="I373" s="80"/>
      <c r="J373" s="80"/>
      <c r="K373" s="80"/>
      <c r="L373" s="80"/>
      <c r="M373" s="80"/>
      <c r="N373" s="97"/>
      <c r="O373" s="97"/>
      <c r="P373" s="97"/>
      <c r="Q373" s="92"/>
      <c r="R373" s="92"/>
      <c r="S373" s="92"/>
      <c r="T373" s="92"/>
      <c r="U373" s="92"/>
      <c r="V373" s="92"/>
      <c r="W373" s="99"/>
      <c r="X373" s="92"/>
      <c r="Y373" s="92"/>
      <c r="Z373" s="92"/>
      <c r="AA373" s="92"/>
      <c r="AB373" s="92"/>
      <c r="AC373" s="92"/>
      <c r="AD373" s="100"/>
      <c r="AE373" s="92"/>
      <c r="AF373" s="92"/>
    </row>
    <row r="374" spans="1:32">
      <c r="A374" s="90">
        <f t="shared" si="60"/>
        <v>46274</v>
      </c>
      <c r="B374" s="90">
        <f t="shared" si="61"/>
        <v>46275</v>
      </c>
      <c r="C374" s="80"/>
      <c r="D374" s="92"/>
      <c r="E374" s="72"/>
      <c r="F374" s="80"/>
      <c r="G374" s="72"/>
      <c r="H374" s="72"/>
      <c r="I374" s="80"/>
      <c r="J374" s="80"/>
      <c r="K374" s="80"/>
      <c r="L374" s="80"/>
      <c r="M374" s="80"/>
      <c r="N374" s="97"/>
      <c r="O374" s="97"/>
      <c r="P374" s="97"/>
      <c r="Q374" s="92"/>
      <c r="R374" s="92"/>
      <c r="S374" s="92"/>
      <c r="T374" s="92"/>
      <c r="U374" s="92"/>
      <c r="V374" s="92"/>
      <c r="W374" s="99"/>
      <c r="X374" s="92"/>
      <c r="Y374" s="92"/>
      <c r="Z374" s="92"/>
      <c r="AA374" s="92"/>
      <c r="AB374" s="92"/>
      <c r="AC374" s="92"/>
      <c r="AD374" s="100"/>
      <c r="AE374" s="92"/>
      <c r="AF374" s="92"/>
    </row>
    <row r="375" spans="1:32">
      <c r="A375" s="90">
        <f t="shared" si="60"/>
        <v>46275</v>
      </c>
      <c r="B375" s="90">
        <f t="shared" si="61"/>
        <v>46276</v>
      </c>
      <c r="C375" s="92"/>
      <c r="D375" s="92"/>
      <c r="E375" s="72"/>
      <c r="F375" s="80"/>
      <c r="G375" s="72"/>
      <c r="H375" s="72"/>
      <c r="I375" s="80"/>
      <c r="J375" s="80"/>
      <c r="K375" s="80"/>
      <c r="L375" s="80"/>
      <c r="M375" s="80"/>
      <c r="N375" s="97"/>
      <c r="O375" s="97"/>
      <c r="P375" s="97"/>
      <c r="Q375" s="92"/>
      <c r="R375" s="92"/>
      <c r="S375" s="92"/>
      <c r="T375" s="92"/>
      <c r="U375" s="92"/>
      <c r="V375" s="92"/>
      <c r="W375" s="99"/>
      <c r="X375" s="92"/>
      <c r="Y375" s="92"/>
      <c r="Z375" s="92"/>
      <c r="AA375" s="92"/>
      <c r="AB375" s="92"/>
      <c r="AC375" s="92"/>
      <c r="AD375" s="100"/>
      <c r="AE375" s="92"/>
      <c r="AF375" s="92"/>
    </row>
    <row r="376" spans="1:32">
      <c r="A376" s="90">
        <f t="shared" si="60"/>
        <v>46276</v>
      </c>
      <c r="B376" s="90">
        <f t="shared" si="61"/>
        <v>46277</v>
      </c>
      <c r="C376" s="92"/>
      <c r="D376" s="92"/>
      <c r="E376" s="72"/>
      <c r="F376" s="80"/>
      <c r="G376" s="72"/>
      <c r="H376" s="72"/>
      <c r="I376" s="80"/>
      <c r="J376" s="80"/>
      <c r="K376" s="80"/>
      <c r="L376" s="80"/>
      <c r="M376" s="80"/>
      <c r="N376" s="97"/>
      <c r="O376" s="97"/>
      <c r="P376" s="97"/>
      <c r="Q376" s="92"/>
      <c r="R376" s="92"/>
      <c r="S376" s="92"/>
      <c r="T376" s="92"/>
      <c r="U376" s="92"/>
      <c r="V376" s="92"/>
      <c r="W376" s="93"/>
      <c r="X376" s="92"/>
      <c r="Y376" s="92"/>
      <c r="Z376" s="92"/>
      <c r="AA376" s="92"/>
      <c r="AB376" s="92"/>
      <c r="AC376" s="92"/>
      <c r="AD376" s="92"/>
      <c r="AE376" s="92"/>
      <c r="AF376" s="92"/>
    </row>
    <row r="377" spans="1:32">
      <c r="A377" s="90">
        <f t="shared" si="60"/>
        <v>46277</v>
      </c>
      <c r="B377" s="90">
        <f t="shared" si="61"/>
        <v>46278</v>
      </c>
      <c r="C377" s="92"/>
      <c r="D377" s="92"/>
      <c r="E377" s="72"/>
      <c r="F377" s="80"/>
      <c r="G377" s="72"/>
      <c r="H377" s="72"/>
      <c r="I377" s="80"/>
      <c r="J377" s="80"/>
      <c r="K377" s="80"/>
      <c r="L377" s="80"/>
      <c r="M377" s="80"/>
      <c r="N377" s="97"/>
      <c r="O377" s="97"/>
      <c r="P377" s="97"/>
      <c r="Q377" s="92"/>
      <c r="R377" s="92"/>
      <c r="S377" s="92"/>
      <c r="T377" s="92"/>
      <c r="U377" s="92"/>
      <c r="V377" s="92"/>
      <c r="W377" s="99"/>
      <c r="X377" s="92"/>
      <c r="Y377" s="92"/>
      <c r="Z377" s="92"/>
      <c r="AA377" s="92"/>
      <c r="AB377" s="92"/>
      <c r="AC377" s="92"/>
      <c r="AD377" s="100"/>
      <c r="AE377" s="92"/>
      <c r="AF377" s="92"/>
    </row>
    <row r="378" spans="1:32">
      <c r="A378" s="90">
        <f t="shared" si="60"/>
        <v>46278</v>
      </c>
      <c r="B378" s="90">
        <f t="shared" si="61"/>
        <v>46279</v>
      </c>
      <c r="C378" s="92"/>
      <c r="D378" s="92"/>
      <c r="E378" s="72"/>
      <c r="F378" s="80"/>
      <c r="G378" s="72"/>
      <c r="H378" s="72"/>
      <c r="I378" s="80"/>
      <c r="J378" s="80"/>
      <c r="K378" s="80"/>
      <c r="L378" s="80"/>
      <c r="M378" s="80"/>
      <c r="N378" s="97"/>
      <c r="O378" s="97"/>
      <c r="P378" s="97"/>
      <c r="Q378" s="92"/>
      <c r="R378" s="92"/>
      <c r="S378" s="92"/>
      <c r="T378" s="92"/>
      <c r="U378" s="92"/>
      <c r="V378" s="92"/>
      <c r="W378" s="99"/>
      <c r="X378" s="92"/>
      <c r="Y378" s="92"/>
      <c r="Z378" s="92"/>
      <c r="AA378" s="92"/>
      <c r="AB378" s="92"/>
      <c r="AC378" s="92"/>
      <c r="AD378" s="100"/>
      <c r="AE378" s="92"/>
      <c r="AF378" s="92"/>
    </row>
    <row r="379" spans="1:32">
      <c r="A379" s="90">
        <f t="shared" si="60"/>
        <v>46279</v>
      </c>
      <c r="B379" s="90">
        <f t="shared" si="61"/>
        <v>46280</v>
      </c>
      <c r="C379" s="92"/>
      <c r="D379" s="92"/>
      <c r="E379" s="72"/>
      <c r="F379" s="80"/>
      <c r="G379" s="72"/>
      <c r="H379" s="72"/>
      <c r="I379" s="80"/>
      <c r="J379" s="80"/>
      <c r="K379" s="80"/>
      <c r="L379" s="80"/>
      <c r="M379" s="80"/>
      <c r="N379" s="97"/>
      <c r="O379" s="97"/>
      <c r="P379" s="97"/>
      <c r="Q379" s="92"/>
      <c r="R379" s="92"/>
      <c r="S379" s="92"/>
      <c r="T379" s="92"/>
      <c r="U379" s="92"/>
      <c r="V379" s="92"/>
      <c r="W379" s="93"/>
      <c r="X379" s="92"/>
      <c r="Y379" s="92"/>
      <c r="Z379" s="100"/>
      <c r="AA379" s="92"/>
      <c r="AB379" s="92"/>
      <c r="AC379" s="101"/>
      <c r="AD379" s="92"/>
      <c r="AE379" s="101"/>
      <c r="AF379" s="92"/>
    </row>
    <row r="380" spans="1:32">
      <c r="A380" s="90">
        <f t="shared" si="60"/>
        <v>46280</v>
      </c>
      <c r="B380" s="90">
        <f t="shared" si="61"/>
        <v>46281</v>
      </c>
      <c r="C380" s="80"/>
      <c r="D380" s="80"/>
      <c r="E380" s="72"/>
      <c r="F380" s="80"/>
      <c r="G380" s="72"/>
      <c r="H380" s="72"/>
      <c r="I380" s="80"/>
      <c r="J380" s="80"/>
      <c r="K380" s="80"/>
      <c r="L380" s="80"/>
      <c r="M380" s="80"/>
      <c r="N380" s="97"/>
      <c r="O380" s="97"/>
      <c r="P380" s="97"/>
      <c r="Q380" s="92"/>
      <c r="R380" s="92"/>
      <c r="S380" s="92"/>
      <c r="T380" s="92"/>
      <c r="U380" s="92"/>
      <c r="V380" s="92"/>
      <c r="W380" s="99"/>
      <c r="X380" s="92"/>
      <c r="Y380" s="92"/>
      <c r="Z380" s="92"/>
      <c r="AA380" s="92"/>
      <c r="AB380" s="92"/>
      <c r="AC380" s="92"/>
      <c r="AD380" s="100"/>
      <c r="AE380" s="92"/>
      <c r="AF380" s="92"/>
    </row>
    <row r="381" spans="1:32">
      <c r="A381" s="90">
        <f t="shared" si="60"/>
        <v>46281</v>
      </c>
      <c r="B381" s="90">
        <f t="shared" si="61"/>
        <v>46282</v>
      </c>
      <c r="C381" s="92"/>
      <c r="D381" s="92"/>
      <c r="E381" s="72"/>
      <c r="F381" s="80"/>
      <c r="G381" s="72"/>
      <c r="H381" s="72"/>
      <c r="I381" s="80"/>
      <c r="J381" s="80"/>
      <c r="K381" s="80"/>
      <c r="L381" s="80"/>
      <c r="M381" s="80"/>
      <c r="N381" s="97"/>
      <c r="O381" s="97"/>
      <c r="P381" s="97"/>
      <c r="Q381" s="92"/>
      <c r="R381" s="92"/>
      <c r="S381" s="92"/>
      <c r="T381" s="92"/>
      <c r="U381" s="92"/>
      <c r="V381" s="92"/>
      <c r="W381" s="99"/>
      <c r="X381" s="92"/>
      <c r="Y381" s="92"/>
      <c r="Z381" s="92"/>
      <c r="AA381" s="92"/>
      <c r="AB381" s="92"/>
      <c r="AC381" s="92"/>
      <c r="AD381" s="100"/>
      <c r="AE381" s="92"/>
      <c r="AF381" s="92"/>
    </row>
    <row r="382" spans="1:32">
      <c r="A382" s="90">
        <f t="shared" si="60"/>
        <v>46282</v>
      </c>
      <c r="B382" s="90">
        <f t="shared" si="61"/>
        <v>46283</v>
      </c>
      <c r="C382" s="92"/>
      <c r="D382" s="92"/>
      <c r="E382" s="72"/>
      <c r="F382" s="80"/>
      <c r="G382" s="72"/>
      <c r="H382" s="72"/>
      <c r="I382" s="80"/>
      <c r="J382" s="80"/>
      <c r="K382" s="80"/>
      <c r="L382" s="80"/>
      <c r="M382" s="80"/>
      <c r="N382" s="97"/>
      <c r="O382" s="97"/>
      <c r="P382" s="97"/>
      <c r="Q382" s="92"/>
      <c r="R382" s="92"/>
      <c r="S382" s="92"/>
      <c r="T382" s="92"/>
      <c r="U382" s="92"/>
      <c r="V382" s="92"/>
      <c r="W382" s="99"/>
      <c r="X382" s="92"/>
      <c r="Y382" s="92"/>
      <c r="Z382" s="92"/>
      <c r="AA382" s="92"/>
      <c r="AB382" s="92"/>
      <c r="AC382" s="92"/>
      <c r="AD382" s="100"/>
      <c r="AE382" s="92"/>
      <c r="AF382" s="92"/>
    </row>
    <row r="383" spans="1:32">
      <c r="A383" s="90">
        <f t="shared" si="60"/>
        <v>46283</v>
      </c>
      <c r="B383" s="90">
        <f t="shared" si="61"/>
        <v>46284</v>
      </c>
      <c r="C383" s="92"/>
      <c r="D383" s="92"/>
      <c r="E383" s="72"/>
      <c r="F383" s="80"/>
      <c r="G383" s="72"/>
      <c r="H383" s="72"/>
      <c r="I383" s="80"/>
      <c r="J383" s="80"/>
      <c r="K383" s="80"/>
      <c r="L383" s="80"/>
      <c r="M383" s="80"/>
      <c r="N383" s="97"/>
      <c r="O383" s="97"/>
      <c r="P383" s="97"/>
      <c r="Q383" s="92"/>
      <c r="R383" s="92"/>
      <c r="S383" s="92"/>
      <c r="T383" s="92"/>
      <c r="U383" s="92"/>
      <c r="V383" s="92"/>
      <c r="W383" s="99"/>
      <c r="X383" s="92"/>
      <c r="Y383" s="92"/>
      <c r="Z383" s="92"/>
      <c r="AA383" s="92"/>
      <c r="AB383" s="92"/>
      <c r="AC383" s="92"/>
      <c r="AD383" s="100"/>
      <c r="AE383" s="92"/>
      <c r="AF383" s="92"/>
    </row>
    <row r="384" spans="1:32">
      <c r="A384" s="90">
        <f t="shared" si="60"/>
        <v>46284</v>
      </c>
      <c r="B384" s="90">
        <f t="shared" si="61"/>
        <v>46285</v>
      </c>
      <c r="C384" s="92"/>
      <c r="D384" s="92"/>
      <c r="E384" s="93"/>
      <c r="F384" s="92"/>
      <c r="G384" s="93"/>
      <c r="H384" s="93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9"/>
      <c r="X384" s="92"/>
      <c r="Y384" s="92"/>
      <c r="Z384" s="92"/>
      <c r="AA384" s="92"/>
      <c r="AB384" s="92"/>
      <c r="AC384" s="92"/>
      <c r="AD384" s="100"/>
      <c r="AE384" s="92"/>
      <c r="AF384" s="92"/>
    </row>
    <row r="385" spans="1:32">
      <c r="A385" s="90">
        <f t="shared" si="60"/>
        <v>46285</v>
      </c>
      <c r="B385" s="90">
        <f t="shared" si="61"/>
        <v>46286</v>
      </c>
      <c r="C385" s="92"/>
      <c r="D385" s="92"/>
      <c r="E385" s="93"/>
      <c r="F385" s="92"/>
      <c r="G385" s="93"/>
      <c r="H385" s="93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9"/>
      <c r="X385" s="92"/>
      <c r="Y385" s="92"/>
      <c r="Z385" s="92"/>
      <c r="AA385" s="92"/>
      <c r="AB385" s="92"/>
      <c r="AC385" s="92"/>
      <c r="AD385" s="100"/>
      <c r="AE385" s="92"/>
      <c r="AF385" s="92"/>
    </row>
    <row r="386" spans="1:32">
      <c r="A386" s="90">
        <f t="shared" si="60"/>
        <v>46286</v>
      </c>
      <c r="B386" s="90">
        <f t="shared" si="61"/>
        <v>46287</v>
      </c>
      <c r="C386" s="92"/>
      <c r="D386" s="92"/>
      <c r="E386" s="93"/>
      <c r="F386" s="92"/>
      <c r="G386" s="93"/>
      <c r="H386" s="93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9"/>
      <c r="X386" s="92"/>
      <c r="Y386" s="92"/>
      <c r="Z386" s="92"/>
      <c r="AA386" s="92"/>
      <c r="AB386" s="92"/>
      <c r="AC386" s="92"/>
      <c r="AD386" s="100"/>
      <c r="AE386" s="92"/>
      <c r="AF386" s="92"/>
    </row>
    <row r="387" spans="1:32">
      <c r="A387" s="90">
        <f t="shared" si="60"/>
        <v>46287</v>
      </c>
      <c r="B387" s="90">
        <f t="shared" si="61"/>
        <v>46288</v>
      </c>
      <c r="C387" s="94"/>
      <c r="D387" s="92"/>
      <c r="E387" s="72"/>
      <c r="F387" s="80"/>
      <c r="G387" s="72"/>
      <c r="H387" s="72"/>
      <c r="I387" s="80"/>
      <c r="J387" s="80"/>
      <c r="K387" s="80"/>
      <c r="L387" s="98"/>
      <c r="M387" s="80"/>
      <c r="N387" s="97"/>
      <c r="O387" s="97"/>
      <c r="P387" s="97"/>
      <c r="Q387" s="92"/>
      <c r="R387" s="92"/>
      <c r="S387" s="92"/>
      <c r="T387" s="92"/>
      <c r="U387" s="92"/>
      <c r="V387" s="92"/>
      <c r="W387" s="93"/>
      <c r="X387" s="92"/>
      <c r="Y387" s="92"/>
      <c r="Z387" s="92"/>
      <c r="AA387" s="92"/>
      <c r="AB387" s="92"/>
      <c r="AC387" s="92"/>
      <c r="AD387" s="92"/>
      <c r="AE387" s="92"/>
      <c r="AF387" s="92"/>
    </row>
    <row r="388" spans="1:32">
      <c r="A388" s="90">
        <f t="shared" si="60"/>
        <v>46288</v>
      </c>
      <c r="B388" s="90">
        <f t="shared" si="61"/>
        <v>46289</v>
      </c>
      <c r="C388" s="92"/>
      <c r="D388" s="92"/>
      <c r="E388" s="93"/>
      <c r="F388" s="92"/>
      <c r="G388" s="93"/>
      <c r="H388" s="93"/>
      <c r="I388" s="92"/>
      <c r="J388" s="92"/>
      <c r="K388" s="92"/>
      <c r="L388" s="92"/>
      <c r="M388" s="92"/>
      <c r="N388" s="94"/>
      <c r="O388" s="94"/>
      <c r="P388" s="94"/>
      <c r="Q388" s="92"/>
      <c r="R388" s="92"/>
      <c r="S388" s="92"/>
      <c r="T388" s="92"/>
      <c r="U388" s="92"/>
      <c r="V388" s="92"/>
      <c r="W388" s="93"/>
      <c r="X388" s="92"/>
      <c r="Y388" s="92"/>
      <c r="Z388" s="92"/>
      <c r="AA388" s="92"/>
      <c r="AB388" s="92"/>
      <c r="AC388" s="92"/>
      <c r="AD388" s="100"/>
      <c r="AE388" s="92"/>
      <c r="AF388" s="92"/>
    </row>
    <row r="389" spans="1:32">
      <c r="A389" s="90">
        <f t="shared" si="60"/>
        <v>46289</v>
      </c>
      <c r="B389" s="90">
        <f t="shared" si="61"/>
        <v>46290</v>
      </c>
      <c r="C389" s="92"/>
      <c r="D389" s="92"/>
      <c r="E389" s="93"/>
      <c r="F389" s="92"/>
      <c r="G389" s="93"/>
      <c r="H389" s="93"/>
      <c r="I389" s="92"/>
      <c r="J389" s="92"/>
      <c r="K389" s="92"/>
      <c r="L389" s="92"/>
      <c r="M389" s="92"/>
      <c r="N389" s="94"/>
      <c r="O389" s="94"/>
      <c r="P389" s="94"/>
      <c r="Q389" s="92"/>
      <c r="R389" s="92"/>
      <c r="S389" s="92"/>
      <c r="T389" s="92"/>
      <c r="U389" s="92"/>
      <c r="V389" s="92"/>
      <c r="W389" s="93"/>
      <c r="X389" s="92"/>
      <c r="Y389" s="92"/>
      <c r="Z389" s="100"/>
      <c r="AA389" s="92"/>
      <c r="AB389" s="92"/>
      <c r="AC389" s="101"/>
      <c r="AD389" s="101"/>
      <c r="AE389" s="101"/>
      <c r="AF389" s="92"/>
    </row>
    <row r="390" spans="1:32">
      <c r="A390" s="90">
        <f t="shared" si="60"/>
        <v>46290</v>
      </c>
      <c r="B390" s="90">
        <f t="shared" si="61"/>
        <v>46291</v>
      </c>
      <c r="C390" s="92"/>
      <c r="D390" s="92"/>
      <c r="E390" s="93"/>
      <c r="F390" s="92"/>
      <c r="G390" s="93"/>
      <c r="H390" s="93"/>
      <c r="I390" s="92"/>
      <c r="J390" s="92"/>
      <c r="K390" s="92"/>
      <c r="L390" s="92"/>
      <c r="M390" s="92"/>
      <c r="N390" s="94"/>
      <c r="O390" s="94"/>
      <c r="P390" s="94"/>
      <c r="Q390" s="92"/>
      <c r="R390" s="92"/>
      <c r="S390" s="92"/>
      <c r="T390" s="92"/>
      <c r="U390" s="92"/>
      <c r="V390" s="92"/>
      <c r="W390" s="99"/>
      <c r="X390" s="92"/>
      <c r="Y390" s="92"/>
      <c r="Z390" s="92"/>
      <c r="AA390" s="92"/>
      <c r="AB390" s="92"/>
      <c r="AC390" s="92"/>
      <c r="AD390" s="100"/>
      <c r="AE390" s="92"/>
      <c r="AF390" s="92"/>
    </row>
    <row r="391" spans="1:32">
      <c r="A391" s="90">
        <f t="shared" si="60"/>
        <v>46291</v>
      </c>
      <c r="B391" s="90">
        <f t="shared" si="61"/>
        <v>46292</v>
      </c>
      <c r="C391" s="92"/>
      <c r="D391" s="92"/>
      <c r="E391" s="93"/>
      <c r="F391" s="92"/>
      <c r="G391" s="93"/>
      <c r="H391" s="93"/>
      <c r="I391" s="92"/>
      <c r="J391" s="92"/>
      <c r="K391" s="92"/>
      <c r="L391" s="92"/>
      <c r="M391" s="92"/>
      <c r="N391" s="94"/>
      <c r="O391" s="94"/>
      <c r="P391" s="94"/>
      <c r="Q391" s="92"/>
      <c r="R391" s="92"/>
      <c r="S391" s="92"/>
      <c r="T391" s="92"/>
      <c r="U391" s="92"/>
      <c r="V391" s="92"/>
      <c r="W391" s="99"/>
      <c r="X391" s="92"/>
      <c r="Y391" s="92"/>
      <c r="Z391" s="92"/>
      <c r="AA391" s="92"/>
      <c r="AB391" s="92"/>
      <c r="AC391" s="92"/>
      <c r="AD391" s="100"/>
      <c r="AE391" s="92"/>
      <c r="AF391" s="92"/>
    </row>
    <row r="392" spans="1:32">
      <c r="A392" s="90">
        <f t="shared" si="60"/>
        <v>46292</v>
      </c>
      <c r="B392" s="90">
        <f t="shared" si="61"/>
        <v>46293</v>
      </c>
      <c r="C392" s="92"/>
      <c r="D392" s="92"/>
      <c r="E392" s="93"/>
      <c r="F392" s="92"/>
      <c r="G392" s="93"/>
      <c r="H392" s="93"/>
      <c r="I392" s="92"/>
      <c r="J392" s="92"/>
      <c r="K392" s="92"/>
      <c r="L392" s="92"/>
      <c r="M392" s="92"/>
      <c r="N392" s="94"/>
      <c r="O392" s="94"/>
      <c r="P392" s="94"/>
      <c r="Q392" s="92"/>
      <c r="R392" s="92"/>
      <c r="S392" s="92"/>
      <c r="T392" s="92"/>
      <c r="U392" s="92"/>
      <c r="V392" s="92"/>
      <c r="W392" s="99"/>
      <c r="X392" s="92"/>
      <c r="Y392" s="92"/>
      <c r="Z392" s="92"/>
      <c r="AA392" s="92"/>
      <c r="AB392" s="92"/>
      <c r="AC392" s="92"/>
      <c r="AD392" s="100"/>
      <c r="AE392" s="92"/>
      <c r="AF392" s="92"/>
    </row>
    <row r="393" spans="1:32">
      <c r="A393" s="90">
        <f t="shared" si="60"/>
        <v>46293</v>
      </c>
      <c r="B393" s="90">
        <f t="shared" si="61"/>
        <v>46294</v>
      </c>
      <c r="C393" s="92"/>
      <c r="D393" s="92"/>
      <c r="E393" s="93"/>
      <c r="F393" s="92"/>
      <c r="G393" s="93"/>
      <c r="H393" s="93"/>
      <c r="I393" s="92"/>
      <c r="J393" s="92"/>
      <c r="K393" s="92"/>
      <c r="L393" s="92"/>
      <c r="M393" s="92"/>
      <c r="N393" s="94"/>
      <c r="O393" s="94"/>
      <c r="P393" s="94"/>
      <c r="Q393" s="92"/>
      <c r="R393" s="92"/>
      <c r="S393" s="92"/>
      <c r="T393" s="92"/>
      <c r="U393" s="92"/>
      <c r="V393" s="92"/>
      <c r="W393" s="99"/>
      <c r="X393" s="92"/>
      <c r="Y393" s="92"/>
      <c r="Z393" s="92"/>
      <c r="AA393" s="92"/>
      <c r="AB393" s="92"/>
      <c r="AC393" s="92"/>
      <c r="AD393" s="100"/>
      <c r="AE393" s="92"/>
      <c r="AF393" s="92"/>
    </row>
    <row r="394" spans="1:32">
      <c r="A394" s="90">
        <f t="shared" si="60"/>
        <v>46294</v>
      </c>
      <c r="B394" s="90">
        <f t="shared" si="61"/>
        <v>46295</v>
      </c>
      <c r="C394" s="92"/>
      <c r="D394" s="92"/>
      <c r="E394" s="93"/>
      <c r="F394" s="92"/>
      <c r="G394" s="93"/>
      <c r="H394" s="93"/>
      <c r="I394" s="92"/>
      <c r="J394" s="92"/>
      <c r="K394" s="92"/>
      <c r="L394" s="92"/>
      <c r="M394" s="92"/>
      <c r="N394" s="94"/>
      <c r="O394" s="94"/>
      <c r="P394" s="94"/>
      <c r="Q394" s="92"/>
      <c r="R394" s="92"/>
      <c r="S394" s="92"/>
      <c r="T394" s="92"/>
      <c r="U394" s="92"/>
      <c r="V394" s="92"/>
      <c r="W394" s="99"/>
      <c r="X394" s="92"/>
      <c r="Y394" s="92"/>
      <c r="Z394" s="92"/>
      <c r="AA394" s="92"/>
      <c r="AB394" s="92"/>
      <c r="AC394" s="92"/>
      <c r="AD394" s="100"/>
      <c r="AE394" s="92"/>
      <c r="AF394" s="92"/>
    </row>
    <row r="395" spans="1:32">
      <c r="A395" s="90">
        <v>45777</v>
      </c>
      <c r="B395" s="90">
        <v>45778</v>
      </c>
      <c r="C395" s="80"/>
      <c r="D395" s="80"/>
      <c r="E395" s="72"/>
      <c r="F395" s="80"/>
      <c r="G395" s="72"/>
      <c r="H395" s="72"/>
      <c r="I395" s="80"/>
      <c r="J395" s="80"/>
      <c r="K395" s="80"/>
      <c r="L395" s="80"/>
      <c r="M395" s="80"/>
      <c r="N395" s="97"/>
      <c r="O395" s="97"/>
      <c r="P395" s="97"/>
      <c r="Q395" s="92"/>
      <c r="R395" s="92"/>
      <c r="S395" s="92"/>
      <c r="T395" s="92"/>
      <c r="U395" s="92"/>
      <c r="V395" s="92"/>
      <c r="W395" s="99"/>
      <c r="X395" s="92"/>
      <c r="Y395" s="92"/>
      <c r="Z395" s="92"/>
      <c r="AA395" s="92"/>
      <c r="AB395" s="92"/>
      <c r="AC395" s="92"/>
      <c r="AD395" s="100"/>
      <c r="AE395" s="92"/>
      <c r="AF395" s="92"/>
    </row>
    <row r="396" spans="1:32">
      <c r="A396" s="324" t="s">
        <v>31</v>
      </c>
      <c r="B396" s="324"/>
      <c r="C396" s="95">
        <f t="shared" ref="C396:AF396" si="62">MIN(C366:C395)</f>
        <v>0</v>
      </c>
      <c r="D396" s="95">
        <f t="shared" si="62"/>
        <v>0</v>
      </c>
      <c r="E396" s="96">
        <f t="shared" si="62"/>
        <v>0</v>
      </c>
      <c r="F396" s="95">
        <f t="shared" si="62"/>
        <v>0</v>
      </c>
      <c r="G396" s="96">
        <f t="shared" si="62"/>
        <v>0</v>
      </c>
      <c r="H396" s="96">
        <f t="shared" si="62"/>
        <v>0</v>
      </c>
      <c r="I396" s="95">
        <f t="shared" si="62"/>
        <v>0</v>
      </c>
      <c r="J396" s="95">
        <f t="shared" si="62"/>
        <v>0</v>
      </c>
      <c r="K396" s="95">
        <f t="shared" si="62"/>
        <v>0</v>
      </c>
      <c r="L396" s="95">
        <f t="shared" si="62"/>
        <v>0</v>
      </c>
      <c r="M396" s="95">
        <f t="shared" si="62"/>
        <v>0</v>
      </c>
      <c r="N396" s="95">
        <f t="shared" si="62"/>
        <v>0</v>
      </c>
      <c r="O396" s="95">
        <f t="shared" si="62"/>
        <v>0</v>
      </c>
      <c r="P396" s="95">
        <f t="shared" si="62"/>
        <v>0</v>
      </c>
      <c r="Q396" s="95">
        <f t="shared" si="62"/>
        <v>0</v>
      </c>
      <c r="R396" s="95">
        <f t="shared" si="62"/>
        <v>0</v>
      </c>
      <c r="S396" s="95">
        <f t="shared" si="62"/>
        <v>0</v>
      </c>
      <c r="T396" s="95">
        <f t="shared" si="62"/>
        <v>0</v>
      </c>
      <c r="U396" s="95">
        <f t="shared" si="62"/>
        <v>0</v>
      </c>
      <c r="V396" s="95">
        <f t="shared" si="62"/>
        <v>0</v>
      </c>
      <c r="W396" s="96">
        <f t="shared" si="62"/>
        <v>0</v>
      </c>
      <c r="X396" s="95">
        <f t="shared" si="62"/>
        <v>0</v>
      </c>
      <c r="Y396" s="95">
        <f t="shared" si="62"/>
        <v>0</v>
      </c>
      <c r="Z396" s="95">
        <f t="shared" si="62"/>
        <v>0</v>
      </c>
      <c r="AA396" s="95">
        <f t="shared" si="62"/>
        <v>0</v>
      </c>
      <c r="AB396" s="95">
        <f t="shared" si="62"/>
        <v>0</v>
      </c>
      <c r="AC396" s="95">
        <f t="shared" si="62"/>
        <v>0</v>
      </c>
      <c r="AD396" s="95">
        <f t="shared" si="62"/>
        <v>0</v>
      </c>
      <c r="AE396" s="95">
        <f t="shared" si="62"/>
        <v>0</v>
      </c>
      <c r="AF396" s="95">
        <f t="shared" si="62"/>
        <v>0</v>
      </c>
    </row>
    <row r="397" spans="1:32">
      <c r="A397" s="324" t="s">
        <v>33</v>
      </c>
      <c r="B397" s="324"/>
      <c r="C397" s="95">
        <f t="shared" ref="C397:AF397" si="63">MAX(C366:C395)</f>
        <v>0</v>
      </c>
      <c r="D397" s="95">
        <f t="shared" si="63"/>
        <v>0</v>
      </c>
      <c r="E397" s="96">
        <f t="shared" si="63"/>
        <v>0</v>
      </c>
      <c r="F397" s="95">
        <f t="shared" si="63"/>
        <v>0</v>
      </c>
      <c r="G397" s="96">
        <f t="shared" si="63"/>
        <v>0</v>
      </c>
      <c r="H397" s="96">
        <f t="shared" si="63"/>
        <v>0</v>
      </c>
      <c r="I397" s="95">
        <f t="shared" si="63"/>
        <v>0</v>
      </c>
      <c r="J397" s="95">
        <f t="shared" si="63"/>
        <v>0</v>
      </c>
      <c r="K397" s="95">
        <f t="shared" si="63"/>
        <v>0</v>
      </c>
      <c r="L397" s="95">
        <f t="shared" si="63"/>
        <v>0</v>
      </c>
      <c r="M397" s="95">
        <f t="shared" si="63"/>
        <v>0</v>
      </c>
      <c r="N397" s="95">
        <f t="shared" si="63"/>
        <v>0</v>
      </c>
      <c r="O397" s="95">
        <f t="shared" si="63"/>
        <v>0</v>
      </c>
      <c r="P397" s="95">
        <f t="shared" si="63"/>
        <v>0</v>
      </c>
      <c r="Q397" s="95">
        <f t="shared" si="63"/>
        <v>0</v>
      </c>
      <c r="R397" s="95">
        <f t="shared" si="63"/>
        <v>0</v>
      </c>
      <c r="S397" s="95">
        <f t="shared" si="63"/>
        <v>0</v>
      </c>
      <c r="T397" s="95">
        <f t="shared" si="63"/>
        <v>0</v>
      </c>
      <c r="U397" s="95">
        <f t="shared" si="63"/>
        <v>0</v>
      </c>
      <c r="V397" s="95">
        <f t="shared" si="63"/>
        <v>0</v>
      </c>
      <c r="W397" s="96">
        <f t="shared" si="63"/>
        <v>0</v>
      </c>
      <c r="X397" s="95">
        <f t="shared" si="63"/>
        <v>0</v>
      </c>
      <c r="Y397" s="95">
        <f t="shared" si="63"/>
        <v>0</v>
      </c>
      <c r="Z397" s="95">
        <f t="shared" si="63"/>
        <v>0</v>
      </c>
      <c r="AA397" s="95">
        <f t="shared" si="63"/>
        <v>0</v>
      </c>
      <c r="AB397" s="95">
        <f t="shared" si="63"/>
        <v>0</v>
      </c>
      <c r="AC397" s="95">
        <f t="shared" si="63"/>
        <v>0</v>
      </c>
      <c r="AD397" s="95">
        <f t="shared" si="63"/>
        <v>0</v>
      </c>
      <c r="AE397" s="95">
        <f t="shared" si="63"/>
        <v>0</v>
      </c>
      <c r="AF397" s="95">
        <f t="shared" si="63"/>
        <v>0</v>
      </c>
    </row>
    <row r="398" spans="1:32">
      <c r="A398" s="324" t="s">
        <v>36</v>
      </c>
      <c r="B398" s="324"/>
      <c r="C398" s="95" t="e">
        <f t="shared" ref="C398:AF398" si="64">AVERAGE(C366:C395)</f>
        <v>#DIV/0!</v>
      </c>
      <c r="D398" s="95" t="e">
        <f t="shared" si="64"/>
        <v>#DIV/0!</v>
      </c>
      <c r="E398" s="96" t="e">
        <f t="shared" si="64"/>
        <v>#DIV/0!</v>
      </c>
      <c r="F398" s="95" t="e">
        <f t="shared" si="64"/>
        <v>#DIV/0!</v>
      </c>
      <c r="G398" s="96" t="e">
        <f t="shared" si="64"/>
        <v>#DIV/0!</v>
      </c>
      <c r="H398" s="96" t="e">
        <f t="shared" si="64"/>
        <v>#DIV/0!</v>
      </c>
      <c r="I398" s="95" t="e">
        <f t="shared" si="64"/>
        <v>#DIV/0!</v>
      </c>
      <c r="J398" s="95" t="e">
        <f t="shared" si="64"/>
        <v>#DIV/0!</v>
      </c>
      <c r="K398" s="95" t="e">
        <f t="shared" si="64"/>
        <v>#DIV/0!</v>
      </c>
      <c r="L398" s="95" t="e">
        <f t="shared" si="64"/>
        <v>#DIV/0!</v>
      </c>
      <c r="M398" s="95" t="e">
        <f t="shared" si="64"/>
        <v>#DIV/0!</v>
      </c>
      <c r="N398" s="95" t="e">
        <f t="shared" si="64"/>
        <v>#DIV/0!</v>
      </c>
      <c r="O398" s="95" t="e">
        <f t="shared" si="64"/>
        <v>#DIV/0!</v>
      </c>
      <c r="P398" s="95" t="e">
        <f t="shared" si="64"/>
        <v>#DIV/0!</v>
      </c>
      <c r="Q398" s="95" t="e">
        <f t="shared" si="64"/>
        <v>#DIV/0!</v>
      </c>
      <c r="R398" s="95" t="e">
        <f t="shared" si="64"/>
        <v>#DIV/0!</v>
      </c>
      <c r="S398" s="95" t="e">
        <f t="shared" si="64"/>
        <v>#DIV/0!</v>
      </c>
      <c r="T398" s="95" t="e">
        <f t="shared" si="64"/>
        <v>#DIV/0!</v>
      </c>
      <c r="U398" s="95" t="e">
        <f t="shared" si="64"/>
        <v>#DIV/0!</v>
      </c>
      <c r="V398" s="95" t="e">
        <f t="shared" si="64"/>
        <v>#DIV/0!</v>
      </c>
      <c r="W398" s="96" t="e">
        <f t="shared" si="64"/>
        <v>#DIV/0!</v>
      </c>
      <c r="X398" s="95" t="e">
        <f t="shared" si="64"/>
        <v>#DIV/0!</v>
      </c>
      <c r="Y398" s="95" t="e">
        <f t="shared" si="64"/>
        <v>#DIV/0!</v>
      </c>
      <c r="Z398" s="95" t="e">
        <f t="shared" si="64"/>
        <v>#DIV/0!</v>
      </c>
      <c r="AA398" s="95" t="e">
        <f t="shared" si="64"/>
        <v>#DIV/0!</v>
      </c>
      <c r="AB398" s="95" t="e">
        <f t="shared" si="64"/>
        <v>#DIV/0!</v>
      </c>
      <c r="AC398" s="95" t="e">
        <f t="shared" si="64"/>
        <v>#DIV/0!</v>
      </c>
      <c r="AD398" s="95" t="e">
        <f t="shared" si="64"/>
        <v>#DIV/0!</v>
      </c>
      <c r="AE398" s="95" t="e">
        <f t="shared" si="64"/>
        <v>#DIV/0!</v>
      </c>
      <c r="AF398" s="95" t="e">
        <f t="shared" si="64"/>
        <v>#DIV/0!</v>
      </c>
    </row>
    <row r="399" spans="1:32">
      <c r="A399" s="324" t="s">
        <v>130</v>
      </c>
      <c r="B399" s="324"/>
      <c r="C399" s="95" t="e">
        <f t="shared" ref="C399:AF399" si="65">STDEV(C366:C395)</f>
        <v>#DIV/0!</v>
      </c>
      <c r="D399" s="95" t="e">
        <f t="shared" si="65"/>
        <v>#DIV/0!</v>
      </c>
      <c r="E399" s="96" t="e">
        <f t="shared" si="65"/>
        <v>#DIV/0!</v>
      </c>
      <c r="F399" s="95" t="e">
        <f t="shared" si="65"/>
        <v>#DIV/0!</v>
      </c>
      <c r="G399" s="96" t="e">
        <f t="shared" si="65"/>
        <v>#DIV/0!</v>
      </c>
      <c r="H399" s="96" t="e">
        <f t="shared" si="65"/>
        <v>#DIV/0!</v>
      </c>
      <c r="I399" s="95" t="e">
        <f t="shared" si="65"/>
        <v>#DIV/0!</v>
      </c>
      <c r="J399" s="95" t="e">
        <f t="shared" si="65"/>
        <v>#DIV/0!</v>
      </c>
      <c r="K399" s="95" t="e">
        <f t="shared" si="65"/>
        <v>#DIV/0!</v>
      </c>
      <c r="L399" s="95" t="e">
        <f t="shared" si="65"/>
        <v>#DIV/0!</v>
      </c>
      <c r="M399" s="95" t="e">
        <f t="shared" si="65"/>
        <v>#DIV/0!</v>
      </c>
      <c r="N399" s="95" t="e">
        <f t="shared" si="65"/>
        <v>#DIV/0!</v>
      </c>
      <c r="O399" s="95" t="e">
        <f t="shared" si="65"/>
        <v>#DIV/0!</v>
      </c>
      <c r="P399" s="95" t="e">
        <f t="shared" si="65"/>
        <v>#DIV/0!</v>
      </c>
      <c r="Q399" s="95" t="e">
        <f t="shared" si="65"/>
        <v>#DIV/0!</v>
      </c>
      <c r="R399" s="95" t="e">
        <f t="shared" si="65"/>
        <v>#DIV/0!</v>
      </c>
      <c r="S399" s="95" t="e">
        <f t="shared" si="65"/>
        <v>#DIV/0!</v>
      </c>
      <c r="T399" s="95" t="e">
        <f t="shared" si="65"/>
        <v>#DIV/0!</v>
      </c>
      <c r="U399" s="95" t="e">
        <f t="shared" si="65"/>
        <v>#DIV/0!</v>
      </c>
      <c r="V399" s="95" t="e">
        <f t="shared" si="65"/>
        <v>#DIV/0!</v>
      </c>
      <c r="W399" s="96" t="e">
        <f t="shared" si="65"/>
        <v>#DIV/0!</v>
      </c>
      <c r="X399" s="95" t="e">
        <f t="shared" si="65"/>
        <v>#DIV/0!</v>
      </c>
      <c r="Y399" s="95" t="e">
        <f t="shared" si="65"/>
        <v>#DIV/0!</v>
      </c>
      <c r="Z399" s="95" t="e">
        <f t="shared" si="65"/>
        <v>#DIV/0!</v>
      </c>
      <c r="AA399" s="95" t="e">
        <f t="shared" si="65"/>
        <v>#DIV/0!</v>
      </c>
      <c r="AB399" s="95" t="e">
        <f t="shared" si="65"/>
        <v>#DIV/0!</v>
      </c>
      <c r="AC399" s="95" t="e">
        <f t="shared" si="65"/>
        <v>#DIV/0!</v>
      </c>
      <c r="AD399" s="95" t="e">
        <f t="shared" si="65"/>
        <v>#DIV/0!</v>
      </c>
      <c r="AE399" s="95" t="e">
        <f t="shared" si="65"/>
        <v>#DIV/0!</v>
      </c>
      <c r="AF399" s="95" t="e">
        <f t="shared" si="65"/>
        <v>#DIV/0!</v>
      </c>
    </row>
    <row r="401" spans="1:32">
      <c r="A401" s="325" t="s">
        <v>0</v>
      </c>
      <c r="B401" s="325"/>
      <c r="C401" s="325"/>
      <c r="D401" s="325"/>
      <c r="E401" s="325"/>
      <c r="F401" s="325"/>
      <c r="G401" s="325"/>
      <c r="H401" s="325"/>
      <c r="I401" s="325"/>
      <c r="J401" s="325"/>
      <c r="K401" s="325"/>
      <c r="L401" s="325"/>
      <c r="M401" s="325"/>
      <c r="N401" s="325"/>
      <c r="O401" s="325"/>
      <c r="P401" s="325"/>
      <c r="Q401" s="325"/>
      <c r="R401" s="325"/>
      <c r="S401" s="325"/>
      <c r="T401" s="325"/>
      <c r="U401" s="325"/>
      <c r="V401" s="325"/>
      <c r="W401" s="325"/>
      <c r="X401" s="325"/>
      <c r="Y401" s="325"/>
      <c r="Z401" s="325"/>
      <c r="AA401" s="325"/>
      <c r="AB401" s="325"/>
      <c r="AC401" s="325"/>
      <c r="AD401" s="325"/>
      <c r="AE401" s="325"/>
      <c r="AF401" s="325"/>
    </row>
    <row r="402" spans="1:32">
      <c r="A402" s="325" t="s">
        <v>106</v>
      </c>
      <c r="B402" s="325"/>
      <c r="C402" s="325"/>
      <c r="D402" s="325"/>
      <c r="E402" s="325"/>
      <c r="F402" s="325"/>
      <c r="G402" s="325"/>
      <c r="H402" s="325"/>
      <c r="I402" s="325"/>
      <c r="J402" s="325"/>
      <c r="K402" s="325"/>
      <c r="L402" s="325"/>
      <c r="M402" s="325"/>
      <c r="N402" s="325"/>
      <c r="O402" s="325"/>
      <c r="P402" s="325"/>
      <c r="Q402" s="325"/>
      <c r="R402" s="325"/>
      <c r="S402" s="325"/>
      <c r="T402" s="325"/>
      <c r="U402" s="325"/>
      <c r="V402" s="325"/>
      <c r="W402" s="325"/>
      <c r="X402" s="325"/>
      <c r="Y402" s="325"/>
      <c r="Z402" s="325"/>
      <c r="AA402" s="325"/>
      <c r="AB402" s="325"/>
      <c r="AC402" s="325" t="s">
        <v>107</v>
      </c>
      <c r="AD402" s="325"/>
      <c r="AE402" s="326">
        <v>46296</v>
      </c>
      <c r="AF402" s="326"/>
    </row>
    <row r="403" spans="1:32">
      <c r="A403" s="327"/>
      <c r="B403" s="327"/>
      <c r="C403" s="328" t="s">
        <v>108</v>
      </c>
      <c r="D403" s="328"/>
      <c r="E403" s="328"/>
      <c r="F403" s="328"/>
      <c r="G403" s="328"/>
      <c r="H403" s="328"/>
      <c r="I403" s="328"/>
      <c r="J403" s="328"/>
      <c r="K403" s="328"/>
      <c r="L403" s="328"/>
      <c r="M403" s="328"/>
      <c r="N403" s="328"/>
      <c r="O403" s="328"/>
      <c r="P403" s="328"/>
      <c r="Q403" s="329" t="s">
        <v>109</v>
      </c>
      <c r="R403" s="329"/>
      <c r="S403" s="329"/>
      <c r="T403" s="329"/>
      <c r="U403" s="329"/>
      <c r="V403" s="329"/>
      <c r="W403" s="329"/>
      <c r="X403" s="329"/>
      <c r="Y403" s="329"/>
      <c r="Z403" s="329"/>
      <c r="AA403" s="329"/>
      <c r="AB403" s="329"/>
      <c r="AC403" s="329"/>
      <c r="AD403" s="329"/>
      <c r="AE403" s="329"/>
      <c r="AF403" s="329"/>
    </row>
    <row r="404" spans="1:32" ht="38.25">
      <c r="A404" s="5" t="s">
        <v>110</v>
      </c>
      <c r="B404" s="5" t="s">
        <v>111</v>
      </c>
      <c r="C404" s="64" t="s">
        <v>83</v>
      </c>
      <c r="D404" s="64" t="s">
        <v>81</v>
      </c>
      <c r="E404" s="89" t="s">
        <v>112</v>
      </c>
      <c r="F404" s="64" t="s">
        <v>113</v>
      </c>
      <c r="G404" s="89" t="s">
        <v>114</v>
      </c>
      <c r="H404" s="89" t="s">
        <v>115</v>
      </c>
      <c r="I404" s="64" t="s">
        <v>116</v>
      </c>
      <c r="J404" s="64" t="s">
        <v>117</v>
      </c>
      <c r="K404" s="64" t="s">
        <v>118</v>
      </c>
      <c r="L404" s="64" t="s">
        <v>119</v>
      </c>
      <c r="M404" s="64" t="s">
        <v>9</v>
      </c>
      <c r="N404" s="64" t="s">
        <v>120</v>
      </c>
      <c r="O404" s="64" t="s">
        <v>121</v>
      </c>
      <c r="P404" s="64" t="s">
        <v>122</v>
      </c>
      <c r="Q404" s="64" t="s">
        <v>74</v>
      </c>
      <c r="R404" s="64" t="s">
        <v>75</v>
      </c>
      <c r="S404" s="64" t="s">
        <v>76</v>
      </c>
      <c r="T404" s="64" t="s">
        <v>77</v>
      </c>
      <c r="U404" s="64" t="s">
        <v>78</v>
      </c>
      <c r="V404" s="64" t="s">
        <v>81</v>
      </c>
      <c r="W404" s="89" t="s">
        <v>123</v>
      </c>
      <c r="X404" s="64" t="s">
        <v>100</v>
      </c>
      <c r="Y404" s="64" t="s">
        <v>87</v>
      </c>
      <c r="Z404" s="64" t="s">
        <v>88</v>
      </c>
      <c r="AA404" s="64" t="s">
        <v>89</v>
      </c>
      <c r="AB404" s="64" t="s">
        <v>101</v>
      </c>
      <c r="AC404" s="64" t="s">
        <v>102</v>
      </c>
      <c r="AD404" s="64" t="s">
        <v>103</v>
      </c>
      <c r="AE404" s="64" t="s">
        <v>104</v>
      </c>
      <c r="AF404" s="64" t="s">
        <v>105</v>
      </c>
    </row>
    <row r="405" spans="1:32">
      <c r="A405" s="322" t="s">
        <v>124</v>
      </c>
      <c r="B405" s="323"/>
      <c r="C405" s="64" t="s">
        <v>53</v>
      </c>
      <c r="D405" s="64" t="s">
        <v>53</v>
      </c>
      <c r="E405" s="64" t="s">
        <v>125</v>
      </c>
      <c r="F405" s="64" t="s">
        <v>53</v>
      </c>
      <c r="G405" s="64" t="s">
        <v>126</v>
      </c>
      <c r="H405" s="64" t="s">
        <v>126</v>
      </c>
      <c r="I405" s="64" t="s">
        <v>53</v>
      </c>
      <c r="J405" s="64" t="s">
        <v>53</v>
      </c>
      <c r="K405" s="64" t="s">
        <v>53</v>
      </c>
      <c r="L405" s="64" t="s">
        <v>127</v>
      </c>
      <c r="M405" s="64" t="s">
        <v>128</v>
      </c>
      <c r="N405" s="64" t="s">
        <v>128</v>
      </c>
      <c r="O405" s="64" t="s">
        <v>128</v>
      </c>
      <c r="P405" s="64" t="s">
        <v>128</v>
      </c>
      <c r="Q405" s="64" t="s">
        <v>53</v>
      </c>
      <c r="R405" s="64" t="s">
        <v>53</v>
      </c>
      <c r="S405" s="64" t="s">
        <v>53</v>
      </c>
      <c r="T405" s="64" t="s">
        <v>53</v>
      </c>
      <c r="U405" s="64" t="s">
        <v>53</v>
      </c>
      <c r="V405" s="64" t="s">
        <v>53</v>
      </c>
      <c r="W405" s="64" t="s">
        <v>129</v>
      </c>
      <c r="X405" s="64" t="s">
        <v>53</v>
      </c>
      <c r="Y405" s="64" t="s">
        <v>53</v>
      </c>
      <c r="Z405" s="64" t="s">
        <v>53</v>
      </c>
      <c r="AA405" s="64" t="s">
        <v>53</v>
      </c>
      <c r="AB405" s="64" t="s">
        <v>53</v>
      </c>
      <c r="AC405" s="64" t="s">
        <v>53</v>
      </c>
      <c r="AD405" s="64" t="s">
        <v>53</v>
      </c>
      <c r="AE405" s="64" t="s">
        <v>53</v>
      </c>
      <c r="AF405" s="64" t="s">
        <v>53</v>
      </c>
    </row>
    <row r="406" spans="1:32">
      <c r="A406" s="90">
        <f>AE402+0</f>
        <v>46296</v>
      </c>
      <c r="B406" s="90">
        <f>A406+1</f>
        <v>46297</v>
      </c>
      <c r="C406" s="80"/>
      <c r="D406" s="80"/>
      <c r="E406" s="72"/>
      <c r="F406" s="80"/>
      <c r="G406" s="72"/>
      <c r="H406" s="72"/>
      <c r="I406" s="80"/>
      <c r="J406" s="80"/>
      <c r="K406" s="80"/>
      <c r="L406" s="80"/>
      <c r="M406" s="80"/>
      <c r="N406" s="97"/>
      <c r="O406" s="97"/>
      <c r="P406" s="97"/>
      <c r="Q406" s="92"/>
      <c r="R406" s="92"/>
      <c r="S406" s="92"/>
      <c r="T406" s="92"/>
      <c r="U406" s="92"/>
      <c r="V406" s="92"/>
      <c r="W406" s="99"/>
      <c r="X406" s="92"/>
      <c r="Y406" s="92"/>
      <c r="Z406" s="92"/>
      <c r="AA406" s="92"/>
      <c r="AB406" s="92"/>
      <c r="AC406" s="92"/>
      <c r="AD406" s="100"/>
      <c r="AE406" s="92"/>
      <c r="AF406" s="92"/>
    </row>
    <row r="407" spans="1:32">
      <c r="A407" s="90">
        <f t="shared" ref="A407:A434" si="66">A406+1</f>
        <v>46297</v>
      </c>
      <c r="B407" s="90">
        <f t="shared" ref="B407:B434" si="67">A407+1</f>
        <v>46298</v>
      </c>
      <c r="C407" s="80"/>
      <c r="D407" s="80"/>
      <c r="E407" s="72"/>
      <c r="F407" s="80"/>
      <c r="G407" s="72"/>
      <c r="H407" s="72"/>
      <c r="I407" s="80"/>
      <c r="J407" s="80"/>
      <c r="K407" s="80"/>
      <c r="L407" s="80"/>
      <c r="M407" s="80"/>
      <c r="N407" s="97"/>
      <c r="O407" s="97"/>
      <c r="P407" s="97"/>
      <c r="Q407" s="92"/>
      <c r="R407" s="92"/>
      <c r="S407" s="92"/>
      <c r="T407" s="92"/>
      <c r="U407" s="92"/>
      <c r="V407" s="92"/>
      <c r="W407" s="99"/>
      <c r="X407" s="92"/>
      <c r="Y407" s="92"/>
      <c r="Z407" s="92"/>
      <c r="AA407" s="92"/>
      <c r="AB407" s="92"/>
      <c r="AC407" s="92"/>
      <c r="AD407" s="100"/>
      <c r="AE407" s="92"/>
      <c r="AF407" s="92"/>
    </row>
    <row r="408" spans="1:32">
      <c r="A408" s="90">
        <f t="shared" si="66"/>
        <v>46298</v>
      </c>
      <c r="B408" s="90">
        <f t="shared" si="67"/>
        <v>46299</v>
      </c>
      <c r="C408" s="80"/>
      <c r="D408" s="80"/>
      <c r="E408" s="72"/>
      <c r="F408" s="80"/>
      <c r="G408" s="72"/>
      <c r="H408" s="72"/>
      <c r="I408" s="80"/>
      <c r="J408" s="80"/>
      <c r="K408" s="80"/>
      <c r="L408" s="80"/>
      <c r="M408" s="80"/>
      <c r="N408" s="97"/>
      <c r="O408" s="97"/>
      <c r="P408" s="97"/>
      <c r="Q408" s="92"/>
      <c r="R408" s="92"/>
      <c r="S408" s="92"/>
      <c r="T408" s="92"/>
      <c r="U408" s="92"/>
      <c r="V408" s="92"/>
      <c r="W408" s="99"/>
      <c r="X408" s="92"/>
      <c r="Y408" s="92"/>
      <c r="Z408" s="92"/>
      <c r="AA408" s="92"/>
      <c r="AB408" s="92"/>
      <c r="AC408" s="92"/>
      <c r="AD408" s="100"/>
      <c r="AE408" s="92"/>
      <c r="AF408" s="92"/>
    </row>
    <row r="409" spans="1:32">
      <c r="A409" s="90">
        <f t="shared" si="66"/>
        <v>46299</v>
      </c>
      <c r="B409" s="90">
        <f t="shared" si="67"/>
        <v>46300</v>
      </c>
      <c r="C409" s="80"/>
      <c r="D409" s="80"/>
      <c r="E409" s="72"/>
      <c r="F409" s="80"/>
      <c r="G409" s="72"/>
      <c r="H409" s="72"/>
      <c r="I409" s="80"/>
      <c r="J409" s="80"/>
      <c r="K409" s="80"/>
      <c r="L409" s="80"/>
      <c r="M409" s="80"/>
      <c r="N409" s="97"/>
      <c r="O409" s="97"/>
      <c r="P409" s="97"/>
      <c r="Q409" s="92"/>
      <c r="R409" s="92"/>
      <c r="S409" s="92"/>
      <c r="T409" s="92"/>
      <c r="U409" s="92"/>
      <c r="V409" s="92"/>
      <c r="W409" s="99"/>
      <c r="X409" s="92"/>
      <c r="Y409" s="92"/>
      <c r="Z409" s="92"/>
      <c r="AA409" s="92"/>
      <c r="AB409" s="92"/>
      <c r="AC409" s="92"/>
      <c r="AD409" s="100"/>
      <c r="AE409" s="92"/>
      <c r="AF409" s="92"/>
    </row>
    <row r="410" spans="1:32">
      <c r="A410" s="90">
        <f t="shared" si="66"/>
        <v>46300</v>
      </c>
      <c r="B410" s="90">
        <f t="shared" si="67"/>
        <v>46301</v>
      </c>
      <c r="C410" s="80"/>
      <c r="D410" s="80"/>
      <c r="E410" s="72"/>
      <c r="F410" s="80"/>
      <c r="G410" s="72"/>
      <c r="H410" s="72"/>
      <c r="I410" s="80"/>
      <c r="J410" s="80"/>
      <c r="K410" s="80"/>
      <c r="L410" s="80"/>
      <c r="M410" s="80"/>
      <c r="N410" s="97"/>
      <c r="O410" s="97"/>
      <c r="P410" s="97"/>
      <c r="Q410" s="92"/>
      <c r="R410" s="92"/>
      <c r="S410" s="92"/>
      <c r="T410" s="92"/>
      <c r="U410" s="92"/>
      <c r="V410" s="92"/>
      <c r="W410" s="99"/>
      <c r="X410" s="92"/>
      <c r="Y410" s="92"/>
      <c r="Z410" s="92"/>
      <c r="AA410" s="92"/>
      <c r="AB410" s="92"/>
      <c r="AC410" s="92"/>
      <c r="AD410" s="100"/>
      <c r="AE410" s="92"/>
      <c r="AF410" s="92"/>
    </row>
    <row r="411" spans="1:32">
      <c r="A411" s="90">
        <f t="shared" si="66"/>
        <v>46301</v>
      </c>
      <c r="B411" s="90">
        <f t="shared" si="67"/>
        <v>46302</v>
      </c>
      <c r="C411" s="80"/>
      <c r="D411" s="80"/>
      <c r="E411" s="72"/>
      <c r="F411" s="80"/>
      <c r="G411" s="91"/>
      <c r="H411" s="72"/>
      <c r="I411" s="80"/>
      <c r="J411" s="80"/>
      <c r="K411" s="80"/>
      <c r="L411" s="80"/>
      <c r="M411" s="80"/>
      <c r="N411" s="97"/>
      <c r="O411" s="97"/>
      <c r="P411" s="97"/>
      <c r="Q411" s="92"/>
      <c r="R411" s="92"/>
      <c r="S411" s="92"/>
      <c r="T411" s="92"/>
      <c r="U411" s="92"/>
      <c r="V411" s="92"/>
      <c r="W411" s="99"/>
      <c r="X411" s="92"/>
      <c r="Y411" s="92"/>
      <c r="Z411" s="92"/>
      <c r="AA411" s="92"/>
      <c r="AB411" s="92"/>
      <c r="AC411" s="92"/>
      <c r="AD411" s="100"/>
      <c r="AE411" s="92"/>
      <c r="AF411" s="92"/>
    </row>
    <row r="412" spans="1:32">
      <c r="A412" s="90">
        <f t="shared" si="66"/>
        <v>46302</v>
      </c>
      <c r="B412" s="90">
        <f t="shared" si="67"/>
        <v>46303</v>
      </c>
      <c r="C412" s="80"/>
      <c r="D412" s="80"/>
      <c r="E412" s="72"/>
      <c r="F412" s="80"/>
      <c r="G412" s="72"/>
      <c r="H412" s="72"/>
      <c r="I412" s="80"/>
      <c r="J412" s="80"/>
      <c r="K412" s="80"/>
      <c r="L412" s="80"/>
      <c r="M412" s="80"/>
      <c r="N412" s="97"/>
      <c r="O412" s="97"/>
      <c r="P412" s="97"/>
      <c r="Q412" s="92"/>
      <c r="R412" s="92"/>
      <c r="S412" s="92"/>
      <c r="T412" s="92"/>
      <c r="U412" s="92"/>
      <c r="V412" s="92"/>
      <c r="W412" s="93"/>
      <c r="X412" s="92"/>
      <c r="Y412" s="92"/>
      <c r="Z412" s="100"/>
      <c r="AA412" s="92"/>
      <c r="AB412" s="92"/>
      <c r="AC412" s="101"/>
      <c r="AD412" s="101"/>
      <c r="AE412" s="101"/>
      <c r="AF412" s="92"/>
    </row>
    <row r="413" spans="1:32">
      <c r="A413" s="90">
        <f t="shared" si="66"/>
        <v>46303</v>
      </c>
      <c r="B413" s="90">
        <f t="shared" si="67"/>
        <v>46304</v>
      </c>
      <c r="C413" s="80"/>
      <c r="D413" s="80"/>
      <c r="E413" s="72"/>
      <c r="F413" s="80"/>
      <c r="G413" s="72"/>
      <c r="H413" s="72"/>
      <c r="I413" s="80"/>
      <c r="J413" s="80"/>
      <c r="K413" s="80"/>
      <c r="L413" s="80"/>
      <c r="M413" s="80"/>
      <c r="N413" s="97"/>
      <c r="O413" s="97"/>
      <c r="P413" s="97"/>
      <c r="Q413" s="92"/>
      <c r="R413" s="92"/>
      <c r="S413" s="92"/>
      <c r="T413" s="92"/>
      <c r="U413" s="92"/>
      <c r="V413" s="92"/>
      <c r="W413" s="99"/>
      <c r="X413" s="92"/>
      <c r="Y413" s="92"/>
      <c r="Z413" s="92"/>
      <c r="AA413" s="92"/>
      <c r="AB413" s="92"/>
      <c r="AC413" s="92"/>
      <c r="AD413" s="100"/>
      <c r="AE413" s="92"/>
      <c r="AF413" s="92"/>
    </row>
    <row r="414" spans="1:32">
      <c r="A414" s="90">
        <f t="shared" si="66"/>
        <v>46304</v>
      </c>
      <c r="B414" s="90">
        <f t="shared" si="67"/>
        <v>46305</v>
      </c>
      <c r="C414" s="80"/>
      <c r="D414" s="92"/>
      <c r="E414" s="72"/>
      <c r="F414" s="80"/>
      <c r="G414" s="72"/>
      <c r="H414" s="72"/>
      <c r="I414" s="80"/>
      <c r="J414" s="80"/>
      <c r="K414" s="80"/>
      <c r="L414" s="80"/>
      <c r="M414" s="80"/>
      <c r="N414" s="97"/>
      <c r="O414" s="97"/>
      <c r="P414" s="97"/>
      <c r="Q414" s="92"/>
      <c r="R414" s="92"/>
      <c r="S414" s="92"/>
      <c r="T414" s="92"/>
      <c r="U414" s="92"/>
      <c r="V414" s="92"/>
      <c r="W414" s="99"/>
      <c r="X414" s="92"/>
      <c r="Y414" s="92"/>
      <c r="Z414" s="92"/>
      <c r="AA414" s="92"/>
      <c r="AB414" s="92"/>
      <c r="AC414" s="92"/>
      <c r="AD414" s="100"/>
      <c r="AE414" s="92"/>
      <c r="AF414" s="92"/>
    </row>
    <row r="415" spans="1:32">
      <c r="A415" s="90">
        <f t="shared" si="66"/>
        <v>46305</v>
      </c>
      <c r="B415" s="90">
        <f t="shared" si="67"/>
        <v>46306</v>
      </c>
      <c r="C415" s="92"/>
      <c r="D415" s="92"/>
      <c r="E415" s="72"/>
      <c r="F415" s="80"/>
      <c r="G415" s="72"/>
      <c r="H415" s="72"/>
      <c r="I415" s="80"/>
      <c r="J415" s="80"/>
      <c r="K415" s="80"/>
      <c r="L415" s="80"/>
      <c r="M415" s="80"/>
      <c r="N415" s="97"/>
      <c r="O415" s="97"/>
      <c r="P415" s="97"/>
      <c r="Q415" s="92"/>
      <c r="R415" s="92"/>
      <c r="S415" s="92"/>
      <c r="T415" s="92"/>
      <c r="U415" s="92"/>
      <c r="V415" s="92"/>
      <c r="W415" s="99"/>
      <c r="X415" s="92"/>
      <c r="Y415" s="92"/>
      <c r="Z415" s="92"/>
      <c r="AA415" s="92"/>
      <c r="AB415" s="92"/>
      <c r="AC415" s="92"/>
      <c r="AD415" s="100"/>
      <c r="AE415" s="92"/>
      <c r="AF415" s="92"/>
    </row>
    <row r="416" spans="1:32">
      <c r="A416" s="90">
        <f t="shared" si="66"/>
        <v>46306</v>
      </c>
      <c r="B416" s="90">
        <f t="shared" si="67"/>
        <v>46307</v>
      </c>
      <c r="C416" s="92"/>
      <c r="D416" s="92"/>
      <c r="E416" s="72"/>
      <c r="F416" s="80"/>
      <c r="G416" s="72"/>
      <c r="H416" s="72"/>
      <c r="I416" s="80"/>
      <c r="J416" s="80"/>
      <c r="K416" s="80"/>
      <c r="L416" s="80"/>
      <c r="M416" s="80"/>
      <c r="N416" s="97"/>
      <c r="O416" s="97"/>
      <c r="P416" s="97"/>
      <c r="Q416" s="92"/>
      <c r="R416" s="92"/>
      <c r="S416" s="92"/>
      <c r="T416" s="92"/>
      <c r="U416" s="92"/>
      <c r="V416" s="92"/>
      <c r="W416" s="93"/>
      <c r="X416" s="92"/>
      <c r="Y416" s="92"/>
      <c r="Z416" s="92"/>
      <c r="AA416" s="92"/>
      <c r="AB416" s="92"/>
      <c r="AC416" s="92"/>
      <c r="AD416" s="92"/>
      <c r="AE416" s="92"/>
      <c r="AF416" s="92"/>
    </row>
    <row r="417" spans="1:32">
      <c r="A417" s="90">
        <f t="shared" si="66"/>
        <v>46307</v>
      </c>
      <c r="B417" s="90">
        <f t="shared" si="67"/>
        <v>46308</v>
      </c>
      <c r="C417" s="92"/>
      <c r="D417" s="92"/>
      <c r="E417" s="72"/>
      <c r="F417" s="80"/>
      <c r="G417" s="72"/>
      <c r="H417" s="72"/>
      <c r="I417" s="80"/>
      <c r="J417" s="80"/>
      <c r="K417" s="80"/>
      <c r="L417" s="80"/>
      <c r="M417" s="80"/>
      <c r="N417" s="97"/>
      <c r="O417" s="97"/>
      <c r="P417" s="97"/>
      <c r="Q417" s="92"/>
      <c r="R417" s="92"/>
      <c r="S417" s="92"/>
      <c r="T417" s="92"/>
      <c r="U417" s="92"/>
      <c r="V417" s="92"/>
      <c r="W417" s="99"/>
      <c r="X417" s="92"/>
      <c r="Y417" s="92"/>
      <c r="Z417" s="92"/>
      <c r="AA417" s="92"/>
      <c r="AB417" s="92"/>
      <c r="AC417" s="92"/>
      <c r="AD417" s="100"/>
      <c r="AE417" s="92"/>
      <c r="AF417" s="92"/>
    </row>
    <row r="418" spans="1:32">
      <c r="A418" s="90">
        <f t="shared" si="66"/>
        <v>46308</v>
      </c>
      <c r="B418" s="90">
        <f t="shared" si="67"/>
        <v>46309</v>
      </c>
      <c r="C418" s="92"/>
      <c r="D418" s="92"/>
      <c r="E418" s="72"/>
      <c r="F418" s="80"/>
      <c r="G418" s="72"/>
      <c r="H418" s="72"/>
      <c r="I418" s="80"/>
      <c r="J418" s="80"/>
      <c r="K418" s="80"/>
      <c r="L418" s="80"/>
      <c r="M418" s="80"/>
      <c r="N418" s="97"/>
      <c r="O418" s="97"/>
      <c r="P418" s="97"/>
      <c r="Q418" s="92"/>
      <c r="R418" s="92"/>
      <c r="S418" s="92"/>
      <c r="T418" s="92"/>
      <c r="U418" s="92"/>
      <c r="V418" s="92"/>
      <c r="W418" s="99"/>
      <c r="X418" s="92"/>
      <c r="Y418" s="92"/>
      <c r="Z418" s="92"/>
      <c r="AA418" s="92"/>
      <c r="AB418" s="92"/>
      <c r="AC418" s="92"/>
      <c r="AD418" s="100"/>
      <c r="AE418" s="92"/>
      <c r="AF418" s="92"/>
    </row>
    <row r="419" spans="1:32">
      <c r="A419" s="90">
        <f t="shared" si="66"/>
        <v>46309</v>
      </c>
      <c r="B419" s="90">
        <f t="shared" si="67"/>
        <v>46310</v>
      </c>
      <c r="C419" s="92"/>
      <c r="D419" s="92"/>
      <c r="E419" s="72"/>
      <c r="F419" s="80"/>
      <c r="G419" s="72"/>
      <c r="H419" s="72"/>
      <c r="I419" s="80"/>
      <c r="J419" s="80"/>
      <c r="K419" s="80"/>
      <c r="L419" s="80"/>
      <c r="M419" s="80"/>
      <c r="N419" s="97"/>
      <c r="O419" s="97"/>
      <c r="P419" s="97"/>
      <c r="Q419" s="92"/>
      <c r="R419" s="92"/>
      <c r="S419" s="92"/>
      <c r="T419" s="92"/>
      <c r="U419" s="92"/>
      <c r="V419" s="92"/>
      <c r="W419" s="93"/>
      <c r="X419" s="92"/>
      <c r="Y419" s="92"/>
      <c r="Z419" s="100"/>
      <c r="AA419" s="92"/>
      <c r="AB419" s="92"/>
      <c r="AC419" s="101"/>
      <c r="AD419" s="92"/>
      <c r="AE419" s="101"/>
      <c r="AF419" s="92"/>
    </row>
    <row r="420" spans="1:32">
      <c r="A420" s="90">
        <f t="shared" si="66"/>
        <v>46310</v>
      </c>
      <c r="B420" s="90">
        <f t="shared" si="67"/>
        <v>46311</v>
      </c>
      <c r="C420" s="80"/>
      <c r="D420" s="80"/>
      <c r="E420" s="72"/>
      <c r="F420" s="80"/>
      <c r="G420" s="72"/>
      <c r="H420" s="72"/>
      <c r="I420" s="80"/>
      <c r="J420" s="80"/>
      <c r="K420" s="80"/>
      <c r="L420" s="80"/>
      <c r="M420" s="80"/>
      <c r="N420" s="97"/>
      <c r="O420" s="97"/>
      <c r="P420" s="97"/>
      <c r="Q420" s="92"/>
      <c r="R420" s="92"/>
      <c r="S420" s="92"/>
      <c r="T420" s="92"/>
      <c r="U420" s="92"/>
      <c r="V420" s="92"/>
      <c r="W420" s="99"/>
      <c r="X420" s="92"/>
      <c r="Y420" s="92"/>
      <c r="Z420" s="92"/>
      <c r="AA420" s="92"/>
      <c r="AB420" s="92"/>
      <c r="AC420" s="92"/>
      <c r="AD420" s="100"/>
      <c r="AE420" s="92"/>
      <c r="AF420" s="92"/>
    </row>
    <row r="421" spans="1:32">
      <c r="A421" s="90">
        <f t="shared" si="66"/>
        <v>46311</v>
      </c>
      <c r="B421" s="90">
        <f t="shared" si="67"/>
        <v>46312</v>
      </c>
      <c r="C421" s="92"/>
      <c r="D421" s="92"/>
      <c r="E421" s="72"/>
      <c r="F421" s="80"/>
      <c r="G421" s="72"/>
      <c r="H421" s="72"/>
      <c r="I421" s="80"/>
      <c r="J421" s="80"/>
      <c r="K421" s="80"/>
      <c r="L421" s="80"/>
      <c r="M421" s="80"/>
      <c r="N421" s="97"/>
      <c r="O421" s="97"/>
      <c r="P421" s="97"/>
      <c r="Q421" s="92"/>
      <c r="R421" s="92"/>
      <c r="S421" s="92"/>
      <c r="T421" s="92"/>
      <c r="U421" s="92"/>
      <c r="V421" s="92"/>
      <c r="W421" s="99"/>
      <c r="X421" s="92"/>
      <c r="Y421" s="92"/>
      <c r="Z421" s="92"/>
      <c r="AA421" s="92"/>
      <c r="AB421" s="92"/>
      <c r="AC421" s="92"/>
      <c r="AD421" s="100"/>
      <c r="AE421" s="92"/>
      <c r="AF421" s="92"/>
    </row>
    <row r="422" spans="1:32">
      <c r="A422" s="90">
        <f t="shared" si="66"/>
        <v>46312</v>
      </c>
      <c r="B422" s="90">
        <f t="shared" si="67"/>
        <v>46313</v>
      </c>
      <c r="C422" s="92"/>
      <c r="D422" s="92"/>
      <c r="E422" s="72"/>
      <c r="F422" s="80"/>
      <c r="G422" s="72"/>
      <c r="H422" s="72"/>
      <c r="I422" s="80"/>
      <c r="J422" s="80"/>
      <c r="K422" s="80"/>
      <c r="L422" s="80"/>
      <c r="M422" s="80"/>
      <c r="N422" s="97"/>
      <c r="O422" s="97"/>
      <c r="P422" s="97"/>
      <c r="Q422" s="92"/>
      <c r="R422" s="92"/>
      <c r="S422" s="92"/>
      <c r="T422" s="92"/>
      <c r="U422" s="92"/>
      <c r="V422" s="92"/>
      <c r="W422" s="99"/>
      <c r="X422" s="92"/>
      <c r="Y422" s="92"/>
      <c r="Z422" s="92"/>
      <c r="AA422" s="92"/>
      <c r="AB422" s="92"/>
      <c r="AC422" s="92"/>
      <c r="AD422" s="100"/>
      <c r="AE422" s="92"/>
      <c r="AF422" s="92"/>
    </row>
    <row r="423" spans="1:32">
      <c r="A423" s="90">
        <f t="shared" si="66"/>
        <v>46313</v>
      </c>
      <c r="B423" s="90">
        <f t="shared" si="67"/>
        <v>46314</v>
      </c>
      <c r="C423" s="92"/>
      <c r="D423" s="92"/>
      <c r="E423" s="72"/>
      <c r="F423" s="80"/>
      <c r="G423" s="72"/>
      <c r="H423" s="72"/>
      <c r="I423" s="80"/>
      <c r="J423" s="80"/>
      <c r="K423" s="80"/>
      <c r="L423" s="80"/>
      <c r="M423" s="80"/>
      <c r="N423" s="97"/>
      <c r="O423" s="97"/>
      <c r="P423" s="97"/>
      <c r="Q423" s="92"/>
      <c r="R423" s="92"/>
      <c r="S423" s="92"/>
      <c r="T423" s="92"/>
      <c r="U423" s="92"/>
      <c r="V423" s="92"/>
      <c r="W423" s="99"/>
      <c r="X423" s="92"/>
      <c r="Y423" s="92"/>
      <c r="Z423" s="92"/>
      <c r="AA423" s="92"/>
      <c r="AB423" s="92"/>
      <c r="AC423" s="92"/>
      <c r="AD423" s="100"/>
      <c r="AE423" s="92"/>
      <c r="AF423" s="92"/>
    </row>
    <row r="424" spans="1:32">
      <c r="A424" s="90">
        <f t="shared" si="66"/>
        <v>46314</v>
      </c>
      <c r="B424" s="90">
        <f t="shared" si="67"/>
        <v>46315</v>
      </c>
      <c r="C424" s="92"/>
      <c r="D424" s="92"/>
      <c r="E424" s="93"/>
      <c r="F424" s="92"/>
      <c r="G424" s="93"/>
      <c r="H424" s="93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9"/>
      <c r="X424" s="92"/>
      <c r="Y424" s="92"/>
      <c r="Z424" s="92"/>
      <c r="AA424" s="92"/>
      <c r="AB424" s="92"/>
      <c r="AC424" s="92"/>
      <c r="AD424" s="100"/>
      <c r="AE424" s="92"/>
      <c r="AF424" s="92"/>
    </row>
    <row r="425" spans="1:32">
      <c r="A425" s="90">
        <f t="shared" si="66"/>
        <v>46315</v>
      </c>
      <c r="B425" s="90">
        <f t="shared" si="67"/>
        <v>46316</v>
      </c>
      <c r="C425" s="92"/>
      <c r="D425" s="92"/>
      <c r="E425" s="93"/>
      <c r="F425" s="92"/>
      <c r="G425" s="93"/>
      <c r="H425" s="93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9"/>
      <c r="X425" s="92"/>
      <c r="Y425" s="92"/>
      <c r="Z425" s="92"/>
      <c r="AA425" s="92"/>
      <c r="AB425" s="92"/>
      <c r="AC425" s="92"/>
      <c r="AD425" s="100"/>
      <c r="AE425" s="92"/>
      <c r="AF425" s="92"/>
    </row>
    <row r="426" spans="1:32">
      <c r="A426" s="90">
        <f t="shared" si="66"/>
        <v>46316</v>
      </c>
      <c r="B426" s="90">
        <f t="shared" si="67"/>
        <v>46317</v>
      </c>
      <c r="C426" s="92"/>
      <c r="D426" s="92"/>
      <c r="E426" s="93"/>
      <c r="F426" s="92"/>
      <c r="G426" s="93"/>
      <c r="H426" s="93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9"/>
      <c r="X426" s="92"/>
      <c r="Y426" s="92"/>
      <c r="Z426" s="92"/>
      <c r="AA426" s="92"/>
      <c r="AB426" s="92"/>
      <c r="AC426" s="92"/>
      <c r="AD426" s="100"/>
      <c r="AE426" s="92"/>
      <c r="AF426" s="92"/>
    </row>
    <row r="427" spans="1:32">
      <c r="A427" s="90">
        <f t="shared" si="66"/>
        <v>46317</v>
      </c>
      <c r="B427" s="90">
        <f t="shared" si="67"/>
        <v>46318</v>
      </c>
      <c r="C427" s="94"/>
      <c r="D427" s="92"/>
      <c r="E427" s="72"/>
      <c r="F427" s="80"/>
      <c r="G427" s="72"/>
      <c r="H427" s="72"/>
      <c r="I427" s="80"/>
      <c r="J427" s="80"/>
      <c r="K427" s="80"/>
      <c r="L427" s="98"/>
      <c r="M427" s="80"/>
      <c r="N427" s="97"/>
      <c r="O427" s="97"/>
      <c r="P427" s="97"/>
      <c r="Q427" s="92"/>
      <c r="R427" s="92"/>
      <c r="S427" s="92"/>
      <c r="T427" s="92"/>
      <c r="U427" s="92"/>
      <c r="V427" s="92"/>
      <c r="W427" s="93"/>
      <c r="X427" s="92"/>
      <c r="Y427" s="92"/>
      <c r="Z427" s="92"/>
      <c r="AA427" s="92"/>
      <c r="AB427" s="92"/>
      <c r="AC427" s="92"/>
      <c r="AD427" s="92"/>
      <c r="AE427" s="92"/>
      <c r="AF427" s="92"/>
    </row>
    <row r="428" spans="1:32">
      <c r="A428" s="90">
        <f t="shared" si="66"/>
        <v>46318</v>
      </c>
      <c r="B428" s="90">
        <f t="shared" si="67"/>
        <v>46319</v>
      </c>
      <c r="C428" s="92"/>
      <c r="D428" s="92"/>
      <c r="E428" s="93"/>
      <c r="F428" s="92"/>
      <c r="G428" s="93"/>
      <c r="H428" s="93"/>
      <c r="I428" s="92"/>
      <c r="J428" s="92"/>
      <c r="K428" s="92"/>
      <c r="L428" s="92"/>
      <c r="M428" s="92"/>
      <c r="N428" s="94"/>
      <c r="O428" s="94"/>
      <c r="P428" s="94"/>
      <c r="Q428" s="92"/>
      <c r="R428" s="92"/>
      <c r="S428" s="92"/>
      <c r="T428" s="92"/>
      <c r="U428" s="92"/>
      <c r="V428" s="92"/>
      <c r="W428" s="93"/>
      <c r="X428" s="92"/>
      <c r="Y428" s="92"/>
      <c r="Z428" s="92"/>
      <c r="AA428" s="92"/>
      <c r="AB428" s="92"/>
      <c r="AC428" s="92"/>
      <c r="AD428" s="100"/>
      <c r="AE428" s="92"/>
      <c r="AF428" s="92"/>
    </row>
    <row r="429" spans="1:32">
      <c r="A429" s="90">
        <f t="shared" si="66"/>
        <v>46319</v>
      </c>
      <c r="B429" s="90">
        <f t="shared" si="67"/>
        <v>46320</v>
      </c>
      <c r="C429" s="92"/>
      <c r="D429" s="92"/>
      <c r="E429" s="93"/>
      <c r="F429" s="92"/>
      <c r="G429" s="93"/>
      <c r="H429" s="93"/>
      <c r="I429" s="92"/>
      <c r="J429" s="92"/>
      <c r="K429" s="92"/>
      <c r="L429" s="92"/>
      <c r="M429" s="92"/>
      <c r="N429" s="94"/>
      <c r="O429" s="94"/>
      <c r="P429" s="94"/>
      <c r="Q429" s="92"/>
      <c r="R429" s="92"/>
      <c r="S429" s="92"/>
      <c r="T429" s="92"/>
      <c r="U429" s="92"/>
      <c r="V429" s="92"/>
      <c r="W429" s="93"/>
      <c r="X429" s="92"/>
      <c r="Y429" s="92"/>
      <c r="Z429" s="100"/>
      <c r="AA429" s="92"/>
      <c r="AB429" s="92"/>
      <c r="AC429" s="101"/>
      <c r="AD429" s="101"/>
      <c r="AE429" s="101"/>
      <c r="AF429" s="92"/>
    </row>
    <row r="430" spans="1:32">
      <c r="A430" s="90">
        <f t="shared" si="66"/>
        <v>46320</v>
      </c>
      <c r="B430" s="90">
        <f t="shared" si="67"/>
        <v>46321</v>
      </c>
      <c r="C430" s="92"/>
      <c r="D430" s="92"/>
      <c r="E430" s="93"/>
      <c r="F430" s="92"/>
      <c r="G430" s="93"/>
      <c r="H430" s="93"/>
      <c r="I430" s="92"/>
      <c r="J430" s="92"/>
      <c r="K430" s="92"/>
      <c r="L430" s="92"/>
      <c r="M430" s="92"/>
      <c r="N430" s="94"/>
      <c r="O430" s="94"/>
      <c r="P430" s="94"/>
      <c r="Q430" s="92"/>
      <c r="R430" s="92"/>
      <c r="S430" s="92"/>
      <c r="T430" s="92"/>
      <c r="U430" s="92"/>
      <c r="V430" s="92"/>
      <c r="W430" s="99"/>
      <c r="X430" s="92"/>
      <c r="Y430" s="92"/>
      <c r="Z430" s="92"/>
      <c r="AA430" s="92"/>
      <c r="AB430" s="92"/>
      <c r="AC430" s="92"/>
      <c r="AD430" s="100"/>
      <c r="AE430" s="92"/>
      <c r="AF430" s="92"/>
    </row>
    <row r="431" spans="1:32">
      <c r="A431" s="90">
        <f t="shared" si="66"/>
        <v>46321</v>
      </c>
      <c r="B431" s="90">
        <f t="shared" si="67"/>
        <v>46322</v>
      </c>
      <c r="C431" s="92"/>
      <c r="D431" s="92"/>
      <c r="E431" s="93"/>
      <c r="F431" s="92"/>
      <c r="G431" s="93"/>
      <c r="H431" s="93"/>
      <c r="I431" s="92"/>
      <c r="J431" s="92"/>
      <c r="K431" s="92"/>
      <c r="L431" s="92"/>
      <c r="M431" s="92"/>
      <c r="N431" s="94"/>
      <c r="O431" s="94"/>
      <c r="P431" s="94"/>
      <c r="Q431" s="92"/>
      <c r="R431" s="92"/>
      <c r="S431" s="92"/>
      <c r="T431" s="92"/>
      <c r="U431" s="92"/>
      <c r="V431" s="92"/>
      <c r="W431" s="99"/>
      <c r="X431" s="92"/>
      <c r="Y431" s="92"/>
      <c r="Z431" s="92"/>
      <c r="AA431" s="92"/>
      <c r="AB431" s="92"/>
      <c r="AC431" s="92"/>
      <c r="AD431" s="100"/>
      <c r="AE431" s="92"/>
      <c r="AF431" s="92"/>
    </row>
    <row r="432" spans="1:32">
      <c r="A432" s="90">
        <f t="shared" si="66"/>
        <v>46322</v>
      </c>
      <c r="B432" s="90">
        <f t="shared" si="67"/>
        <v>46323</v>
      </c>
      <c r="C432" s="92"/>
      <c r="D432" s="92"/>
      <c r="E432" s="93"/>
      <c r="F432" s="92"/>
      <c r="G432" s="93"/>
      <c r="H432" s="93"/>
      <c r="I432" s="92"/>
      <c r="J432" s="92"/>
      <c r="K432" s="92"/>
      <c r="L432" s="92"/>
      <c r="M432" s="92"/>
      <c r="N432" s="94"/>
      <c r="O432" s="94"/>
      <c r="P432" s="94"/>
      <c r="Q432" s="92"/>
      <c r="R432" s="92"/>
      <c r="S432" s="92"/>
      <c r="T432" s="92"/>
      <c r="U432" s="92"/>
      <c r="V432" s="92"/>
      <c r="W432" s="99"/>
      <c r="X432" s="92"/>
      <c r="Y432" s="92"/>
      <c r="Z432" s="92"/>
      <c r="AA432" s="92"/>
      <c r="AB432" s="92"/>
      <c r="AC432" s="92"/>
      <c r="AD432" s="100"/>
      <c r="AE432" s="92"/>
      <c r="AF432" s="92"/>
    </row>
    <row r="433" spans="1:32">
      <c r="A433" s="90">
        <f t="shared" si="66"/>
        <v>46323</v>
      </c>
      <c r="B433" s="90">
        <f t="shared" si="67"/>
        <v>46324</v>
      </c>
      <c r="C433" s="92"/>
      <c r="D433" s="92"/>
      <c r="E433" s="93"/>
      <c r="F433" s="92"/>
      <c r="G433" s="93"/>
      <c r="H433" s="93"/>
      <c r="I433" s="92"/>
      <c r="J433" s="92"/>
      <c r="K433" s="92"/>
      <c r="L433" s="92"/>
      <c r="M433" s="92"/>
      <c r="N433" s="94"/>
      <c r="O433" s="94"/>
      <c r="P433" s="94"/>
      <c r="Q433" s="92"/>
      <c r="R433" s="92"/>
      <c r="S433" s="92"/>
      <c r="T433" s="92"/>
      <c r="U433" s="92"/>
      <c r="V433" s="92"/>
      <c r="W433" s="99"/>
      <c r="X433" s="92"/>
      <c r="Y433" s="92"/>
      <c r="Z433" s="92"/>
      <c r="AA433" s="92"/>
      <c r="AB433" s="92"/>
      <c r="AC433" s="92"/>
      <c r="AD433" s="100"/>
      <c r="AE433" s="92"/>
      <c r="AF433" s="92"/>
    </row>
    <row r="434" spans="1:32">
      <c r="A434" s="90">
        <f t="shared" si="66"/>
        <v>46324</v>
      </c>
      <c r="B434" s="90">
        <f t="shared" si="67"/>
        <v>46325</v>
      </c>
      <c r="C434" s="92"/>
      <c r="D434" s="92"/>
      <c r="E434" s="93"/>
      <c r="F434" s="92"/>
      <c r="G434" s="93"/>
      <c r="H434" s="93"/>
      <c r="I434" s="92"/>
      <c r="J434" s="92"/>
      <c r="K434" s="92"/>
      <c r="L434" s="92"/>
      <c r="M434" s="92"/>
      <c r="N434" s="94"/>
      <c r="O434" s="94"/>
      <c r="P434" s="94"/>
      <c r="Q434" s="92"/>
      <c r="R434" s="92"/>
      <c r="S434" s="92"/>
      <c r="T434" s="92"/>
      <c r="U434" s="92"/>
      <c r="V434" s="92"/>
      <c r="W434" s="99"/>
      <c r="X434" s="92"/>
      <c r="Y434" s="92"/>
      <c r="Z434" s="92"/>
      <c r="AA434" s="92"/>
      <c r="AB434" s="92"/>
      <c r="AC434" s="92"/>
      <c r="AD434" s="100"/>
      <c r="AE434" s="92"/>
      <c r="AF434" s="92"/>
    </row>
    <row r="435" spans="1:32">
      <c r="A435" s="90">
        <v>45777</v>
      </c>
      <c r="B435" s="90">
        <v>45778</v>
      </c>
      <c r="C435" s="80"/>
      <c r="D435" s="80"/>
      <c r="E435" s="72"/>
      <c r="F435" s="80"/>
      <c r="G435" s="72"/>
      <c r="H435" s="72"/>
      <c r="I435" s="80"/>
      <c r="J435" s="80"/>
      <c r="K435" s="80"/>
      <c r="L435" s="80"/>
      <c r="M435" s="80"/>
      <c r="N435" s="97"/>
      <c r="O435" s="97"/>
      <c r="P435" s="97"/>
      <c r="Q435" s="92"/>
      <c r="R435" s="92"/>
      <c r="S435" s="92"/>
      <c r="T435" s="92"/>
      <c r="U435" s="92"/>
      <c r="V435" s="92"/>
      <c r="W435" s="99"/>
      <c r="X435" s="92"/>
      <c r="Y435" s="92"/>
      <c r="Z435" s="92"/>
      <c r="AA435" s="92"/>
      <c r="AB435" s="92"/>
      <c r="AC435" s="92"/>
      <c r="AD435" s="100"/>
      <c r="AE435" s="92"/>
      <c r="AF435" s="92"/>
    </row>
    <row r="436" spans="1:32">
      <c r="A436" s="324" t="s">
        <v>31</v>
      </c>
      <c r="B436" s="324"/>
      <c r="C436" s="95">
        <f t="shared" ref="C436:AF436" si="68">MIN(C406:C435)</f>
        <v>0</v>
      </c>
      <c r="D436" s="95">
        <f t="shared" si="68"/>
        <v>0</v>
      </c>
      <c r="E436" s="96">
        <f t="shared" si="68"/>
        <v>0</v>
      </c>
      <c r="F436" s="95">
        <f t="shared" si="68"/>
        <v>0</v>
      </c>
      <c r="G436" s="96">
        <f t="shared" si="68"/>
        <v>0</v>
      </c>
      <c r="H436" s="96">
        <f t="shared" si="68"/>
        <v>0</v>
      </c>
      <c r="I436" s="95">
        <f t="shared" si="68"/>
        <v>0</v>
      </c>
      <c r="J436" s="95">
        <f t="shared" si="68"/>
        <v>0</v>
      </c>
      <c r="K436" s="95">
        <f t="shared" si="68"/>
        <v>0</v>
      </c>
      <c r="L436" s="95">
        <f t="shared" si="68"/>
        <v>0</v>
      </c>
      <c r="M436" s="95">
        <f t="shared" si="68"/>
        <v>0</v>
      </c>
      <c r="N436" s="95">
        <f t="shared" si="68"/>
        <v>0</v>
      </c>
      <c r="O436" s="95">
        <f t="shared" si="68"/>
        <v>0</v>
      </c>
      <c r="P436" s="95">
        <f t="shared" si="68"/>
        <v>0</v>
      </c>
      <c r="Q436" s="95">
        <f t="shared" si="68"/>
        <v>0</v>
      </c>
      <c r="R436" s="95">
        <f t="shared" si="68"/>
        <v>0</v>
      </c>
      <c r="S436" s="95">
        <f t="shared" si="68"/>
        <v>0</v>
      </c>
      <c r="T436" s="95">
        <f t="shared" si="68"/>
        <v>0</v>
      </c>
      <c r="U436" s="95">
        <f t="shared" si="68"/>
        <v>0</v>
      </c>
      <c r="V436" s="95">
        <f t="shared" si="68"/>
        <v>0</v>
      </c>
      <c r="W436" s="96">
        <f t="shared" si="68"/>
        <v>0</v>
      </c>
      <c r="X436" s="95">
        <f t="shared" si="68"/>
        <v>0</v>
      </c>
      <c r="Y436" s="95">
        <f t="shared" si="68"/>
        <v>0</v>
      </c>
      <c r="Z436" s="95">
        <f t="shared" si="68"/>
        <v>0</v>
      </c>
      <c r="AA436" s="95">
        <f t="shared" si="68"/>
        <v>0</v>
      </c>
      <c r="AB436" s="95">
        <f t="shared" si="68"/>
        <v>0</v>
      </c>
      <c r="AC436" s="95">
        <f t="shared" si="68"/>
        <v>0</v>
      </c>
      <c r="AD436" s="95">
        <f t="shared" si="68"/>
        <v>0</v>
      </c>
      <c r="AE436" s="95">
        <f t="shared" si="68"/>
        <v>0</v>
      </c>
      <c r="AF436" s="95">
        <f t="shared" si="68"/>
        <v>0</v>
      </c>
    </row>
    <row r="437" spans="1:32">
      <c r="A437" s="324" t="s">
        <v>33</v>
      </c>
      <c r="B437" s="324"/>
      <c r="C437" s="95">
        <f t="shared" ref="C437:AF437" si="69">MAX(C406:C435)</f>
        <v>0</v>
      </c>
      <c r="D437" s="95">
        <f t="shared" si="69"/>
        <v>0</v>
      </c>
      <c r="E437" s="96">
        <f t="shared" si="69"/>
        <v>0</v>
      </c>
      <c r="F437" s="95">
        <f t="shared" si="69"/>
        <v>0</v>
      </c>
      <c r="G437" s="96">
        <f t="shared" si="69"/>
        <v>0</v>
      </c>
      <c r="H437" s="96">
        <f t="shared" si="69"/>
        <v>0</v>
      </c>
      <c r="I437" s="95">
        <f t="shared" si="69"/>
        <v>0</v>
      </c>
      <c r="J437" s="95">
        <f t="shared" si="69"/>
        <v>0</v>
      </c>
      <c r="K437" s="95">
        <f t="shared" si="69"/>
        <v>0</v>
      </c>
      <c r="L437" s="95">
        <f t="shared" si="69"/>
        <v>0</v>
      </c>
      <c r="M437" s="95">
        <f t="shared" si="69"/>
        <v>0</v>
      </c>
      <c r="N437" s="95">
        <f t="shared" si="69"/>
        <v>0</v>
      </c>
      <c r="O437" s="95">
        <f t="shared" si="69"/>
        <v>0</v>
      </c>
      <c r="P437" s="95">
        <f t="shared" si="69"/>
        <v>0</v>
      </c>
      <c r="Q437" s="95">
        <f t="shared" si="69"/>
        <v>0</v>
      </c>
      <c r="R437" s="95">
        <f t="shared" si="69"/>
        <v>0</v>
      </c>
      <c r="S437" s="95">
        <f t="shared" si="69"/>
        <v>0</v>
      </c>
      <c r="T437" s="95">
        <f t="shared" si="69"/>
        <v>0</v>
      </c>
      <c r="U437" s="95">
        <f t="shared" si="69"/>
        <v>0</v>
      </c>
      <c r="V437" s="95">
        <f t="shared" si="69"/>
        <v>0</v>
      </c>
      <c r="W437" s="96">
        <f t="shared" si="69"/>
        <v>0</v>
      </c>
      <c r="X437" s="95">
        <f t="shared" si="69"/>
        <v>0</v>
      </c>
      <c r="Y437" s="95">
        <f t="shared" si="69"/>
        <v>0</v>
      </c>
      <c r="Z437" s="95">
        <f t="shared" si="69"/>
        <v>0</v>
      </c>
      <c r="AA437" s="95">
        <f t="shared" si="69"/>
        <v>0</v>
      </c>
      <c r="AB437" s="95">
        <f t="shared" si="69"/>
        <v>0</v>
      </c>
      <c r="AC437" s="95">
        <f t="shared" si="69"/>
        <v>0</v>
      </c>
      <c r="AD437" s="95">
        <f t="shared" si="69"/>
        <v>0</v>
      </c>
      <c r="AE437" s="95">
        <f t="shared" si="69"/>
        <v>0</v>
      </c>
      <c r="AF437" s="95">
        <f t="shared" si="69"/>
        <v>0</v>
      </c>
    </row>
    <row r="438" spans="1:32">
      <c r="A438" s="324" t="s">
        <v>36</v>
      </c>
      <c r="B438" s="324"/>
      <c r="C438" s="95" t="e">
        <f t="shared" ref="C438:AF438" si="70">AVERAGE(C406:C435)</f>
        <v>#DIV/0!</v>
      </c>
      <c r="D438" s="95" t="e">
        <f t="shared" si="70"/>
        <v>#DIV/0!</v>
      </c>
      <c r="E438" s="96" t="e">
        <f t="shared" si="70"/>
        <v>#DIV/0!</v>
      </c>
      <c r="F438" s="95" t="e">
        <f t="shared" si="70"/>
        <v>#DIV/0!</v>
      </c>
      <c r="G438" s="96" t="e">
        <f t="shared" si="70"/>
        <v>#DIV/0!</v>
      </c>
      <c r="H438" s="96" t="e">
        <f t="shared" si="70"/>
        <v>#DIV/0!</v>
      </c>
      <c r="I438" s="95" t="e">
        <f t="shared" si="70"/>
        <v>#DIV/0!</v>
      </c>
      <c r="J438" s="95" t="e">
        <f t="shared" si="70"/>
        <v>#DIV/0!</v>
      </c>
      <c r="K438" s="95" t="e">
        <f t="shared" si="70"/>
        <v>#DIV/0!</v>
      </c>
      <c r="L438" s="95" t="e">
        <f t="shared" si="70"/>
        <v>#DIV/0!</v>
      </c>
      <c r="M438" s="95" t="e">
        <f t="shared" si="70"/>
        <v>#DIV/0!</v>
      </c>
      <c r="N438" s="95" t="e">
        <f t="shared" si="70"/>
        <v>#DIV/0!</v>
      </c>
      <c r="O438" s="95" t="e">
        <f t="shared" si="70"/>
        <v>#DIV/0!</v>
      </c>
      <c r="P438" s="95" t="e">
        <f t="shared" si="70"/>
        <v>#DIV/0!</v>
      </c>
      <c r="Q438" s="95" t="e">
        <f t="shared" si="70"/>
        <v>#DIV/0!</v>
      </c>
      <c r="R438" s="95" t="e">
        <f t="shared" si="70"/>
        <v>#DIV/0!</v>
      </c>
      <c r="S438" s="95" t="e">
        <f t="shared" si="70"/>
        <v>#DIV/0!</v>
      </c>
      <c r="T438" s="95" t="e">
        <f t="shared" si="70"/>
        <v>#DIV/0!</v>
      </c>
      <c r="U438" s="95" t="e">
        <f t="shared" si="70"/>
        <v>#DIV/0!</v>
      </c>
      <c r="V438" s="95" t="e">
        <f t="shared" si="70"/>
        <v>#DIV/0!</v>
      </c>
      <c r="W438" s="96" t="e">
        <f t="shared" si="70"/>
        <v>#DIV/0!</v>
      </c>
      <c r="X438" s="95" t="e">
        <f t="shared" si="70"/>
        <v>#DIV/0!</v>
      </c>
      <c r="Y438" s="95" t="e">
        <f t="shared" si="70"/>
        <v>#DIV/0!</v>
      </c>
      <c r="Z438" s="95" t="e">
        <f t="shared" si="70"/>
        <v>#DIV/0!</v>
      </c>
      <c r="AA438" s="95" t="e">
        <f t="shared" si="70"/>
        <v>#DIV/0!</v>
      </c>
      <c r="AB438" s="95" t="e">
        <f t="shared" si="70"/>
        <v>#DIV/0!</v>
      </c>
      <c r="AC438" s="95" t="e">
        <f t="shared" si="70"/>
        <v>#DIV/0!</v>
      </c>
      <c r="AD438" s="95" t="e">
        <f t="shared" si="70"/>
        <v>#DIV/0!</v>
      </c>
      <c r="AE438" s="95" t="e">
        <f t="shared" si="70"/>
        <v>#DIV/0!</v>
      </c>
      <c r="AF438" s="95" t="e">
        <f t="shared" si="70"/>
        <v>#DIV/0!</v>
      </c>
    </row>
    <row r="439" spans="1:32">
      <c r="A439" s="324" t="s">
        <v>130</v>
      </c>
      <c r="B439" s="324"/>
      <c r="C439" s="95" t="e">
        <f t="shared" ref="C439:AF439" si="71">STDEV(C406:C435)</f>
        <v>#DIV/0!</v>
      </c>
      <c r="D439" s="95" t="e">
        <f t="shared" si="71"/>
        <v>#DIV/0!</v>
      </c>
      <c r="E439" s="96" t="e">
        <f t="shared" si="71"/>
        <v>#DIV/0!</v>
      </c>
      <c r="F439" s="95" t="e">
        <f t="shared" si="71"/>
        <v>#DIV/0!</v>
      </c>
      <c r="G439" s="96" t="e">
        <f t="shared" si="71"/>
        <v>#DIV/0!</v>
      </c>
      <c r="H439" s="96" t="e">
        <f t="shared" si="71"/>
        <v>#DIV/0!</v>
      </c>
      <c r="I439" s="95" t="e">
        <f t="shared" si="71"/>
        <v>#DIV/0!</v>
      </c>
      <c r="J439" s="95" t="e">
        <f t="shared" si="71"/>
        <v>#DIV/0!</v>
      </c>
      <c r="K439" s="95" t="e">
        <f t="shared" si="71"/>
        <v>#DIV/0!</v>
      </c>
      <c r="L439" s="95" t="e">
        <f t="shared" si="71"/>
        <v>#DIV/0!</v>
      </c>
      <c r="M439" s="95" t="e">
        <f t="shared" si="71"/>
        <v>#DIV/0!</v>
      </c>
      <c r="N439" s="95" t="e">
        <f t="shared" si="71"/>
        <v>#DIV/0!</v>
      </c>
      <c r="O439" s="95" t="e">
        <f t="shared" si="71"/>
        <v>#DIV/0!</v>
      </c>
      <c r="P439" s="95" t="e">
        <f t="shared" si="71"/>
        <v>#DIV/0!</v>
      </c>
      <c r="Q439" s="95" t="e">
        <f t="shared" si="71"/>
        <v>#DIV/0!</v>
      </c>
      <c r="R439" s="95" t="e">
        <f t="shared" si="71"/>
        <v>#DIV/0!</v>
      </c>
      <c r="S439" s="95" t="e">
        <f t="shared" si="71"/>
        <v>#DIV/0!</v>
      </c>
      <c r="T439" s="95" t="e">
        <f t="shared" si="71"/>
        <v>#DIV/0!</v>
      </c>
      <c r="U439" s="95" t="e">
        <f t="shared" si="71"/>
        <v>#DIV/0!</v>
      </c>
      <c r="V439" s="95" t="e">
        <f t="shared" si="71"/>
        <v>#DIV/0!</v>
      </c>
      <c r="W439" s="96" t="e">
        <f t="shared" si="71"/>
        <v>#DIV/0!</v>
      </c>
      <c r="X439" s="95" t="e">
        <f t="shared" si="71"/>
        <v>#DIV/0!</v>
      </c>
      <c r="Y439" s="95" t="e">
        <f t="shared" si="71"/>
        <v>#DIV/0!</v>
      </c>
      <c r="Z439" s="95" t="e">
        <f t="shared" si="71"/>
        <v>#DIV/0!</v>
      </c>
      <c r="AA439" s="95" t="e">
        <f t="shared" si="71"/>
        <v>#DIV/0!</v>
      </c>
      <c r="AB439" s="95" t="e">
        <f t="shared" si="71"/>
        <v>#DIV/0!</v>
      </c>
      <c r="AC439" s="95" t="e">
        <f t="shared" si="71"/>
        <v>#DIV/0!</v>
      </c>
      <c r="AD439" s="95" t="e">
        <f t="shared" si="71"/>
        <v>#DIV/0!</v>
      </c>
      <c r="AE439" s="95" t="e">
        <f t="shared" si="71"/>
        <v>#DIV/0!</v>
      </c>
      <c r="AF439" s="95" t="e">
        <f t="shared" si="71"/>
        <v>#DIV/0!</v>
      </c>
    </row>
    <row r="441" spans="1:32">
      <c r="A441" s="325" t="s">
        <v>0</v>
      </c>
      <c r="B441" s="325"/>
      <c r="C441" s="325"/>
      <c r="D441" s="325"/>
      <c r="E441" s="325"/>
      <c r="F441" s="325"/>
      <c r="G441" s="325"/>
      <c r="H441" s="325"/>
      <c r="I441" s="325"/>
      <c r="J441" s="325"/>
      <c r="K441" s="325"/>
      <c r="L441" s="325"/>
      <c r="M441" s="325"/>
      <c r="N441" s="325"/>
      <c r="O441" s="325"/>
      <c r="P441" s="325"/>
      <c r="Q441" s="325"/>
      <c r="R441" s="325"/>
      <c r="S441" s="325"/>
      <c r="T441" s="325"/>
      <c r="U441" s="325"/>
      <c r="V441" s="325"/>
      <c r="W441" s="325"/>
      <c r="X441" s="325"/>
      <c r="Y441" s="325"/>
      <c r="Z441" s="325"/>
      <c r="AA441" s="325"/>
      <c r="AB441" s="325"/>
      <c r="AC441" s="325"/>
      <c r="AD441" s="325"/>
      <c r="AE441" s="325"/>
      <c r="AF441" s="325"/>
    </row>
    <row r="442" spans="1:32">
      <c r="A442" s="325" t="s">
        <v>106</v>
      </c>
      <c r="B442" s="325"/>
      <c r="C442" s="325"/>
      <c r="D442" s="325"/>
      <c r="E442" s="325"/>
      <c r="F442" s="325"/>
      <c r="G442" s="325"/>
      <c r="H442" s="325"/>
      <c r="I442" s="325"/>
      <c r="J442" s="325"/>
      <c r="K442" s="325"/>
      <c r="L442" s="325"/>
      <c r="M442" s="325"/>
      <c r="N442" s="325"/>
      <c r="O442" s="325"/>
      <c r="P442" s="325"/>
      <c r="Q442" s="325"/>
      <c r="R442" s="325"/>
      <c r="S442" s="325"/>
      <c r="T442" s="325"/>
      <c r="U442" s="325"/>
      <c r="V442" s="325"/>
      <c r="W442" s="325"/>
      <c r="X442" s="325"/>
      <c r="Y442" s="325"/>
      <c r="Z442" s="325"/>
      <c r="AA442" s="325"/>
      <c r="AB442" s="325"/>
      <c r="AC442" s="325" t="s">
        <v>107</v>
      </c>
      <c r="AD442" s="325"/>
      <c r="AE442" s="326">
        <v>46327</v>
      </c>
      <c r="AF442" s="326"/>
    </row>
    <row r="443" spans="1:32">
      <c r="A443" s="327"/>
      <c r="B443" s="327"/>
      <c r="C443" s="328" t="s">
        <v>108</v>
      </c>
      <c r="D443" s="328"/>
      <c r="E443" s="328"/>
      <c r="F443" s="328"/>
      <c r="G443" s="328"/>
      <c r="H443" s="328"/>
      <c r="I443" s="328"/>
      <c r="J443" s="328"/>
      <c r="K443" s="328"/>
      <c r="L443" s="328"/>
      <c r="M443" s="328"/>
      <c r="N443" s="328"/>
      <c r="O443" s="328"/>
      <c r="P443" s="328"/>
      <c r="Q443" s="329" t="s">
        <v>109</v>
      </c>
      <c r="R443" s="329"/>
      <c r="S443" s="329"/>
      <c r="T443" s="329"/>
      <c r="U443" s="329"/>
      <c r="V443" s="329"/>
      <c r="W443" s="329"/>
      <c r="X443" s="329"/>
      <c r="Y443" s="329"/>
      <c r="Z443" s="329"/>
      <c r="AA443" s="329"/>
      <c r="AB443" s="329"/>
      <c r="AC443" s="329"/>
      <c r="AD443" s="329"/>
      <c r="AE443" s="329"/>
      <c r="AF443" s="329"/>
    </row>
    <row r="444" spans="1:32" ht="38.25">
      <c r="A444" s="5" t="s">
        <v>110</v>
      </c>
      <c r="B444" s="5" t="s">
        <v>111</v>
      </c>
      <c r="C444" s="64" t="s">
        <v>83</v>
      </c>
      <c r="D444" s="64" t="s">
        <v>81</v>
      </c>
      <c r="E444" s="89" t="s">
        <v>112</v>
      </c>
      <c r="F444" s="64" t="s">
        <v>113</v>
      </c>
      <c r="G444" s="89" t="s">
        <v>114</v>
      </c>
      <c r="H444" s="89" t="s">
        <v>115</v>
      </c>
      <c r="I444" s="64" t="s">
        <v>116</v>
      </c>
      <c r="J444" s="64" t="s">
        <v>117</v>
      </c>
      <c r="K444" s="64" t="s">
        <v>118</v>
      </c>
      <c r="L444" s="64" t="s">
        <v>119</v>
      </c>
      <c r="M444" s="64" t="s">
        <v>9</v>
      </c>
      <c r="N444" s="64" t="s">
        <v>120</v>
      </c>
      <c r="O444" s="64" t="s">
        <v>121</v>
      </c>
      <c r="P444" s="64" t="s">
        <v>122</v>
      </c>
      <c r="Q444" s="64" t="s">
        <v>74</v>
      </c>
      <c r="R444" s="64" t="s">
        <v>75</v>
      </c>
      <c r="S444" s="64" t="s">
        <v>76</v>
      </c>
      <c r="T444" s="64" t="s">
        <v>77</v>
      </c>
      <c r="U444" s="64" t="s">
        <v>78</v>
      </c>
      <c r="V444" s="64" t="s">
        <v>81</v>
      </c>
      <c r="W444" s="89" t="s">
        <v>123</v>
      </c>
      <c r="X444" s="64" t="s">
        <v>100</v>
      </c>
      <c r="Y444" s="64" t="s">
        <v>87</v>
      </c>
      <c r="Z444" s="64" t="s">
        <v>88</v>
      </c>
      <c r="AA444" s="64" t="s">
        <v>89</v>
      </c>
      <c r="AB444" s="64" t="s">
        <v>101</v>
      </c>
      <c r="AC444" s="64" t="s">
        <v>102</v>
      </c>
      <c r="AD444" s="64" t="s">
        <v>103</v>
      </c>
      <c r="AE444" s="64" t="s">
        <v>104</v>
      </c>
      <c r="AF444" s="64" t="s">
        <v>105</v>
      </c>
    </row>
    <row r="445" spans="1:32">
      <c r="A445" s="322" t="s">
        <v>124</v>
      </c>
      <c r="B445" s="323"/>
      <c r="C445" s="64" t="s">
        <v>53</v>
      </c>
      <c r="D445" s="64" t="s">
        <v>53</v>
      </c>
      <c r="E445" s="64" t="s">
        <v>125</v>
      </c>
      <c r="F445" s="64" t="s">
        <v>53</v>
      </c>
      <c r="G445" s="64" t="s">
        <v>126</v>
      </c>
      <c r="H445" s="64" t="s">
        <v>126</v>
      </c>
      <c r="I445" s="64" t="s">
        <v>53</v>
      </c>
      <c r="J445" s="64" t="s">
        <v>53</v>
      </c>
      <c r="K445" s="64" t="s">
        <v>53</v>
      </c>
      <c r="L445" s="64" t="s">
        <v>127</v>
      </c>
      <c r="M445" s="64" t="s">
        <v>128</v>
      </c>
      <c r="N445" s="64" t="s">
        <v>128</v>
      </c>
      <c r="O445" s="64" t="s">
        <v>128</v>
      </c>
      <c r="P445" s="64" t="s">
        <v>128</v>
      </c>
      <c r="Q445" s="64" t="s">
        <v>53</v>
      </c>
      <c r="R445" s="64" t="s">
        <v>53</v>
      </c>
      <c r="S445" s="64" t="s">
        <v>53</v>
      </c>
      <c r="T445" s="64" t="s">
        <v>53</v>
      </c>
      <c r="U445" s="64" t="s">
        <v>53</v>
      </c>
      <c r="V445" s="64" t="s">
        <v>53</v>
      </c>
      <c r="W445" s="64" t="s">
        <v>129</v>
      </c>
      <c r="X445" s="64" t="s">
        <v>53</v>
      </c>
      <c r="Y445" s="64" t="s">
        <v>53</v>
      </c>
      <c r="Z445" s="64" t="s">
        <v>53</v>
      </c>
      <c r="AA445" s="64" t="s">
        <v>53</v>
      </c>
      <c r="AB445" s="64" t="s">
        <v>53</v>
      </c>
      <c r="AC445" s="64" t="s">
        <v>53</v>
      </c>
      <c r="AD445" s="64" t="s">
        <v>53</v>
      </c>
      <c r="AE445" s="64" t="s">
        <v>53</v>
      </c>
      <c r="AF445" s="64" t="s">
        <v>53</v>
      </c>
    </row>
    <row r="446" spans="1:32">
      <c r="A446" s="90">
        <f>AE442+0</f>
        <v>46327</v>
      </c>
      <c r="B446" s="90">
        <f>A446+1</f>
        <v>46328</v>
      </c>
      <c r="C446" s="80"/>
      <c r="D446" s="80"/>
      <c r="E446" s="72"/>
      <c r="F446" s="80"/>
      <c r="G446" s="72"/>
      <c r="H446" s="72"/>
      <c r="I446" s="80"/>
      <c r="J446" s="80"/>
      <c r="K446" s="80"/>
      <c r="L446" s="80"/>
      <c r="M446" s="80"/>
      <c r="N446" s="97"/>
      <c r="O446" s="97"/>
      <c r="P446" s="97"/>
      <c r="Q446" s="92"/>
      <c r="R446" s="92"/>
      <c r="S446" s="92"/>
      <c r="T446" s="92"/>
      <c r="U446" s="92"/>
      <c r="V446" s="92"/>
      <c r="W446" s="99"/>
      <c r="X446" s="92"/>
      <c r="Y446" s="92"/>
      <c r="Z446" s="92"/>
      <c r="AA446" s="92"/>
      <c r="AB446" s="92"/>
      <c r="AC446" s="92"/>
      <c r="AD446" s="100"/>
      <c r="AE446" s="92"/>
      <c r="AF446" s="92"/>
    </row>
    <row r="447" spans="1:32">
      <c r="A447" s="90">
        <f t="shared" ref="A447:A474" si="72">A446+1</f>
        <v>46328</v>
      </c>
      <c r="B447" s="90">
        <f t="shared" ref="B447:B474" si="73">A447+1</f>
        <v>46329</v>
      </c>
      <c r="C447" s="80"/>
      <c r="D447" s="80"/>
      <c r="E447" s="72"/>
      <c r="F447" s="80"/>
      <c r="G447" s="72"/>
      <c r="H447" s="72"/>
      <c r="I447" s="80"/>
      <c r="J447" s="80"/>
      <c r="K447" s="80"/>
      <c r="L447" s="80"/>
      <c r="M447" s="80"/>
      <c r="N447" s="97"/>
      <c r="O447" s="97"/>
      <c r="P447" s="97"/>
      <c r="Q447" s="92"/>
      <c r="R447" s="92"/>
      <c r="S447" s="92"/>
      <c r="T447" s="92"/>
      <c r="U447" s="92"/>
      <c r="V447" s="92"/>
      <c r="W447" s="99"/>
      <c r="X447" s="92"/>
      <c r="Y447" s="92"/>
      <c r="Z447" s="92"/>
      <c r="AA447" s="92"/>
      <c r="AB447" s="92"/>
      <c r="AC447" s="92"/>
      <c r="AD447" s="100"/>
      <c r="AE447" s="92"/>
      <c r="AF447" s="92"/>
    </row>
    <row r="448" spans="1:32">
      <c r="A448" s="90">
        <f t="shared" si="72"/>
        <v>46329</v>
      </c>
      <c r="B448" s="90">
        <f t="shared" si="73"/>
        <v>46330</v>
      </c>
      <c r="C448" s="80"/>
      <c r="D448" s="80"/>
      <c r="E448" s="72"/>
      <c r="F448" s="80"/>
      <c r="G448" s="72"/>
      <c r="H448" s="72"/>
      <c r="I448" s="80"/>
      <c r="J448" s="80"/>
      <c r="K448" s="80"/>
      <c r="L448" s="80"/>
      <c r="M448" s="80"/>
      <c r="N448" s="97"/>
      <c r="O448" s="97"/>
      <c r="P448" s="97"/>
      <c r="Q448" s="92"/>
      <c r="R448" s="92"/>
      <c r="S448" s="92"/>
      <c r="T448" s="92"/>
      <c r="U448" s="92"/>
      <c r="V448" s="92"/>
      <c r="W448" s="99"/>
      <c r="X448" s="92"/>
      <c r="Y448" s="92"/>
      <c r="Z448" s="92"/>
      <c r="AA448" s="92"/>
      <c r="AB448" s="92"/>
      <c r="AC448" s="92"/>
      <c r="AD448" s="100"/>
      <c r="AE448" s="92"/>
      <c r="AF448" s="92"/>
    </row>
    <row r="449" spans="1:32">
      <c r="A449" s="90">
        <f t="shared" si="72"/>
        <v>46330</v>
      </c>
      <c r="B449" s="90">
        <f t="shared" si="73"/>
        <v>46331</v>
      </c>
      <c r="C449" s="80"/>
      <c r="D449" s="80"/>
      <c r="E449" s="72"/>
      <c r="F449" s="80"/>
      <c r="G449" s="72"/>
      <c r="H449" s="72"/>
      <c r="I449" s="80"/>
      <c r="J449" s="80"/>
      <c r="K449" s="80"/>
      <c r="L449" s="80"/>
      <c r="M449" s="80"/>
      <c r="N449" s="97"/>
      <c r="O449" s="97"/>
      <c r="P449" s="97"/>
      <c r="Q449" s="92"/>
      <c r="R449" s="92"/>
      <c r="S449" s="92"/>
      <c r="T449" s="92"/>
      <c r="U449" s="92"/>
      <c r="V449" s="92"/>
      <c r="W449" s="99"/>
      <c r="X449" s="92"/>
      <c r="Y449" s="92"/>
      <c r="Z449" s="92"/>
      <c r="AA449" s="92"/>
      <c r="AB449" s="92"/>
      <c r="AC449" s="92"/>
      <c r="AD449" s="100"/>
      <c r="AE449" s="92"/>
      <c r="AF449" s="92"/>
    </row>
    <row r="450" spans="1:32">
      <c r="A450" s="90">
        <f t="shared" si="72"/>
        <v>46331</v>
      </c>
      <c r="B450" s="90">
        <f t="shared" si="73"/>
        <v>46332</v>
      </c>
      <c r="C450" s="80"/>
      <c r="D450" s="80"/>
      <c r="E450" s="72"/>
      <c r="F450" s="80"/>
      <c r="G450" s="72"/>
      <c r="H450" s="72"/>
      <c r="I450" s="80"/>
      <c r="J450" s="80"/>
      <c r="K450" s="80"/>
      <c r="L450" s="80"/>
      <c r="M450" s="80"/>
      <c r="N450" s="97"/>
      <c r="O450" s="97"/>
      <c r="P450" s="97"/>
      <c r="Q450" s="92"/>
      <c r="R450" s="92"/>
      <c r="S450" s="92"/>
      <c r="T450" s="92"/>
      <c r="U450" s="92"/>
      <c r="V450" s="92"/>
      <c r="W450" s="99"/>
      <c r="X450" s="92"/>
      <c r="Y450" s="92"/>
      <c r="Z450" s="92"/>
      <c r="AA450" s="92"/>
      <c r="AB450" s="92"/>
      <c r="AC450" s="92"/>
      <c r="AD450" s="100"/>
      <c r="AE450" s="92"/>
      <c r="AF450" s="92"/>
    </row>
    <row r="451" spans="1:32">
      <c r="A451" s="90">
        <f t="shared" si="72"/>
        <v>46332</v>
      </c>
      <c r="B451" s="90">
        <f t="shared" si="73"/>
        <v>46333</v>
      </c>
      <c r="C451" s="80"/>
      <c r="D451" s="80"/>
      <c r="E451" s="72"/>
      <c r="F451" s="80"/>
      <c r="G451" s="91"/>
      <c r="H451" s="72"/>
      <c r="I451" s="80"/>
      <c r="J451" s="80"/>
      <c r="K451" s="80"/>
      <c r="L451" s="80"/>
      <c r="M451" s="80"/>
      <c r="N451" s="97"/>
      <c r="O451" s="97"/>
      <c r="P451" s="97"/>
      <c r="Q451" s="92"/>
      <c r="R451" s="92"/>
      <c r="S451" s="92"/>
      <c r="T451" s="92"/>
      <c r="U451" s="92"/>
      <c r="V451" s="92"/>
      <c r="W451" s="99"/>
      <c r="X451" s="92"/>
      <c r="Y451" s="92"/>
      <c r="Z451" s="92"/>
      <c r="AA451" s="92"/>
      <c r="AB451" s="92"/>
      <c r="AC451" s="92"/>
      <c r="AD451" s="100"/>
      <c r="AE451" s="92"/>
      <c r="AF451" s="92"/>
    </row>
    <row r="452" spans="1:32">
      <c r="A452" s="90">
        <f t="shared" si="72"/>
        <v>46333</v>
      </c>
      <c r="B452" s="90">
        <f t="shared" si="73"/>
        <v>46334</v>
      </c>
      <c r="C452" s="80"/>
      <c r="D452" s="80"/>
      <c r="E452" s="72"/>
      <c r="F452" s="80"/>
      <c r="G452" s="72"/>
      <c r="H452" s="72"/>
      <c r="I452" s="80"/>
      <c r="J452" s="80"/>
      <c r="K452" s="80"/>
      <c r="L452" s="80"/>
      <c r="M452" s="80"/>
      <c r="N452" s="97"/>
      <c r="O452" s="97"/>
      <c r="P452" s="97"/>
      <c r="Q452" s="92"/>
      <c r="R452" s="92"/>
      <c r="S452" s="92"/>
      <c r="T452" s="92"/>
      <c r="U452" s="92"/>
      <c r="V452" s="92"/>
      <c r="W452" s="93"/>
      <c r="X452" s="92"/>
      <c r="Y452" s="92"/>
      <c r="Z452" s="100"/>
      <c r="AA452" s="92"/>
      <c r="AB452" s="92"/>
      <c r="AC452" s="101"/>
      <c r="AD452" s="101"/>
      <c r="AE452" s="101"/>
      <c r="AF452" s="92"/>
    </row>
    <row r="453" spans="1:32">
      <c r="A453" s="90">
        <f t="shared" si="72"/>
        <v>46334</v>
      </c>
      <c r="B453" s="90">
        <f t="shared" si="73"/>
        <v>46335</v>
      </c>
      <c r="C453" s="80"/>
      <c r="D453" s="80"/>
      <c r="E453" s="72"/>
      <c r="F453" s="80"/>
      <c r="G453" s="72"/>
      <c r="H453" s="72"/>
      <c r="I453" s="80"/>
      <c r="J453" s="80"/>
      <c r="K453" s="80"/>
      <c r="L453" s="80"/>
      <c r="M453" s="80"/>
      <c r="N453" s="97"/>
      <c r="O453" s="97"/>
      <c r="P453" s="97"/>
      <c r="Q453" s="92"/>
      <c r="R453" s="92"/>
      <c r="S453" s="92"/>
      <c r="T453" s="92"/>
      <c r="U453" s="92"/>
      <c r="V453" s="92"/>
      <c r="W453" s="99"/>
      <c r="X453" s="92"/>
      <c r="Y453" s="92"/>
      <c r="Z453" s="92"/>
      <c r="AA453" s="92"/>
      <c r="AB453" s="92"/>
      <c r="AC453" s="92"/>
      <c r="AD453" s="100"/>
      <c r="AE453" s="92"/>
      <c r="AF453" s="92"/>
    </row>
    <row r="454" spans="1:32">
      <c r="A454" s="90">
        <f t="shared" si="72"/>
        <v>46335</v>
      </c>
      <c r="B454" s="90">
        <f t="shared" si="73"/>
        <v>46336</v>
      </c>
      <c r="C454" s="80"/>
      <c r="D454" s="92"/>
      <c r="E454" s="72"/>
      <c r="F454" s="80"/>
      <c r="G454" s="72"/>
      <c r="H454" s="72"/>
      <c r="I454" s="80"/>
      <c r="J454" s="80"/>
      <c r="K454" s="80"/>
      <c r="L454" s="80"/>
      <c r="M454" s="80"/>
      <c r="N454" s="97"/>
      <c r="O454" s="97"/>
      <c r="P454" s="97"/>
      <c r="Q454" s="92"/>
      <c r="R454" s="92"/>
      <c r="S454" s="92"/>
      <c r="T454" s="92"/>
      <c r="U454" s="92"/>
      <c r="V454" s="92"/>
      <c r="W454" s="99"/>
      <c r="X454" s="92"/>
      <c r="Y454" s="92"/>
      <c r="Z454" s="92"/>
      <c r="AA454" s="92"/>
      <c r="AB454" s="92"/>
      <c r="AC454" s="92"/>
      <c r="AD454" s="100"/>
      <c r="AE454" s="92"/>
      <c r="AF454" s="92"/>
    </row>
    <row r="455" spans="1:32">
      <c r="A455" s="90">
        <f t="shared" si="72"/>
        <v>46336</v>
      </c>
      <c r="B455" s="90">
        <f t="shared" si="73"/>
        <v>46337</v>
      </c>
      <c r="C455" s="92"/>
      <c r="D455" s="92"/>
      <c r="E455" s="72"/>
      <c r="F455" s="80"/>
      <c r="G455" s="72"/>
      <c r="H455" s="72"/>
      <c r="I455" s="80"/>
      <c r="J455" s="80"/>
      <c r="K455" s="80"/>
      <c r="L455" s="80"/>
      <c r="M455" s="80"/>
      <c r="N455" s="97"/>
      <c r="O455" s="97"/>
      <c r="P455" s="97"/>
      <c r="Q455" s="92"/>
      <c r="R455" s="92"/>
      <c r="S455" s="92"/>
      <c r="T455" s="92"/>
      <c r="U455" s="92"/>
      <c r="V455" s="92"/>
      <c r="W455" s="99"/>
      <c r="X455" s="92"/>
      <c r="Y455" s="92"/>
      <c r="Z455" s="92"/>
      <c r="AA455" s="92"/>
      <c r="AB455" s="92"/>
      <c r="AC455" s="92"/>
      <c r="AD455" s="100"/>
      <c r="AE455" s="92"/>
      <c r="AF455" s="92"/>
    </row>
    <row r="456" spans="1:32">
      <c r="A456" s="90">
        <f t="shared" si="72"/>
        <v>46337</v>
      </c>
      <c r="B456" s="90">
        <f t="shared" si="73"/>
        <v>46338</v>
      </c>
      <c r="C456" s="92"/>
      <c r="D456" s="92"/>
      <c r="E456" s="72"/>
      <c r="F456" s="80"/>
      <c r="G456" s="72"/>
      <c r="H456" s="72"/>
      <c r="I456" s="80"/>
      <c r="J456" s="80"/>
      <c r="K456" s="80"/>
      <c r="L456" s="80"/>
      <c r="M456" s="80"/>
      <c r="N456" s="97"/>
      <c r="O456" s="97"/>
      <c r="P456" s="97"/>
      <c r="Q456" s="92"/>
      <c r="R456" s="92"/>
      <c r="S456" s="92"/>
      <c r="T456" s="92"/>
      <c r="U456" s="92"/>
      <c r="V456" s="92"/>
      <c r="W456" s="93"/>
      <c r="X456" s="92"/>
      <c r="Y456" s="92"/>
      <c r="Z456" s="92"/>
      <c r="AA456" s="92"/>
      <c r="AB456" s="92"/>
      <c r="AC456" s="92"/>
      <c r="AD456" s="92"/>
      <c r="AE456" s="92"/>
      <c r="AF456" s="92"/>
    </row>
    <row r="457" spans="1:32">
      <c r="A457" s="90">
        <f t="shared" si="72"/>
        <v>46338</v>
      </c>
      <c r="B457" s="90">
        <f t="shared" si="73"/>
        <v>46339</v>
      </c>
      <c r="C457" s="92"/>
      <c r="D457" s="92"/>
      <c r="E457" s="72"/>
      <c r="F457" s="80"/>
      <c r="G457" s="72"/>
      <c r="H457" s="72"/>
      <c r="I457" s="80"/>
      <c r="J457" s="80"/>
      <c r="K457" s="80"/>
      <c r="L457" s="80"/>
      <c r="M457" s="80"/>
      <c r="N457" s="97"/>
      <c r="O457" s="97"/>
      <c r="P457" s="97"/>
      <c r="Q457" s="92"/>
      <c r="R457" s="92"/>
      <c r="S457" s="92"/>
      <c r="T457" s="92"/>
      <c r="U457" s="92"/>
      <c r="V457" s="92"/>
      <c r="W457" s="99"/>
      <c r="X457" s="92"/>
      <c r="Y457" s="92"/>
      <c r="Z457" s="92"/>
      <c r="AA457" s="92"/>
      <c r="AB457" s="92"/>
      <c r="AC457" s="92"/>
      <c r="AD457" s="100"/>
      <c r="AE457" s="92"/>
      <c r="AF457" s="92"/>
    </row>
    <row r="458" spans="1:32">
      <c r="A458" s="90">
        <f t="shared" si="72"/>
        <v>46339</v>
      </c>
      <c r="B458" s="90">
        <f t="shared" si="73"/>
        <v>46340</v>
      </c>
      <c r="C458" s="92"/>
      <c r="D458" s="92"/>
      <c r="E458" s="72"/>
      <c r="F458" s="80"/>
      <c r="G458" s="72"/>
      <c r="H458" s="72"/>
      <c r="I458" s="80"/>
      <c r="J458" s="80"/>
      <c r="K458" s="80"/>
      <c r="L458" s="80"/>
      <c r="M458" s="80"/>
      <c r="N458" s="97"/>
      <c r="O458" s="97"/>
      <c r="P458" s="97"/>
      <c r="Q458" s="92"/>
      <c r="R458" s="92"/>
      <c r="S458" s="92"/>
      <c r="T458" s="92"/>
      <c r="U458" s="92"/>
      <c r="V458" s="92"/>
      <c r="W458" s="99"/>
      <c r="X458" s="92"/>
      <c r="Y458" s="92"/>
      <c r="Z458" s="92"/>
      <c r="AA458" s="92"/>
      <c r="AB458" s="92"/>
      <c r="AC458" s="92"/>
      <c r="AD458" s="100"/>
      <c r="AE458" s="92"/>
      <c r="AF458" s="92"/>
    </row>
    <row r="459" spans="1:32">
      <c r="A459" s="90">
        <f t="shared" si="72"/>
        <v>46340</v>
      </c>
      <c r="B459" s="90">
        <f t="shared" si="73"/>
        <v>46341</v>
      </c>
      <c r="C459" s="92"/>
      <c r="D459" s="92"/>
      <c r="E459" s="72"/>
      <c r="F459" s="80"/>
      <c r="G459" s="72"/>
      <c r="H459" s="72"/>
      <c r="I459" s="80"/>
      <c r="J459" s="80"/>
      <c r="K459" s="80"/>
      <c r="L459" s="80"/>
      <c r="M459" s="80"/>
      <c r="N459" s="97"/>
      <c r="O459" s="97"/>
      <c r="P459" s="97"/>
      <c r="Q459" s="92"/>
      <c r="R459" s="92"/>
      <c r="S459" s="92"/>
      <c r="T459" s="92"/>
      <c r="U459" s="92"/>
      <c r="V459" s="92"/>
      <c r="W459" s="93"/>
      <c r="X459" s="92"/>
      <c r="Y459" s="92"/>
      <c r="Z459" s="100"/>
      <c r="AA459" s="92"/>
      <c r="AB459" s="92"/>
      <c r="AC459" s="101"/>
      <c r="AD459" s="92"/>
      <c r="AE459" s="101"/>
      <c r="AF459" s="92"/>
    </row>
    <row r="460" spans="1:32">
      <c r="A460" s="90">
        <f t="shared" si="72"/>
        <v>46341</v>
      </c>
      <c r="B460" s="90">
        <f t="shared" si="73"/>
        <v>46342</v>
      </c>
      <c r="C460" s="80"/>
      <c r="D460" s="80"/>
      <c r="E460" s="72"/>
      <c r="F460" s="80"/>
      <c r="G460" s="72"/>
      <c r="H460" s="72"/>
      <c r="I460" s="80"/>
      <c r="J460" s="80"/>
      <c r="K460" s="80"/>
      <c r="L460" s="80"/>
      <c r="M460" s="80"/>
      <c r="N460" s="97"/>
      <c r="O460" s="97"/>
      <c r="P460" s="97"/>
      <c r="Q460" s="92"/>
      <c r="R460" s="92"/>
      <c r="S460" s="92"/>
      <c r="T460" s="92"/>
      <c r="U460" s="92"/>
      <c r="V460" s="92"/>
      <c r="W460" s="99"/>
      <c r="X460" s="92"/>
      <c r="Y460" s="92"/>
      <c r="Z460" s="92"/>
      <c r="AA460" s="92"/>
      <c r="AB460" s="92"/>
      <c r="AC460" s="92"/>
      <c r="AD460" s="100"/>
      <c r="AE460" s="92"/>
      <c r="AF460" s="92"/>
    </row>
    <row r="461" spans="1:32">
      <c r="A461" s="90">
        <f t="shared" si="72"/>
        <v>46342</v>
      </c>
      <c r="B461" s="90">
        <f t="shared" si="73"/>
        <v>46343</v>
      </c>
      <c r="C461" s="92"/>
      <c r="D461" s="92"/>
      <c r="E461" s="72"/>
      <c r="F461" s="80"/>
      <c r="G461" s="72"/>
      <c r="H461" s="72"/>
      <c r="I461" s="80"/>
      <c r="J461" s="80"/>
      <c r="K461" s="80"/>
      <c r="L461" s="80"/>
      <c r="M461" s="80"/>
      <c r="N461" s="97"/>
      <c r="O461" s="97"/>
      <c r="P461" s="97"/>
      <c r="Q461" s="92"/>
      <c r="R461" s="92"/>
      <c r="S461" s="92"/>
      <c r="T461" s="92"/>
      <c r="U461" s="92"/>
      <c r="V461" s="92"/>
      <c r="W461" s="99"/>
      <c r="X461" s="92"/>
      <c r="Y461" s="92"/>
      <c r="Z461" s="92"/>
      <c r="AA461" s="92"/>
      <c r="AB461" s="92"/>
      <c r="AC461" s="92"/>
      <c r="AD461" s="100"/>
      <c r="AE461" s="92"/>
      <c r="AF461" s="92"/>
    </row>
    <row r="462" spans="1:32">
      <c r="A462" s="90">
        <f t="shared" si="72"/>
        <v>46343</v>
      </c>
      <c r="B462" s="90">
        <f t="shared" si="73"/>
        <v>46344</v>
      </c>
      <c r="C462" s="92"/>
      <c r="D462" s="92"/>
      <c r="E462" s="72"/>
      <c r="F462" s="80"/>
      <c r="G462" s="72"/>
      <c r="H462" s="72"/>
      <c r="I462" s="80"/>
      <c r="J462" s="80"/>
      <c r="K462" s="80"/>
      <c r="L462" s="80"/>
      <c r="M462" s="80"/>
      <c r="N462" s="97"/>
      <c r="O462" s="97"/>
      <c r="P462" s="97"/>
      <c r="Q462" s="92"/>
      <c r="R462" s="92"/>
      <c r="S462" s="92"/>
      <c r="T462" s="92"/>
      <c r="U462" s="92"/>
      <c r="V462" s="92"/>
      <c r="W462" s="99"/>
      <c r="X462" s="92"/>
      <c r="Y462" s="92"/>
      <c r="Z462" s="92"/>
      <c r="AA462" s="92"/>
      <c r="AB462" s="92"/>
      <c r="AC462" s="92"/>
      <c r="AD462" s="100"/>
      <c r="AE462" s="92"/>
      <c r="AF462" s="92"/>
    </row>
    <row r="463" spans="1:32">
      <c r="A463" s="90">
        <f t="shared" si="72"/>
        <v>46344</v>
      </c>
      <c r="B463" s="90">
        <f t="shared" si="73"/>
        <v>46345</v>
      </c>
      <c r="C463" s="92"/>
      <c r="D463" s="92"/>
      <c r="E463" s="72"/>
      <c r="F463" s="80"/>
      <c r="G463" s="72"/>
      <c r="H463" s="72"/>
      <c r="I463" s="80"/>
      <c r="J463" s="80"/>
      <c r="K463" s="80"/>
      <c r="L463" s="80"/>
      <c r="M463" s="80"/>
      <c r="N463" s="97"/>
      <c r="O463" s="97"/>
      <c r="P463" s="97"/>
      <c r="Q463" s="92"/>
      <c r="R463" s="92"/>
      <c r="S463" s="92"/>
      <c r="T463" s="92"/>
      <c r="U463" s="92"/>
      <c r="V463" s="92"/>
      <c r="W463" s="99"/>
      <c r="X463" s="92"/>
      <c r="Y463" s="92"/>
      <c r="Z463" s="92"/>
      <c r="AA463" s="92"/>
      <c r="AB463" s="92"/>
      <c r="AC463" s="92"/>
      <c r="AD463" s="100"/>
      <c r="AE463" s="92"/>
      <c r="AF463" s="92"/>
    </row>
    <row r="464" spans="1:32">
      <c r="A464" s="90">
        <f t="shared" si="72"/>
        <v>46345</v>
      </c>
      <c r="B464" s="90">
        <f t="shared" si="73"/>
        <v>46346</v>
      </c>
      <c r="C464" s="92"/>
      <c r="D464" s="92"/>
      <c r="E464" s="93"/>
      <c r="F464" s="92"/>
      <c r="G464" s="93"/>
      <c r="H464" s="93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9"/>
      <c r="X464" s="92"/>
      <c r="Y464" s="92"/>
      <c r="Z464" s="92"/>
      <c r="AA464" s="92"/>
      <c r="AB464" s="92"/>
      <c r="AC464" s="92"/>
      <c r="AD464" s="100"/>
      <c r="AE464" s="92"/>
      <c r="AF464" s="92"/>
    </row>
    <row r="465" spans="1:32">
      <c r="A465" s="90">
        <f t="shared" si="72"/>
        <v>46346</v>
      </c>
      <c r="B465" s="90">
        <f t="shared" si="73"/>
        <v>46347</v>
      </c>
      <c r="C465" s="92"/>
      <c r="D465" s="92"/>
      <c r="E465" s="93"/>
      <c r="F465" s="92"/>
      <c r="G465" s="93"/>
      <c r="H465" s="93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9"/>
      <c r="X465" s="92"/>
      <c r="Y465" s="92"/>
      <c r="Z465" s="92"/>
      <c r="AA465" s="92"/>
      <c r="AB465" s="92"/>
      <c r="AC465" s="92"/>
      <c r="AD465" s="100"/>
      <c r="AE465" s="92"/>
      <c r="AF465" s="92"/>
    </row>
    <row r="466" spans="1:32">
      <c r="A466" s="90">
        <f t="shared" si="72"/>
        <v>46347</v>
      </c>
      <c r="B466" s="90">
        <f t="shared" si="73"/>
        <v>46348</v>
      </c>
      <c r="C466" s="92"/>
      <c r="D466" s="92"/>
      <c r="E466" s="93"/>
      <c r="F466" s="92"/>
      <c r="G466" s="93"/>
      <c r="H466" s="93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9"/>
      <c r="X466" s="92"/>
      <c r="Y466" s="92"/>
      <c r="Z466" s="92"/>
      <c r="AA466" s="92"/>
      <c r="AB466" s="92"/>
      <c r="AC466" s="92"/>
      <c r="AD466" s="100"/>
      <c r="AE466" s="92"/>
      <c r="AF466" s="92"/>
    </row>
    <row r="467" spans="1:32">
      <c r="A467" s="90">
        <f t="shared" si="72"/>
        <v>46348</v>
      </c>
      <c r="B467" s="90">
        <f t="shared" si="73"/>
        <v>46349</v>
      </c>
      <c r="C467" s="94"/>
      <c r="D467" s="92"/>
      <c r="E467" s="72"/>
      <c r="F467" s="80"/>
      <c r="G467" s="72"/>
      <c r="H467" s="72"/>
      <c r="I467" s="80"/>
      <c r="J467" s="80"/>
      <c r="K467" s="80"/>
      <c r="L467" s="98"/>
      <c r="M467" s="80"/>
      <c r="N467" s="97"/>
      <c r="O467" s="97"/>
      <c r="P467" s="97"/>
      <c r="Q467" s="92"/>
      <c r="R467" s="92"/>
      <c r="S467" s="92"/>
      <c r="T467" s="92"/>
      <c r="U467" s="92"/>
      <c r="V467" s="92"/>
      <c r="W467" s="93"/>
      <c r="X467" s="92"/>
      <c r="Y467" s="92"/>
      <c r="Z467" s="92"/>
      <c r="AA467" s="92"/>
      <c r="AB467" s="92"/>
      <c r="AC467" s="92"/>
      <c r="AD467" s="92"/>
      <c r="AE467" s="92"/>
      <c r="AF467" s="92"/>
    </row>
    <row r="468" spans="1:32">
      <c r="A468" s="90">
        <f t="shared" si="72"/>
        <v>46349</v>
      </c>
      <c r="B468" s="90">
        <f t="shared" si="73"/>
        <v>46350</v>
      </c>
      <c r="C468" s="92"/>
      <c r="D468" s="92"/>
      <c r="E468" s="93"/>
      <c r="F468" s="92"/>
      <c r="G468" s="93"/>
      <c r="H468" s="93"/>
      <c r="I468" s="92"/>
      <c r="J468" s="92"/>
      <c r="K468" s="92"/>
      <c r="L468" s="92"/>
      <c r="M468" s="92"/>
      <c r="N468" s="94"/>
      <c r="O468" s="94"/>
      <c r="P468" s="94"/>
      <c r="Q468" s="92"/>
      <c r="R468" s="92"/>
      <c r="S468" s="92"/>
      <c r="T468" s="92"/>
      <c r="U468" s="92"/>
      <c r="V468" s="92"/>
      <c r="W468" s="93"/>
      <c r="X468" s="92"/>
      <c r="Y468" s="92"/>
      <c r="Z468" s="92"/>
      <c r="AA468" s="92"/>
      <c r="AB468" s="92"/>
      <c r="AC468" s="92"/>
      <c r="AD468" s="100"/>
      <c r="AE468" s="92"/>
      <c r="AF468" s="92"/>
    </row>
    <row r="469" spans="1:32">
      <c r="A469" s="90">
        <f t="shared" si="72"/>
        <v>46350</v>
      </c>
      <c r="B469" s="90">
        <f t="shared" si="73"/>
        <v>46351</v>
      </c>
      <c r="C469" s="92"/>
      <c r="D469" s="92"/>
      <c r="E469" s="93"/>
      <c r="F469" s="92"/>
      <c r="G469" s="93"/>
      <c r="H469" s="93"/>
      <c r="I469" s="92"/>
      <c r="J469" s="92"/>
      <c r="K469" s="92"/>
      <c r="L469" s="92"/>
      <c r="M469" s="92"/>
      <c r="N469" s="94"/>
      <c r="O469" s="94"/>
      <c r="P469" s="94"/>
      <c r="Q469" s="92"/>
      <c r="R469" s="92"/>
      <c r="S469" s="92"/>
      <c r="T469" s="92"/>
      <c r="U469" s="92"/>
      <c r="V469" s="92"/>
      <c r="W469" s="93"/>
      <c r="X469" s="92"/>
      <c r="Y469" s="92"/>
      <c r="Z469" s="100"/>
      <c r="AA469" s="92"/>
      <c r="AB469" s="92"/>
      <c r="AC469" s="101"/>
      <c r="AD469" s="101"/>
      <c r="AE469" s="101"/>
      <c r="AF469" s="92"/>
    </row>
    <row r="470" spans="1:32">
      <c r="A470" s="90">
        <f t="shared" si="72"/>
        <v>46351</v>
      </c>
      <c r="B470" s="90">
        <f t="shared" si="73"/>
        <v>46352</v>
      </c>
      <c r="C470" s="92"/>
      <c r="D470" s="92"/>
      <c r="E470" s="93"/>
      <c r="F470" s="92"/>
      <c r="G470" s="93"/>
      <c r="H470" s="93"/>
      <c r="I470" s="92"/>
      <c r="J470" s="92"/>
      <c r="K470" s="92"/>
      <c r="L470" s="92"/>
      <c r="M470" s="92"/>
      <c r="N470" s="94"/>
      <c r="O470" s="94"/>
      <c r="P470" s="94"/>
      <c r="Q470" s="92"/>
      <c r="R470" s="92"/>
      <c r="S470" s="92"/>
      <c r="T470" s="92"/>
      <c r="U470" s="92"/>
      <c r="V470" s="92"/>
      <c r="W470" s="99"/>
      <c r="X470" s="92"/>
      <c r="Y470" s="92"/>
      <c r="Z470" s="92"/>
      <c r="AA470" s="92"/>
      <c r="AB470" s="92"/>
      <c r="AC470" s="92"/>
      <c r="AD470" s="100"/>
      <c r="AE470" s="92"/>
      <c r="AF470" s="92"/>
    </row>
    <row r="471" spans="1:32">
      <c r="A471" s="90">
        <f t="shared" si="72"/>
        <v>46352</v>
      </c>
      <c r="B471" s="90">
        <f t="shared" si="73"/>
        <v>46353</v>
      </c>
      <c r="C471" s="92"/>
      <c r="D471" s="92"/>
      <c r="E471" s="93"/>
      <c r="F471" s="92"/>
      <c r="G471" s="93"/>
      <c r="H471" s="93"/>
      <c r="I471" s="92"/>
      <c r="J471" s="92"/>
      <c r="K471" s="92"/>
      <c r="L471" s="92"/>
      <c r="M471" s="92"/>
      <c r="N471" s="94"/>
      <c r="O471" s="94"/>
      <c r="P471" s="94"/>
      <c r="Q471" s="92"/>
      <c r="R471" s="92"/>
      <c r="S471" s="92"/>
      <c r="T471" s="92"/>
      <c r="U471" s="92"/>
      <c r="V471" s="92"/>
      <c r="W471" s="99"/>
      <c r="X471" s="92"/>
      <c r="Y471" s="92"/>
      <c r="Z471" s="92"/>
      <c r="AA471" s="92"/>
      <c r="AB471" s="92"/>
      <c r="AC471" s="92"/>
      <c r="AD471" s="100"/>
      <c r="AE471" s="92"/>
      <c r="AF471" s="92"/>
    </row>
    <row r="472" spans="1:32">
      <c r="A472" s="90">
        <f t="shared" si="72"/>
        <v>46353</v>
      </c>
      <c r="B472" s="90">
        <f t="shared" si="73"/>
        <v>46354</v>
      </c>
      <c r="C472" s="92"/>
      <c r="D472" s="92"/>
      <c r="E472" s="93"/>
      <c r="F472" s="92"/>
      <c r="G472" s="93"/>
      <c r="H472" s="93"/>
      <c r="I472" s="92"/>
      <c r="J472" s="92"/>
      <c r="K472" s="92"/>
      <c r="L472" s="92"/>
      <c r="M472" s="92"/>
      <c r="N472" s="94"/>
      <c r="O472" s="94"/>
      <c r="P472" s="94"/>
      <c r="Q472" s="92"/>
      <c r="R472" s="92"/>
      <c r="S472" s="92"/>
      <c r="T472" s="92"/>
      <c r="U472" s="92"/>
      <c r="V472" s="92"/>
      <c r="W472" s="99"/>
      <c r="X472" s="92"/>
      <c r="Y472" s="92"/>
      <c r="Z472" s="92"/>
      <c r="AA472" s="92"/>
      <c r="AB472" s="92"/>
      <c r="AC472" s="92"/>
      <c r="AD472" s="100"/>
      <c r="AE472" s="92"/>
      <c r="AF472" s="92"/>
    </row>
    <row r="473" spans="1:32">
      <c r="A473" s="90">
        <f t="shared" si="72"/>
        <v>46354</v>
      </c>
      <c r="B473" s="90">
        <f t="shared" si="73"/>
        <v>46355</v>
      </c>
      <c r="C473" s="92"/>
      <c r="D473" s="92"/>
      <c r="E473" s="93"/>
      <c r="F473" s="92"/>
      <c r="G473" s="93"/>
      <c r="H473" s="93"/>
      <c r="I473" s="92"/>
      <c r="J473" s="92"/>
      <c r="K473" s="92"/>
      <c r="L473" s="92"/>
      <c r="M473" s="92"/>
      <c r="N473" s="94"/>
      <c r="O473" s="94"/>
      <c r="P473" s="94"/>
      <c r="Q473" s="92"/>
      <c r="R473" s="92"/>
      <c r="S473" s="92"/>
      <c r="T473" s="92"/>
      <c r="U473" s="92"/>
      <c r="V473" s="92"/>
      <c r="W473" s="99"/>
      <c r="X473" s="92"/>
      <c r="Y473" s="92"/>
      <c r="Z473" s="92"/>
      <c r="AA473" s="92"/>
      <c r="AB473" s="92"/>
      <c r="AC473" s="92"/>
      <c r="AD473" s="100"/>
      <c r="AE473" s="92"/>
      <c r="AF473" s="92"/>
    </row>
    <row r="474" spans="1:32">
      <c r="A474" s="90">
        <f t="shared" si="72"/>
        <v>46355</v>
      </c>
      <c r="B474" s="90">
        <f t="shared" si="73"/>
        <v>46356</v>
      </c>
      <c r="C474" s="92"/>
      <c r="D474" s="92"/>
      <c r="E474" s="93"/>
      <c r="F474" s="92"/>
      <c r="G474" s="93"/>
      <c r="H474" s="93"/>
      <c r="I474" s="92"/>
      <c r="J474" s="92"/>
      <c r="K474" s="92"/>
      <c r="L474" s="92"/>
      <c r="M474" s="92"/>
      <c r="N474" s="94"/>
      <c r="O474" s="94"/>
      <c r="P474" s="94"/>
      <c r="Q474" s="92"/>
      <c r="R474" s="92"/>
      <c r="S474" s="92"/>
      <c r="T474" s="92"/>
      <c r="U474" s="92"/>
      <c r="V474" s="92"/>
      <c r="W474" s="99"/>
      <c r="X474" s="92"/>
      <c r="Y474" s="92"/>
      <c r="Z474" s="92"/>
      <c r="AA474" s="92"/>
      <c r="AB474" s="92"/>
      <c r="AC474" s="92"/>
      <c r="AD474" s="100"/>
      <c r="AE474" s="92"/>
      <c r="AF474" s="92"/>
    </row>
    <row r="475" spans="1:32">
      <c r="A475" s="90">
        <v>45777</v>
      </c>
      <c r="B475" s="90">
        <v>45778</v>
      </c>
      <c r="C475" s="80"/>
      <c r="D475" s="80"/>
      <c r="E475" s="72"/>
      <c r="F475" s="80"/>
      <c r="G475" s="72"/>
      <c r="H475" s="72"/>
      <c r="I475" s="80"/>
      <c r="J475" s="80"/>
      <c r="K475" s="80"/>
      <c r="L475" s="80"/>
      <c r="M475" s="80"/>
      <c r="N475" s="97"/>
      <c r="O475" s="97"/>
      <c r="P475" s="97"/>
      <c r="Q475" s="92"/>
      <c r="R475" s="92"/>
      <c r="S475" s="92"/>
      <c r="T475" s="92"/>
      <c r="U475" s="92"/>
      <c r="V475" s="92"/>
      <c r="W475" s="99"/>
      <c r="X475" s="92"/>
      <c r="Y475" s="92"/>
      <c r="Z475" s="92"/>
      <c r="AA475" s="92"/>
      <c r="AB475" s="92"/>
      <c r="AC475" s="92"/>
      <c r="AD475" s="100"/>
      <c r="AE475" s="92"/>
      <c r="AF475" s="92"/>
    </row>
    <row r="476" spans="1:32">
      <c r="A476" s="324" t="s">
        <v>31</v>
      </c>
      <c r="B476" s="324"/>
      <c r="C476" s="95">
        <f t="shared" ref="C476:AF476" si="74">MIN(C446:C475)</f>
        <v>0</v>
      </c>
      <c r="D476" s="95">
        <f t="shared" si="74"/>
        <v>0</v>
      </c>
      <c r="E476" s="96">
        <f t="shared" si="74"/>
        <v>0</v>
      </c>
      <c r="F476" s="95">
        <f t="shared" si="74"/>
        <v>0</v>
      </c>
      <c r="G476" s="96">
        <f t="shared" si="74"/>
        <v>0</v>
      </c>
      <c r="H476" s="96">
        <f t="shared" si="74"/>
        <v>0</v>
      </c>
      <c r="I476" s="95">
        <f t="shared" si="74"/>
        <v>0</v>
      </c>
      <c r="J476" s="95">
        <f t="shared" si="74"/>
        <v>0</v>
      </c>
      <c r="K476" s="95">
        <f t="shared" si="74"/>
        <v>0</v>
      </c>
      <c r="L476" s="95">
        <f t="shared" si="74"/>
        <v>0</v>
      </c>
      <c r="M476" s="95">
        <f t="shared" si="74"/>
        <v>0</v>
      </c>
      <c r="N476" s="95">
        <f t="shared" si="74"/>
        <v>0</v>
      </c>
      <c r="O476" s="95">
        <f t="shared" si="74"/>
        <v>0</v>
      </c>
      <c r="P476" s="95">
        <f t="shared" si="74"/>
        <v>0</v>
      </c>
      <c r="Q476" s="95">
        <f t="shared" si="74"/>
        <v>0</v>
      </c>
      <c r="R476" s="95">
        <f t="shared" si="74"/>
        <v>0</v>
      </c>
      <c r="S476" s="95">
        <f t="shared" si="74"/>
        <v>0</v>
      </c>
      <c r="T476" s="95">
        <f t="shared" si="74"/>
        <v>0</v>
      </c>
      <c r="U476" s="95">
        <f t="shared" si="74"/>
        <v>0</v>
      </c>
      <c r="V476" s="95">
        <f t="shared" si="74"/>
        <v>0</v>
      </c>
      <c r="W476" s="96">
        <f t="shared" si="74"/>
        <v>0</v>
      </c>
      <c r="X476" s="95">
        <f t="shared" si="74"/>
        <v>0</v>
      </c>
      <c r="Y476" s="95">
        <f t="shared" si="74"/>
        <v>0</v>
      </c>
      <c r="Z476" s="95">
        <f t="shared" si="74"/>
        <v>0</v>
      </c>
      <c r="AA476" s="95">
        <f t="shared" si="74"/>
        <v>0</v>
      </c>
      <c r="AB476" s="95">
        <f t="shared" si="74"/>
        <v>0</v>
      </c>
      <c r="AC476" s="95">
        <f t="shared" si="74"/>
        <v>0</v>
      </c>
      <c r="AD476" s="95">
        <f t="shared" si="74"/>
        <v>0</v>
      </c>
      <c r="AE476" s="95">
        <f t="shared" si="74"/>
        <v>0</v>
      </c>
      <c r="AF476" s="95">
        <f t="shared" si="74"/>
        <v>0</v>
      </c>
    </row>
    <row r="477" spans="1:32">
      <c r="A477" s="324" t="s">
        <v>33</v>
      </c>
      <c r="B477" s="324"/>
      <c r="C477" s="95">
        <f t="shared" ref="C477:AF477" si="75">MAX(C446:C475)</f>
        <v>0</v>
      </c>
      <c r="D477" s="95">
        <f t="shared" si="75"/>
        <v>0</v>
      </c>
      <c r="E477" s="96">
        <f t="shared" si="75"/>
        <v>0</v>
      </c>
      <c r="F477" s="95">
        <f t="shared" si="75"/>
        <v>0</v>
      </c>
      <c r="G477" s="96">
        <f t="shared" si="75"/>
        <v>0</v>
      </c>
      <c r="H477" s="96">
        <f t="shared" si="75"/>
        <v>0</v>
      </c>
      <c r="I477" s="95">
        <f t="shared" si="75"/>
        <v>0</v>
      </c>
      <c r="J477" s="95">
        <f t="shared" si="75"/>
        <v>0</v>
      </c>
      <c r="K477" s="95">
        <f t="shared" si="75"/>
        <v>0</v>
      </c>
      <c r="L477" s="95">
        <f t="shared" si="75"/>
        <v>0</v>
      </c>
      <c r="M477" s="95">
        <f t="shared" si="75"/>
        <v>0</v>
      </c>
      <c r="N477" s="95">
        <f t="shared" si="75"/>
        <v>0</v>
      </c>
      <c r="O477" s="95">
        <f t="shared" si="75"/>
        <v>0</v>
      </c>
      <c r="P477" s="95">
        <f t="shared" si="75"/>
        <v>0</v>
      </c>
      <c r="Q477" s="95">
        <f t="shared" si="75"/>
        <v>0</v>
      </c>
      <c r="R477" s="95">
        <f t="shared" si="75"/>
        <v>0</v>
      </c>
      <c r="S477" s="95">
        <f t="shared" si="75"/>
        <v>0</v>
      </c>
      <c r="T477" s="95">
        <f t="shared" si="75"/>
        <v>0</v>
      </c>
      <c r="U477" s="95">
        <f t="shared" si="75"/>
        <v>0</v>
      </c>
      <c r="V477" s="95">
        <f t="shared" si="75"/>
        <v>0</v>
      </c>
      <c r="W477" s="96">
        <f t="shared" si="75"/>
        <v>0</v>
      </c>
      <c r="X477" s="95">
        <f t="shared" si="75"/>
        <v>0</v>
      </c>
      <c r="Y477" s="95">
        <f t="shared" si="75"/>
        <v>0</v>
      </c>
      <c r="Z477" s="95">
        <f t="shared" si="75"/>
        <v>0</v>
      </c>
      <c r="AA477" s="95">
        <f t="shared" si="75"/>
        <v>0</v>
      </c>
      <c r="AB477" s="95">
        <f t="shared" si="75"/>
        <v>0</v>
      </c>
      <c r="AC477" s="95">
        <f t="shared" si="75"/>
        <v>0</v>
      </c>
      <c r="AD477" s="95">
        <f t="shared" si="75"/>
        <v>0</v>
      </c>
      <c r="AE477" s="95">
        <f t="shared" si="75"/>
        <v>0</v>
      </c>
      <c r="AF477" s="95">
        <f t="shared" si="75"/>
        <v>0</v>
      </c>
    </row>
    <row r="478" spans="1:32">
      <c r="A478" s="324" t="s">
        <v>36</v>
      </c>
      <c r="B478" s="324"/>
      <c r="C478" s="95" t="e">
        <f t="shared" ref="C478:AF478" si="76">AVERAGE(C446:C475)</f>
        <v>#DIV/0!</v>
      </c>
      <c r="D478" s="95" t="e">
        <f t="shared" si="76"/>
        <v>#DIV/0!</v>
      </c>
      <c r="E478" s="96" t="e">
        <f t="shared" si="76"/>
        <v>#DIV/0!</v>
      </c>
      <c r="F478" s="95" t="e">
        <f t="shared" si="76"/>
        <v>#DIV/0!</v>
      </c>
      <c r="G478" s="96" t="e">
        <f t="shared" si="76"/>
        <v>#DIV/0!</v>
      </c>
      <c r="H478" s="96" t="e">
        <f t="shared" si="76"/>
        <v>#DIV/0!</v>
      </c>
      <c r="I478" s="95" t="e">
        <f t="shared" si="76"/>
        <v>#DIV/0!</v>
      </c>
      <c r="J478" s="95" t="e">
        <f t="shared" si="76"/>
        <v>#DIV/0!</v>
      </c>
      <c r="K478" s="95" t="e">
        <f t="shared" si="76"/>
        <v>#DIV/0!</v>
      </c>
      <c r="L478" s="95" t="e">
        <f t="shared" si="76"/>
        <v>#DIV/0!</v>
      </c>
      <c r="M478" s="95" t="e">
        <f t="shared" si="76"/>
        <v>#DIV/0!</v>
      </c>
      <c r="N478" s="95" t="e">
        <f t="shared" si="76"/>
        <v>#DIV/0!</v>
      </c>
      <c r="O478" s="95" t="e">
        <f t="shared" si="76"/>
        <v>#DIV/0!</v>
      </c>
      <c r="P478" s="95" t="e">
        <f t="shared" si="76"/>
        <v>#DIV/0!</v>
      </c>
      <c r="Q478" s="95" t="e">
        <f t="shared" si="76"/>
        <v>#DIV/0!</v>
      </c>
      <c r="R478" s="95" t="e">
        <f t="shared" si="76"/>
        <v>#DIV/0!</v>
      </c>
      <c r="S478" s="95" t="e">
        <f t="shared" si="76"/>
        <v>#DIV/0!</v>
      </c>
      <c r="T478" s="95" t="e">
        <f t="shared" si="76"/>
        <v>#DIV/0!</v>
      </c>
      <c r="U478" s="95" t="e">
        <f t="shared" si="76"/>
        <v>#DIV/0!</v>
      </c>
      <c r="V478" s="95" t="e">
        <f t="shared" si="76"/>
        <v>#DIV/0!</v>
      </c>
      <c r="W478" s="96" t="e">
        <f t="shared" si="76"/>
        <v>#DIV/0!</v>
      </c>
      <c r="X478" s="95" t="e">
        <f t="shared" si="76"/>
        <v>#DIV/0!</v>
      </c>
      <c r="Y478" s="95" t="e">
        <f t="shared" si="76"/>
        <v>#DIV/0!</v>
      </c>
      <c r="Z478" s="95" t="e">
        <f t="shared" si="76"/>
        <v>#DIV/0!</v>
      </c>
      <c r="AA478" s="95" t="e">
        <f t="shared" si="76"/>
        <v>#DIV/0!</v>
      </c>
      <c r="AB478" s="95" t="e">
        <f t="shared" si="76"/>
        <v>#DIV/0!</v>
      </c>
      <c r="AC478" s="95" t="e">
        <f t="shared" si="76"/>
        <v>#DIV/0!</v>
      </c>
      <c r="AD478" s="95" t="e">
        <f t="shared" si="76"/>
        <v>#DIV/0!</v>
      </c>
      <c r="AE478" s="95" t="e">
        <f t="shared" si="76"/>
        <v>#DIV/0!</v>
      </c>
      <c r="AF478" s="95" t="e">
        <f t="shared" si="76"/>
        <v>#DIV/0!</v>
      </c>
    </row>
    <row r="479" spans="1:32">
      <c r="A479" s="324" t="s">
        <v>130</v>
      </c>
      <c r="B479" s="324"/>
      <c r="C479" s="95" t="e">
        <f t="shared" ref="C479:AF479" si="77">STDEV(C446:C475)</f>
        <v>#DIV/0!</v>
      </c>
      <c r="D479" s="95" t="e">
        <f t="shared" si="77"/>
        <v>#DIV/0!</v>
      </c>
      <c r="E479" s="96" t="e">
        <f t="shared" si="77"/>
        <v>#DIV/0!</v>
      </c>
      <c r="F479" s="95" t="e">
        <f t="shared" si="77"/>
        <v>#DIV/0!</v>
      </c>
      <c r="G479" s="96" t="e">
        <f t="shared" si="77"/>
        <v>#DIV/0!</v>
      </c>
      <c r="H479" s="96" t="e">
        <f t="shared" si="77"/>
        <v>#DIV/0!</v>
      </c>
      <c r="I479" s="95" t="e">
        <f t="shared" si="77"/>
        <v>#DIV/0!</v>
      </c>
      <c r="J479" s="95" t="e">
        <f t="shared" si="77"/>
        <v>#DIV/0!</v>
      </c>
      <c r="K479" s="95" t="e">
        <f t="shared" si="77"/>
        <v>#DIV/0!</v>
      </c>
      <c r="L479" s="95" t="e">
        <f t="shared" si="77"/>
        <v>#DIV/0!</v>
      </c>
      <c r="M479" s="95" t="e">
        <f t="shared" si="77"/>
        <v>#DIV/0!</v>
      </c>
      <c r="N479" s="95" t="e">
        <f t="shared" si="77"/>
        <v>#DIV/0!</v>
      </c>
      <c r="O479" s="95" t="e">
        <f t="shared" si="77"/>
        <v>#DIV/0!</v>
      </c>
      <c r="P479" s="95" t="e">
        <f t="shared" si="77"/>
        <v>#DIV/0!</v>
      </c>
      <c r="Q479" s="95" t="e">
        <f t="shared" si="77"/>
        <v>#DIV/0!</v>
      </c>
      <c r="R479" s="95" t="e">
        <f t="shared" si="77"/>
        <v>#DIV/0!</v>
      </c>
      <c r="S479" s="95" t="e">
        <f t="shared" si="77"/>
        <v>#DIV/0!</v>
      </c>
      <c r="T479" s="95" t="e">
        <f t="shared" si="77"/>
        <v>#DIV/0!</v>
      </c>
      <c r="U479" s="95" t="e">
        <f t="shared" si="77"/>
        <v>#DIV/0!</v>
      </c>
      <c r="V479" s="95" t="e">
        <f t="shared" si="77"/>
        <v>#DIV/0!</v>
      </c>
      <c r="W479" s="96" t="e">
        <f t="shared" si="77"/>
        <v>#DIV/0!</v>
      </c>
      <c r="X479" s="95" t="e">
        <f t="shared" si="77"/>
        <v>#DIV/0!</v>
      </c>
      <c r="Y479" s="95" t="e">
        <f t="shared" si="77"/>
        <v>#DIV/0!</v>
      </c>
      <c r="Z479" s="95" t="e">
        <f t="shared" si="77"/>
        <v>#DIV/0!</v>
      </c>
      <c r="AA479" s="95" t="e">
        <f t="shared" si="77"/>
        <v>#DIV/0!</v>
      </c>
      <c r="AB479" s="95" t="e">
        <f t="shared" si="77"/>
        <v>#DIV/0!</v>
      </c>
      <c r="AC479" s="95" t="e">
        <f t="shared" si="77"/>
        <v>#DIV/0!</v>
      </c>
      <c r="AD479" s="95" t="e">
        <f t="shared" si="77"/>
        <v>#DIV/0!</v>
      </c>
      <c r="AE479" s="95" t="e">
        <f t="shared" si="77"/>
        <v>#DIV/0!</v>
      </c>
      <c r="AF479" s="95" t="e">
        <f t="shared" si="77"/>
        <v>#DIV/0!</v>
      </c>
    </row>
    <row r="480" spans="1:32">
      <c r="A480" s="325" t="s">
        <v>0</v>
      </c>
      <c r="B480" s="325"/>
      <c r="C480" s="325"/>
      <c r="D480" s="325"/>
      <c r="E480" s="325"/>
      <c r="F480" s="325"/>
      <c r="G480" s="325"/>
      <c r="H480" s="325"/>
      <c r="I480" s="325"/>
      <c r="J480" s="325"/>
      <c r="K480" s="325"/>
      <c r="L480" s="325"/>
      <c r="M480" s="325"/>
      <c r="N480" s="325"/>
      <c r="O480" s="325"/>
      <c r="P480" s="325"/>
      <c r="Q480" s="325"/>
      <c r="R480" s="325"/>
      <c r="S480" s="325"/>
      <c r="T480" s="325"/>
      <c r="U480" s="325"/>
      <c r="V480" s="325"/>
      <c r="W480" s="325"/>
      <c r="X480" s="325"/>
      <c r="Y480" s="325"/>
      <c r="Z480" s="325"/>
      <c r="AA480" s="325"/>
      <c r="AB480" s="325"/>
      <c r="AC480" s="325"/>
      <c r="AD480" s="325"/>
      <c r="AE480" s="325"/>
      <c r="AF480" s="325"/>
    </row>
    <row r="481" spans="1:32">
      <c r="A481" s="325" t="s">
        <v>106</v>
      </c>
      <c r="B481" s="325"/>
      <c r="C481" s="325"/>
      <c r="D481" s="325"/>
      <c r="E481" s="325"/>
      <c r="F481" s="325"/>
      <c r="G481" s="325"/>
      <c r="H481" s="325"/>
      <c r="I481" s="325"/>
      <c r="J481" s="325"/>
      <c r="K481" s="325"/>
      <c r="L481" s="325"/>
      <c r="M481" s="325"/>
      <c r="N481" s="325"/>
      <c r="O481" s="325"/>
      <c r="P481" s="325"/>
      <c r="Q481" s="325"/>
      <c r="R481" s="325"/>
      <c r="S481" s="325"/>
      <c r="T481" s="325"/>
      <c r="U481" s="325"/>
      <c r="V481" s="325"/>
      <c r="W481" s="325"/>
      <c r="X481" s="325"/>
      <c r="Y481" s="325"/>
      <c r="Z481" s="325"/>
      <c r="AA481" s="325"/>
      <c r="AB481" s="325"/>
      <c r="AC481" s="325" t="s">
        <v>107</v>
      </c>
      <c r="AD481" s="325"/>
      <c r="AE481" s="326">
        <v>46357</v>
      </c>
      <c r="AF481" s="326"/>
    </row>
    <row r="482" spans="1:32">
      <c r="A482" s="327"/>
      <c r="B482" s="327"/>
      <c r="C482" s="328" t="s">
        <v>108</v>
      </c>
      <c r="D482" s="328"/>
      <c r="E482" s="328"/>
      <c r="F482" s="328"/>
      <c r="G482" s="328"/>
      <c r="H482" s="328"/>
      <c r="I482" s="328"/>
      <c r="J482" s="328"/>
      <c r="K482" s="328"/>
      <c r="L482" s="328"/>
      <c r="M482" s="328"/>
      <c r="N482" s="328"/>
      <c r="O482" s="328"/>
      <c r="P482" s="328"/>
      <c r="Q482" s="329" t="s">
        <v>109</v>
      </c>
      <c r="R482" s="329"/>
      <c r="S482" s="329"/>
      <c r="T482" s="329"/>
      <c r="U482" s="329"/>
      <c r="V482" s="329"/>
      <c r="W482" s="329"/>
      <c r="X482" s="329"/>
      <c r="Y482" s="329"/>
      <c r="Z482" s="329"/>
      <c r="AA482" s="329"/>
      <c r="AB482" s="329"/>
      <c r="AC482" s="329"/>
      <c r="AD482" s="329"/>
      <c r="AE482" s="329"/>
      <c r="AF482" s="329"/>
    </row>
    <row r="483" spans="1:32" ht="38.25">
      <c r="A483" s="5" t="s">
        <v>110</v>
      </c>
      <c r="B483" s="5" t="s">
        <v>111</v>
      </c>
      <c r="C483" s="64" t="s">
        <v>83</v>
      </c>
      <c r="D483" s="64" t="s">
        <v>81</v>
      </c>
      <c r="E483" s="89" t="s">
        <v>112</v>
      </c>
      <c r="F483" s="64" t="s">
        <v>113</v>
      </c>
      <c r="G483" s="89" t="s">
        <v>114</v>
      </c>
      <c r="H483" s="89" t="s">
        <v>115</v>
      </c>
      <c r="I483" s="64" t="s">
        <v>116</v>
      </c>
      <c r="J483" s="64" t="s">
        <v>117</v>
      </c>
      <c r="K483" s="64" t="s">
        <v>118</v>
      </c>
      <c r="L483" s="64" t="s">
        <v>119</v>
      </c>
      <c r="M483" s="64" t="s">
        <v>9</v>
      </c>
      <c r="N483" s="64" t="s">
        <v>120</v>
      </c>
      <c r="O483" s="64" t="s">
        <v>121</v>
      </c>
      <c r="P483" s="64" t="s">
        <v>122</v>
      </c>
      <c r="Q483" s="64" t="s">
        <v>74</v>
      </c>
      <c r="R483" s="64" t="s">
        <v>75</v>
      </c>
      <c r="S483" s="64" t="s">
        <v>76</v>
      </c>
      <c r="T483" s="64" t="s">
        <v>77</v>
      </c>
      <c r="U483" s="64" t="s">
        <v>78</v>
      </c>
      <c r="V483" s="64" t="s">
        <v>81</v>
      </c>
      <c r="W483" s="89" t="s">
        <v>123</v>
      </c>
      <c r="X483" s="64" t="s">
        <v>100</v>
      </c>
      <c r="Y483" s="64" t="s">
        <v>87</v>
      </c>
      <c r="Z483" s="64" t="s">
        <v>88</v>
      </c>
      <c r="AA483" s="64" t="s">
        <v>89</v>
      </c>
      <c r="AB483" s="64" t="s">
        <v>101</v>
      </c>
      <c r="AC483" s="64" t="s">
        <v>102</v>
      </c>
      <c r="AD483" s="64" t="s">
        <v>103</v>
      </c>
      <c r="AE483" s="64" t="s">
        <v>104</v>
      </c>
      <c r="AF483" s="64" t="s">
        <v>105</v>
      </c>
    </row>
    <row r="484" spans="1:32">
      <c r="A484" s="322" t="s">
        <v>124</v>
      </c>
      <c r="B484" s="323"/>
      <c r="C484" s="64" t="s">
        <v>53</v>
      </c>
      <c r="D484" s="64" t="s">
        <v>53</v>
      </c>
      <c r="E484" s="64" t="s">
        <v>125</v>
      </c>
      <c r="F484" s="64" t="s">
        <v>53</v>
      </c>
      <c r="G484" s="64" t="s">
        <v>126</v>
      </c>
      <c r="H484" s="64" t="s">
        <v>126</v>
      </c>
      <c r="I484" s="64" t="s">
        <v>53</v>
      </c>
      <c r="J484" s="64" t="s">
        <v>53</v>
      </c>
      <c r="K484" s="64" t="s">
        <v>53</v>
      </c>
      <c r="L484" s="64" t="s">
        <v>127</v>
      </c>
      <c r="M484" s="64" t="s">
        <v>128</v>
      </c>
      <c r="N484" s="64" t="s">
        <v>128</v>
      </c>
      <c r="O484" s="64" t="s">
        <v>128</v>
      </c>
      <c r="P484" s="64" t="s">
        <v>128</v>
      </c>
      <c r="Q484" s="64" t="s">
        <v>53</v>
      </c>
      <c r="R484" s="64" t="s">
        <v>53</v>
      </c>
      <c r="S484" s="64" t="s">
        <v>53</v>
      </c>
      <c r="T484" s="64" t="s">
        <v>53</v>
      </c>
      <c r="U484" s="64" t="s">
        <v>53</v>
      </c>
      <c r="V484" s="64" t="s">
        <v>53</v>
      </c>
      <c r="W484" s="64" t="s">
        <v>129</v>
      </c>
      <c r="X484" s="64" t="s">
        <v>53</v>
      </c>
      <c r="Y484" s="64" t="s">
        <v>53</v>
      </c>
      <c r="Z484" s="64" t="s">
        <v>53</v>
      </c>
      <c r="AA484" s="64" t="s">
        <v>53</v>
      </c>
      <c r="AB484" s="64" t="s">
        <v>53</v>
      </c>
      <c r="AC484" s="64" t="s">
        <v>53</v>
      </c>
      <c r="AD484" s="64" t="s">
        <v>53</v>
      </c>
      <c r="AE484" s="64" t="s">
        <v>53</v>
      </c>
      <c r="AF484" s="64" t="s">
        <v>53</v>
      </c>
    </row>
    <row r="485" spans="1:32">
      <c r="A485" s="90">
        <f>AE481+0</f>
        <v>46357</v>
      </c>
      <c r="B485" s="90">
        <f>A485+1</f>
        <v>46358</v>
      </c>
      <c r="C485" s="80"/>
      <c r="D485" s="80"/>
      <c r="E485" s="72"/>
      <c r="F485" s="80"/>
      <c r="G485" s="72"/>
      <c r="H485" s="72"/>
      <c r="I485" s="80"/>
      <c r="J485" s="80"/>
      <c r="K485" s="80"/>
      <c r="L485" s="80"/>
      <c r="M485" s="80"/>
      <c r="N485" s="97"/>
      <c r="O485" s="97"/>
      <c r="P485" s="97"/>
      <c r="Q485" s="92"/>
      <c r="R485" s="92"/>
      <c r="S485" s="92"/>
      <c r="T485" s="92"/>
      <c r="U485" s="92"/>
      <c r="V485" s="92"/>
      <c r="W485" s="99"/>
      <c r="X485" s="92"/>
      <c r="Y485" s="92"/>
      <c r="Z485" s="92"/>
      <c r="AA485" s="92"/>
      <c r="AB485" s="92"/>
      <c r="AC485" s="92"/>
      <c r="AD485" s="100"/>
      <c r="AE485" s="92"/>
      <c r="AF485" s="92"/>
    </row>
    <row r="486" spans="1:32">
      <c r="A486" s="90">
        <f t="shared" ref="A486:A513" si="78">A485+1</f>
        <v>46358</v>
      </c>
      <c r="B486" s="90">
        <f t="shared" ref="B486:B513" si="79">A486+1</f>
        <v>46359</v>
      </c>
      <c r="C486" s="80"/>
      <c r="D486" s="80"/>
      <c r="E486" s="72"/>
      <c r="F486" s="80"/>
      <c r="G486" s="72"/>
      <c r="H486" s="72"/>
      <c r="I486" s="80"/>
      <c r="J486" s="80"/>
      <c r="K486" s="80"/>
      <c r="L486" s="80"/>
      <c r="M486" s="80"/>
      <c r="N486" s="97"/>
      <c r="O486" s="97"/>
      <c r="P486" s="97"/>
      <c r="Q486" s="92"/>
      <c r="R486" s="92"/>
      <c r="S486" s="92"/>
      <c r="T486" s="92"/>
      <c r="U486" s="92"/>
      <c r="V486" s="92"/>
      <c r="W486" s="99"/>
      <c r="X486" s="92"/>
      <c r="Y486" s="92"/>
      <c r="Z486" s="92"/>
      <c r="AA486" s="92"/>
      <c r="AB486" s="92"/>
      <c r="AC486" s="92"/>
      <c r="AD486" s="100"/>
      <c r="AE486" s="92"/>
      <c r="AF486" s="92"/>
    </row>
    <row r="487" spans="1:32">
      <c r="A487" s="90">
        <f t="shared" si="78"/>
        <v>46359</v>
      </c>
      <c r="B487" s="90">
        <f t="shared" si="79"/>
        <v>46360</v>
      </c>
      <c r="C487" s="80"/>
      <c r="D487" s="80"/>
      <c r="E487" s="72"/>
      <c r="F487" s="80"/>
      <c r="G487" s="72"/>
      <c r="H487" s="72"/>
      <c r="I487" s="80"/>
      <c r="J487" s="80"/>
      <c r="K487" s="80"/>
      <c r="L487" s="80"/>
      <c r="M487" s="80"/>
      <c r="N487" s="97"/>
      <c r="O487" s="97"/>
      <c r="P487" s="97"/>
      <c r="Q487" s="92"/>
      <c r="R487" s="92"/>
      <c r="S487" s="92"/>
      <c r="T487" s="92"/>
      <c r="U487" s="92"/>
      <c r="V487" s="92"/>
      <c r="W487" s="99"/>
      <c r="X487" s="92"/>
      <c r="Y487" s="92"/>
      <c r="Z487" s="92"/>
      <c r="AA487" s="92"/>
      <c r="AB487" s="92"/>
      <c r="AC487" s="92"/>
      <c r="AD487" s="100"/>
      <c r="AE487" s="92"/>
      <c r="AF487" s="92"/>
    </row>
    <row r="488" spans="1:32">
      <c r="A488" s="90">
        <f t="shared" si="78"/>
        <v>46360</v>
      </c>
      <c r="B488" s="90">
        <f t="shared" si="79"/>
        <v>46361</v>
      </c>
      <c r="C488" s="80"/>
      <c r="D488" s="80"/>
      <c r="E488" s="72"/>
      <c r="F488" s="80"/>
      <c r="G488" s="72"/>
      <c r="H488" s="72"/>
      <c r="I488" s="80"/>
      <c r="J488" s="80"/>
      <c r="K488" s="80"/>
      <c r="L488" s="80"/>
      <c r="M488" s="80"/>
      <c r="N488" s="97"/>
      <c r="O488" s="97"/>
      <c r="P488" s="97"/>
      <c r="Q488" s="92"/>
      <c r="R488" s="92"/>
      <c r="S488" s="92"/>
      <c r="T488" s="92"/>
      <c r="U488" s="92"/>
      <c r="V488" s="92"/>
      <c r="W488" s="99"/>
      <c r="X488" s="92"/>
      <c r="Y488" s="92"/>
      <c r="Z488" s="92"/>
      <c r="AA488" s="92"/>
      <c r="AB488" s="92"/>
      <c r="AC488" s="92"/>
      <c r="AD488" s="100"/>
      <c r="AE488" s="92"/>
      <c r="AF488" s="92"/>
    </row>
    <row r="489" spans="1:32">
      <c r="A489" s="90">
        <f t="shared" si="78"/>
        <v>46361</v>
      </c>
      <c r="B489" s="90">
        <f t="shared" si="79"/>
        <v>46362</v>
      </c>
      <c r="C489" s="80"/>
      <c r="D489" s="80"/>
      <c r="E489" s="72"/>
      <c r="F489" s="80"/>
      <c r="G489" s="72"/>
      <c r="H489" s="72"/>
      <c r="I489" s="80"/>
      <c r="J489" s="80"/>
      <c r="K489" s="80"/>
      <c r="L489" s="80"/>
      <c r="M489" s="80"/>
      <c r="N489" s="97"/>
      <c r="O489" s="97"/>
      <c r="P489" s="97"/>
      <c r="Q489" s="92"/>
      <c r="R489" s="92"/>
      <c r="S489" s="92"/>
      <c r="T489" s="92"/>
      <c r="U489" s="92"/>
      <c r="V489" s="92"/>
      <c r="W489" s="99"/>
      <c r="X489" s="92"/>
      <c r="Y489" s="92"/>
      <c r="Z489" s="92"/>
      <c r="AA489" s="92"/>
      <c r="AB489" s="92"/>
      <c r="AC489" s="92"/>
      <c r="AD489" s="100"/>
      <c r="AE489" s="92"/>
      <c r="AF489" s="92"/>
    </row>
    <row r="490" spans="1:32">
      <c r="A490" s="90">
        <f t="shared" si="78"/>
        <v>46362</v>
      </c>
      <c r="B490" s="90">
        <f t="shared" si="79"/>
        <v>46363</v>
      </c>
      <c r="C490" s="80"/>
      <c r="D490" s="80"/>
      <c r="E490" s="72"/>
      <c r="F490" s="80"/>
      <c r="G490" s="91"/>
      <c r="H490" s="72"/>
      <c r="I490" s="80"/>
      <c r="J490" s="80"/>
      <c r="K490" s="80"/>
      <c r="L490" s="80"/>
      <c r="M490" s="80"/>
      <c r="N490" s="97"/>
      <c r="O490" s="97"/>
      <c r="P490" s="97"/>
      <c r="Q490" s="92"/>
      <c r="R490" s="92"/>
      <c r="S490" s="92"/>
      <c r="T490" s="92"/>
      <c r="U490" s="92"/>
      <c r="V490" s="92"/>
      <c r="W490" s="99"/>
      <c r="X490" s="92"/>
      <c r="Y490" s="92"/>
      <c r="Z490" s="92"/>
      <c r="AA490" s="92"/>
      <c r="AB490" s="92"/>
      <c r="AC490" s="92"/>
      <c r="AD490" s="100"/>
      <c r="AE490" s="92"/>
      <c r="AF490" s="92"/>
    </row>
    <row r="491" spans="1:32">
      <c r="A491" s="90">
        <f t="shared" si="78"/>
        <v>46363</v>
      </c>
      <c r="B491" s="90">
        <f t="shared" si="79"/>
        <v>46364</v>
      </c>
      <c r="C491" s="80"/>
      <c r="D491" s="80"/>
      <c r="E491" s="72"/>
      <c r="F491" s="80"/>
      <c r="G491" s="72"/>
      <c r="H491" s="72"/>
      <c r="I491" s="80"/>
      <c r="J491" s="80"/>
      <c r="K491" s="80"/>
      <c r="L491" s="80"/>
      <c r="M491" s="80"/>
      <c r="N491" s="97"/>
      <c r="O491" s="97"/>
      <c r="P491" s="97"/>
      <c r="Q491" s="92"/>
      <c r="R491" s="92"/>
      <c r="S491" s="92"/>
      <c r="T491" s="92"/>
      <c r="U491" s="92"/>
      <c r="V491" s="92"/>
      <c r="W491" s="93"/>
      <c r="X491" s="92"/>
      <c r="Y491" s="92"/>
      <c r="Z491" s="100"/>
      <c r="AA491" s="92"/>
      <c r="AB491" s="92"/>
      <c r="AC491" s="101"/>
      <c r="AD491" s="101"/>
      <c r="AE491" s="101"/>
      <c r="AF491" s="92"/>
    </row>
    <row r="492" spans="1:32">
      <c r="A492" s="90">
        <f t="shared" si="78"/>
        <v>46364</v>
      </c>
      <c r="B492" s="90">
        <f t="shared" si="79"/>
        <v>46365</v>
      </c>
      <c r="C492" s="80"/>
      <c r="D492" s="80"/>
      <c r="E492" s="72"/>
      <c r="F492" s="80"/>
      <c r="G492" s="72"/>
      <c r="H492" s="72"/>
      <c r="I492" s="80"/>
      <c r="J492" s="80"/>
      <c r="K492" s="80"/>
      <c r="L492" s="80"/>
      <c r="M492" s="80"/>
      <c r="N492" s="97"/>
      <c r="O492" s="97"/>
      <c r="P492" s="97"/>
      <c r="Q492" s="92"/>
      <c r="R492" s="92"/>
      <c r="S492" s="92"/>
      <c r="T492" s="92"/>
      <c r="U492" s="92"/>
      <c r="V492" s="92"/>
      <c r="W492" s="99"/>
      <c r="X492" s="92"/>
      <c r="Y492" s="92"/>
      <c r="Z492" s="92"/>
      <c r="AA492" s="92"/>
      <c r="AB492" s="92"/>
      <c r="AC492" s="92"/>
      <c r="AD492" s="100"/>
      <c r="AE492" s="92"/>
      <c r="AF492" s="92"/>
    </row>
    <row r="493" spans="1:32">
      <c r="A493" s="90">
        <f t="shared" si="78"/>
        <v>46365</v>
      </c>
      <c r="B493" s="90">
        <f t="shared" si="79"/>
        <v>46366</v>
      </c>
      <c r="C493" s="80"/>
      <c r="D493" s="92"/>
      <c r="E493" s="72"/>
      <c r="F493" s="80"/>
      <c r="G493" s="72"/>
      <c r="H493" s="72"/>
      <c r="I493" s="80"/>
      <c r="J493" s="80"/>
      <c r="K493" s="80"/>
      <c r="L493" s="80"/>
      <c r="M493" s="80"/>
      <c r="N493" s="97"/>
      <c r="O493" s="97"/>
      <c r="P493" s="97"/>
      <c r="Q493" s="92"/>
      <c r="R493" s="92"/>
      <c r="S493" s="92"/>
      <c r="T493" s="92"/>
      <c r="U493" s="92"/>
      <c r="V493" s="92"/>
      <c r="W493" s="99"/>
      <c r="X493" s="92"/>
      <c r="Y493" s="92"/>
      <c r="Z493" s="92"/>
      <c r="AA493" s="92"/>
      <c r="AB493" s="92"/>
      <c r="AC493" s="92"/>
      <c r="AD493" s="100"/>
      <c r="AE493" s="92"/>
      <c r="AF493" s="92"/>
    </row>
    <row r="494" spans="1:32">
      <c r="A494" s="90">
        <f t="shared" si="78"/>
        <v>46366</v>
      </c>
      <c r="B494" s="90">
        <f t="shared" si="79"/>
        <v>46367</v>
      </c>
      <c r="C494" s="92"/>
      <c r="D494" s="92"/>
      <c r="E494" s="72"/>
      <c r="F494" s="80"/>
      <c r="G494" s="72"/>
      <c r="H494" s="72"/>
      <c r="I494" s="80"/>
      <c r="J494" s="80"/>
      <c r="K494" s="80"/>
      <c r="L494" s="80"/>
      <c r="M494" s="80"/>
      <c r="N494" s="97"/>
      <c r="O494" s="97"/>
      <c r="P494" s="97"/>
      <c r="Q494" s="92"/>
      <c r="R494" s="92"/>
      <c r="S494" s="92"/>
      <c r="T494" s="92"/>
      <c r="U494" s="92"/>
      <c r="V494" s="92"/>
      <c r="W494" s="99"/>
      <c r="X494" s="92"/>
      <c r="Y494" s="92"/>
      <c r="Z494" s="92"/>
      <c r="AA494" s="92"/>
      <c r="AB494" s="92"/>
      <c r="AC494" s="92"/>
      <c r="AD494" s="100"/>
      <c r="AE494" s="92"/>
      <c r="AF494" s="92"/>
    </row>
    <row r="495" spans="1:32">
      <c r="A495" s="90">
        <f t="shared" si="78"/>
        <v>46367</v>
      </c>
      <c r="B495" s="90">
        <f t="shared" si="79"/>
        <v>46368</v>
      </c>
      <c r="C495" s="92"/>
      <c r="D495" s="92"/>
      <c r="E495" s="72"/>
      <c r="F495" s="80"/>
      <c r="G495" s="72"/>
      <c r="H495" s="72"/>
      <c r="I495" s="80"/>
      <c r="J495" s="80"/>
      <c r="K495" s="80"/>
      <c r="L495" s="80"/>
      <c r="M495" s="80"/>
      <c r="N495" s="97"/>
      <c r="O495" s="97"/>
      <c r="P495" s="97"/>
      <c r="Q495" s="92"/>
      <c r="R495" s="92"/>
      <c r="S495" s="92"/>
      <c r="T495" s="92"/>
      <c r="U495" s="92"/>
      <c r="V495" s="92"/>
      <c r="W495" s="93"/>
      <c r="X495" s="92"/>
      <c r="Y495" s="92"/>
      <c r="Z495" s="92"/>
      <c r="AA495" s="92"/>
      <c r="AB495" s="92"/>
      <c r="AC495" s="92"/>
      <c r="AD495" s="92"/>
      <c r="AE495" s="92"/>
      <c r="AF495" s="92"/>
    </row>
    <row r="496" spans="1:32">
      <c r="A496" s="90">
        <f t="shared" si="78"/>
        <v>46368</v>
      </c>
      <c r="B496" s="90">
        <f t="shared" si="79"/>
        <v>46369</v>
      </c>
      <c r="C496" s="92"/>
      <c r="D496" s="92"/>
      <c r="E496" s="72"/>
      <c r="F496" s="80"/>
      <c r="G496" s="72"/>
      <c r="H496" s="72"/>
      <c r="I496" s="80"/>
      <c r="J496" s="80"/>
      <c r="K496" s="80"/>
      <c r="L496" s="80"/>
      <c r="M496" s="80"/>
      <c r="N496" s="97"/>
      <c r="O496" s="97"/>
      <c r="P496" s="97"/>
      <c r="Q496" s="92"/>
      <c r="R496" s="92"/>
      <c r="S496" s="92"/>
      <c r="T496" s="92"/>
      <c r="U496" s="92"/>
      <c r="V496" s="92"/>
      <c r="W496" s="99"/>
      <c r="X496" s="92"/>
      <c r="Y496" s="92"/>
      <c r="Z496" s="92"/>
      <c r="AA496" s="92"/>
      <c r="AB496" s="92"/>
      <c r="AC496" s="92"/>
      <c r="AD496" s="100"/>
      <c r="AE496" s="92"/>
      <c r="AF496" s="92"/>
    </row>
    <row r="497" spans="1:32">
      <c r="A497" s="90">
        <f t="shared" si="78"/>
        <v>46369</v>
      </c>
      <c r="B497" s="90">
        <f t="shared" si="79"/>
        <v>46370</v>
      </c>
      <c r="C497" s="92"/>
      <c r="D497" s="92"/>
      <c r="E497" s="72"/>
      <c r="F497" s="80"/>
      <c r="G497" s="72"/>
      <c r="H497" s="72"/>
      <c r="I497" s="80"/>
      <c r="J497" s="80"/>
      <c r="K497" s="80"/>
      <c r="L497" s="80"/>
      <c r="M497" s="80"/>
      <c r="N497" s="97"/>
      <c r="O497" s="97"/>
      <c r="P497" s="97"/>
      <c r="Q497" s="92"/>
      <c r="R497" s="92"/>
      <c r="S497" s="92"/>
      <c r="T497" s="92"/>
      <c r="U497" s="92"/>
      <c r="V497" s="92"/>
      <c r="W497" s="99"/>
      <c r="X497" s="92"/>
      <c r="Y497" s="92"/>
      <c r="Z497" s="92"/>
      <c r="AA497" s="92"/>
      <c r="AB497" s="92"/>
      <c r="AC497" s="92"/>
      <c r="AD497" s="100"/>
      <c r="AE497" s="92"/>
      <c r="AF497" s="92"/>
    </row>
    <row r="498" spans="1:32">
      <c r="A498" s="90">
        <f t="shared" si="78"/>
        <v>46370</v>
      </c>
      <c r="B498" s="90">
        <f t="shared" si="79"/>
        <v>46371</v>
      </c>
      <c r="C498" s="92"/>
      <c r="D498" s="92"/>
      <c r="E498" s="72"/>
      <c r="F498" s="80"/>
      <c r="G498" s="72"/>
      <c r="H498" s="72"/>
      <c r="I498" s="80"/>
      <c r="J498" s="80"/>
      <c r="K498" s="80"/>
      <c r="L498" s="80"/>
      <c r="M498" s="80"/>
      <c r="N498" s="97"/>
      <c r="O498" s="97"/>
      <c r="P498" s="97"/>
      <c r="Q498" s="92"/>
      <c r="R498" s="92"/>
      <c r="S498" s="92"/>
      <c r="T498" s="92"/>
      <c r="U498" s="92"/>
      <c r="V498" s="92"/>
      <c r="W498" s="93"/>
      <c r="X498" s="92"/>
      <c r="Y498" s="92"/>
      <c r="Z498" s="100"/>
      <c r="AA498" s="92"/>
      <c r="AB498" s="92"/>
      <c r="AC498" s="101"/>
      <c r="AD498" s="92"/>
      <c r="AE498" s="101"/>
      <c r="AF498" s="92"/>
    </row>
    <row r="499" spans="1:32">
      <c r="A499" s="90">
        <f t="shared" si="78"/>
        <v>46371</v>
      </c>
      <c r="B499" s="90">
        <f t="shared" si="79"/>
        <v>46372</v>
      </c>
      <c r="C499" s="80"/>
      <c r="D499" s="80"/>
      <c r="E499" s="72"/>
      <c r="F499" s="80"/>
      <c r="G499" s="72"/>
      <c r="H499" s="72"/>
      <c r="I499" s="80"/>
      <c r="J499" s="80"/>
      <c r="K499" s="80"/>
      <c r="L499" s="80"/>
      <c r="M499" s="80"/>
      <c r="N499" s="97"/>
      <c r="O499" s="97"/>
      <c r="P499" s="97"/>
      <c r="Q499" s="92"/>
      <c r="R499" s="92"/>
      <c r="S499" s="92"/>
      <c r="T499" s="92"/>
      <c r="U499" s="92"/>
      <c r="V499" s="92"/>
      <c r="W499" s="99"/>
      <c r="X499" s="92"/>
      <c r="Y499" s="92"/>
      <c r="Z499" s="92"/>
      <c r="AA499" s="92"/>
      <c r="AB499" s="92"/>
      <c r="AC499" s="92"/>
      <c r="AD499" s="100"/>
      <c r="AE499" s="92"/>
      <c r="AF499" s="92"/>
    </row>
    <row r="500" spans="1:32">
      <c r="A500" s="90">
        <f t="shared" si="78"/>
        <v>46372</v>
      </c>
      <c r="B500" s="90">
        <f t="shared" si="79"/>
        <v>46373</v>
      </c>
      <c r="C500" s="92"/>
      <c r="D500" s="92"/>
      <c r="E500" s="72"/>
      <c r="F500" s="80"/>
      <c r="G500" s="72"/>
      <c r="H500" s="72"/>
      <c r="I500" s="80"/>
      <c r="J500" s="80"/>
      <c r="K500" s="80"/>
      <c r="L500" s="80"/>
      <c r="M500" s="80"/>
      <c r="N500" s="97"/>
      <c r="O500" s="97"/>
      <c r="P500" s="97"/>
      <c r="Q500" s="92"/>
      <c r="R500" s="92"/>
      <c r="S500" s="92"/>
      <c r="T500" s="92"/>
      <c r="U500" s="92"/>
      <c r="V500" s="92"/>
      <c r="W500" s="99"/>
      <c r="X500" s="92"/>
      <c r="Y500" s="92"/>
      <c r="Z500" s="92"/>
      <c r="AA500" s="92"/>
      <c r="AB500" s="92"/>
      <c r="AC500" s="92"/>
      <c r="AD500" s="100"/>
      <c r="AE500" s="92"/>
      <c r="AF500" s="92"/>
    </row>
    <row r="501" spans="1:32">
      <c r="A501" s="90">
        <f t="shared" si="78"/>
        <v>46373</v>
      </c>
      <c r="B501" s="90">
        <f t="shared" si="79"/>
        <v>46374</v>
      </c>
      <c r="C501" s="92"/>
      <c r="D501" s="92"/>
      <c r="E501" s="72"/>
      <c r="F501" s="80"/>
      <c r="G501" s="72"/>
      <c r="H501" s="72"/>
      <c r="I501" s="80"/>
      <c r="J501" s="80"/>
      <c r="K501" s="80"/>
      <c r="L501" s="80"/>
      <c r="M501" s="80"/>
      <c r="N501" s="97"/>
      <c r="O501" s="97"/>
      <c r="P501" s="97"/>
      <c r="Q501" s="92"/>
      <c r="R501" s="92"/>
      <c r="S501" s="92"/>
      <c r="T501" s="92"/>
      <c r="U501" s="92"/>
      <c r="V501" s="92"/>
      <c r="W501" s="99"/>
      <c r="X501" s="92"/>
      <c r="Y501" s="92"/>
      <c r="Z501" s="92"/>
      <c r="AA501" s="92"/>
      <c r="AB501" s="92"/>
      <c r="AC501" s="92"/>
      <c r="AD501" s="100"/>
      <c r="AE501" s="92"/>
      <c r="AF501" s="92"/>
    </row>
    <row r="502" spans="1:32">
      <c r="A502" s="90">
        <f t="shared" si="78"/>
        <v>46374</v>
      </c>
      <c r="B502" s="90">
        <f t="shared" si="79"/>
        <v>46375</v>
      </c>
      <c r="C502" s="92"/>
      <c r="D502" s="92"/>
      <c r="E502" s="72"/>
      <c r="F502" s="80"/>
      <c r="G502" s="72"/>
      <c r="H502" s="72"/>
      <c r="I502" s="80"/>
      <c r="J502" s="80"/>
      <c r="K502" s="80"/>
      <c r="L502" s="80"/>
      <c r="M502" s="80"/>
      <c r="N502" s="97"/>
      <c r="O502" s="97"/>
      <c r="P502" s="97"/>
      <c r="Q502" s="92"/>
      <c r="R502" s="92"/>
      <c r="S502" s="92"/>
      <c r="T502" s="92"/>
      <c r="U502" s="92"/>
      <c r="V502" s="92"/>
      <c r="W502" s="99"/>
      <c r="X502" s="92"/>
      <c r="Y502" s="92"/>
      <c r="Z502" s="92"/>
      <c r="AA502" s="92"/>
      <c r="AB502" s="92"/>
      <c r="AC502" s="92"/>
      <c r="AD502" s="100"/>
      <c r="AE502" s="92"/>
      <c r="AF502" s="92"/>
    </row>
    <row r="503" spans="1:32">
      <c r="A503" s="90">
        <f t="shared" si="78"/>
        <v>46375</v>
      </c>
      <c r="B503" s="90">
        <f t="shared" si="79"/>
        <v>46376</v>
      </c>
      <c r="C503" s="92"/>
      <c r="D503" s="92"/>
      <c r="E503" s="93"/>
      <c r="F503" s="92"/>
      <c r="G503" s="93"/>
      <c r="H503" s="93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9"/>
      <c r="X503" s="92"/>
      <c r="Y503" s="92"/>
      <c r="Z503" s="92"/>
      <c r="AA503" s="92"/>
      <c r="AB503" s="92"/>
      <c r="AC503" s="92"/>
      <c r="AD503" s="100"/>
      <c r="AE503" s="92"/>
      <c r="AF503" s="92"/>
    </row>
    <row r="504" spans="1:32">
      <c r="A504" s="90">
        <f t="shared" si="78"/>
        <v>46376</v>
      </c>
      <c r="B504" s="90">
        <f t="shared" si="79"/>
        <v>46377</v>
      </c>
      <c r="C504" s="92"/>
      <c r="D504" s="92"/>
      <c r="E504" s="93"/>
      <c r="F504" s="92"/>
      <c r="G504" s="93"/>
      <c r="H504" s="93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9"/>
      <c r="X504" s="92"/>
      <c r="Y504" s="92"/>
      <c r="Z504" s="92"/>
      <c r="AA504" s="92"/>
      <c r="AB504" s="92"/>
      <c r="AC504" s="92"/>
      <c r="AD504" s="100"/>
      <c r="AE504" s="92"/>
      <c r="AF504" s="92"/>
    </row>
    <row r="505" spans="1:32">
      <c r="A505" s="90">
        <f t="shared" si="78"/>
        <v>46377</v>
      </c>
      <c r="B505" s="90">
        <f t="shared" si="79"/>
        <v>46378</v>
      </c>
      <c r="C505" s="92"/>
      <c r="D505" s="92"/>
      <c r="E505" s="93"/>
      <c r="F505" s="92"/>
      <c r="G505" s="93"/>
      <c r="H505" s="93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9"/>
      <c r="X505" s="92"/>
      <c r="Y505" s="92"/>
      <c r="Z505" s="92"/>
      <c r="AA505" s="92"/>
      <c r="AB505" s="92"/>
      <c r="AC505" s="92"/>
      <c r="AD505" s="100"/>
      <c r="AE505" s="92"/>
      <c r="AF505" s="92"/>
    </row>
    <row r="506" spans="1:32">
      <c r="A506" s="90">
        <f t="shared" si="78"/>
        <v>46378</v>
      </c>
      <c r="B506" s="90">
        <f t="shared" si="79"/>
        <v>46379</v>
      </c>
      <c r="C506" s="94"/>
      <c r="D506" s="92"/>
      <c r="E506" s="72"/>
      <c r="F506" s="80"/>
      <c r="G506" s="72"/>
      <c r="H506" s="72"/>
      <c r="I506" s="80"/>
      <c r="J506" s="80"/>
      <c r="K506" s="80"/>
      <c r="L506" s="98"/>
      <c r="M506" s="80"/>
      <c r="N506" s="97"/>
      <c r="O506" s="97"/>
      <c r="P506" s="97"/>
      <c r="Q506" s="92"/>
      <c r="R506" s="92"/>
      <c r="S506" s="92"/>
      <c r="T506" s="92"/>
      <c r="U506" s="92"/>
      <c r="V506" s="92"/>
      <c r="W506" s="93"/>
      <c r="X506" s="92"/>
      <c r="Y506" s="92"/>
      <c r="Z506" s="92"/>
      <c r="AA506" s="92"/>
      <c r="AB506" s="92"/>
      <c r="AC506" s="92"/>
      <c r="AD506" s="92"/>
      <c r="AE506" s="92"/>
      <c r="AF506" s="92"/>
    </row>
    <row r="507" spans="1:32">
      <c r="A507" s="90">
        <f t="shared" si="78"/>
        <v>46379</v>
      </c>
      <c r="B507" s="90">
        <f t="shared" si="79"/>
        <v>46380</v>
      </c>
      <c r="C507" s="92"/>
      <c r="D507" s="92"/>
      <c r="E507" s="93"/>
      <c r="F507" s="92"/>
      <c r="G507" s="93"/>
      <c r="H507" s="93"/>
      <c r="I507" s="92"/>
      <c r="J507" s="92"/>
      <c r="K507" s="92"/>
      <c r="L507" s="92"/>
      <c r="M507" s="92"/>
      <c r="N507" s="94"/>
      <c r="O507" s="94"/>
      <c r="P507" s="94"/>
      <c r="Q507" s="92"/>
      <c r="R507" s="92"/>
      <c r="S507" s="92"/>
      <c r="T507" s="92"/>
      <c r="U507" s="92"/>
      <c r="V507" s="92"/>
      <c r="W507" s="93"/>
      <c r="X507" s="92"/>
      <c r="Y507" s="92"/>
      <c r="Z507" s="92"/>
      <c r="AA507" s="92"/>
      <c r="AB507" s="92"/>
      <c r="AC507" s="92"/>
      <c r="AD507" s="100"/>
      <c r="AE507" s="92"/>
      <c r="AF507" s="92"/>
    </row>
    <row r="508" spans="1:32">
      <c r="A508" s="90">
        <f t="shared" si="78"/>
        <v>46380</v>
      </c>
      <c r="B508" s="90">
        <f t="shared" si="79"/>
        <v>46381</v>
      </c>
      <c r="C508" s="92"/>
      <c r="D508" s="92"/>
      <c r="E508" s="93"/>
      <c r="F508" s="92"/>
      <c r="G508" s="93"/>
      <c r="H508" s="93"/>
      <c r="I508" s="92"/>
      <c r="J508" s="92"/>
      <c r="K508" s="92"/>
      <c r="L508" s="92"/>
      <c r="M508" s="92"/>
      <c r="N508" s="94"/>
      <c r="O508" s="94"/>
      <c r="P508" s="94"/>
      <c r="Q508" s="92"/>
      <c r="R508" s="92"/>
      <c r="S508" s="92"/>
      <c r="T508" s="92"/>
      <c r="U508" s="92"/>
      <c r="V508" s="92"/>
      <c r="W508" s="93"/>
      <c r="X508" s="92"/>
      <c r="Y508" s="92"/>
      <c r="Z508" s="100"/>
      <c r="AA508" s="92"/>
      <c r="AB508" s="92"/>
      <c r="AC508" s="101"/>
      <c r="AD508" s="101"/>
      <c r="AE508" s="101"/>
      <c r="AF508" s="92"/>
    </row>
    <row r="509" spans="1:32">
      <c r="A509" s="90">
        <f t="shared" si="78"/>
        <v>46381</v>
      </c>
      <c r="B509" s="90">
        <f t="shared" si="79"/>
        <v>46382</v>
      </c>
      <c r="C509" s="92"/>
      <c r="D509" s="92"/>
      <c r="E509" s="93"/>
      <c r="F509" s="92"/>
      <c r="G509" s="93"/>
      <c r="H509" s="93"/>
      <c r="I509" s="92"/>
      <c r="J509" s="92"/>
      <c r="K509" s="92"/>
      <c r="L509" s="92"/>
      <c r="M509" s="92"/>
      <c r="N509" s="94"/>
      <c r="O509" s="94"/>
      <c r="P509" s="94"/>
      <c r="Q509" s="92"/>
      <c r="R509" s="92"/>
      <c r="S509" s="92"/>
      <c r="T509" s="92"/>
      <c r="U509" s="92"/>
      <c r="V509" s="92"/>
      <c r="W509" s="99"/>
      <c r="X509" s="92"/>
      <c r="Y509" s="92"/>
      <c r="Z509" s="92"/>
      <c r="AA509" s="92"/>
      <c r="AB509" s="92"/>
      <c r="AC509" s="92"/>
      <c r="AD509" s="100"/>
      <c r="AE509" s="92"/>
      <c r="AF509" s="92"/>
    </row>
    <row r="510" spans="1:32">
      <c r="A510" s="90">
        <f t="shared" si="78"/>
        <v>46382</v>
      </c>
      <c r="B510" s="90">
        <f t="shared" si="79"/>
        <v>46383</v>
      </c>
      <c r="C510" s="92"/>
      <c r="D510" s="92"/>
      <c r="E510" s="93"/>
      <c r="F510" s="92"/>
      <c r="G510" s="93"/>
      <c r="H510" s="93"/>
      <c r="I510" s="92"/>
      <c r="J510" s="92"/>
      <c r="K510" s="92"/>
      <c r="L510" s="92"/>
      <c r="M510" s="92"/>
      <c r="N510" s="94"/>
      <c r="O510" s="94"/>
      <c r="P510" s="94"/>
      <c r="Q510" s="92"/>
      <c r="R510" s="92"/>
      <c r="S510" s="92"/>
      <c r="T510" s="92"/>
      <c r="U510" s="92"/>
      <c r="V510" s="92"/>
      <c r="W510" s="99"/>
      <c r="X510" s="92"/>
      <c r="Y510" s="92"/>
      <c r="Z510" s="92"/>
      <c r="AA510" s="92"/>
      <c r="AB510" s="92"/>
      <c r="AC510" s="92"/>
      <c r="AD510" s="100"/>
      <c r="AE510" s="92"/>
      <c r="AF510" s="92"/>
    </row>
    <row r="511" spans="1:32">
      <c r="A511" s="90">
        <f t="shared" si="78"/>
        <v>46383</v>
      </c>
      <c r="B511" s="90">
        <f t="shared" si="79"/>
        <v>46384</v>
      </c>
      <c r="C511" s="92"/>
      <c r="D511" s="92"/>
      <c r="E511" s="93"/>
      <c r="F511" s="92"/>
      <c r="G511" s="93"/>
      <c r="H511" s="93"/>
      <c r="I511" s="92"/>
      <c r="J511" s="92"/>
      <c r="K511" s="92"/>
      <c r="L511" s="92"/>
      <c r="M511" s="92"/>
      <c r="N511" s="94"/>
      <c r="O511" s="94"/>
      <c r="P511" s="94"/>
      <c r="Q511" s="92"/>
      <c r="R511" s="92"/>
      <c r="S511" s="92"/>
      <c r="T511" s="92"/>
      <c r="U511" s="92"/>
      <c r="V511" s="92"/>
      <c r="W511" s="99"/>
      <c r="X511" s="92"/>
      <c r="Y511" s="92"/>
      <c r="Z511" s="92"/>
      <c r="AA511" s="92"/>
      <c r="AB511" s="92"/>
      <c r="AC511" s="92"/>
      <c r="AD511" s="100"/>
      <c r="AE511" s="92"/>
      <c r="AF511" s="92"/>
    </row>
    <row r="512" spans="1:32">
      <c r="A512" s="90">
        <f t="shared" si="78"/>
        <v>46384</v>
      </c>
      <c r="B512" s="90">
        <f t="shared" si="79"/>
        <v>46385</v>
      </c>
      <c r="C512" s="92"/>
      <c r="D512" s="92"/>
      <c r="E512" s="93"/>
      <c r="F512" s="92"/>
      <c r="G512" s="93"/>
      <c r="H512" s="93"/>
      <c r="I512" s="92"/>
      <c r="J512" s="92"/>
      <c r="K512" s="92"/>
      <c r="L512" s="92"/>
      <c r="M512" s="92"/>
      <c r="N512" s="94"/>
      <c r="O512" s="94"/>
      <c r="P512" s="94"/>
      <c r="Q512" s="92"/>
      <c r="R512" s="92"/>
      <c r="S512" s="92"/>
      <c r="T512" s="92"/>
      <c r="U512" s="92"/>
      <c r="V512" s="92"/>
      <c r="W512" s="99"/>
      <c r="X512" s="92"/>
      <c r="Y512" s="92"/>
      <c r="Z512" s="92"/>
      <c r="AA512" s="92"/>
      <c r="AB512" s="92"/>
      <c r="AC512" s="92"/>
      <c r="AD512" s="100"/>
      <c r="AE512" s="92"/>
      <c r="AF512" s="92"/>
    </row>
    <row r="513" spans="1:32">
      <c r="A513" s="90">
        <f t="shared" si="78"/>
        <v>46385</v>
      </c>
      <c r="B513" s="90">
        <f t="shared" si="79"/>
        <v>46386</v>
      </c>
      <c r="C513" s="92"/>
      <c r="D513" s="92"/>
      <c r="E513" s="93"/>
      <c r="F513" s="92"/>
      <c r="G513" s="93"/>
      <c r="H513" s="93"/>
      <c r="I513" s="92"/>
      <c r="J513" s="92"/>
      <c r="K513" s="92"/>
      <c r="L513" s="92"/>
      <c r="M513" s="92"/>
      <c r="N513" s="94"/>
      <c r="O513" s="94"/>
      <c r="P513" s="94"/>
      <c r="Q513" s="92"/>
      <c r="R513" s="92"/>
      <c r="S513" s="92"/>
      <c r="T513" s="92"/>
      <c r="U513" s="92"/>
      <c r="V513" s="92"/>
      <c r="W513" s="99"/>
      <c r="X513" s="92"/>
      <c r="Y513" s="92"/>
      <c r="Z513" s="92"/>
      <c r="AA513" s="92"/>
      <c r="AB513" s="92"/>
      <c r="AC513" s="92"/>
      <c r="AD513" s="100"/>
      <c r="AE513" s="92"/>
      <c r="AF513" s="92"/>
    </row>
    <row r="514" spans="1:32">
      <c r="A514" s="90">
        <v>45777</v>
      </c>
      <c r="B514" s="90">
        <v>45778</v>
      </c>
      <c r="C514" s="80"/>
      <c r="D514" s="80"/>
      <c r="E514" s="72"/>
      <c r="F514" s="80"/>
      <c r="G514" s="72"/>
      <c r="H514" s="72"/>
      <c r="I514" s="80"/>
      <c r="J514" s="80"/>
      <c r="K514" s="80"/>
      <c r="L514" s="80"/>
      <c r="M514" s="80"/>
      <c r="N514" s="97"/>
      <c r="O514" s="97"/>
      <c r="P514" s="97"/>
      <c r="Q514" s="92"/>
      <c r="R514" s="92"/>
      <c r="S514" s="92"/>
      <c r="T514" s="92"/>
      <c r="U514" s="92"/>
      <c r="V514" s="92"/>
      <c r="W514" s="99"/>
      <c r="X514" s="92"/>
      <c r="Y514" s="92"/>
      <c r="Z514" s="92"/>
      <c r="AA514" s="92"/>
      <c r="AB514" s="92"/>
      <c r="AC514" s="92"/>
      <c r="AD514" s="100"/>
      <c r="AE514" s="92"/>
      <c r="AF514" s="92"/>
    </row>
    <row r="515" spans="1:32">
      <c r="A515" s="324" t="s">
        <v>31</v>
      </c>
      <c r="B515" s="324"/>
      <c r="C515" s="95">
        <f t="shared" ref="C515:AF515" si="80">MIN(C485:C514)</f>
        <v>0</v>
      </c>
      <c r="D515" s="95">
        <f t="shared" si="80"/>
        <v>0</v>
      </c>
      <c r="E515" s="96">
        <f t="shared" si="80"/>
        <v>0</v>
      </c>
      <c r="F515" s="95">
        <f t="shared" si="80"/>
        <v>0</v>
      </c>
      <c r="G515" s="96">
        <f t="shared" si="80"/>
        <v>0</v>
      </c>
      <c r="H515" s="96">
        <f t="shared" si="80"/>
        <v>0</v>
      </c>
      <c r="I515" s="95">
        <f t="shared" si="80"/>
        <v>0</v>
      </c>
      <c r="J515" s="95">
        <f t="shared" si="80"/>
        <v>0</v>
      </c>
      <c r="K515" s="95">
        <f t="shared" si="80"/>
        <v>0</v>
      </c>
      <c r="L515" s="95">
        <f t="shared" si="80"/>
        <v>0</v>
      </c>
      <c r="M515" s="95">
        <f t="shared" si="80"/>
        <v>0</v>
      </c>
      <c r="N515" s="95">
        <f t="shared" si="80"/>
        <v>0</v>
      </c>
      <c r="O515" s="95">
        <f t="shared" si="80"/>
        <v>0</v>
      </c>
      <c r="P515" s="95">
        <f t="shared" si="80"/>
        <v>0</v>
      </c>
      <c r="Q515" s="95">
        <f t="shared" si="80"/>
        <v>0</v>
      </c>
      <c r="R515" s="95">
        <f t="shared" si="80"/>
        <v>0</v>
      </c>
      <c r="S515" s="95">
        <f t="shared" si="80"/>
        <v>0</v>
      </c>
      <c r="T515" s="95">
        <f t="shared" si="80"/>
        <v>0</v>
      </c>
      <c r="U515" s="95">
        <f t="shared" si="80"/>
        <v>0</v>
      </c>
      <c r="V515" s="95">
        <f t="shared" si="80"/>
        <v>0</v>
      </c>
      <c r="W515" s="96">
        <f t="shared" si="80"/>
        <v>0</v>
      </c>
      <c r="X515" s="95">
        <f t="shared" si="80"/>
        <v>0</v>
      </c>
      <c r="Y515" s="95">
        <f t="shared" si="80"/>
        <v>0</v>
      </c>
      <c r="Z515" s="95">
        <f t="shared" si="80"/>
        <v>0</v>
      </c>
      <c r="AA515" s="95">
        <f t="shared" si="80"/>
        <v>0</v>
      </c>
      <c r="AB515" s="95">
        <f t="shared" si="80"/>
        <v>0</v>
      </c>
      <c r="AC515" s="95">
        <f t="shared" si="80"/>
        <v>0</v>
      </c>
      <c r="AD515" s="95">
        <f t="shared" si="80"/>
        <v>0</v>
      </c>
      <c r="AE515" s="95">
        <f t="shared" si="80"/>
        <v>0</v>
      </c>
      <c r="AF515" s="95">
        <f t="shared" si="80"/>
        <v>0</v>
      </c>
    </row>
    <row r="516" spans="1:32">
      <c r="A516" s="324" t="s">
        <v>33</v>
      </c>
      <c r="B516" s="324"/>
      <c r="C516" s="95">
        <f t="shared" ref="C516:AF516" si="81">MAX(C485:C514)</f>
        <v>0</v>
      </c>
      <c r="D516" s="95">
        <f t="shared" si="81"/>
        <v>0</v>
      </c>
      <c r="E516" s="96">
        <f t="shared" si="81"/>
        <v>0</v>
      </c>
      <c r="F516" s="95">
        <f t="shared" si="81"/>
        <v>0</v>
      </c>
      <c r="G516" s="96">
        <f t="shared" si="81"/>
        <v>0</v>
      </c>
      <c r="H516" s="96">
        <f t="shared" si="81"/>
        <v>0</v>
      </c>
      <c r="I516" s="95">
        <f t="shared" si="81"/>
        <v>0</v>
      </c>
      <c r="J516" s="95">
        <f t="shared" si="81"/>
        <v>0</v>
      </c>
      <c r="K516" s="95">
        <f t="shared" si="81"/>
        <v>0</v>
      </c>
      <c r="L516" s="95">
        <f t="shared" si="81"/>
        <v>0</v>
      </c>
      <c r="M516" s="95">
        <f t="shared" si="81"/>
        <v>0</v>
      </c>
      <c r="N516" s="95">
        <f t="shared" si="81"/>
        <v>0</v>
      </c>
      <c r="O516" s="95">
        <f t="shared" si="81"/>
        <v>0</v>
      </c>
      <c r="P516" s="95">
        <f t="shared" si="81"/>
        <v>0</v>
      </c>
      <c r="Q516" s="95">
        <f t="shared" si="81"/>
        <v>0</v>
      </c>
      <c r="R516" s="95">
        <f t="shared" si="81"/>
        <v>0</v>
      </c>
      <c r="S516" s="95">
        <f t="shared" si="81"/>
        <v>0</v>
      </c>
      <c r="T516" s="95">
        <f t="shared" si="81"/>
        <v>0</v>
      </c>
      <c r="U516" s="95">
        <f t="shared" si="81"/>
        <v>0</v>
      </c>
      <c r="V516" s="95">
        <f t="shared" si="81"/>
        <v>0</v>
      </c>
      <c r="W516" s="96">
        <f t="shared" si="81"/>
        <v>0</v>
      </c>
      <c r="X516" s="95">
        <f t="shared" si="81"/>
        <v>0</v>
      </c>
      <c r="Y516" s="95">
        <f t="shared" si="81"/>
        <v>0</v>
      </c>
      <c r="Z516" s="95">
        <f t="shared" si="81"/>
        <v>0</v>
      </c>
      <c r="AA516" s="95">
        <f t="shared" si="81"/>
        <v>0</v>
      </c>
      <c r="AB516" s="95">
        <f t="shared" si="81"/>
        <v>0</v>
      </c>
      <c r="AC516" s="95">
        <f t="shared" si="81"/>
        <v>0</v>
      </c>
      <c r="AD516" s="95">
        <f t="shared" si="81"/>
        <v>0</v>
      </c>
      <c r="AE516" s="95">
        <f t="shared" si="81"/>
        <v>0</v>
      </c>
      <c r="AF516" s="95">
        <f t="shared" si="81"/>
        <v>0</v>
      </c>
    </row>
    <row r="517" spans="1:32">
      <c r="A517" s="324" t="s">
        <v>36</v>
      </c>
      <c r="B517" s="324"/>
      <c r="C517" s="95" t="e">
        <f t="shared" ref="C517:AF517" si="82">AVERAGE(C485:C514)</f>
        <v>#DIV/0!</v>
      </c>
      <c r="D517" s="95" t="e">
        <f t="shared" si="82"/>
        <v>#DIV/0!</v>
      </c>
      <c r="E517" s="96" t="e">
        <f t="shared" si="82"/>
        <v>#DIV/0!</v>
      </c>
      <c r="F517" s="95" t="e">
        <f t="shared" si="82"/>
        <v>#DIV/0!</v>
      </c>
      <c r="G517" s="96" t="e">
        <f t="shared" si="82"/>
        <v>#DIV/0!</v>
      </c>
      <c r="H517" s="96" t="e">
        <f t="shared" si="82"/>
        <v>#DIV/0!</v>
      </c>
      <c r="I517" s="95" t="e">
        <f t="shared" si="82"/>
        <v>#DIV/0!</v>
      </c>
      <c r="J517" s="95" t="e">
        <f t="shared" si="82"/>
        <v>#DIV/0!</v>
      </c>
      <c r="K517" s="95" t="e">
        <f t="shared" si="82"/>
        <v>#DIV/0!</v>
      </c>
      <c r="L517" s="95" t="e">
        <f t="shared" si="82"/>
        <v>#DIV/0!</v>
      </c>
      <c r="M517" s="95" t="e">
        <f t="shared" si="82"/>
        <v>#DIV/0!</v>
      </c>
      <c r="N517" s="95" t="e">
        <f t="shared" si="82"/>
        <v>#DIV/0!</v>
      </c>
      <c r="O517" s="95" t="e">
        <f t="shared" si="82"/>
        <v>#DIV/0!</v>
      </c>
      <c r="P517" s="95" t="e">
        <f t="shared" si="82"/>
        <v>#DIV/0!</v>
      </c>
      <c r="Q517" s="95" t="e">
        <f t="shared" si="82"/>
        <v>#DIV/0!</v>
      </c>
      <c r="R517" s="95" t="e">
        <f t="shared" si="82"/>
        <v>#DIV/0!</v>
      </c>
      <c r="S517" s="95" t="e">
        <f t="shared" si="82"/>
        <v>#DIV/0!</v>
      </c>
      <c r="T517" s="95" t="e">
        <f t="shared" si="82"/>
        <v>#DIV/0!</v>
      </c>
      <c r="U517" s="95" t="e">
        <f t="shared" si="82"/>
        <v>#DIV/0!</v>
      </c>
      <c r="V517" s="95" t="e">
        <f t="shared" si="82"/>
        <v>#DIV/0!</v>
      </c>
      <c r="W517" s="96" t="e">
        <f t="shared" si="82"/>
        <v>#DIV/0!</v>
      </c>
      <c r="X517" s="95" t="e">
        <f t="shared" si="82"/>
        <v>#DIV/0!</v>
      </c>
      <c r="Y517" s="95" t="e">
        <f t="shared" si="82"/>
        <v>#DIV/0!</v>
      </c>
      <c r="Z517" s="95" t="e">
        <f t="shared" si="82"/>
        <v>#DIV/0!</v>
      </c>
      <c r="AA517" s="95" t="e">
        <f t="shared" si="82"/>
        <v>#DIV/0!</v>
      </c>
      <c r="AB517" s="95" t="e">
        <f t="shared" si="82"/>
        <v>#DIV/0!</v>
      </c>
      <c r="AC517" s="95" t="e">
        <f t="shared" si="82"/>
        <v>#DIV/0!</v>
      </c>
      <c r="AD517" s="95" t="e">
        <f t="shared" si="82"/>
        <v>#DIV/0!</v>
      </c>
      <c r="AE517" s="95" t="e">
        <f t="shared" si="82"/>
        <v>#DIV/0!</v>
      </c>
      <c r="AF517" s="95" t="e">
        <f t="shared" si="82"/>
        <v>#DIV/0!</v>
      </c>
    </row>
    <row r="518" spans="1:32">
      <c r="A518" s="324" t="s">
        <v>130</v>
      </c>
      <c r="B518" s="324"/>
      <c r="C518" s="95" t="e">
        <f t="shared" ref="C518:AF518" si="83">STDEV(C485:C514)</f>
        <v>#DIV/0!</v>
      </c>
      <c r="D518" s="95" t="e">
        <f t="shared" si="83"/>
        <v>#DIV/0!</v>
      </c>
      <c r="E518" s="96" t="e">
        <f t="shared" si="83"/>
        <v>#DIV/0!</v>
      </c>
      <c r="F518" s="95" t="e">
        <f t="shared" si="83"/>
        <v>#DIV/0!</v>
      </c>
      <c r="G518" s="96" t="e">
        <f t="shared" si="83"/>
        <v>#DIV/0!</v>
      </c>
      <c r="H518" s="96" t="e">
        <f t="shared" si="83"/>
        <v>#DIV/0!</v>
      </c>
      <c r="I518" s="95" t="e">
        <f t="shared" si="83"/>
        <v>#DIV/0!</v>
      </c>
      <c r="J518" s="95" t="e">
        <f t="shared" si="83"/>
        <v>#DIV/0!</v>
      </c>
      <c r="K518" s="95" t="e">
        <f t="shared" si="83"/>
        <v>#DIV/0!</v>
      </c>
      <c r="L518" s="95" t="e">
        <f t="shared" si="83"/>
        <v>#DIV/0!</v>
      </c>
      <c r="M518" s="95" t="e">
        <f t="shared" si="83"/>
        <v>#DIV/0!</v>
      </c>
      <c r="N518" s="95" t="e">
        <f t="shared" si="83"/>
        <v>#DIV/0!</v>
      </c>
      <c r="O518" s="95" t="e">
        <f t="shared" si="83"/>
        <v>#DIV/0!</v>
      </c>
      <c r="P518" s="95" t="e">
        <f t="shared" si="83"/>
        <v>#DIV/0!</v>
      </c>
      <c r="Q518" s="95" t="e">
        <f t="shared" si="83"/>
        <v>#DIV/0!</v>
      </c>
      <c r="R518" s="95" t="e">
        <f t="shared" si="83"/>
        <v>#DIV/0!</v>
      </c>
      <c r="S518" s="95" t="e">
        <f t="shared" si="83"/>
        <v>#DIV/0!</v>
      </c>
      <c r="T518" s="95" t="e">
        <f t="shared" si="83"/>
        <v>#DIV/0!</v>
      </c>
      <c r="U518" s="95" t="e">
        <f t="shared" si="83"/>
        <v>#DIV/0!</v>
      </c>
      <c r="V518" s="95" t="e">
        <f t="shared" si="83"/>
        <v>#DIV/0!</v>
      </c>
      <c r="W518" s="96" t="e">
        <f t="shared" si="83"/>
        <v>#DIV/0!</v>
      </c>
      <c r="X518" s="95" t="e">
        <f t="shared" si="83"/>
        <v>#DIV/0!</v>
      </c>
      <c r="Y518" s="95" t="e">
        <f t="shared" si="83"/>
        <v>#DIV/0!</v>
      </c>
      <c r="Z518" s="95" t="e">
        <f t="shared" si="83"/>
        <v>#DIV/0!</v>
      </c>
      <c r="AA518" s="95" t="e">
        <f t="shared" si="83"/>
        <v>#DIV/0!</v>
      </c>
      <c r="AB518" s="95" t="e">
        <f t="shared" si="83"/>
        <v>#DIV/0!</v>
      </c>
      <c r="AC518" s="95" t="e">
        <f t="shared" si="83"/>
        <v>#DIV/0!</v>
      </c>
      <c r="AD518" s="95" t="e">
        <f t="shared" si="83"/>
        <v>#DIV/0!</v>
      </c>
      <c r="AE518" s="95" t="e">
        <f t="shared" si="83"/>
        <v>#DIV/0!</v>
      </c>
      <c r="AF518" s="95" t="e">
        <f t="shared" si="83"/>
        <v>#DIV/0!</v>
      </c>
    </row>
  </sheetData>
  <mergeCells count="156">
    <mergeCell ref="A516:B516"/>
    <mergeCell ref="A517:B517"/>
    <mergeCell ref="A518:B518"/>
    <mergeCell ref="A480:AF480"/>
    <mergeCell ref="A481:AB481"/>
    <mergeCell ref="AC481:AD481"/>
    <mergeCell ref="AE481:AF481"/>
    <mergeCell ref="A482:B482"/>
    <mergeCell ref="C482:P482"/>
    <mergeCell ref="Q482:AF482"/>
    <mergeCell ref="A484:B484"/>
    <mergeCell ref="A515:B515"/>
    <mergeCell ref="A1:AF1"/>
    <mergeCell ref="A2:AB2"/>
    <mergeCell ref="AC2:AD2"/>
    <mergeCell ref="AE2:AF2"/>
    <mergeCell ref="A285:B285"/>
    <mergeCell ref="A281:AF281"/>
    <mergeCell ref="A282:AB282"/>
    <mergeCell ref="AC282:AD282"/>
    <mergeCell ref="AE282:AF282"/>
    <mergeCell ref="A283:B283"/>
    <mergeCell ref="C283:P283"/>
    <mergeCell ref="Q283:AF283"/>
    <mergeCell ref="A3:B3"/>
    <mergeCell ref="C3:P3"/>
    <mergeCell ref="Q3:AF3"/>
    <mergeCell ref="A5:B5"/>
    <mergeCell ref="A37:B37"/>
    <mergeCell ref="A38:B38"/>
    <mergeCell ref="A39:B39"/>
    <mergeCell ref="A40:B40"/>
    <mergeCell ref="A242:AB242"/>
    <mergeCell ref="AC242:AD242"/>
    <mergeCell ref="AE242:AF242"/>
    <mergeCell ref="A243:B243"/>
    <mergeCell ref="A159:B159"/>
    <mergeCell ref="A198:B198"/>
    <mergeCell ref="A199:B199"/>
    <mergeCell ref="A205:B205"/>
    <mergeCell ref="A238:B238"/>
    <mergeCell ref="A239:B239"/>
    <mergeCell ref="A236:B236"/>
    <mergeCell ref="A237:B237"/>
    <mergeCell ref="A241:AF241"/>
    <mergeCell ref="A165:B165"/>
    <mergeCell ref="A196:B196"/>
    <mergeCell ref="A197:B197"/>
    <mergeCell ref="A201:AF201"/>
    <mergeCell ref="A202:AB202"/>
    <mergeCell ref="AC202:AD202"/>
    <mergeCell ref="AE202:AF202"/>
    <mergeCell ref="A203:B203"/>
    <mergeCell ref="C203:P203"/>
    <mergeCell ref="Q203:AF203"/>
    <mergeCell ref="A122:AB122"/>
    <mergeCell ref="AC122:AD122"/>
    <mergeCell ref="AE122:AF122"/>
    <mergeCell ref="A123:B123"/>
    <mergeCell ref="C123:P123"/>
    <mergeCell ref="Q123:AF123"/>
    <mergeCell ref="A125:B125"/>
    <mergeCell ref="A157:B157"/>
    <mergeCell ref="A158:B158"/>
    <mergeCell ref="A42:AF42"/>
    <mergeCell ref="A43:AB43"/>
    <mergeCell ref="AC43:AD43"/>
    <mergeCell ref="AE43:AF43"/>
    <mergeCell ref="A44:B44"/>
    <mergeCell ref="C44:P44"/>
    <mergeCell ref="Q44:AF44"/>
    <mergeCell ref="A46:B46"/>
    <mergeCell ref="A78:B78"/>
    <mergeCell ref="A79:B79"/>
    <mergeCell ref="A80:B80"/>
    <mergeCell ref="A81:B81"/>
    <mergeCell ref="A156:B156"/>
    <mergeCell ref="A161:AF161"/>
    <mergeCell ref="A162:AB162"/>
    <mergeCell ref="AC162:AD162"/>
    <mergeCell ref="AE162:AF162"/>
    <mergeCell ref="A163:B163"/>
    <mergeCell ref="C163:P163"/>
    <mergeCell ref="Q163:AF163"/>
    <mergeCell ref="A83:AF83"/>
    <mergeCell ref="A84:AB84"/>
    <mergeCell ref="AC84:AD84"/>
    <mergeCell ref="AE84:AF84"/>
    <mergeCell ref="A85:B85"/>
    <mergeCell ref="C85:P85"/>
    <mergeCell ref="Q85:AF85"/>
    <mergeCell ref="A87:B87"/>
    <mergeCell ref="A116:B116"/>
    <mergeCell ref="A117:B117"/>
    <mergeCell ref="A118:B118"/>
    <mergeCell ref="A119:B119"/>
    <mergeCell ref="A121:AF121"/>
    <mergeCell ref="A316:B316"/>
    <mergeCell ref="A317:B317"/>
    <mergeCell ref="A318:B318"/>
    <mergeCell ref="A319:B319"/>
    <mergeCell ref="A321:AF321"/>
    <mergeCell ref="A322:AB322"/>
    <mergeCell ref="AC322:AD322"/>
    <mergeCell ref="AE322:AF322"/>
    <mergeCell ref="C243:P243"/>
    <mergeCell ref="Q243:AF243"/>
    <mergeCell ref="A245:B245"/>
    <mergeCell ref="A278:B278"/>
    <mergeCell ref="A279:B279"/>
    <mergeCell ref="A276:B276"/>
    <mergeCell ref="A277:B277"/>
    <mergeCell ref="A323:B323"/>
    <mergeCell ref="C323:P323"/>
    <mergeCell ref="Q323:AF323"/>
    <mergeCell ref="A325:B325"/>
    <mergeCell ref="A356:B356"/>
    <mergeCell ref="A357:B357"/>
    <mergeCell ref="A358:B358"/>
    <mergeCell ref="A359:B359"/>
    <mergeCell ref="A361:AF361"/>
    <mergeCell ref="A362:AB362"/>
    <mergeCell ref="AC362:AD362"/>
    <mergeCell ref="AE362:AF362"/>
    <mergeCell ref="A363:B363"/>
    <mergeCell ref="C363:P363"/>
    <mergeCell ref="Q363:AF363"/>
    <mergeCell ref="A365:B365"/>
    <mergeCell ref="A396:B396"/>
    <mergeCell ref="A397:B397"/>
    <mergeCell ref="A398:B398"/>
    <mergeCell ref="A399:B399"/>
    <mergeCell ref="A401:AF401"/>
    <mergeCell ref="A402:AB402"/>
    <mergeCell ref="AC402:AD402"/>
    <mergeCell ref="AE402:AF402"/>
    <mergeCell ref="A403:B403"/>
    <mergeCell ref="C403:P403"/>
    <mergeCell ref="Q403:AF403"/>
    <mergeCell ref="A405:B405"/>
    <mergeCell ref="A436:B436"/>
    <mergeCell ref="A437:B437"/>
    <mergeCell ref="A445:B445"/>
    <mergeCell ref="A476:B476"/>
    <mergeCell ref="A477:B477"/>
    <mergeCell ref="A478:B478"/>
    <mergeCell ref="A479:B479"/>
    <mergeCell ref="A438:B438"/>
    <mergeCell ref="A439:B439"/>
    <mergeCell ref="A441:AF441"/>
    <mergeCell ref="A442:AB442"/>
    <mergeCell ref="AC442:AD442"/>
    <mergeCell ref="AE442:AF442"/>
    <mergeCell ref="A443:B443"/>
    <mergeCell ref="C443:P443"/>
    <mergeCell ref="Q443:AF443"/>
  </mergeCells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-0.249977111117893"/>
  </sheetPr>
  <dimension ref="A1:AH543"/>
  <sheetViews>
    <sheetView topLeftCell="A172" zoomScaleNormal="100" workbookViewId="0">
      <selection activeCell="F192" sqref="F192"/>
    </sheetView>
  </sheetViews>
  <sheetFormatPr defaultColWidth="6.140625" defaultRowHeight="15"/>
  <cols>
    <col min="1" max="1" width="9.5703125" style="2" customWidth="1"/>
    <col min="2" max="2" width="6.140625" style="49"/>
    <col min="3" max="3" width="6.5703125" style="49" customWidth="1"/>
    <col min="4" max="5" width="6.140625" style="49"/>
    <col min="6" max="6" width="6.5703125" style="49" bestFit="1" customWidth="1"/>
    <col min="7" max="7" width="6.140625" style="49"/>
    <col min="8" max="8" width="5.5703125" style="3" customWidth="1"/>
    <col min="9" max="18" width="6.140625" style="3"/>
    <col min="19" max="19" width="6.5703125" style="3" bestFit="1" customWidth="1"/>
    <col min="20" max="20" width="7.42578125" style="3" customWidth="1"/>
    <col min="21" max="25" width="6.140625" style="3"/>
    <col min="26" max="26" width="7.140625" style="3"/>
    <col min="27" max="27" width="6.5703125" style="3" bestFit="1" customWidth="1"/>
    <col min="28" max="28" width="6.140625" style="3"/>
    <col min="29" max="29" width="6.5703125" style="3" bestFit="1" customWidth="1"/>
    <col min="30" max="30" width="6.5703125" style="3" customWidth="1"/>
    <col min="31" max="31" width="7" style="3" bestFit="1" customWidth="1"/>
    <col min="32" max="34" width="6.140625" style="3"/>
  </cols>
  <sheetData>
    <row r="1" spans="1:34" s="1" customFormat="1" ht="15.75" thickBot="1">
      <c r="B1" s="338" t="s">
        <v>0</v>
      </c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9"/>
      <c r="R1" s="339"/>
      <c r="S1" s="339"/>
      <c r="T1" s="339"/>
      <c r="U1" s="339"/>
      <c r="V1" s="339"/>
      <c r="W1" s="339"/>
      <c r="X1" s="339"/>
      <c r="Y1" s="339"/>
      <c r="Z1" s="339"/>
      <c r="AA1" s="339"/>
      <c r="AB1" s="339"/>
      <c r="AC1" s="339"/>
      <c r="AD1" s="340"/>
      <c r="AE1" s="340"/>
      <c r="AF1" s="340"/>
      <c r="AG1" s="340"/>
      <c r="AH1" s="340"/>
    </row>
    <row r="2" spans="1:34" s="1" customFormat="1" ht="15.75" customHeight="1" thickBot="1">
      <c r="B2" s="338" t="s">
        <v>131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4"/>
      <c r="AE2" s="43" t="s">
        <v>107</v>
      </c>
      <c r="AF2" s="341">
        <v>45992</v>
      </c>
      <c r="AG2" s="342"/>
      <c r="AH2" s="343"/>
    </row>
    <row r="3" spans="1:34">
      <c r="A3" s="344"/>
      <c r="B3" s="346" t="s">
        <v>132</v>
      </c>
      <c r="C3" s="347"/>
      <c r="D3" s="347"/>
      <c r="E3" s="347"/>
      <c r="F3" s="347"/>
      <c r="G3" s="347"/>
      <c r="H3" s="347"/>
      <c r="I3" s="347"/>
      <c r="J3" s="347"/>
      <c r="K3" s="348"/>
      <c r="L3" s="349"/>
      <c r="M3" s="22"/>
      <c r="N3" s="350" t="s">
        <v>133</v>
      </c>
      <c r="O3" s="347"/>
      <c r="P3" s="347"/>
      <c r="Q3" s="347"/>
      <c r="R3" s="347"/>
      <c r="S3" s="347"/>
      <c r="T3" s="347"/>
      <c r="U3" s="347"/>
      <c r="V3" s="347"/>
      <c r="W3" s="348"/>
      <c r="X3" s="349"/>
      <c r="Y3" s="22"/>
      <c r="Z3" s="346" t="s">
        <v>134</v>
      </c>
      <c r="AA3" s="347"/>
      <c r="AB3" s="347"/>
      <c r="AC3" s="347"/>
      <c r="AD3" s="347"/>
      <c r="AE3" s="347"/>
      <c r="AF3" s="347"/>
      <c r="AG3" s="348"/>
      <c r="AH3" s="349"/>
    </row>
    <row r="4" spans="1:34" ht="25.5">
      <c r="A4" s="345"/>
      <c r="B4" s="351" t="s">
        <v>135</v>
      </c>
      <c r="C4" s="353" t="s">
        <v>136</v>
      </c>
      <c r="D4" s="64" t="s">
        <v>137</v>
      </c>
      <c r="E4" s="64" t="s">
        <v>138</v>
      </c>
      <c r="F4" s="64" t="s">
        <v>139</v>
      </c>
      <c r="G4" s="64" t="s">
        <v>140</v>
      </c>
      <c r="H4" s="5" t="s">
        <v>141</v>
      </c>
      <c r="I4" s="5" t="s">
        <v>142</v>
      </c>
      <c r="J4" s="5" t="s">
        <v>143</v>
      </c>
      <c r="K4" s="179" t="s">
        <v>81</v>
      </c>
      <c r="L4" s="23" t="s">
        <v>144</v>
      </c>
      <c r="M4" s="22"/>
      <c r="N4" s="355" t="s">
        <v>135</v>
      </c>
      <c r="O4" s="357" t="s">
        <v>136</v>
      </c>
      <c r="P4" s="5" t="s">
        <v>137</v>
      </c>
      <c r="Q4" s="5" t="s">
        <v>138</v>
      </c>
      <c r="R4" s="5" t="s">
        <v>139</v>
      </c>
      <c r="S4" s="5" t="s">
        <v>140</v>
      </c>
      <c r="T4" s="5" t="s">
        <v>141</v>
      </c>
      <c r="U4" s="5" t="s">
        <v>142</v>
      </c>
      <c r="V4" s="5" t="s">
        <v>143</v>
      </c>
      <c r="W4" s="179" t="s">
        <v>81</v>
      </c>
      <c r="X4" s="23" t="s">
        <v>144</v>
      </c>
      <c r="Y4" s="22"/>
      <c r="Z4" s="33" t="s">
        <v>137</v>
      </c>
      <c r="AA4" s="5" t="s">
        <v>138</v>
      </c>
      <c r="AB4" s="5" t="s">
        <v>139</v>
      </c>
      <c r="AC4" s="5" t="s">
        <v>140</v>
      </c>
      <c r="AD4" s="5" t="s">
        <v>141</v>
      </c>
      <c r="AE4" s="5" t="s">
        <v>142</v>
      </c>
      <c r="AF4" s="5" t="s">
        <v>143</v>
      </c>
      <c r="AG4" s="181" t="s">
        <v>81</v>
      </c>
      <c r="AH4" s="23" t="s">
        <v>144</v>
      </c>
    </row>
    <row r="5" spans="1:34" ht="25.5">
      <c r="A5" s="6" t="s">
        <v>145</v>
      </c>
      <c r="B5" s="352"/>
      <c r="C5" s="354"/>
      <c r="D5" s="64" t="s">
        <v>128</v>
      </c>
      <c r="E5" s="64" t="s">
        <v>128</v>
      </c>
      <c r="F5" s="64" t="s">
        <v>128</v>
      </c>
      <c r="G5" s="64" t="s">
        <v>128</v>
      </c>
      <c r="H5" s="5" t="s">
        <v>125</v>
      </c>
      <c r="I5" s="5" t="s">
        <v>146</v>
      </c>
      <c r="J5" s="5" t="s">
        <v>127</v>
      </c>
      <c r="K5" s="179" t="s">
        <v>53</v>
      </c>
      <c r="L5" s="23" t="s">
        <v>53</v>
      </c>
      <c r="M5" s="22"/>
      <c r="N5" s="356"/>
      <c r="O5" s="358"/>
      <c r="P5" s="5" t="s">
        <v>128</v>
      </c>
      <c r="Q5" s="5" t="s">
        <v>128</v>
      </c>
      <c r="R5" s="5" t="s">
        <v>128</v>
      </c>
      <c r="S5" s="5" t="s">
        <v>128</v>
      </c>
      <c r="T5" s="5" t="s">
        <v>125</v>
      </c>
      <c r="U5" s="5" t="s">
        <v>146</v>
      </c>
      <c r="V5" s="5" t="s">
        <v>127</v>
      </c>
      <c r="W5" s="179" t="s">
        <v>53</v>
      </c>
      <c r="X5" s="23" t="s">
        <v>53</v>
      </c>
      <c r="Y5" s="22"/>
      <c r="Z5" s="33" t="s">
        <v>128</v>
      </c>
      <c r="AA5" s="5" t="s">
        <v>128</v>
      </c>
      <c r="AB5" s="5" t="s">
        <v>128</v>
      </c>
      <c r="AC5" s="5" t="s">
        <v>128</v>
      </c>
      <c r="AD5" s="5" t="s">
        <v>125</v>
      </c>
      <c r="AE5" s="5" t="s">
        <v>146</v>
      </c>
      <c r="AF5" s="5" t="s">
        <v>127</v>
      </c>
      <c r="AG5" s="181" t="s">
        <v>53</v>
      </c>
      <c r="AH5" s="23" t="s">
        <v>53</v>
      </c>
    </row>
    <row r="6" spans="1:34" ht="26.25" thickBot="1">
      <c r="A6" s="7" t="s">
        <v>147</v>
      </c>
      <c r="B6" s="65" t="s">
        <v>148</v>
      </c>
      <c r="C6" s="66" t="s">
        <v>149</v>
      </c>
      <c r="D6" s="66" t="s">
        <v>150</v>
      </c>
      <c r="E6" s="66" t="s">
        <v>151</v>
      </c>
      <c r="F6" s="66" t="s">
        <v>152</v>
      </c>
      <c r="G6" s="66" t="s">
        <v>153</v>
      </c>
      <c r="H6" s="9" t="s">
        <v>154</v>
      </c>
      <c r="I6" s="24" t="s">
        <v>155</v>
      </c>
      <c r="J6" s="24" t="s">
        <v>156</v>
      </c>
      <c r="K6" s="24" t="s">
        <v>179</v>
      </c>
      <c r="L6" s="25" t="s">
        <v>157</v>
      </c>
      <c r="M6" s="22"/>
      <c r="N6" s="8" t="s">
        <v>148</v>
      </c>
      <c r="O6" s="9" t="s">
        <v>149</v>
      </c>
      <c r="P6" s="9" t="s">
        <v>150</v>
      </c>
      <c r="Q6" s="9" t="s">
        <v>151</v>
      </c>
      <c r="R6" s="9" t="s">
        <v>152</v>
      </c>
      <c r="S6" s="9" t="s">
        <v>153</v>
      </c>
      <c r="T6" s="9" t="s">
        <v>154</v>
      </c>
      <c r="U6" s="24" t="s">
        <v>155</v>
      </c>
      <c r="V6" s="24" t="s">
        <v>156</v>
      </c>
      <c r="W6" s="24" t="s">
        <v>179</v>
      </c>
      <c r="X6" s="25" t="s">
        <v>157</v>
      </c>
      <c r="Y6" s="22"/>
      <c r="Z6" s="8" t="s">
        <v>150</v>
      </c>
      <c r="AA6" s="9" t="s">
        <v>158</v>
      </c>
      <c r="AB6" s="9" t="s">
        <v>152</v>
      </c>
      <c r="AC6" s="9" t="s">
        <v>159</v>
      </c>
      <c r="AD6" s="9" t="s">
        <v>154</v>
      </c>
      <c r="AE6" s="9" t="s">
        <v>155</v>
      </c>
      <c r="AF6" s="9" t="s">
        <v>156</v>
      </c>
      <c r="AG6" s="24" t="s">
        <v>179</v>
      </c>
      <c r="AH6" s="23" t="s">
        <v>157</v>
      </c>
    </row>
    <row r="7" spans="1:34">
      <c r="A7" s="10">
        <f>AF2+0</f>
        <v>45992</v>
      </c>
      <c r="B7" s="38">
        <v>38</v>
      </c>
      <c r="C7" s="63">
        <v>16.5</v>
      </c>
      <c r="D7" s="63">
        <v>10</v>
      </c>
      <c r="E7" s="63">
        <v>19.260000000000002</v>
      </c>
      <c r="F7" s="63">
        <v>35.840000000000003</v>
      </c>
      <c r="G7" s="63">
        <v>47.91</v>
      </c>
      <c r="H7" s="54">
        <v>378</v>
      </c>
      <c r="I7" s="54">
        <v>8.32</v>
      </c>
      <c r="J7" s="54">
        <v>0.5</v>
      </c>
      <c r="K7" s="183">
        <v>2.13</v>
      </c>
      <c r="L7" s="55">
        <v>6.43</v>
      </c>
      <c r="M7" s="22"/>
      <c r="N7" s="27">
        <v>40.619999999999997</v>
      </c>
      <c r="O7" s="28">
        <v>17</v>
      </c>
      <c r="P7" s="28">
        <v>10.52</v>
      </c>
      <c r="Q7" s="28">
        <v>18.239999999999998</v>
      </c>
      <c r="R7" s="28">
        <v>34.21</v>
      </c>
      <c r="S7" s="28">
        <v>46.11</v>
      </c>
      <c r="T7" s="62">
        <v>362</v>
      </c>
      <c r="U7" s="28">
        <v>8.64</v>
      </c>
      <c r="V7" s="28">
        <v>2</v>
      </c>
      <c r="W7" s="183">
        <v>2.355</v>
      </c>
      <c r="X7" s="34">
        <v>6.12</v>
      </c>
      <c r="Y7" s="22"/>
      <c r="Z7" s="35">
        <v>9.6999999999999993</v>
      </c>
      <c r="AA7" s="28">
        <v>18.48</v>
      </c>
      <c r="AB7" s="28">
        <v>36.08</v>
      </c>
      <c r="AC7" s="28">
        <v>47.01</v>
      </c>
      <c r="AD7" s="62">
        <v>371</v>
      </c>
      <c r="AE7" s="28">
        <v>9</v>
      </c>
      <c r="AF7" s="28">
        <v>1</v>
      </c>
      <c r="AG7" s="193">
        <v>2.16</v>
      </c>
      <c r="AH7" s="44">
        <v>5.68</v>
      </c>
    </row>
    <row r="8" spans="1:34">
      <c r="A8" s="14">
        <f t="shared" ref="A8:A37" si="0">A7+1</f>
        <v>45993</v>
      </c>
      <c r="B8" s="38">
        <v>37.82</v>
      </c>
      <c r="C8" s="13">
        <v>17</v>
      </c>
      <c r="D8" s="13">
        <v>10.039999999999999</v>
      </c>
      <c r="E8" s="13">
        <v>19.350000000000001</v>
      </c>
      <c r="F8" s="13">
        <v>32.89</v>
      </c>
      <c r="G8" s="13">
        <v>47.24</v>
      </c>
      <c r="H8" s="12">
        <v>365</v>
      </c>
      <c r="I8" s="12">
        <v>9.56</v>
      </c>
      <c r="J8" s="13">
        <v>1</v>
      </c>
      <c r="K8" s="184">
        <v>2.0590000000000002</v>
      </c>
      <c r="L8" s="26">
        <v>5.48</v>
      </c>
      <c r="M8" s="22"/>
      <c r="N8" s="29">
        <v>38.549999999999997</v>
      </c>
      <c r="O8" s="13">
        <v>17</v>
      </c>
      <c r="P8" s="13">
        <v>9.84</v>
      </c>
      <c r="Q8" s="13">
        <v>19.190000000000001</v>
      </c>
      <c r="R8" s="13">
        <v>33.51</v>
      </c>
      <c r="S8" s="13">
        <v>46.31</v>
      </c>
      <c r="T8" s="36">
        <v>368</v>
      </c>
      <c r="U8" s="13">
        <v>10.6</v>
      </c>
      <c r="V8" s="13">
        <v>1</v>
      </c>
      <c r="W8" s="184">
        <v>1.7450000000000001</v>
      </c>
      <c r="X8" s="37">
        <v>5.97</v>
      </c>
      <c r="Y8" s="22"/>
      <c r="Z8" s="38">
        <v>9.3000000000000007</v>
      </c>
      <c r="AA8" s="13">
        <v>18.39</v>
      </c>
      <c r="AB8" s="13">
        <v>36.56</v>
      </c>
      <c r="AC8" s="13">
        <v>48.6</v>
      </c>
      <c r="AD8" s="36">
        <v>369</v>
      </c>
      <c r="AE8" s="13">
        <v>7.88</v>
      </c>
      <c r="AF8" s="13">
        <v>1</v>
      </c>
      <c r="AG8" s="184">
        <v>2.2480000000000002</v>
      </c>
      <c r="AH8" s="45">
        <v>6.57</v>
      </c>
    </row>
    <row r="9" spans="1:34">
      <c r="A9" s="14">
        <f t="shared" si="0"/>
        <v>45994</v>
      </c>
      <c r="B9" s="38">
        <v>39.520000000000003</v>
      </c>
      <c r="C9" s="13">
        <v>17</v>
      </c>
      <c r="D9" s="13">
        <v>10.67</v>
      </c>
      <c r="E9" s="13">
        <v>20</v>
      </c>
      <c r="F9" s="13">
        <v>34.26</v>
      </c>
      <c r="G9" s="13">
        <v>47.4</v>
      </c>
      <c r="H9" s="12">
        <v>416</v>
      </c>
      <c r="I9" s="13">
        <v>10.48</v>
      </c>
      <c r="J9" s="13">
        <v>0.5</v>
      </c>
      <c r="K9" s="184">
        <v>2.0760000000000001</v>
      </c>
      <c r="L9" s="37">
        <v>5.0999999999999996</v>
      </c>
      <c r="M9" s="22"/>
      <c r="N9" s="13">
        <v>40.200000000000003</v>
      </c>
      <c r="O9" s="13">
        <v>17</v>
      </c>
      <c r="P9" s="13">
        <v>10.75</v>
      </c>
      <c r="Q9" s="13">
        <v>19.88</v>
      </c>
      <c r="R9" s="13">
        <v>34.36</v>
      </c>
      <c r="S9" s="13">
        <v>46.37</v>
      </c>
      <c r="T9" s="36">
        <v>361</v>
      </c>
      <c r="U9" s="13">
        <v>9.0399999999999991</v>
      </c>
      <c r="V9" s="13">
        <v>1</v>
      </c>
      <c r="W9" s="184">
        <v>2.149</v>
      </c>
      <c r="X9" s="37">
        <v>5.67</v>
      </c>
      <c r="Y9" s="22"/>
      <c r="Z9" s="38">
        <v>9.56</v>
      </c>
      <c r="AA9" s="13">
        <v>20.6</v>
      </c>
      <c r="AB9" s="13">
        <v>35.76</v>
      </c>
      <c r="AC9" s="13">
        <v>47.25</v>
      </c>
      <c r="AD9" s="36">
        <v>407</v>
      </c>
      <c r="AE9" s="13">
        <v>9.92</v>
      </c>
      <c r="AF9" s="13">
        <v>0.5</v>
      </c>
      <c r="AG9" s="184">
        <v>2.0190000000000001</v>
      </c>
      <c r="AH9" s="45">
        <v>7.05</v>
      </c>
    </row>
    <row r="10" spans="1:34">
      <c r="A10" s="14">
        <f t="shared" si="0"/>
        <v>45995</v>
      </c>
      <c r="B10" s="38">
        <v>36.97</v>
      </c>
      <c r="C10" s="13">
        <v>17.39</v>
      </c>
      <c r="D10" s="13">
        <v>10.4</v>
      </c>
      <c r="E10" s="13">
        <v>20.89</v>
      </c>
      <c r="F10" s="13">
        <v>37.26</v>
      </c>
      <c r="G10" s="13">
        <v>46.54</v>
      </c>
      <c r="H10" s="12">
        <v>432</v>
      </c>
      <c r="I10" s="12">
        <v>11.24</v>
      </c>
      <c r="J10" s="13">
        <v>1.5</v>
      </c>
      <c r="K10" s="184">
        <v>2.2080000000000002</v>
      </c>
      <c r="L10" s="37">
        <v>7.5</v>
      </c>
      <c r="M10" s="22"/>
      <c r="N10" s="29">
        <v>39.520000000000003</v>
      </c>
      <c r="O10" s="13">
        <v>17</v>
      </c>
      <c r="P10" s="13">
        <v>11.18</v>
      </c>
      <c r="Q10" s="13">
        <v>21.03</v>
      </c>
      <c r="R10" s="13">
        <v>36.82</v>
      </c>
      <c r="S10" s="13">
        <v>46.6</v>
      </c>
      <c r="T10" s="36">
        <v>350</v>
      </c>
      <c r="U10" s="13">
        <v>9</v>
      </c>
      <c r="V10" s="13">
        <v>1.5</v>
      </c>
      <c r="W10" s="184">
        <v>2.222</v>
      </c>
      <c r="X10" s="37">
        <v>5.68</v>
      </c>
      <c r="Y10" s="22"/>
      <c r="Z10" s="38">
        <v>10.65</v>
      </c>
      <c r="AA10" s="13">
        <v>20.260000000000002</v>
      </c>
      <c r="AB10" s="13">
        <v>35.82</v>
      </c>
      <c r="AC10" s="13">
        <v>47.2</v>
      </c>
      <c r="AD10" s="36">
        <v>382</v>
      </c>
      <c r="AE10" s="13">
        <v>9.6</v>
      </c>
      <c r="AF10" s="13">
        <v>1.5</v>
      </c>
      <c r="AG10" s="184">
        <v>2.1120000000000001</v>
      </c>
      <c r="AH10" s="45">
        <v>7.51</v>
      </c>
    </row>
    <row r="11" spans="1:34">
      <c r="A11" s="14">
        <f t="shared" si="0"/>
        <v>45996</v>
      </c>
      <c r="B11" s="38">
        <v>38.74</v>
      </c>
      <c r="C11" s="13">
        <v>17.98</v>
      </c>
      <c r="D11" s="13">
        <v>11.71</v>
      </c>
      <c r="E11" s="13">
        <v>20.8</v>
      </c>
      <c r="F11" s="13">
        <v>38.28</v>
      </c>
      <c r="G11" s="13">
        <v>46.94</v>
      </c>
      <c r="H11" s="36">
        <v>385</v>
      </c>
      <c r="I11" s="12">
        <v>7.92</v>
      </c>
      <c r="J11" s="13">
        <v>4.5</v>
      </c>
      <c r="K11" s="184">
        <v>2.15</v>
      </c>
      <c r="L11" s="26">
        <v>6.03</v>
      </c>
      <c r="M11" s="22"/>
      <c r="N11" s="38">
        <v>38.74</v>
      </c>
      <c r="O11" s="13">
        <v>17.5</v>
      </c>
      <c r="P11" s="13">
        <v>10.99</v>
      </c>
      <c r="Q11" s="13">
        <v>20.79</v>
      </c>
      <c r="R11" s="13">
        <v>37.479999999999997</v>
      </c>
      <c r="S11" s="13">
        <v>45.55</v>
      </c>
      <c r="T11" s="36">
        <v>351</v>
      </c>
      <c r="U11" s="13">
        <v>7.76</v>
      </c>
      <c r="V11" s="13">
        <v>3.5</v>
      </c>
      <c r="W11" s="184">
        <v>2.29</v>
      </c>
      <c r="X11" s="51">
        <v>5.18</v>
      </c>
      <c r="Y11" s="22"/>
      <c r="Z11" s="38">
        <v>11.3</v>
      </c>
      <c r="AA11" s="13">
        <v>20.350000000000001</v>
      </c>
      <c r="AB11" s="13">
        <v>37.56</v>
      </c>
      <c r="AC11" s="13">
        <v>46.71</v>
      </c>
      <c r="AD11" s="36">
        <v>377</v>
      </c>
      <c r="AE11" s="13">
        <v>7.88</v>
      </c>
      <c r="AF11" s="13">
        <v>2</v>
      </c>
      <c r="AG11" s="184">
        <v>2.2599999999999998</v>
      </c>
      <c r="AH11" s="46">
        <v>5.71</v>
      </c>
    </row>
    <row r="12" spans="1:34">
      <c r="A12" s="14">
        <f t="shared" si="0"/>
        <v>45997</v>
      </c>
      <c r="B12" s="38">
        <v>39.06</v>
      </c>
      <c r="C12" s="13">
        <v>17.09</v>
      </c>
      <c r="D12" s="13">
        <v>11.84</v>
      </c>
      <c r="E12" s="13">
        <v>21.93</v>
      </c>
      <c r="F12" s="13">
        <v>38.89</v>
      </c>
      <c r="G12" s="13">
        <v>46.23</v>
      </c>
      <c r="H12" s="12">
        <v>391</v>
      </c>
      <c r="I12" s="12">
        <v>9.4</v>
      </c>
      <c r="J12" s="13">
        <v>1</v>
      </c>
      <c r="K12" s="184">
        <v>1.99</v>
      </c>
      <c r="L12" s="26">
        <v>6.04</v>
      </c>
      <c r="M12" s="22"/>
      <c r="N12" s="38">
        <v>39.06</v>
      </c>
      <c r="O12" s="13">
        <v>17.2</v>
      </c>
      <c r="P12" s="13">
        <v>11.14</v>
      </c>
      <c r="Q12" s="13">
        <v>22.03</v>
      </c>
      <c r="R12" s="13">
        <v>37.729999999999997</v>
      </c>
      <c r="S12" s="13">
        <v>47.35</v>
      </c>
      <c r="T12" s="36">
        <v>377</v>
      </c>
      <c r="U12" s="13">
        <v>7.88</v>
      </c>
      <c r="V12" s="13">
        <v>2</v>
      </c>
      <c r="W12" s="184">
        <v>2.08</v>
      </c>
      <c r="X12" s="51">
        <v>6.27</v>
      </c>
      <c r="Y12" s="22"/>
      <c r="Z12" s="38">
        <v>10.48</v>
      </c>
      <c r="AA12" s="13">
        <v>21.81</v>
      </c>
      <c r="AB12" s="13">
        <v>37.18</v>
      </c>
      <c r="AC12" s="13">
        <v>47.46</v>
      </c>
      <c r="AD12" s="36">
        <v>390</v>
      </c>
      <c r="AE12" s="13">
        <v>8.9600000000000009</v>
      </c>
      <c r="AF12" s="13">
        <v>2</v>
      </c>
      <c r="AG12" s="184">
        <v>2.0099999999999998</v>
      </c>
      <c r="AH12" s="46">
        <v>6</v>
      </c>
    </row>
    <row r="13" spans="1:34">
      <c r="A13" s="14">
        <f t="shared" si="0"/>
        <v>45998</v>
      </c>
      <c r="B13" s="38">
        <v>39.14</v>
      </c>
      <c r="C13" s="13">
        <v>17.12</v>
      </c>
      <c r="D13" s="13">
        <v>11.35</v>
      </c>
      <c r="E13" s="13">
        <v>22.75</v>
      </c>
      <c r="F13" s="13">
        <v>35.9</v>
      </c>
      <c r="G13" s="13">
        <v>48.21</v>
      </c>
      <c r="H13" s="12">
        <v>406</v>
      </c>
      <c r="I13" s="13">
        <v>8</v>
      </c>
      <c r="J13" s="13">
        <v>1.5</v>
      </c>
      <c r="K13" s="184">
        <v>2.2000000000000002</v>
      </c>
      <c r="L13" s="26">
        <v>6.79</v>
      </c>
      <c r="M13" s="22"/>
      <c r="N13" s="38">
        <v>39.14</v>
      </c>
      <c r="O13" s="50">
        <v>17.2</v>
      </c>
      <c r="P13" s="13">
        <v>11.58</v>
      </c>
      <c r="Q13" s="13">
        <v>21.88</v>
      </c>
      <c r="R13" s="13">
        <v>38.76</v>
      </c>
      <c r="S13" s="13">
        <v>46.75</v>
      </c>
      <c r="T13" s="36">
        <v>405</v>
      </c>
      <c r="U13" s="13">
        <v>8.76</v>
      </c>
      <c r="V13" s="13">
        <v>1.5</v>
      </c>
      <c r="W13" s="184">
        <v>2.14</v>
      </c>
      <c r="X13" s="51">
        <v>6.42</v>
      </c>
      <c r="Y13" s="22"/>
      <c r="Z13" s="38">
        <v>12.37</v>
      </c>
      <c r="AA13" s="13">
        <v>22.38</v>
      </c>
      <c r="AB13" s="13">
        <v>37.69</v>
      </c>
      <c r="AC13" s="13">
        <v>46.96</v>
      </c>
      <c r="AD13" s="36">
        <v>388</v>
      </c>
      <c r="AE13" s="13">
        <v>8.2799999999999994</v>
      </c>
      <c r="AF13" s="13">
        <v>0.5</v>
      </c>
      <c r="AG13" s="184">
        <v>2.15</v>
      </c>
      <c r="AH13" s="46">
        <v>7.01</v>
      </c>
    </row>
    <row r="14" spans="1:34">
      <c r="A14" s="14">
        <f t="shared" si="0"/>
        <v>45999</v>
      </c>
      <c r="B14" s="38">
        <v>34.93</v>
      </c>
      <c r="C14" s="13">
        <v>17.36</v>
      </c>
      <c r="D14" s="13">
        <v>12.12</v>
      </c>
      <c r="E14" s="13">
        <v>22.45</v>
      </c>
      <c r="F14" s="13">
        <v>38.22</v>
      </c>
      <c r="G14" s="13">
        <v>47.2</v>
      </c>
      <c r="H14" s="12">
        <v>369</v>
      </c>
      <c r="I14" s="12">
        <v>8.8800000000000008</v>
      </c>
      <c r="J14" s="13">
        <v>3</v>
      </c>
      <c r="K14" s="184">
        <v>2.298</v>
      </c>
      <c r="L14" s="26">
        <v>5.78</v>
      </c>
      <c r="M14" s="22"/>
      <c r="N14" s="38">
        <v>34.93</v>
      </c>
      <c r="O14" s="13">
        <v>17.18</v>
      </c>
      <c r="P14" s="13">
        <v>11.36</v>
      </c>
      <c r="Q14" s="13">
        <v>21.63</v>
      </c>
      <c r="R14" s="13">
        <v>38.049999999999997</v>
      </c>
      <c r="S14" s="13">
        <v>46.92</v>
      </c>
      <c r="T14" s="36">
        <v>383</v>
      </c>
      <c r="U14" s="13">
        <v>6.92</v>
      </c>
      <c r="V14" s="13">
        <v>11</v>
      </c>
      <c r="W14" s="184">
        <v>2.2290000000000001</v>
      </c>
      <c r="X14" s="37">
        <v>6.95</v>
      </c>
      <c r="Y14" s="22"/>
      <c r="Z14" s="38">
        <v>12.52</v>
      </c>
      <c r="AA14" s="13">
        <v>22.46</v>
      </c>
      <c r="AB14" s="13">
        <v>38.46</v>
      </c>
      <c r="AC14" s="13">
        <v>47.8</v>
      </c>
      <c r="AD14" s="36">
        <v>404</v>
      </c>
      <c r="AE14" s="13">
        <v>6.28</v>
      </c>
      <c r="AF14" s="13">
        <v>1</v>
      </c>
      <c r="AG14" s="184">
        <v>2.2719999999999998</v>
      </c>
      <c r="AH14" s="45">
        <v>6.09</v>
      </c>
    </row>
    <row r="15" spans="1:34">
      <c r="A15" s="14">
        <f t="shared" si="0"/>
        <v>46000</v>
      </c>
      <c r="B15" s="38">
        <v>39.869999999999997</v>
      </c>
      <c r="C15" s="13">
        <v>17</v>
      </c>
      <c r="D15" s="13">
        <v>12.45</v>
      </c>
      <c r="E15" s="13">
        <v>22.51</v>
      </c>
      <c r="F15" s="13">
        <v>38.380000000000003</v>
      </c>
      <c r="G15" s="13">
        <v>49.52</v>
      </c>
      <c r="H15" s="12">
        <v>399</v>
      </c>
      <c r="I15" s="12">
        <v>11.12</v>
      </c>
      <c r="J15" s="13">
        <v>1</v>
      </c>
      <c r="K15" s="184">
        <v>1.9850000000000001</v>
      </c>
      <c r="L15" s="26">
        <v>6.81</v>
      </c>
      <c r="M15" s="22"/>
      <c r="N15" s="38">
        <v>39.869999999999997</v>
      </c>
      <c r="O15" s="13">
        <v>17.350000000000001</v>
      </c>
      <c r="P15" s="13">
        <v>11.47</v>
      </c>
      <c r="Q15" s="13">
        <v>22.18</v>
      </c>
      <c r="R15" s="13">
        <v>37.61</v>
      </c>
      <c r="S15" s="13">
        <v>45.78</v>
      </c>
      <c r="T15" s="36">
        <v>367</v>
      </c>
      <c r="U15" s="13">
        <v>10.72</v>
      </c>
      <c r="V15" s="13">
        <v>9.5</v>
      </c>
      <c r="W15" s="184">
        <v>2.3210000000000002</v>
      </c>
      <c r="X15" s="37">
        <v>6.74</v>
      </c>
      <c r="Y15" s="22"/>
      <c r="Z15" s="38">
        <v>11.43</v>
      </c>
      <c r="AA15" s="13">
        <v>22.05</v>
      </c>
      <c r="AB15" s="13">
        <v>34.729999999999997</v>
      </c>
      <c r="AC15" s="13">
        <v>46.03</v>
      </c>
      <c r="AD15" s="36">
        <v>391</v>
      </c>
      <c r="AE15" s="13">
        <v>11.32</v>
      </c>
      <c r="AF15" s="13">
        <v>1</v>
      </c>
      <c r="AG15" s="184">
        <v>2.105</v>
      </c>
      <c r="AH15" s="45">
        <v>7.33</v>
      </c>
    </row>
    <row r="16" spans="1:34">
      <c r="A16" s="14">
        <f t="shared" si="0"/>
        <v>46001</v>
      </c>
      <c r="B16" s="11">
        <v>36.69</v>
      </c>
      <c r="C16" s="13">
        <v>17.98</v>
      </c>
      <c r="D16" s="13">
        <v>10.67</v>
      </c>
      <c r="E16" s="13">
        <v>20.21</v>
      </c>
      <c r="F16" s="13">
        <v>37.86</v>
      </c>
      <c r="G16" s="13">
        <v>48.6</v>
      </c>
      <c r="H16" s="12">
        <v>398</v>
      </c>
      <c r="I16" s="12">
        <v>9.08</v>
      </c>
      <c r="J16" s="13">
        <v>1.5</v>
      </c>
      <c r="K16" s="184">
        <v>1.905</v>
      </c>
      <c r="L16" s="26">
        <v>7.02</v>
      </c>
      <c r="M16" s="22"/>
      <c r="N16" s="11">
        <v>36.69</v>
      </c>
      <c r="O16" s="13">
        <v>18</v>
      </c>
      <c r="P16" s="13">
        <v>10.85</v>
      </c>
      <c r="Q16" s="13">
        <v>20.8</v>
      </c>
      <c r="R16" s="13">
        <v>32.61</v>
      </c>
      <c r="S16" s="13">
        <v>46.36</v>
      </c>
      <c r="T16" s="36">
        <v>418</v>
      </c>
      <c r="U16" s="13">
        <v>9.4</v>
      </c>
      <c r="V16" s="13">
        <v>1.5</v>
      </c>
      <c r="W16" s="184">
        <v>2.1059999999999999</v>
      </c>
      <c r="X16" s="37">
        <v>9.5</v>
      </c>
      <c r="Y16" s="22"/>
      <c r="Z16" s="38">
        <v>12.52</v>
      </c>
      <c r="AA16" s="13">
        <v>22.74</v>
      </c>
      <c r="AB16" s="13">
        <v>40.36</v>
      </c>
      <c r="AC16" s="13">
        <v>46.04</v>
      </c>
      <c r="AD16" s="36">
        <v>384</v>
      </c>
      <c r="AE16" s="13">
        <v>11.88</v>
      </c>
      <c r="AF16" s="13">
        <v>1</v>
      </c>
      <c r="AG16" s="184">
        <v>1.8320000000000001</v>
      </c>
      <c r="AH16" s="45">
        <v>6.3</v>
      </c>
    </row>
    <row r="17" spans="1:34">
      <c r="A17" s="14">
        <f t="shared" si="0"/>
        <v>46002</v>
      </c>
      <c r="B17" s="11">
        <v>39.369999999999997</v>
      </c>
      <c r="C17" s="13">
        <v>17.399999999999999</v>
      </c>
      <c r="D17" s="13">
        <v>11.85</v>
      </c>
      <c r="E17" s="13">
        <v>22</v>
      </c>
      <c r="F17" s="13">
        <v>38.56</v>
      </c>
      <c r="G17" s="13">
        <v>47.7</v>
      </c>
      <c r="H17" s="12">
        <v>341</v>
      </c>
      <c r="I17" s="12">
        <v>8.84</v>
      </c>
      <c r="J17" s="13">
        <v>1</v>
      </c>
      <c r="K17" s="184">
        <v>2.17</v>
      </c>
      <c r="L17" s="26">
        <v>5.72</v>
      </c>
      <c r="M17" s="22"/>
      <c r="N17" s="11">
        <v>39.369999999999997</v>
      </c>
      <c r="O17" s="13">
        <v>18</v>
      </c>
      <c r="P17" s="13">
        <v>11.89</v>
      </c>
      <c r="Q17" s="13">
        <v>22.44</v>
      </c>
      <c r="R17" s="13">
        <v>33.799999999999997</v>
      </c>
      <c r="S17" s="13">
        <v>48.18</v>
      </c>
      <c r="T17" s="36">
        <v>382</v>
      </c>
      <c r="U17" s="13">
        <v>10.6</v>
      </c>
      <c r="V17" s="13">
        <v>1</v>
      </c>
      <c r="W17" s="184">
        <v>2.13</v>
      </c>
      <c r="X17" s="37">
        <v>6.64</v>
      </c>
      <c r="Y17" s="22"/>
      <c r="Z17" s="38">
        <v>11.61</v>
      </c>
      <c r="AA17" s="13">
        <v>22.03</v>
      </c>
      <c r="AB17" s="13">
        <v>38.49</v>
      </c>
      <c r="AC17" s="13">
        <v>46.27</v>
      </c>
      <c r="AD17" s="36">
        <v>394</v>
      </c>
      <c r="AE17" s="13">
        <v>9.66</v>
      </c>
      <c r="AF17" s="13">
        <v>0.5</v>
      </c>
      <c r="AG17" s="184">
        <v>2.2400000000000002</v>
      </c>
      <c r="AH17" s="45">
        <v>6.5</v>
      </c>
    </row>
    <row r="18" spans="1:34">
      <c r="A18" s="14">
        <f t="shared" si="0"/>
        <v>46003</v>
      </c>
      <c r="B18" s="38">
        <v>32.4</v>
      </c>
      <c r="C18" s="13">
        <v>17.010000000000002</v>
      </c>
      <c r="D18" s="13">
        <v>11.13</v>
      </c>
      <c r="E18" s="13">
        <v>21.28</v>
      </c>
      <c r="F18" s="13">
        <v>37.74</v>
      </c>
      <c r="G18" s="13">
        <v>46.55</v>
      </c>
      <c r="H18" s="12">
        <v>399</v>
      </c>
      <c r="I18" s="13">
        <v>9</v>
      </c>
      <c r="J18" s="13">
        <v>1</v>
      </c>
      <c r="K18" s="184">
        <v>2.21</v>
      </c>
      <c r="L18" s="26">
        <v>6.86</v>
      </c>
      <c r="M18" s="22"/>
      <c r="N18" s="38">
        <v>32.4</v>
      </c>
      <c r="O18" s="13">
        <v>18</v>
      </c>
      <c r="P18" s="13">
        <v>11.41</v>
      </c>
      <c r="Q18" s="13">
        <v>21.96</v>
      </c>
      <c r="R18" s="13">
        <v>36.17</v>
      </c>
      <c r="S18" s="13">
        <v>49.36</v>
      </c>
      <c r="T18" s="36">
        <v>376</v>
      </c>
      <c r="U18" s="13">
        <v>9.6</v>
      </c>
      <c r="V18" s="13">
        <v>2</v>
      </c>
      <c r="W18" s="184">
        <v>2.15</v>
      </c>
      <c r="X18" s="37">
        <v>6.52</v>
      </c>
      <c r="Y18" s="22"/>
      <c r="Z18" s="38">
        <v>11.88</v>
      </c>
      <c r="AA18" s="13">
        <v>22</v>
      </c>
      <c r="AB18" s="13">
        <v>39.03</v>
      </c>
      <c r="AC18" s="13">
        <v>49.82</v>
      </c>
      <c r="AD18" s="36">
        <v>398</v>
      </c>
      <c r="AE18" s="13">
        <v>9.6</v>
      </c>
      <c r="AF18" s="13">
        <v>1</v>
      </c>
      <c r="AG18" s="184">
        <v>2.2999999999999998</v>
      </c>
      <c r="AH18" s="45">
        <v>7.08</v>
      </c>
    </row>
    <row r="19" spans="1:34">
      <c r="A19" s="14">
        <f t="shared" si="0"/>
        <v>46004</v>
      </c>
      <c r="B19" s="38">
        <v>37.29</v>
      </c>
      <c r="C19" s="13">
        <v>17.45</v>
      </c>
      <c r="D19" s="13">
        <v>12.44</v>
      </c>
      <c r="E19" s="13">
        <v>22</v>
      </c>
      <c r="F19" s="13">
        <v>37.659999999999997</v>
      </c>
      <c r="G19" s="13">
        <v>47.68</v>
      </c>
      <c r="H19" s="12">
        <v>407</v>
      </c>
      <c r="I19" s="12">
        <v>9.24</v>
      </c>
      <c r="J19" s="13">
        <v>1</v>
      </c>
      <c r="K19" s="184">
        <v>2.17</v>
      </c>
      <c r="L19" s="26">
        <v>6.95</v>
      </c>
      <c r="M19" s="22"/>
      <c r="N19" s="38">
        <v>37.29</v>
      </c>
      <c r="O19" s="13">
        <v>17.02</v>
      </c>
      <c r="P19" s="13">
        <v>11.74</v>
      </c>
      <c r="Q19" s="13">
        <v>22.18</v>
      </c>
      <c r="R19" s="13">
        <v>36.14</v>
      </c>
      <c r="S19" s="13">
        <v>46.8</v>
      </c>
      <c r="T19" s="36">
        <v>393</v>
      </c>
      <c r="U19" s="13">
        <v>10.039999999999999</v>
      </c>
      <c r="V19" s="13">
        <v>0.5</v>
      </c>
      <c r="W19" s="184">
        <v>2.0299999999999998</v>
      </c>
      <c r="X19" s="37">
        <v>6.98</v>
      </c>
      <c r="Y19" s="22"/>
      <c r="Z19" s="38">
        <v>12.06</v>
      </c>
      <c r="AA19" s="13">
        <v>21.02</v>
      </c>
      <c r="AB19" s="13">
        <v>35.22</v>
      </c>
      <c r="AC19" s="13">
        <v>47.96</v>
      </c>
      <c r="AD19" s="36">
        <v>382</v>
      </c>
      <c r="AE19" s="13">
        <v>9.4</v>
      </c>
      <c r="AF19" s="13">
        <v>0.5</v>
      </c>
      <c r="AG19" s="184">
        <v>2.06</v>
      </c>
      <c r="AH19" s="45">
        <v>5.79</v>
      </c>
    </row>
    <row r="20" spans="1:34">
      <c r="A20" s="14">
        <f t="shared" si="0"/>
        <v>46005</v>
      </c>
      <c r="B20" s="11">
        <v>38.380000000000003</v>
      </c>
      <c r="C20" s="13">
        <v>17.05</v>
      </c>
      <c r="D20" s="13">
        <v>10.6</v>
      </c>
      <c r="E20" s="13">
        <v>20.059999999999999</v>
      </c>
      <c r="F20" s="13">
        <v>38.729999999999997</v>
      </c>
      <c r="G20" s="13">
        <v>48.38</v>
      </c>
      <c r="H20" s="12">
        <v>367</v>
      </c>
      <c r="I20" s="36">
        <v>9.92</v>
      </c>
      <c r="J20" s="13">
        <v>1</v>
      </c>
      <c r="K20" s="184">
        <v>2.27</v>
      </c>
      <c r="L20" s="26">
        <v>5.81</v>
      </c>
      <c r="M20" s="22"/>
      <c r="N20" s="11">
        <v>38.380000000000003</v>
      </c>
      <c r="O20" s="13">
        <v>17</v>
      </c>
      <c r="P20" s="13">
        <v>11.18</v>
      </c>
      <c r="Q20" s="13">
        <v>19.34</v>
      </c>
      <c r="R20" s="13">
        <v>35.270000000000003</v>
      </c>
      <c r="S20" s="13">
        <v>47.45</v>
      </c>
      <c r="T20" s="36">
        <v>386</v>
      </c>
      <c r="U20" s="13">
        <v>10.199999999999999</v>
      </c>
      <c r="V20" s="13">
        <v>1</v>
      </c>
      <c r="W20" s="184">
        <v>2.17</v>
      </c>
      <c r="X20" s="37">
        <v>6.67</v>
      </c>
      <c r="Y20" s="22"/>
      <c r="Z20" s="38">
        <v>11.16</v>
      </c>
      <c r="AA20" s="13">
        <v>20.010000000000002</v>
      </c>
      <c r="AB20" s="13">
        <v>38.4</v>
      </c>
      <c r="AC20" s="13">
        <v>46.56</v>
      </c>
      <c r="AD20" s="36">
        <v>355</v>
      </c>
      <c r="AE20" s="13">
        <v>10.24</v>
      </c>
      <c r="AF20" s="13">
        <v>1</v>
      </c>
      <c r="AG20" s="184">
        <v>2.16</v>
      </c>
      <c r="AH20" s="37">
        <v>6.1</v>
      </c>
    </row>
    <row r="21" spans="1:34">
      <c r="A21" s="14">
        <f t="shared" si="0"/>
        <v>46006</v>
      </c>
      <c r="B21" s="11">
        <v>39.409999999999997</v>
      </c>
      <c r="C21" s="13">
        <v>17.87</v>
      </c>
      <c r="D21" s="13">
        <v>11.36</v>
      </c>
      <c r="E21" s="13">
        <v>20.48</v>
      </c>
      <c r="F21" s="13">
        <v>39.86</v>
      </c>
      <c r="G21" s="13">
        <v>46.92</v>
      </c>
      <c r="H21" s="12">
        <v>402</v>
      </c>
      <c r="I21" s="12">
        <v>10.119999999999999</v>
      </c>
      <c r="J21" s="13">
        <v>0.5</v>
      </c>
      <c r="K21" s="184">
        <v>2.0099999999999998</v>
      </c>
      <c r="L21" s="26">
        <v>7.02</v>
      </c>
      <c r="M21" s="22"/>
      <c r="N21" s="11">
        <v>39.409999999999997</v>
      </c>
      <c r="O21" s="13">
        <v>17.04</v>
      </c>
      <c r="P21" s="13">
        <v>10.61</v>
      </c>
      <c r="Q21" s="13">
        <v>19.22</v>
      </c>
      <c r="R21" s="13">
        <v>38.409999999999997</v>
      </c>
      <c r="S21" s="13">
        <v>45.48</v>
      </c>
      <c r="T21" s="36">
        <v>384</v>
      </c>
      <c r="U21" s="13">
        <v>10.76</v>
      </c>
      <c r="V21" s="13">
        <v>0.5</v>
      </c>
      <c r="W21" s="184">
        <v>2.0299999999999998</v>
      </c>
      <c r="X21" s="37">
        <v>6.79</v>
      </c>
      <c r="Y21" s="22"/>
      <c r="Z21" s="38">
        <v>11.66</v>
      </c>
      <c r="AA21" s="13">
        <v>20.260000000000002</v>
      </c>
      <c r="AB21" s="13">
        <v>36.630000000000003</v>
      </c>
      <c r="AC21" s="13">
        <v>46.5</v>
      </c>
      <c r="AD21" s="36">
        <v>370</v>
      </c>
      <c r="AE21" s="13">
        <v>9.76</v>
      </c>
      <c r="AF21" s="13">
        <v>0.5</v>
      </c>
      <c r="AG21" s="184">
        <v>2.1</v>
      </c>
      <c r="AH21" s="37">
        <v>6.61</v>
      </c>
    </row>
    <row r="22" spans="1:34">
      <c r="A22" s="14">
        <f t="shared" si="0"/>
        <v>46007</v>
      </c>
      <c r="B22" s="11">
        <v>38.340000000000003</v>
      </c>
      <c r="C22" s="13">
        <v>17.03</v>
      </c>
      <c r="D22" s="13">
        <v>11.21</v>
      </c>
      <c r="E22" s="13">
        <v>20.92</v>
      </c>
      <c r="F22" s="13">
        <v>31.71</v>
      </c>
      <c r="G22" s="13">
        <v>48.42</v>
      </c>
      <c r="H22" s="12">
        <v>394</v>
      </c>
      <c r="I22" s="12">
        <v>10.56</v>
      </c>
      <c r="J22" s="13">
        <v>1</v>
      </c>
      <c r="K22" s="184">
        <v>2.4049999999999998</v>
      </c>
      <c r="L22" s="26">
        <v>6.56</v>
      </c>
      <c r="M22" s="22"/>
      <c r="N22" s="11">
        <v>38.340000000000003</v>
      </c>
      <c r="O22" s="13">
        <v>18.010000000000002</v>
      </c>
      <c r="P22" s="13">
        <v>9.5299999999999994</v>
      </c>
      <c r="Q22" s="13">
        <v>19.23</v>
      </c>
      <c r="R22" s="13">
        <v>29.46</v>
      </c>
      <c r="S22" s="13">
        <v>46.79</v>
      </c>
      <c r="T22" s="36">
        <v>376</v>
      </c>
      <c r="U22" s="13">
        <v>11.44</v>
      </c>
      <c r="V22" s="13">
        <v>1.5</v>
      </c>
      <c r="W22" s="184">
        <v>2.093</v>
      </c>
      <c r="X22" s="37">
        <v>6.95</v>
      </c>
      <c r="Y22" s="22"/>
      <c r="Z22" s="38">
        <v>10.75</v>
      </c>
      <c r="AA22" s="13">
        <v>21.54</v>
      </c>
      <c r="AB22" s="13">
        <v>32.36</v>
      </c>
      <c r="AC22" s="13">
        <v>47.48</v>
      </c>
      <c r="AD22" s="36">
        <v>379</v>
      </c>
      <c r="AE22" s="13">
        <v>9.84</v>
      </c>
      <c r="AF22" s="13">
        <v>1</v>
      </c>
      <c r="AG22" s="184">
        <v>2.0609999999999999</v>
      </c>
      <c r="AH22" s="37">
        <v>6.32</v>
      </c>
    </row>
    <row r="23" spans="1:34">
      <c r="A23" s="14">
        <f t="shared" si="0"/>
        <v>46008</v>
      </c>
      <c r="B23" s="38">
        <v>37.56</v>
      </c>
      <c r="C23" s="13">
        <v>16.989999999999998</v>
      </c>
      <c r="D23" s="13">
        <v>10.56</v>
      </c>
      <c r="E23" s="13">
        <v>20.09</v>
      </c>
      <c r="F23" s="13">
        <v>33.83</v>
      </c>
      <c r="G23" s="13">
        <v>47.78</v>
      </c>
      <c r="H23" s="12">
        <v>397</v>
      </c>
      <c r="I23" s="12">
        <v>9.44</v>
      </c>
      <c r="J23" s="13">
        <v>5</v>
      </c>
      <c r="K23" s="184">
        <v>2.12</v>
      </c>
      <c r="L23" s="26">
        <v>6.37</v>
      </c>
      <c r="M23" s="22"/>
      <c r="N23" s="29">
        <v>37.56</v>
      </c>
      <c r="O23" s="13">
        <v>17.05</v>
      </c>
      <c r="P23" s="13">
        <v>10.92</v>
      </c>
      <c r="Q23" s="13">
        <v>19.71</v>
      </c>
      <c r="R23" s="13">
        <v>33.1</v>
      </c>
      <c r="S23" s="13">
        <v>47.29</v>
      </c>
      <c r="T23" s="36">
        <v>392</v>
      </c>
      <c r="U23" s="13">
        <v>10.88</v>
      </c>
      <c r="V23" s="13">
        <v>38.5</v>
      </c>
      <c r="W23" s="184">
        <v>2.12</v>
      </c>
      <c r="X23" s="37">
        <v>6.82</v>
      </c>
      <c r="Y23" s="22"/>
      <c r="Z23" s="38">
        <v>11.57</v>
      </c>
      <c r="AA23" s="13">
        <v>20.83</v>
      </c>
      <c r="AB23" s="13">
        <v>34.369999999999997</v>
      </c>
      <c r="AC23" s="13">
        <v>45.84</v>
      </c>
      <c r="AD23" s="36">
        <v>407</v>
      </c>
      <c r="AE23" s="13">
        <v>10.119999999999999</v>
      </c>
      <c r="AF23" s="13">
        <v>1</v>
      </c>
      <c r="AG23" s="184">
        <v>2.1800000000000002</v>
      </c>
      <c r="AH23" s="37">
        <v>6.54</v>
      </c>
    </row>
    <row r="24" spans="1:34">
      <c r="A24" s="14">
        <f t="shared" si="0"/>
        <v>46009</v>
      </c>
      <c r="B24" s="38">
        <v>38.74</v>
      </c>
      <c r="C24" s="13">
        <v>17.02</v>
      </c>
      <c r="D24" s="13">
        <v>11.88</v>
      </c>
      <c r="E24" s="13">
        <v>22.71</v>
      </c>
      <c r="F24" s="13">
        <v>37.42</v>
      </c>
      <c r="G24" s="13">
        <v>48.5</v>
      </c>
      <c r="H24" s="12">
        <v>383</v>
      </c>
      <c r="I24" s="12">
        <v>10.08</v>
      </c>
      <c r="J24" s="13">
        <v>1.5</v>
      </c>
      <c r="K24" s="184">
        <v>2.274</v>
      </c>
      <c r="L24" s="26">
        <v>6.57</v>
      </c>
      <c r="M24" s="22"/>
      <c r="N24" s="38">
        <v>38.74</v>
      </c>
      <c r="O24" s="13">
        <v>17</v>
      </c>
      <c r="P24" s="13">
        <v>10.73</v>
      </c>
      <c r="Q24" s="13">
        <v>20.72</v>
      </c>
      <c r="R24" s="13">
        <v>36.200000000000003</v>
      </c>
      <c r="S24" s="13">
        <v>47.98</v>
      </c>
      <c r="T24" s="36">
        <v>377</v>
      </c>
      <c r="U24" s="13">
        <v>9.6</v>
      </c>
      <c r="V24" s="13">
        <v>23</v>
      </c>
      <c r="W24" s="184">
        <v>2.2949999999999999</v>
      </c>
      <c r="X24" s="37">
        <v>7.55</v>
      </c>
      <c r="Y24" s="22"/>
      <c r="Z24" s="38">
        <v>11.32</v>
      </c>
      <c r="AA24" s="13">
        <v>20.51</v>
      </c>
      <c r="AB24" s="13">
        <v>36.24</v>
      </c>
      <c r="AC24" s="13">
        <v>48.85</v>
      </c>
      <c r="AD24" s="36">
        <v>387</v>
      </c>
      <c r="AE24" s="13">
        <v>10.8</v>
      </c>
      <c r="AF24" s="13">
        <v>6</v>
      </c>
      <c r="AG24" s="184">
        <v>2.2280000000000002</v>
      </c>
      <c r="AH24" s="37">
        <v>6.78</v>
      </c>
    </row>
    <row r="25" spans="1:34">
      <c r="A25" s="14">
        <f t="shared" si="0"/>
        <v>46010</v>
      </c>
      <c r="B25" s="38">
        <v>35.700000000000003</v>
      </c>
      <c r="C25" s="13">
        <v>17.32</v>
      </c>
      <c r="D25" s="13">
        <v>11.41</v>
      </c>
      <c r="E25" s="13">
        <v>22.61</v>
      </c>
      <c r="F25" s="13">
        <v>37.96</v>
      </c>
      <c r="G25" s="13">
        <v>47.38</v>
      </c>
      <c r="H25" s="12">
        <v>367</v>
      </c>
      <c r="I25" s="12">
        <v>7.56</v>
      </c>
      <c r="J25" s="13">
        <v>1</v>
      </c>
      <c r="K25" s="184">
        <v>2.327</v>
      </c>
      <c r="L25" s="26">
        <v>6.12</v>
      </c>
      <c r="M25" s="22"/>
      <c r="N25" s="38">
        <v>35.700000000000003</v>
      </c>
      <c r="O25" s="13">
        <v>17.940000000000001</v>
      </c>
      <c r="P25" s="13">
        <v>11.26</v>
      </c>
      <c r="Q25" s="13">
        <v>21.16</v>
      </c>
      <c r="R25" s="13">
        <v>34.28</v>
      </c>
      <c r="S25" s="13">
        <v>46.73</v>
      </c>
      <c r="T25" s="36">
        <v>372</v>
      </c>
      <c r="U25" s="13">
        <v>8.8000000000000007</v>
      </c>
      <c r="V25" s="13">
        <v>0.5</v>
      </c>
      <c r="W25" s="184">
        <v>2.2229999999999999</v>
      </c>
      <c r="X25" s="37">
        <v>6.14</v>
      </c>
      <c r="Y25" s="22"/>
      <c r="Z25" s="38">
        <v>11.53</v>
      </c>
      <c r="AA25" s="13">
        <v>22.6</v>
      </c>
      <c r="AB25" s="13">
        <v>38.07</v>
      </c>
      <c r="AC25" s="13">
        <v>46.52</v>
      </c>
      <c r="AD25" s="36">
        <v>388</v>
      </c>
      <c r="AE25" s="13">
        <v>7.88</v>
      </c>
      <c r="AF25" s="13">
        <v>0.5</v>
      </c>
      <c r="AG25" s="184">
        <v>2.2890000000000001</v>
      </c>
      <c r="AH25" s="37">
        <v>6.47</v>
      </c>
    </row>
    <row r="26" spans="1:34">
      <c r="A26" s="14">
        <f t="shared" si="0"/>
        <v>46011</v>
      </c>
      <c r="B26" s="38">
        <v>34.659999999999997</v>
      </c>
      <c r="C26" s="13">
        <v>16.559999999999999</v>
      </c>
      <c r="D26" s="13">
        <v>12.25</v>
      </c>
      <c r="E26" s="13">
        <v>23.7</v>
      </c>
      <c r="F26" s="13">
        <v>38.770000000000003</v>
      </c>
      <c r="G26" s="13">
        <v>45.15</v>
      </c>
      <c r="H26" s="12">
        <v>400</v>
      </c>
      <c r="I26" s="13">
        <v>8.0399999999999991</v>
      </c>
      <c r="J26" s="13">
        <v>15</v>
      </c>
      <c r="K26" s="184">
        <v>2.2200000000000002</v>
      </c>
      <c r="L26" s="26">
        <v>7.08</v>
      </c>
      <c r="M26" s="22"/>
      <c r="N26" s="38">
        <v>34.659999999999997</v>
      </c>
      <c r="O26" s="13">
        <v>18.079999999999998</v>
      </c>
      <c r="P26" s="13">
        <v>12.52</v>
      </c>
      <c r="Q26" s="13">
        <v>22.87</v>
      </c>
      <c r="R26" s="13">
        <v>37.32</v>
      </c>
      <c r="S26" s="13">
        <v>47.08</v>
      </c>
      <c r="T26" s="36">
        <v>360</v>
      </c>
      <c r="U26" s="13">
        <v>9.76</v>
      </c>
      <c r="V26" s="13">
        <v>15.5</v>
      </c>
      <c r="W26" s="184">
        <v>2.15</v>
      </c>
      <c r="X26" s="37">
        <v>5.76</v>
      </c>
      <c r="Y26" s="22"/>
      <c r="Z26" s="38">
        <v>12.66</v>
      </c>
      <c r="AA26" s="13">
        <v>21.43</v>
      </c>
      <c r="AB26" s="13">
        <v>36.86</v>
      </c>
      <c r="AC26" s="13">
        <v>45.19</v>
      </c>
      <c r="AD26" s="36">
        <v>384</v>
      </c>
      <c r="AE26" s="13">
        <v>9.32</v>
      </c>
      <c r="AF26" s="13">
        <v>6.5</v>
      </c>
      <c r="AG26" s="184">
        <v>2.21</v>
      </c>
      <c r="AH26" s="37">
        <v>6.45</v>
      </c>
    </row>
    <row r="27" spans="1:34">
      <c r="A27" s="14">
        <f t="shared" si="0"/>
        <v>46012</v>
      </c>
      <c r="B27" s="38">
        <v>37.979999999999997</v>
      </c>
      <c r="C27" s="13">
        <v>16.690000000000001</v>
      </c>
      <c r="D27" s="13">
        <v>10.84</v>
      </c>
      <c r="E27" s="13">
        <v>19.61</v>
      </c>
      <c r="F27" s="13">
        <v>35.24</v>
      </c>
      <c r="G27" s="13">
        <v>46.64</v>
      </c>
      <c r="H27" s="36">
        <v>382</v>
      </c>
      <c r="I27" s="12">
        <v>9.52</v>
      </c>
      <c r="J27" s="13">
        <v>1</v>
      </c>
      <c r="K27" s="184">
        <v>1.94</v>
      </c>
      <c r="L27" s="26">
        <v>6.26</v>
      </c>
      <c r="M27" s="22"/>
      <c r="N27" s="38">
        <v>37.979999999999997</v>
      </c>
      <c r="O27" s="13">
        <v>16.670000000000002</v>
      </c>
      <c r="P27" s="13">
        <v>11.55</v>
      </c>
      <c r="Q27" s="13">
        <v>19.14</v>
      </c>
      <c r="R27" s="13">
        <v>34.47</v>
      </c>
      <c r="S27" s="13">
        <v>46.73</v>
      </c>
      <c r="T27" s="36">
        <v>374</v>
      </c>
      <c r="U27" s="13">
        <v>9.64</v>
      </c>
      <c r="V27" s="13">
        <v>2</v>
      </c>
      <c r="W27" s="184">
        <v>2.0499999999999998</v>
      </c>
      <c r="X27" s="37">
        <v>6.59</v>
      </c>
      <c r="Y27" s="22"/>
      <c r="Z27" s="38">
        <v>10.56</v>
      </c>
      <c r="AA27" s="13">
        <v>20.64</v>
      </c>
      <c r="AB27" s="13">
        <v>36.04</v>
      </c>
      <c r="AC27" s="13">
        <v>46.79</v>
      </c>
      <c r="AD27" s="36">
        <v>398</v>
      </c>
      <c r="AE27" s="13">
        <v>8.76</v>
      </c>
      <c r="AF27" s="13">
        <v>0.5</v>
      </c>
      <c r="AG27" s="184">
        <v>2.11</v>
      </c>
      <c r="AH27" s="37">
        <v>6.99</v>
      </c>
    </row>
    <row r="28" spans="1:34">
      <c r="A28" s="14">
        <f t="shared" si="0"/>
        <v>46013</v>
      </c>
      <c r="B28" s="38">
        <v>32.380000000000003</v>
      </c>
      <c r="C28" s="13">
        <v>16.07</v>
      </c>
      <c r="D28" s="13">
        <v>11.43</v>
      </c>
      <c r="E28" s="13">
        <v>20.39</v>
      </c>
      <c r="F28" s="13">
        <v>37.020000000000003</v>
      </c>
      <c r="G28" s="13">
        <v>48.54</v>
      </c>
      <c r="H28" s="12">
        <v>386</v>
      </c>
      <c r="I28" s="13">
        <v>8.0399999999999991</v>
      </c>
      <c r="J28" s="13">
        <v>1.5</v>
      </c>
      <c r="K28" s="184">
        <v>2.2000000000000002</v>
      </c>
      <c r="L28" s="26">
        <v>7.28</v>
      </c>
      <c r="M28" s="22"/>
      <c r="N28" s="38">
        <v>32.380000000000003</v>
      </c>
      <c r="O28" s="13">
        <v>15.97</v>
      </c>
      <c r="P28" s="13">
        <v>11.67</v>
      </c>
      <c r="Q28" s="13">
        <v>20.93</v>
      </c>
      <c r="R28" s="13">
        <v>38.159999999999997</v>
      </c>
      <c r="S28" s="13">
        <v>46.27</v>
      </c>
      <c r="T28" s="36">
        <v>389</v>
      </c>
      <c r="U28" s="13">
        <v>10.28</v>
      </c>
      <c r="V28" s="13">
        <v>0.5</v>
      </c>
      <c r="W28" s="184">
        <v>2.25</v>
      </c>
      <c r="X28" s="37">
        <v>6.01</v>
      </c>
      <c r="Y28" s="22"/>
      <c r="Z28" s="38">
        <v>11.8</v>
      </c>
      <c r="AA28" s="13">
        <v>21.95</v>
      </c>
      <c r="AB28" s="13">
        <v>37.159999999999997</v>
      </c>
      <c r="AC28" s="13">
        <v>47.74</v>
      </c>
      <c r="AD28" s="36">
        <v>394</v>
      </c>
      <c r="AE28" s="13">
        <v>9.8000000000000007</v>
      </c>
      <c r="AF28" s="13">
        <v>0.5</v>
      </c>
      <c r="AG28" s="184">
        <v>2.15</v>
      </c>
      <c r="AH28" s="37">
        <v>5.99</v>
      </c>
    </row>
    <row r="29" spans="1:34">
      <c r="A29" s="14">
        <f t="shared" si="0"/>
        <v>46014</v>
      </c>
      <c r="B29" s="38">
        <v>36.29</v>
      </c>
      <c r="C29" s="13">
        <v>16.75</v>
      </c>
      <c r="D29" s="13">
        <v>11.83</v>
      </c>
      <c r="E29" s="13">
        <v>22.08</v>
      </c>
      <c r="F29" s="13">
        <v>36.89</v>
      </c>
      <c r="G29" s="13">
        <v>47.04</v>
      </c>
      <c r="H29" s="12">
        <v>360</v>
      </c>
      <c r="I29" s="13">
        <v>7.2</v>
      </c>
      <c r="J29" s="13">
        <v>0.5</v>
      </c>
      <c r="K29" s="184">
        <v>2.1160000000000001</v>
      </c>
      <c r="L29" s="26">
        <v>5.92</v>
      </c>
      <c r="M29" s="22"/>
      <c r="N29" s="38">
        <v>36.29</v>
      </c>
      <c r="O29" s="13">
        <v>16.05</v>
      </c>
      <c r="P29" s="13">
        <v>11.41</v>
      </c>
      <c r="Q29" s="13">
        <v>21.68</v>
      </c>
      <c r="R29" s="13">
        <v>32.81</v>
      </c>
      <c r="S29" s="13">
        <v>46.52</v>
      </c>
      <c r="T29" s="36">
        <v>374</v>
      </c>
      <c r="U29" s="13">
        <v>9.8000000000000007</v>
      </c>
      <c r="V29" s="13">
        <v>0.5</v>
      </c>
      <c r="W29" s="184">
        <v>2.1890000000000001</v>
      </c>
      <c r="X29" s="37">
        <v>6.57</v>
      </c>
      <c r="Y29" s="22"/>
      <c r="Z29" s="38">
        <v>12.23</v>
      </c>
      <c r="AA29" s="13">
        <v>21.41</v>
      </c>
      <c r="AB29" s="13">
        <v>34.96</v>
      </c>
      <c r="AC29" s="13">
        <v>47.93</v>
      </c>
      <c r="AD29" s="36">
        <v>364</v>
      </c>
      <c r="AE29" s="13">
        <v>9.24</v>
      </c>
      <c r="AF29" s="13">
        <v>0.5</v>
      </c>
      <c r="AG29" s="184">
        <v>2.198</v>
      </c>
      <c r="AH29" s="37">
        <v>6.17</v>
      </c>
    </row>
    <row r="30" spans="1:34">
      <c r="A30" s="14">
        <f t="shared" si="0"/>
        <v>46015</v>
      </c>
      <c r="B30" s="38">
        <v>36.67</v>
      </c>
      <c r="C30" s="13">
        <v>15.96</v>
      </c>
      <c r="D30" s="13">
        <v>10.98</v>
      </c>
      <c r="E30" s="13">
        <v>21.4</v>
      </c>
      <c r="F30" s="13">
        <v>35.770000000000003</v>
      </c>
      <c r="G30" s="13">
        <v>48.94</v>
      </c>
      <c r="H30" s="12">
        <v>378</v>
      </c>
      <c r="I30" s="13">
        <v>9.9600000000000009</v>
      </c>
      <c r="J30" s="12">
        <v>0.5</v>
      </c>
      <c r="K30" s="185">
        <v>2.21</v>
      </c>
      <c r="L30" s="26">
        <v>5.4</v>
      </c>
      <c r="M30" s="22"/>
      <c r="N30" s="38">
        <v>36.67</v>
      </c>
      <c r="O30" s="13">
        <v>13.12</v>
      </c>
      <c r="P30" s="13">
        <v>10.050000000000001</v>
      </c>
      <c r="Q30" s="13">
        <v>20.52</v>
      </c>
      <c r="R30" s="13">
        <v>31.31</v>
      </c>
      <c r="S30" s="13">
        <v>47.79</v>
      </c>
      <c r="T30" s="36">
        <v>364</v>
      </c>
      <c r="U30" s="13">
        <v>9.1999999999999993</v>
      </c>
      <c r="V30" s="13">
        <v>0.5</v>
      </c>
      <c r="W30" s="185">
        <v>2.109</v>
      </c>
      <c r="X30" s="37">
        <v>6.54</v>
      </c>
      <c r="Y30" s="22"/>
      <c r="Z30" s="38">
        <v>12.03</v>
      </c>
      <c r="AA30" s="13">
        <v>21.48</v>
      </c>
      <c r="AB30" s="13">
        <v>36.64</v>
      </c>
      <c r="AC30" s="13">
        <v>46.32</v>
      </c>
      <c r="AD30" s="36">
        <v>371</v>
      </c>
      <c r="AE30" s="13">
        <v>9.6</v>
      </c>
      <c r="AF30" s="13">
        <v>0.5</v>
      </c>
      <c r="AG30" s="184">
        <v>2.1</v>
      </c>
      <c r="AH30" s="37">
        <v>5.69</v>
      </c>
    </row>
    <row r="31" spans="1:34">
      <c r="A31" s="14">
        <f t="shared" si="0"/>
        <v>46016</v>
      </c>
      <c r="B31" s="38">
        <v>37.44</v>
      </c>
      <c r="C31" s="13">
        <v>16.07</v>
      </c>
      <c r="D31" s="13">
        <v>12.38</v>
      </c>
      <c r="E31" s="13">
        <v>20.11</v>
      </c>
      <c r="F31" s="13">
        <v>35.36</v>
      </c>
      <c r="G31" s="13">
        <v>46.76</v>
      </c>
      <c r="H31" s="36">
        <v>342</v>
      </c>
      <c r="I31" s="13">
        <v>7.8</v>
      </c>
      <c r="J31" s="13">
        <v>1</v>
      </c>
      <c r="K31" s="184">
        <v>2.0699999999999998</v>
      </c>
      <c r="L31" s="37">
        <v>6.6</v>
      </c>
      <c r="M31" s="22"/>
      <c r="N31" s="29">
        <v>37.44</v>
      </c>
      <c r="O31" s="13">
        <v>15.85</v>
      </c>
      <c r="P31" s="13">
        <v>11.58</v>
      </c>
      <c r="Q31" s="13">
        <v>21.59</v>
      </c>
      <c r="R31" s="13">
        <v>38.78</v>
      </c>
      <c r="S31" s="13">
        <v>45.76</v>
      </c>
      <c r="T31" s="36">
        <v>344</v>
      </c>
      <c r="U31" s="13">
        <v>10.4</v>
      </c>
      <c r="V31" s="13">
        <v>0.5</v>
      </c>
      <c r="W31" s="184">
        <v>1.97</v>
      </c>
      <c r="X31" s="37">
        <v>6.18</v>
      </c>
      <c r="Y31" s="22"/>
      <c r="Z31" s="38">
        <v>12.7</v>
      </c>
      <c r="AA31" s="13">
        <v>22.34</v>
      </c>
      <c r="AB31" s="13">
        <v>38.08</v>
      </c>
      <c r="AC31" s="13">
        <v>47.96</v>
      </c>
      <c r="AD31" s="36">
        <v>359</v>
      </c>
      <c r="AE31" s="13">
        <v>8.58</v>
      </c>
      <c r="AF31" s="13">
        <v>1</v>
      </c>
      <c r="AG31" s="184">
        <v>2.0099999999999998</v>
      </c>
      <c r="AH31" s="37">
        <v>6.29</v>
      </c>
    </row>
    <row r="32" spans="1:34">
      <c r="A32" s="14">
        <f t="shared" si="0"/>
        <v>46017</v>
      </c>
      <c r="B32" s="38">
        <v>37.99</v>
      </c>
      <c r="C32" s="13">
        <v>16.05</v>
      </c>
      <c r="D32" s="13">
        <v>12.78</v>
      </c>
      <c r="E32" s="13">
        <v>22.82</v>
      </c>
      <c r="F32" s="13">
        <v>38.64</v>
      </c>
      <c r="G32" s="13">
        <v>47.4</v>
      </c>
      <c r="H32" s="36">
        <v>425</v>
      </c>
      <c r="I32" s="13">
        <v>8.1999999999999993</v>
      </c>
      <c r="J32" s="13">
        <v>1</v>
      </c>
      <c r="K32" s="184">
        <v>2.09</v>
      </c>
      <c r="L32" s="26">
        <v>6.93</v>
      </c>
      <c r="M32" s="22"/>
      <c r="N32" s="29">
        <v>37.99</v>
      </c>
      <c r="O32" s="13">
        <v>16.05</v>
      </c>
      <c r="P32" s="13">
        <v>13</v>
      </c>
      <c r="Q32" s="13">
        <v>22.59</v>
      </c>
      <c r="R32" s="13">
        <v>33.1</v>
      </c>
      <c r="S32" s="13">
        <v>48.74</v>
      </c>
      <c r="T32" s="36">
        <v>368</v>
      </c>
      <c r="U32" s="13">
        <v>7.64</v>
      </c>
      <c r="V32" s="13">
        <v>1.5</v>
      </c>
      <c r="W32" s="184">
        <v>2.04</v>
      </c>
      <c r="X32" s="51">
        <v>6.76</v>
      </c>
      <c r="Y32" s="22"/>
      <c r="Z32" s="38">
        <v>11.94</v>
      </c>
      <c r="AA32" s="13">
        <v>22.7</v>
      </c>
      <c r="AB32" s="13">
        <v>32.74</v>
      </c>
      <c r="AC32" s="13">
        <v>47.78</v>
      </c>
      <c r="AD32" s="36">
        <v>392</v>
      </c>
      <c r="AE32" s="13">
        <v>9.76</v>
      </c>
      <c r="AF32" s="13">
        <v>1</v>
      </c>
      <c r="AG32" s="184">
        <v>1.98</v>
      </c>
      <c r="AH32" s="51">
        <v>6.45</v>
      </c>
    </row>
    <row r="33" spans="1:34">
      <c r="A33" s="14">
        <f t="shared" si="0"/>
        <v>46018</v>
      </c>
      <c r="B33" s="38">
        <v>39.4</v>
      </c>
      <c r="C33" s="13">
        <v>17</v>
      </c>
      <c r="D33" s="13">
        <v>12.78</v>
      </c>
      <c r="E33" s="13">
        <v>22.35</v>
      </c>
      <c r="F33" s="13">
        <v>36.729999999999997</v>
      </c>
      <c r="G33" s="13">
        <v>46.45</v>
      </c>
      <c r="H33" s="36">
        <v>379</v>
      </c>
      <c r="I33" s="13">
        <v>9.48</v>
      </c>
      <c r="J33" s="12">
        <v>1.5</v>
      </c>
      <c r="K33" s="185">
        <v>2.2000000000000002</v>
      </c>
      <c r="L33" s="26">
        <v>6.91</v>
      </c>
      <c r="M33" s="22"/>
      <c r="N33" s="29">
        <v>39.4</v>
      </c>
      <c r="O33" s="13">
        <v>17</v>
      </c>
      <c r="P33" s="13">
        <v>12.19</v>
      </c>
      <c r="Q33" s="13">
        <v>21.2</v>
      </c>
      <c r="R33" s="13">
        <v>39.4</v>
      </c>
      <c r="S33" s="13">
        <v>45.28</v>
      </c>
      <c r="T33" s="36">
        <v>381</v>
      </c>
      <c r="U33" s="13">
        <v>9.08</v>
      </c>
      <c r="V33" s="13">
        <v>1</v>
      </c>
      <c r="W33" s="185">
        <v>2.12</v>
      </c>
      <c r="X33" s="37">
        <v>6.33</v>
      </c>
      <c r="Y33" s="22"/>
      <c r="Z33" s="38">
        <v>12.4</v>
      </c>
      <c r="AA33" s="13">
        <v>22.7</v>
      </c>
      <c r="AB33" s="13">
        <v>37.5</v>
      </c>
      <c r="AC33" s="13">
        <v>47.66</v>
      </c>
      <c r="AD33" s="36">
        <v>401</v>
      </c>
      <c r="AE33" s="13">
        <v>8.52</v>
      </c>
      <c r="AF33" s="13">
        <v>1</v>
      </c>
      <c r="AG33" s="184">
        <v>2.12</v>
      </c>
      <c r="AH33" s="37">
        <v>4.1900000000000004</v>
      </c>
    </row>
    <row r="34" spans="1:34">
      <c r="A34" s="14">
        <f t="shared" si="0"/>
        <v>46019</v>
      </c>
      <c r="B34" s="38">
        <v>38.75</v>
      </c>
      <c r="C34" s="13">
        <v>16.2</v>
      </c>
      <c r="D34" s="13">
        <v>11.8</v>
      </c>
      <c r="E34" s="13">
        <v>20.49</v>
      </c>
      <c r="F34" s="13">
        <v>39.909999999999997</v>
      </c>
      <c r="G34" s="13">
        <v>48.3</v>
      </c>
      <c r="H34" s="12">
        <v>373</v>
      </c>
      <c r="I34" s="13">
        <v>9.56</v>
      </c>
      <c r="J34" s="12">
        <v>0.5</v>
      </c>
      <c r="K34" s="185">
        <v>1.98</v>
      </c>
      <c r="L34" s="26">
        <v>5.6</v>
      </c>
      <c r="M34" s="22"/>
      <c r="N34" s="29">
        <v>38.75</v>
      </c>
      <c r="O34" s="13">
        <v>17</v>
      </c>
      <c r="P34" s="13">
        <v>11.84</v>
      </c>
      <c r="Q34" s="13">
        <v>21.13</v>
      </c>
      <c r="R34" s="13">
        <v>39.299999999999997</v>
      </c>
      <c r="S34" s="13">
        <v>48.06</v>
      </c>
      <c r="T34" s="36">
        <v>393</v>
      </c>
      <c r="U34" s="13">
        <v>9</v>
      </c>
      <c r="V34" s="13">
        <v>0.5</v>
      </c>
      <c r="W34" s="185">
        <v>2.06</v>
      </c>
      <c r="X34" s="37">
        <v>6.77</v>
      </c>
      <c r="Y34" s="22"/>
      <c r="Z34" s="38">
        <v>11.45</v>
      </c>
      <c r="AA34" s="13">
        <v>20.89</v>
      </c>
      <c r="AB34" s="13">
        <v>40.14</v>
      </c>
      <c r="AC34" s="13">
        <v>46.59</v>
      </c>
      <c r="AD34" s="36">
        <v>390</v>
      </c>
      <c r="AE34" s="13">
        <v>10.08</v>
      </c>
      <c r="AF34" s="13">
        <v>0.5</v>
      </c>
      <c r="AG34" s="184">
        <v>1.99</v>
      </c>
      <c r="AH34" s="37">
        <v>6.38</v>
      </c>
    </row>
    <row r="35" spans="1:34">
      <c r="A35" s="14">
        <f t="shared" si="0"/>
        <v>46020</v>
      </c>
      <c r="B35" s="38">
        <v>40.01</v>
      </c>
      <c r="C35" s="13">
        <v>16</v>
      </c>
      <c r="D35" s="13">
        <v>11.56</v>
      </c>
      <c r="E35" s="13">
        <v>20.94</v>
      </c>
      <c r="F35" s="13">
        <v>35.1</v>
      </c>
      <c r="G35" s="13">
        <v>46.66</v>
      </c>
      <c r="H35" s="12">
        <v>376</v>
      </c>
      <c r="I35" s="13">
        <v>7.36</v>
      </c>
      <c r="J35" s="59">
        <v>0.5</v>
      </c>
      <c r="K35" s="186">
        <v>2.06</v>
      </c>
      <c r="L35" s="26">
        <v>5.58</v>
      </c>
      <c r="M35" s="22"/>
      <c r="N35" s="29">
        <v>40.01</v>
      </c>
      <c r="O35" s="13">
        <v>16</v>
      </c>
      <c r="P35" s="13">
        <v>11.64</v>
      </c>
      <c r="Q35" s="13">
        <v>20.46</v>
      </c>
      <c r="R35" s="13">
        <v>38.090000000000003</v>
      </c>
      <c r="S35" s="13">
        <v>46.91</v>
      </c>
      <c r="T35" s="36">
        <v>390</v>
      </c>
      <c r="U35" s="13">
        <v>11.36</v>
      </c>
      <c r="V35" s="13">
        <v>1.5</v>
      </c>
      <c r="W35" s="186">
        <v>2.1</v>
      </c>
      <c r="X35" s="37">
        <v>6.28</v>
      </c>
      <c r="Y35" s="22"/>
      <c r="Z35" s="38">
        <v>11.87</v>
      </c>
      <c r="AA35" s="13">
        <v>20.69</v>
      </c>
      <c r="AB35" s="13">
        <v>36.99</v>
      </c>
      <c r="AC35" s="13">
        <v>47.02</v>
      </c>
      <c r="AD35" s="36">
        <v>395</v>
      </c>
      <c r="AE35" s="13">
        <v>10.08</v>
      </c>
      <c r="AF35" s="13">
        <v>1</v>
      </c>
      <c r="AG35" s="184">
        <v>2.0299999999999998</v>
      </c>
      <c r="AH35" s="37">
        <v>5.75</v>
      </c>
    </row>
    <row r="36" spans="1:34">
      <c r="A36" s="14">
        <f t="shared" si="0"/>
        <v>46021</v>
      </c>
      <c r="B36" s="38">
        <v>38.229999999999997</v>
      </c>
      <c r="C36" s="13">
        <v>16</v>
      </c>
      <c r="D36" s="13">
        <v>11.56</v>
      </c>
      <c r="E36" s="13">
        <v>21.94</v>
      </c>
      <c r="F36" s="13">
        <v>36.14</v>
      </c>
      <c r="G36" s="13">
        <v>46.73</v>
      </c>
      <c r="H36" s="12">
        <v>379</v>
      </c>
      <c r="I36" s="13">
        <v>8.74</v>
      </c>
      <c r="J36" s="12">
        <v>0.5</v>
      </c>
      <c r="K36" s="185">
        <v>2.1</v>
      </c>
      <c r="L36" s="26">
        <v>5.84</v>
      </c>
      <c r="M36" s="22"/>
      <c r="N36" s="29">
        <v>38.229999999999997</v>
      </c>
      <c r="O36" s="13">
        <v>16</v>
      </c>
      <c r="P36" s="47">
        <v>11.03</v>
      </c>
      <c r="Q36" s="47">
        <v>21.15</v>
      </c>
      <c r="R36" s="47">
        <v>37.58</v>
      </c>
      <c r="S36" s="47">
        <v>48.88</v>
      </c>
      <c r="T36" s="52">
        <v>385</v>
      </c>
      <c r="U36" s="47">
        <v>9.1199999999999992</v>
      </c>
      <c r="V36" s="53">
        <v>0.5</v>
      </c>
      <c r="W36" s="184">
        <v>2.2599999999999998</v>
      </c>
      <c r="X36" s="48">
        <v>5.38</v>
      </c>
      <c r="Y36" s="22"/>
      <c r="Z36" s="38">
        <v>11.71</v>
      </c>
      <c r="AA36" s="13">
        <v>22</v>
      </c>
      <c r="AB36" s="47">
        <v>34.33</v>
      </c>
      <c r="AC36" s="47">
        <v>46.86</v>
      </c>
      <c r="AD36" s="52">
        <v>382</v>
      </c>
      <c r="AE36" s="13">
        <v>9.7100000000000009</v>
      </c>
      <c r="AF36" s="53">
        <v>0.5</v>
      </c>
      <c r="AG36" s="53">
        <v>2.11</v>
      </c>
      <c r="AH36" s="37">
        <v>5.37</v>
      </c>
    </row>
    <row r="37" spans="1:34" ht="15.75" thickBot="1">
      <c r="A37" s="15">
        <f t="shared" si="0"/>
        <v>46022</v>
      </c>
      <c r="B37" s="39">
        <v>38.549999999999997</v>
      </c>
      <c r="C37" s="47">
        <v>17.5</v>
      </c>
      <c r="D37" s="47">
        <v>11.82</v>
      </c>
      <c r="E37" s="47">
        <v>20.53</v>
      </c>
      <c r="F37" s="47">
        <v>34.6</v>
      </c>
      <c r="G37" s="47">
        <v>46.42</v>
      </c>
      <c r="H37" s="58">
        <v>387</v>
      </c>
      <c r="I37" s="47">
        <v>9.08</v>
      </c>
      <c r="J37" s="58">
        <v>0.5</v>
      </c>
      <c r="K37" s="187">
        <v>2.15</v>
      </c>
      <c r="L37" s="60">
        <v>6.15</v>
      </c>
      <c r="M37" s="22"/>
      <c r="N37" s="56">
        <v>38.549999999999997</v>
      </c>
      <c r="O37" s="47">
        <v>17.5</v>
      </c>
      <c r="P37" s="47">
        <v>11.9</v>
      </c>
      <c r="Q37" s="47">
        <v>20.21</v>
      </c>
      <c r="R37" s="47">
        <v>37.14</v>
      </c>
      <c r="S37" s="47">
        <v>46.88</v>
      </c>
      <c r="T37" s="52">
        <v>373</v>
      </c>
      <c r="U37" s="47">
        <v>8.32</v>
      </c>
      <c r="V37" s="47">
        <v>0.5</v>
      </c>
      <c r="W37" s="184">
        <v>1.92</v>
      </c>
      <c r="X37" s="48">
        <v>5.9</v>
      </c>
      <c r="Y37" s="22"/>
      <c r="Z37" s="39">
        <v>11.26</v>
      </c>
      <c r="AA37" s="47">
        <v>21.92</v>
      </c>
      <c r="AB37" s="47">
        <v>34.17</v>
      </c>
      <c r="AC37" s="47">
        <v>48.2</v>
      </c>
      <c r="AD37" s="52">
        <v>384</v>
      </c>
      <c r="AE37" s="47">
        <v>8.16</v>
      </c>
      <c r="AF37" s="47">
        <v>0.5</v>
      </c>
      <c r="AG37" s="53">
        <v>2</v>
      </c>
      <c r="AH37" s="48">
        <v>6.18</v>
      </c>
    </row>
    <row r="38" spans="1:34">
      <c r="A38" s="16" t="s">
        <v>31</v>
      </c>
      <c r="B38" s="17">
        <f>MIN(B7:B37)</f>
        <v>32.380000000000003</v>
      </c>
      <c r="C38" s="17">
        <f>MIN(C7:C37)</f>
        <v>15.96</v>
      </c>
      <c r="D38" s="17">
        <f t="shared" ref="D38:L38" si="1">MIN(D7:D37)</f>
        <v>10</v>
      </c>
      <c r="E38" s="17">
        <f t="shared" si="1"/>
        <v>19.260000000000002</v>
      </c>
      <c r="F38" s="17">
        <f t="shared" si="1"/>
        <v>31.71</v>
      </c>
      <c r="G38" s="17">
        <f t="shared" si="1"/>
        <v>45.15</v>
      </c>
      <c r="H38" s="197">
        <f t="shared" ref="H38:K38" si="2">MIN(H7:H37)</f>
        <v>341</v>
      </c>
      <c r="I38" s="17">
        <f t="shared" si="2"/>
        <v>7.2</v>
      </c>
      <c r="J38" s="17">
        <f t="shared" si="2"/>
        <v>0.5</v>
      </c>
      <c r="K38" s="17">
        <f t="shared" si="2"/>
        <v>1.905</v>
      </c>
      <c r="L38" s="30">
        <f t="shared" si="1"/>
        <v>5.0999999999999996</v>
      </c>
      <c r="M38" s="22"/>
      <c r="N38" s="17">
        <f>MIN(N7:N37)</f>
        <v>32.380000000000003</v>
      </c>
      <c r="O38" s="17">
        <f>MIN(O7:O37)</f>
        <v>13.12</v>
      </c>
      <c r="P38" s="17">
        <f t="shared" ref="P38:X38" si="3">MIN(P7:P37)</f>
        <v>9.5299999999999994</v>
      </c>
      <c r="Q38" s="17">
        <f t="shared" si="3"/>
        <v>18.239999999999998</v>
      </c>
      <c r="R38" s="17">
        <f t="shared" si="3"/>
        <v>29.46</v>
      </c>
      <c r="S38" s="17">
        <f t="shared" si="3"/>
        <v>45.28</v>
      </c>
      <c r="T38" s="197">
        <f t="shared" ref="T38:W38" si="4">MIN(T7:T37)</f>
        <v>344</v>
      </c>
      <c r="U38" s="17">
        <f t="shared" si="4"/>
        <v>6.92</v>
      </c>
      <c r="V38" s="17">
        <f t="shared" si="4"/>
        <v>0.5</v>
      </c>
      <c r="W38" s="17">
        <f t="shared" si="4"/>
        <v>1.7450000000000001</v>
      </c>
      <c r="X38" s="30">
        <f t="shared" si="3"/>
        <v>5.18</v>
      </c>
      <c r="Z38" s="40">
        <f t="shared" ref="Z38:AH38" si="5">MIN(Z7:Z37)</f>
        <v>9.3000000000000007</v>
      </c>
      <c r="AA38" s="17">
        <f t="shared" si="5"/>
        <v>18.39</v>
      </c>
      <c r="AB38" s="17">
        <f t="shared" ref="AB38:AG38" si="6">MIN(AB7:AB37)</f>
        <v>32.36</v>
      </c>
      <c r="AC38" s="17">
        <f t="shared" si="6"/>
        <v>45.19</v>
      </c>
      <c r="AD38" s="197">
        <f t="shared" si="6"/>
        <v>355</v>
      </c>
      <c r="AE38" s="17">
        <f t="shared" si="6"/>
        <v>6.28</v>
      </c>
      <c r="AF38" s="17">
        <f t="shared" si="6"/>
        <v>0.5</v>
      </c>
      <c r="AG38" s="17">
        <f t="shared" si="6"/>
        <v>1.8320000000000001</v>
      </c>
      <c r="AH38" s="30">
        <f t="shared" si="5"/>
        <v>4.1900000000000004</v>
      </c>
    </row>
    <row r="39" spans="1:34">
      <c r="A39" s="18" t="s">
        <v>33</v>
      </c>
      <c r="B39" s="19">
        <f>MAX(B7:B37)</f>
        <v>40.01</v>
      </c>
      <c r="C39" s="19">
        <f>MAX(C7:C37)</f>
        <v>17.98</v>
      </c>
      <c r="D39" s="19">
        <f t="shared" ref="D39:L39" si="7">MAX(D7:D37)</f>
        <v>12.78</v>
      </c>
      <c r="E39" s="19">
        <f t="shared" si="7"/>
        <v>23.7</v>
      </c>
      <c r="F39" s="19">
        <f t="shared" si="7"/>
        <v>39.909999999999997</v>
      </c>
      <c r="G39" s="19">
        <f t="shared" si="7"/>
        <v>49.52</v>
      </c>
      <c r="H39" s="198">
        <f t="shared" ref="H39:K39" si="8">MAX(H7:H37)</f>
        <v>432</v>
      </c>
      <c r="I39" s="19">
        <f t="shared" si="8"/>
        <v>11.24</v>
      </c>
      <c r="J39" s="19">
        <f t="shared" si="8"/>
        <v>15</v>
      </c>
      <c r="K39" s="19">
        <f t="shared" si="8"/>
        <v>2.4049999999999998</v>
      </c>
      <c r="L39" s="31">
        <f t="shared" si="7"/>
        <v>7.5</v>
      </c>
      <c r="M39" s="22"/>
      <c r="N39" s="19">
        <f>MAX(N7:N37)</f>
        <v>40.619999999999997</v>
      </c>
      <c r="O39" s="19">
        <f>MAX(O7:O37)</f>
        <v>18.079999999999998</v>
      </c>
      <c r="P39" s="19">
        <f t="shared" ref="P39:X39" si="9">MAX(P7:P37)</f>
        <v>13</v>
      </c>
      <c r="Q39" s="19">
        <f t="shared" si="9"/>
        <v>22.87</v>
      </c>
      <c r="R39" s="19">
        <f t="shared" si="9"/>
        <v>39.4</v>
      </c>
      <c r="S39" s="19">
        <f t="shared" si="9"/>
        <v>49.36</v>
      </c>
      <c r="T39" s="198">
        <f t="shared" ref="T39:W39" si="10">MAX(T7:T37)</f>
        <v>418</v>
      </c>
      <c r="U39" s="19">
        <f t="shared" si="10"/>
        <v>11.44</v>
      </c>
      <c r="V39" s="19">
        <f t="shared" si="10"/>
        <v>38.5</v>
      </c>
      <c r="W39" s="19">
        <f t="shared" si="10"/>
        <v>2.355</v>
      </c>
      <c r="X39" s="31">
        <f t="shared" si="9"/>
        <v>9.5</v>
      </c>
      <c r="Z39" s="41">
        <f t="shared" ref="Z39:AH39" si="11">MAX(Z7:Z37)</f>
        <v>12.7</v>
      </c>
      <c r="AA39" s="19">
        <f t="shared" si="11"/>
        <v>22.74</v>
      </c>
      <c r="AB39" s="19">
        <f t="shared" ref="AB39:AG39" si="12">MAX(AB7:AB37)</f>
        <v>40.36</v>
      </c>
      <c r="AC39" s="19">
        <f t="shared" si="12"/>
        <v>49.82</v>
      </c>
      <c r="AD39" s="198">
        <f t="shared" si="12"/>
        <v>407</v>
      </c>
      <c r="AE39" s="19">
        <f t="shared" si="12"/>
        <v>11.88</v>
      </c>
      <c r="AF39" s="19">
        <f t="shared" si="12"/>
        <v>6.5</v>
      </c>
      <c r="AG39" s="19">
        <f t="shared" si="12"/>
        <v>2.2999999999999998</v>
      </c>
      <c r="AH39" s="31">
        <f t="shared" si="11"/>
        <v>7.51</v>
      </c>
    </row>
    <row r="40" spans="1:34">
      <c r="A40" s="18" t="s">
        <v>36</v>
      </c>
      <c r="B40" s="19">
        <f t="shared" ref="B40:L40" si="13">AVERAGE(B7:B37)</f>
        <v>37.621935483870956</v>
      </c>
      <c r="C40" s="19">
        <f t="shared" si="13"/>
        <v>16.916451612903224</v>
      </c>
      <c r="D40" s="19">
        <f t="shared" si="13"/>
        <v>11.474193548387097</v>
      </c>
      <c r="E40" s="19">
        <f t="shared" si="13"/>
        <v>21.247096774193551</v>
      </c>
      <c r="F40" s="19">
        <f t="shared" si="13"/>
        <v>36.82</v>
      </c>
      <c r="G40" s="19">
        <f t="shared" si="13"/>
        <v>47.42354838709678</v>
      </c>
      <c r="H40" s="198">
        <f t="shared" ref="H40:K40" si="14">AVERAGE(H7:H37)</f>
        <v>385.90322580645159</v>
      </c>
      <c r="I40" s="19">
        <f t="shared" si="14"/>
        <v>9.0883870967741931</v>
      </c>
      <c r="J40" s="19">
        <f t="shared" si="14"/>
        <v>1.7096774193548387</v>
      </c>
      <c r="K40" s="19">
        <f t="shared" si="14"/>
        <v>2.1384838709677427</v>
      </c>
      <c r="L40" s="31">
        <f t="shared" si="13"/>
        <v>6.3390322580645169</v>
      </c>
      <c r="M40" s="22"/>
      <c r="N40" s="19">
        <f t="shared" ref="N40:X40" si="15">AVERAGE(N7:N37)</f>
        <v>37.834193548387084</v>
      </c>
      <c r="O40" s="19">
        <f t="shared" si="15"/>
        <v>16.928387096774195</v>
      </c>
      <c r="P40" s="19">
        <f t="shared" si="15"/>
        <v>11.26870967741935</v>
      </c>
      <c r="Q40" s="19">
        <f t="shared" si="15"/>
        <v>20.873548387096776</v>
      </c>
      <c r="R40" s="19">
        <f t="shared" si="15"/>
        <v>35.852580645161282</v>
      </c>
      <c r="S40" s="19">
        <f t="shared" si="15"/>
        <v>46.937419354838717</v>
      </c>
      <c r="T40" s="198">
        <f t="shared" ref="T40:W40" si="16">AVERAGE(T7:T37)</f>
        <v>376.61290322580646</v>
      </c>
      <c r="U40" s="19">
        <f t="shared" si="16"/>
        <v>9.4916129032258052</v>
      </c>
      <c r="V40" s="19">
        <f t="shared" si="16"/>
        <v>4.129032258064516</v>
      </c>
      <c r="W40" s="19">
        <f t="shared" si="16"/>
        <v>2.1321290322580642</v>
      </c>
      <c r="X40" s="31">
        <f t="shared" si="15"/>
        <v>6.4719354838709675</v>
      </c>
      <c r="Z40" s="41">
        <f>AVERAGE(Z7:Z37)</f>
        <v>11.48322580645161</v>
      </c>
      <c r="AA40" s="19">
        <f t="shared" ref="AA40:AH40" si="17">AVERAGE(AA7:AA37)</f>
        <v>21.305483870967745</v>
      </c>
      <c r="AB40" s="19">
        <f t="shared" ref="AB40:AG40" si="18">AVERAGE(AB7:AB37)</f>
        <v>36.600645161290323</v>
      </c>
      <c r="AC40" s="19">
        <f t="shared" si="18"/>
        <v>47.190322580645166</v>
      </c>
      <c r="AD40" s="198">
        <f t="shared" si="18"/>
        <v>385.06451612903226</v>
      </c>
      <c r="AE40" s="19">
        <f t="shared" si="18"/>
        <v>9.3519354838709692</v>
      </c>
      <c r="AF40" s="19">
        <f t="shared" si="18"/>
        <v>1.2096774193548387</v>
      </c>
      <c r="AG40" s="19">
        <f t="shared" si="18"/>
        <v>2.1223870967741933</v>
      </c>
      <c r="AH40" s="31">
        <f t="shared" si="17"/>
        <v>6.3012903225806456</v>
      </c>
    </row>
    <row r="41" spans="1:34" ht="15.75" thickBot="1">
      <c r="A41" s="20" t="s">
        <v>130</v>
      </c>
      <c r="B41" s="21">
        <f>STDEV(B7:B37)</f>
        <v>1.9430807486306183</v>
      </c>
      <c r="C41" s="21">
        <f t="shared" ref="C41:L41" si="19">STDEV(C7:C37)</f>
        <v>0.58992964771005685</v>
      </c>
      <c r="D41" s="21">
        <f t="shared" si="19"/>
        <v>0.75594873809250851</v>
      </c>
      <c r="E41" s="21">
        <f t="shared" si="19"/>
        <v>1.178168617101381</v>
      </c>
      <c r="F41" s="21">
        <f t="shared" si="19"/>
        <v>2.0072153181294059</v>
      </c>
      <c r="G41" s="21">
        <f t="shared" si="19"/>
        <v>0.95246889148534031</v>
      </c>
      <c r="H41" s="199">
        <f t="shared" ref="H41:K41" si="20">STDEV(H7:H37)</f>
        <v>20.922642979492618</v>
      </c>
      <c r="I41" s="21">
        <f t="shared" si="20"/>
        <v>1.0692274369038295</v>
      </c>
      <c r="J41" s="21">
        <f t="shared" si="20"/>
        <v>2.6856848709047103</v>
      </c>
      <c r="K41" s="21">
        <f t="shared" si="20"/>
        <v>0.1168973541097037</v>
      </c>
      <c r="L41" s="32">
        <f t="shared" si="19"/>
        <v>0.62146791195635998</v>
      </c>
      <c r="M41" s="22"/>
      <c r="N41" s="21">
        <f>STDEV(N7:N37)</f>
        <v>2.0636468919424309</v>
      </c>
      <c r="O41" s="21">
        <f t="shared" ref="O41:X41" si="21">STDEV(O7:O37)</f>
        <v>0.96613006982908745</v>
      </c>
      <c r="P41" s="21">
        <f t="shared" si="21"/>
        <v>0.72967454816278154</v>
      </c>
      <c r="Q41" s="21">
        <f t="shared" si="21"/>
        <v>1.1846252526631837</v>
      </c>
      <c r="R41" s="21">
        <f t="shared" si="21"/>
        <v>2.5577541812326099</v>
      </c>
      <c r="S41" s="21">
        <f t="shared" si="21"/>
        <v>1.004038404783189</v>
      </c>
      <c r="T41" s="199">
        <f t="shared" ref="T41:W41" si="22">STDEV(T7:T37)</f>
        <v>15.850714851082351</v>
      </c>
      <c r="U41" s="21">
        <f t="shared" si="22"/>
        <v>1.1118845766660996</v>
      </c>
      <c r="V41" s="21">
        <f t="shared" si="22"/>
        <v>8.1311825113115042</v>
      </c>
      <c r="W41" s="21">
        <f t="shared" si="22"/>
        <v>0.12485424620612198</v>
      </c>
      <c r="X41" s="32">
        <f t="shared" si="21"/>
        <v>0.76291729282990295</v>
      </c>
      <c r="Z41" s="42">
        <f>STDEV(Z7:Z37)</f>
        <v>0.88525095160176337</v>
      </c>
      <c r="AA41" s="21">
        <f t="shared" ref="AA41:AH41" si="23">STDEV(AA7:AA37)</f>
        <v>1.1266050438069153</v>
      </c>
      <c r="AB41" s="21">
        <f t="shared" ref="AB41:AG41" si="24">STDEV(AB7:AB37)</f>
        <v>1.915002063504321</v>
      </c>
      <c r="AC41" s="21">
        <f t="shared" si="24"/>
        <v>0.96966827273031109</v>
      </c>
      <c r="AD41" s="199">
        <f t="shared" si="24"/>
        <v>13.36895778503562</v>
      </c>
      <c r="AE41" s="21">
        <f t="shared" si="24"/>
        <v>1.1066538734847906</v>
      </c>
      <c r="AF41" s="21">
        <f t="shared" si="24"/>
        <v>1.4069718875916173</v>
      </c>
      <c r="AG41" s="21">
        <f t="shared" si="24"/>
        <v>0.10854113733798655</v>
      </c>
      <c r="AH41" s="32">
        <f t="shared" si="23"/>
        <v>0.64651755292223378</v>
      </c>
    </row>
    <row r="43" spans="1:34" ht="15.75" thickBot="1"/>
    <row r="44" spans="1:34" ht="15.75" thickBot="1">
      <c r="A44" s="1"/>
      <c r="B44" s="338" t="s">
        <v>0</v>
      </c>
      <c r="C44" s="339"/>
      <c r="D44" s="339"/>
      <c r="E44" s="339"/>
      <c r="F44" s="339"/>
      <c r="G44" s="339"/>
      <c r="H44" s="339"/>
      <c r="I44" s="339"/>
      <c r="J44" s="339"/>
      <c r="K44" s="339"/>
      <c r="L44" s="339"/>
      <c r="M44" s="339"/>
      <c r="N44" s="339"/>
      <c r="O44" s="339"/>
      <c r="P44" s="339"/>
      <c r="Q44" s="339"/>
      <c r="R44" s="339"/>
      <c r="S44" s="339"/>
      <c r="T44" s="339"/>
      <c r="U44" s="339"/>
      <c r="V44" s="339"/>
      <c r="W44" s="339"/>
      <c r="X44" s="339"/>
      <c r="Y44" s="339"/>
      <c r="Z44" s="339"/>
      <c r="AA44" s="339"/>
      <c r="AB44" s="339"/>
      <c r="AC44" s="339"/>
      <c r="AD44" s="340"/>
      <c r="AE44" s="340"/>
      <c r="AF44" s="340"/>
      <c r="AG44" s="340"/>
      <c r="AH44" s="340"/>
    </row>
    <row r="45" spans="1:34" ht="15.75" thickBot="1">
      <c r="A45" s="1"/>
      <c r="B45" s="338" t="s">
        <v>131</v>
      </c>
      <c r="C45" s="339"/>
      <c r="D45" s="339"/>
      <c r="E45" s="339"/>
      <c r="F45" s="339"/>
      <c r="G45" s="339"/>
      <c r="H45" s="339"/>
      <c r="I45" s="339"/>
      <c r="J45" s="339"/>
      <c r="K45" s="339"/>
      <c r="L45" s="339"/>
      <c r="M45" s="339"/>
      <c r="N45" s="339"/>
      <c r="O45" s="339"/>
      <c r="P45" s="339"/>
      <c r="Q45" s="339"/>
      <c r="R45" s="339"/>
      <c r="S45" s="339"/>
      <c r="T45" s="339"/>
      <c r="U45" s="339"/>
      <c r="V45" s="339"/>
      <c r="W45" s="339"/>
      <c r="X45" s="339"/>
      <c r="Y45" s="339"/>
      <c r="Z45" s="339"/>
      <c r="AA45" s="339"/>
      <c r="AB45" s="339"/>
      <c r="AC45" s="339"/>
      <c r="AD45" s="4"/>
      <c r="AE45" s="43" t="s">
        <v>107</v>
      </c>
      <c r="AF45" s="341">
        <v>46023</v>
      </c>
      <c r="AG45" s="342"/>
      <c r="AH45" s="343"/>
    </row>
    <row r="46" spans="1:34">
      <c r="A46" s="344"/>
      <c r="B46" s="346" t="s">
        <v>132</v>
      </c>
      <c r="C46" s="347"/>
      <c r="D46" s="347"/>
      <c r="E46" s="347"/>
      <c r="F46" s="347"/>
      <c r="G46" s="347"/>
      <c r="H46" s="347"/>
      <c r="I46" s="347"/>
      <c r="J46" s="347"/>
      <c r="K46" s="348"/>
      <c r="L46" s="349"/>
      <c r="M46" s="22"/>
      <c r="N46" s="350" t="s">
        <v>133</v>
      </c>
      <c r="O46" s="347"/>
      <c r="P46" s="347"/>
      <c r="Q46" s="347"/>
      <c r="R46" s="347"/>
      <c r="S46" s="347"/>
      <c r="T46" s="347"/>
      <c r="U46" s="347"/>
      <c r="V46" s="347"/>
      <c r="W46" s="348"/>
      <c r="X46" s="349"/>
      <c r="Y46" s="22"/>
      <c r="Z46" s="346" t="s">
        <v>134</v>
      </c>
      <c r="AA46" s="347"/>
      <c r="AB46" s="347"/>
      <c r="AC46" s="347"/>
      <c r="AD46" s="347"/>
      <c r="AE46" s="347"/>
      <c r="AF46" s="347"/>
      <c r="AG46" s="348"/>
      <c r="AH46" s="349"/>
    </row>
    <row r="47" spans="1:34" ht="25.5">
      <c r="A47" s="345"/>
      <c r="B47" s="351" t="s">
        <v>135</v>
      </c>
      <c r="C47" s="353" t="s">
        <v>136</v>
      </c>
      <c r="D47" s="64" t="s">
        <v>137</v>
      </c>
      <c r="E47" s="64" t="s">
        <v>138</v>
      </c>
      <c r="F47" s="64" t="s">
        <v>139</v>
      </c>
      <c r="G47" s="64" t="s">
        <v>140</v>
      </c>
      <c r="H47" s="5" t="s">
        <v>141</v>
      </c>
      <c r="I47" s="5" t="s">
        <v>142</v>
      </c>
      <c r="J47" s="5" t="s">
        <v>143</v>
      </c>
      <c r="K47" s="181" t="s">
        <v>81</v>
      </c>
      <c r="L47" s="23" t="s">
        <v>144</v>
      </c>
      <c r="M47" s="22"/>
      <c r="N47" s="355" t="s">
        <v>135</v>
      </c>
      <c r="O47" s="357" t="s">
        <v>136</v>
      </c>
      <c r="P47" s="5" t="s">
        <v>137</v>
      </c>
      <c r="Q47" s="5" t="s">
        <v>138</v>
      </c>
      <c r="R47" s="5" t="s">
        <v>139</v>
      </c>
      <c r="S47" s="5" t="s">
        <v>140</v>
      </c>
      <c r="T47" s="5" t="s">
        <v>141</v>
      </c>
      <c r="U47" s="5" t="s">
        <v>142</v>
      </c>
      <c r="V47" s="5" t="s">
        <v>143</v>
      </c>
      <c r="W47" s="181" t="s">
        <v>81</v>
      </c>
      <c r="X47" s="23" t="s">
        <v>144</v>
      </c>
      <c r="Y47" s="22"/>
      <c r="Z47" s="33" t="s">
        <v>137</v>
      </c>
      <c r="AA47" s="5" t="s">
        <v>138</v>
      </c>
      <c r="AB47" s="5" t="s">
        <v>139</v>
      </c>
      <c r="AC47" s="5" t="s">
        <v>140</v>
      </c>
      <c r="AD47" s="5" t="s">
        <v>141</v>
      </c>
      <c r="AE47" s="5" t="s">
        <v>142</v>
      </c>
      <c r="AF47" s="5" t="s">
        <v>143</v>
      </c>
      <c r="AG47" s="181" t="s">
        <v>81</v>
      </c>
      <c r="AH47" s="23" t="s">
        <v>144</v>
      </c>
    </row>
    <row r="48" spans="1:34" ht="25.5">
      <c r="A48" s="6" t="s">
        <v>145</v>
      </c>
      <c r="B48" s="352"/>
      <c r="C48" s="354"/>
      <c r="D48" s="64" t="s">
        <v>128</v>
      </c>
      <c r="E48" s="64" t="s">
        <v>128</v>
      </c>
      <c r="F48" s="64" t="s">
        <v>128</v>
      </c>
      <c r="G48" s="64" t="s">
        <v>128</v>
      </c>
      <c r="H48" s="5" t="s">
        <v>125</v>
      </c>
      <c r="I48" s="5" t="s">
        <v>146</v>
      </c>
      <c r="J48" s="5" t="s">
        <v>127</v>
      </c>
      <c r="K48" s="181" t="s">
        <v>53</v>
      </c>
      <c r="L48" s="23" t="s">
        <v>53</v>
      </c>
      <c r="M48" s="22"/>
      <c r="N48" s="356"/>
      <c r="O48" s="358"/>
      <c r="P48" s="5" t="s">
        <v>128</v>
      </c>
      <c r="Q48" s="5" t="s">
        <v>128</v>
      </c>
      <c r="R48" s="5" t="s">
        <v>128</v>
      </c>
      <c r="S48" s="5" t="s">
        <v>128</v>
      </c>
      <c r="T48" s="5" t="s">
        <v>125</v>
      </c>
      <c r="U48" s="5" t="s">
        <v>146</v>
      </c>
      <c r="V48" s="5" t="s">
        <v>127</v>
      </c>
      <c r="W48" s="181" t="s">
        <v>53</v>
      </c>
      <c r="X48" s="23" t="s">
        <v>53</v>
      </c>
      <c r="Y48" s="22"/>
      <c r="Z48" s="33" t="s">
        <v>128</v>
      </c>
      <c r="AA48" s="5" t="s">
        <v>128</v>
      </c>
      <c r="AB48" s="5" t="s">
        <v>128</v>
      </c>
      <c r="AC48" s="5" t="s">
        <v>128</v>
      </c>
      <c r="AD48" s="5" t="s">
        <v>125</v>
      </c>
      <c r="AE48" s="5" t="s">
        <v>146</v>
      </c>
      <c r="AF48" s="5" t="s">
        <v>127</v>
      </c>
      <c r="AG48" s="181" t="s">
        <v>53</v>
      </c>
      <c r="AH48" s="23" t="s">
        <v>53</v>
      </c>
    </row>
    <row r="49" spans="1:34" ht="26.25" thickBot="1">
      <c r="A49" s="7" t="s">
        <v>147</v>
      </c>
      <c r="B49" s="65" t="s">
        <v>148</v>
      </c>
      <c r="C49" s="66" t="s">
        <v>149</v>
      </c>
      <c r="D49" s="66" t="s">
        <v>150</v>
      </c>
      <c r="E49" s="66" t="s">
        <v>151</v>
      </c>
      <c r="F49" s="66" t="s">
        <v>152</v>
      </c>
      <c r="G49" s="66" t="s">
        <v>153</v>
      </c>
      <c r="H49" s="9" t="s">
        <v>154</v>
      </c>
      <c r="I49" s="24" t="s">
        <v>155</v>
      </c>
      <c r="J49" s="24" t="s">
        <v>156</v>
      </c>
      <c r="K49" s="24" t="s">
        <v>179</v>
      </c>
      <c r="L49" s="25" t="s">
        <v>157</v>
      </c>
      <c r="M49" s="22"/>
      <c r="N49" s="8" t="s">
        <v>148</v>
      </c>
      <c r="O49" s="9" t="s">
        <v>149</v>
      </c>
      <c r="P49" s="9" t="s">
        <v>150</v>
      </c>
      <c r="Q49" s="9" t="s">
        <v>151</v>
      </c>
      <c r="R49" s="9" t="s">
        <v>152</v>
      </c>
      <c r="S49" s="9" t="s">
        <v>153</v>
      </c>
      <c r="T49" s="9" t="s">
        <v>154</v>
      </c>
      <c r="U49" s="24" t="s">
        <v>155</v>
      </c>
      <c r="V49" s="24" t="s">
        <v>156</v>
      </c>
      <c r="W49" s="24" t="s">
        <v>179</v>
      </c>
      <c r="X49" s="25" t="s">
        <v>157</v>
      </c>
      <c r="Y49" s="22"/>
      <c r="Z49" s="8" t="s">
        <v>150</v>
      </c>
      <c r="AA49" s="9" t="s">
        <v>158</v>
      </c>
      <c r="AB49" s="9" t="s">
        <v>152</v>
      </c>
      <c r="AC49" s="9" t="s">
        <v>159</v>
      </c>
      <c r="AD49" s="9" t="s">
        <v>154</v>
      </c>
      <c r="AE49" s="9" t="s">
        <v>155</v>
      </c>
      <c r="AF49" s="9" t="s">
        <v>156</v>
      </c>
      <c r="AG49" s="24" t="s">
        <v>179</v>
      </c>
      <c r="AH49" s="23" t="s">
        <v>157</v>
      </c>
    </row>
    <row r="50" spans="1:34">
      <c r="A50" s="10">
        <f>AF45+0</f>
        <v>46023</v>
      </c>
      <c r="B50" s="67">
        <v>39.53</v>
      </c>
      <c r="C50" s="68">
        <v>17</v>
      </c>
      <c r="D50" s="68">
        <v>11.91</v>
      </c>
      <c r="E50" s="68">
        <v>22.99</v>
      </c>
      <c r="F50" s="68">
        <v>38.85</v>
      </c>
      <c r="G50" s="68">
        <v>47.84</v>
      </c>
      <c r="H50" s="69">
        <v>400</v>
      </c>
      <c r="I50" s="69">
        <v>7.2</v>
      </c>
      <c r="J50" s="69">
        <v>0.5</v>
      </c>
      <c r="K50" s="191">
        <v>2.0299999999999998</v>
      </c>
      <c r="L50" s="73">
        <v>7.12</v>
      </c>
      <c r="M50" s="74"/>
      <c r="N50" s="67">
        <v>39.53</v>
      </c>
      <c r="O50" s="76">
        <v>17</v>
      </c>
      <c r="P50" s="76">
        <v>11.12</v>
      </c>
      <c r="Q50" s="76">
        <v>21.85</v>
      </c>
      <c r="R50" s="76">
        <v>34.08</v>
      </c>
      <c r="S50" s="76">
        <v>46.24</v>
      </c>
      <c r="T50" s="85">
        <v>378</v>
      </c>
      <c r="U50" s="76">
        <v>8.68</v>
      </c>
      <c r="V50" s="76">
        <v>1.5</v>
      </c>
      <c r="W50" s="191">
        <v>2.08</v>
      </c>
      <c r="X50" s="76">
        <v>7.08</v>
      </c>
      <c r="Y50" s="74"/>
      <c r="Z50" s="81">
        <v>12.95</v>
      </c>
      <c r="AA50" s="76">
        <v>23.28</v>
      </c>
      <c r="AB50" s="76">
        <v>36.33</v>
      </c>
      <c r="AC50" s="76">
        <v>46.82</v>
      </c>
      <c r="AD50" s="85">
        <v>391</v>
      </c>
      <c r="AE50" s="76">
        <v>8.56</v>
      </c>
      <c r="AF50" s="76">
        <v>0.5</v>
      </c>
      <c r="AG50" s="194">
        <v>2.17</v>
      </c>
      <c r="AH50" s="86">
        <v>6.76</v>
      </c>
    </row>
    <row r="51" spans="1:34">
      <c r="A51" s="14">
        <f t="shared" ref="A51:A80" si="25">A50+1</f>
        <v>46024</v>
      </c>
      <c r="B51" s="67">
        <v>37.450000000000003</v>
      </c>
      <c r="C51" s="70">
        <v>15.94</v>
      </c>
      <c r="D51" s="70">
        <v>12.15</v>
      </c>
      <c r="E51" s="70">
        <v>23.86</v>
      </c>
      <c r="F51" s="70">
        <v>36.86</v>
      </c>
      <c r="G51" s="70">
        <v>48.22</v>
      </c>
      <c r="H51" s="71">
        <v>382</v>
      </c>
      <c r="I51" s="71">
        <v>8.68</v>
      </c>
      <c r="J51" s="70">
        <v>0.5</v>
      </c>
      <c r="K51" s="192">
        <v>2.1</v>
      </c>
      <c r="L51" s="77">
        <v>6.95</v>
      </c>
      <c r="M51" s="74"/>
      <c r="N51" s="67">
        <v>37.450000000000003</v>
      </c>
      <c r="O51" s="70">
        <v>16</v>
      </c>
      <c r="P51" s="70">
        <v>11.75</v>
      </c>
      <c r="Q51" s="70">
        <v>22.27</v>
      </c>
      <c r="R51" s="70">
        <v>39.840000000000003</v>
      </c>
      <c r="S51" s="70">
        <v>47.14</v>
      </c>
      <c r="T51" s="82">
        <v>375</v>
      </c>
      <c r="U51" s="70">
        <v>11.48</v>
      </c>
      <c r="V51" s="70">
        <v>0.5</v>
      </c>
      <c r="W51" s="192">
        <v>2.14</v>
      </c>
      <c r="X51" s="70">
        <v>6.86</v>
      </c>
      <c r="Y51" s="74"/>
      <c r="Z51" s="67">
        <v>12.02</v>
      </c>
      <c r="AA51" s="70">
        <v>22.81</v>
      </c>
      <c r="AB51" s="70">
        <v>37.18</v>
      </c>
      <c r="AC51" s="70">
        <v>48.06</v>
      </c>
      <c r="AD51" s="82">
        <v>375</v>
      </c>
      <c r="AE51" s="70">
        <v>10.16</v>
      </c>
      <c r="AF51" s="70">
        <v>0.5</v>
      </c>
      <c r="AG51" s="192">
        <v>2.0499999999999998</v>
      </c>
      <c r="AH51" s="87">
        <v>6.33</v>
      </c>
    </row>
    <row r="52" spans="1:34">
      <c r="A52" s="14">
        <f t="shared" si="25"/>
        <v>46025</v>
      </c>
      <c r="B52" s="67">
        <v>38.46</v>
      </c>
      <c r="C52" s="70">
        <v>17</v>
      </c>
      <c r="D52" s="70">
        <v>12.05</v>
      </c>
      <c r="E52" s="70">
        <v>22.56</v>
      </c>
      <c r="F52" s="70">
        <v>37.06</v>
      </c>
      <c r="G52" s="70">
        <v>47.25</v>
      </c>
      <c r="H52" s="71">
        <v>380</v>
      </c>
      <c r="I52" s="70">
        <v>8.56</v>
      </c>
      <c r="J52" s="70">
        <v>0.5</v>
      </c>
      <c r="K52" s="192">
        <v>2.16</v>
      </c>
      <c r="L52" s="77">
        <v>6.35</v>
      </c>
      <c r="M52" s="74"/>
      <c r="N52" s="67">
        <v>38.46</v>
      </c>
      <c r="O52" s="70">
        <v>17</v>
      </c>
      <c r="P52" s="70">
        <v>11</v>
      </c>
      <c r="Q52" s="70">
        <v>22.15</v>
      </c>
      <c r="R52" s="70">
        <v>39.92</v>
      </c>
      <c r="S52" s="70">
        <v>47.45</v>
      </c>
      <c r="T52" s="82">
        <v>361</v>
      </c>
      <c r="U52" s="70">
        <v>9.0399999999999991</v>
      </c>
      <c r="V52" s="70">
        <v>1</v>
      </c>
      <c r="W52" s="192">
        <v>2.25</v>
      </c>
      <c r="X52" s="83">
        <v>6.27</v>
      </c>
      <c r="Y52" s="74"/>
      <c r="Z52" s="67">
        <v>13.91</v>
      </c>
      <c r="AA52" s="70">
        <v>21.98</v>
      </c>
      <c r="AB52" s="70">
        <v>38.36</v>
      </c>
      <c r="AC52" s="70">
        <v>45.95</v>
      </c>
      <c r="AD52" s="82">
        <v>366</v>
      </c>
      <c r="AE52" s="70">
        <v>10.6</v>
      </c>
      <c r="AF52" s="70">
        <v>0.5</v>
      </c>
      <c r="AG52" s="192">
        <v>2.13</v>
      </c>
      <c r="AH52" s="87">
        <v>5.05</v>
      </c>
    </row>
    <row r="53" spans="1:34">
      <c r="A53" s="14">
        <f t="shared" si="25"/>
        <v>46026</v>
      </c>
      <c r="B53" s="67">
        <v>38.99</v>
      </c>
      <c r="C53" s="70">
        <v>16</v>
      </c>
      <c r="D53" s="70">
        <v>13.12</v>
      </c>
      <c r="E53" s="70">
        <v>22.06</v>
      </c>
      <c r="F53" s="70">
        <v>36.39</v>
      </c>
      <c r="G53" s="70">
        <v>47.98</v>
      </c>
      <c r="H53" s="71">
        <v>386</v>
      </c>
      <c r="I53" s="71">
        <v>8.7200000000000006</v>
      </c>
      <c r="J53" s="70">
        <v>0.5</v>
      </c>
      <c r="K53" s="192">
        <v>2.09</v>
      </c>
      <c r="L53" s="77">
        <v>7.73</v>
      </c>
      <c r="M53" s="74"/>
      <c r="N53" s="67">
        <v>38.99</v>
      </c>
      <c r="O53" s="70">
        <v>16</v>
      </c>
      <c r="P53" s="70">
        <v>12.37</v>
      </c>
      <c r="Q53" s="70">
        <v>21.31</v>
      </c>
      <c r="R53" s="70">
        <v>35.07</v>
      </c>
      <c r="S53" s="70">
        <v>48.11</v>
      </c>
      <c r="T53" s="82">
        <v>381</v>
      </c>
      <c r="U53" s="70">
        <v>8.16</v>
      </c>
      <c r="V53" s="70">
        <v>0.5</v>
      </c>
      <c r="W53" s="192">
        <v>2.1</v>
      </c>
      <c r="X53" s="83">
        <v>7.18</v>
      </c>
      <c r="Y53" s="74"/>
      <c r="Z53" s="67">
        <v>13.51</v>
      </c>
      <c r="AA53" s="70">
        <v>20.76</v>
      </c>
      <c r="AB53" s="70">
        <v>39.090000000000003</v>
      </c>
      <c r="AC53" s="70">
        <v>46.76</v>
      </c>
      <c r="AD53" s="82">
        <v>398</v>
      </c>
      <c r="AE53" s="70">
        <v>10.24</v>
      </c>
      <c r="AF53" s="70">
        <v>0.5</v>
      </c>
      <c r="AG53" s="192">
        <v>2.17</v>
      </c>
      <c r="AH53" s="87">
        <v>6.48</v>
      </c>
    </row>
    <row r="54" spans="1:34">
      <c r="A54" s="14">
        <f t="shared" si="25"/>
        <v>46027</v>
      </c>
      <c r="B54" s="67">
        <v>39.1</v>
      </c>
      <c r="C54" s="70">
        <v>17</v>
      </c>
      <c r="D54" s="70">
        <v>11.88</v>
      </c>
      <c r="E54" s="70">
        <v>21.3</v>
      </c>
      <c r="F54" s="70">
        <v>38.68</v>
      </c>
      <c r="G54" s="70">
        <v>49.35</v>
      </c>
      <c r="H54" s="71">
        <v>391</v>
      </c>
      <c r="I54" s="71">
        <v>8.24</v>
      </c>
      <c r="J54" s="70">
        <v>0.5</v>
      </c>
      <c r="K54" s="192">
        <v>2.02</v>
      </c>
      <c r="L54" s="77">
        <v>7.14</v>
      </c>
      <c r="M54" s="74"/>
      <c r="N54" s="67">
        <v>39.1</v>
      </c>
      <c r="O54" s="70">
        <v>17</v>
      </c>
      <c r="P54" s="70">
        <v>11.86</v>
      </c>
      <c r="Q54" s="70">
        <v>21.82</v>
      </c>
      <c r="R54" s="70">
        <v>37.79</v>
      </c>
      <c r="S54" s="70">
        <v>47.66</v>
      </c>
      <c r="T54" s="82">
        <v>366</v>
      </c>
      <c r="U54" s="70">
        <v>9.08</v>
      </c>
      <c r="V54" s="70">
        <v>0.5</v>
      </c>
      <c r="W54" s="192">
        <v>2.0699999999999998</v>
      </c>
      <c r="X54" s="84">
        <v>6.9</v>
      </c>
      <c r="Y54" s="74"/>
      <c r="Z54" s="67">
        <v>11.88</v>
      </c>
      <c r="AA54" s="70">
        <v>20.74</v>
      </c>
      <c r="AB54" s="70">
        <v>36.67</v>
      </c>
      <c r="AC54" s="70">
        <v>47.33</v>
      </c>
      <c r="AD54" s="82">
        <v>401</v>
      </c>
      <c r="AE54" s="70">
        <v>9.16</v>
      </c>
      <c r="AF54" s="70">
        <v>0.5</v>
      </c>
      <c r="AG54" s="192">
        <v>2.0099999999999998</v>
      </c>
      <c r="AH54" s="88">
        <v>7.04</v>
      </c>
    </row>
    <row r="55" spans="1:34">
      <c r="A55" s="14">
        <f t="shared" si="25"/>
        <v>46028</v>
      </c>
      <c r="B55" s="67">
        <v>26.42</v>
      </c>
      <c r="C55" s="70">
        <v>16</v>
      </c>
      <c r="D55" s="70">
        <v>11.54</v>
      </c>
      <c r="E55" s="70">
        <v>20.41</v>
      </c>
      <c r="F55" s="70">
        <v>35.68</v>
      </c>
      <c r="G55" s="70">
        <v>48.3</v>
      </c>
      <c r="H55" s="71">
        <v>386</v>
      </c>
      <c r="I55" s="71">
        <v>10.08</v>
      </c>
      <c r="J55" s="70">
        <v>0.5</v>
      </c>
      <c r="K55" s="192">
        <v>2.06</v>
      </c>
      <c r="L55" s="77">
        <v>6.87</v>
      </c>
      <c r="M55" s="74"/>
      <c r="N55" s="67">
        <v>26.42</v>
      </c>
      <c r="O55" s="70">
        <v>16</v>
      </c>
      <c r="P55" s="70">
        <v>10.99</v>
      </c>
      <c r="Q55" s="70">
        <v>21.25</v>
      </c>
      <c r="R55" s="70">
        <v>33.67</v>
      </c>
      <c r="S55" s="70">
        <v>49.2</v>
      </c>
      <c r="T55" s="82">
        <v>366</v>
      </c>
      <c r="U55" s="70">
        <v>10</v>
      </c>
      <c r="V55" s="70">
        <v>0.5</v>
      </c>
      <c r="W55" s="192">
        <v>2.14</v>
      </c>
      <c r="X55" s="84">
        <v>6.18</v>
      </c>
      <c r="Y55" s="74"/>
      <c r="Z55" s="67">
        <v>12.8</v>
      </c>
      <c r="AA55" s="70">
        <v>20.5</v>
      </c>
      <c r="AB55" s="70">
        <v>35.22</v>
      </c>
      <c r="AC55" s="70">
        <v>49.08</v>
      </c>
      <c r="AD55" s="82">
        <v>377</v>
      </c>
      <c r="AE55" s="70">
        <v>10.6</v>
      </c>
      <c r="AF55" s="70">
        <v>0.5</v>
      </c>
      <c r="AG55" s="192">
        <v>2.028</v>
      </c>
      <c r="AH55" s="88">
        <v>6.13</v>
      </c>
    </row>
    <row r="56" spans="1:34">
      <c r="A56" s="14">
        <f t="shared" si="25"/>
        <v>46029</v>
      </c>
      <c r="B56" s="38">
        <v>32.4</v>
      </c>
      <c r="C56" s="70">
        <v>17</v>
      </c>
      <c r="D56" s="70">
        <v>12.1</v>
      </c>
      <c r="E56" s="70">
        <v>21.63</v>
      </c>
      <c r="F56" s="70">
        <v>32.76</v>
      </c>
      <c r="G56" s="70">
        <v>49.02</v>
      </c>
      <c r="H56" s="71">
        <v>380</v>
      </c>
      <c r="I56" s="71">
        <v>9.1199999999999992</v>
      </c>
      <c r="J56" s="70">
        <v>0.5</v>
      </c>
      <c r="K56" s="192">
        <v>2.2010000000000001</v>
      </c>
      <c r="L56" s="77">
        <v>7.09</v>
      </c>
      <c r="M56" s="74"/>
      <c r="N56" s="78">
        <v>32.4</v>
      </c>
      <c r="O56" s="79">
        <v>17</v>
      </c>
      <c r="P56" s="70">
        <v>11.44</v>
      </c>
      <c r="Q56" s="70">
        <v>21.27</v>
      </c>
      <c r="R56" s="70">
        <v>36.619999999999997</v>
      </c>
      <c r="S56" s="70">
        <v>46.6</v>
      </c>
      <c r="T56" s="82">
        <v>340</v>
      </c>
      <c r="U56" s="70">
        <v>11.24</v>
      </c>
      <c r="V56" s="70">
        <v>7</v>
      </c>
      <c r="W56" s="192">
        <v>1.97</v>
      </c>
      <c r="X56" s="84">
        <v>6.05</v>
      </c>
      <c r="Y56" s="74"/>
      <c r="Z56" s="67">
        <v>12.28</v>
      </c>
      <c r="AA56" s="70">
        <v>21.43</v>
      </c>
      <c r="AB56" s="70">
        <v>35.1</v>
      </c>
      <c r="AC56" s="70">
        <v>46.46</v>
      </c>
      <c r="AD56" s="82">
        <v>378</v>
      </c>
      <c r="AE56" s="70">
        <v>10.08</v>
      </c>
      <c r="AF56" s="70">
        <v>1</v>
      </c>
      <c r="AG56" s="192">
        <v>2.117</v>
      </c>
      <c r="AH56" s="88">
        <v>6.97</v>
      </c>
    </row>
    <row r="57" spans="1:34">
      <c r="A57" s="14">
        <f t="shared" si="25"/>
        <v>46030</v>
      </c>
      <c r="B57" s="38">
        <v>37.29</v>
      </c>
      <c r="C57" s="70">
        <v>16</v>
      </c>
      <c r="D57" s="70">
        <v>12.4</v>
      </c>
      <c r="E57" s="70">
        <v>21.83</v>
      </c>
      <c r="F57" s="70">
        <v>37.369999999999997</v>
      </c>
      <c r="G57" s="70">
        <v>48.59</v>
      </c>
      <c r="H57" s="71">
        <v>368</v>
      </c>
      <c r="I57" s="71">
        <v>9.0399999999999991</v>
      </c>
      <c r="J57" s="70">
        <v>1</v>
      </c>
      <c r="K57" s="192">
        <v>2.11</v>
      </c>
      <c r="L57" s="77">
        <v>6.05</v>
      </c>
      <c r="M57" s="74"/>
      <c r="N57" s="78">
        <v>37.29</v>
      </c>
      <c r="O57" s="70">
        <v>16</v>
      </c>
      <c r="P57" s="70">
        <v>11.5</v>
      </c>
      <c r="Q57" s="70">
        <v>21.07</v>
      </c>
      <c r="R57" s="70">
        <v>37.24</v>
      </c>
      <c r="S57" s="70">
        <v>47.64</v>
      </c>
      <c r="T57" s="82">
        <v>361</v>
      </c>
      <c r="U57" s="70">
        <v>10.28</v>
      </c>
      <c r="V57" s="70">
        <v>0.5</v>
      </c>
      <c r="W57" s="192">
        <v>2.27</v>
      </c>
      <c r="X57" s="83">
        <v>5.55</v>
      </c>
      <c r="Y57" s="74"/>
      <c r="Z57" s="67">
        <v>12.42</v>
      </c>
      <c r="AA57" s="70">
        <v>21.59</v>
      </c>
      <c r="AB57" s="70">
        <v>37.47</v>
      </c>
      <c r="AC57" s="70">
        <v>49.96</v>
      </c>
      <c r="AD57" s="82">
        <v>366</v>
      </c>
      <c r="AE57" s="70">
        <v>11.64</v>
      </c>
      <c r="AF57" s="70">
        <v>1</v>
      </c>
      <c r="AG57" s="192">
        <v>2.15</v>
      </c>
      <c r="AH57" s="87">
        <v>6.49</v>
      </c>
    </row>
    <row r="58" spans="1:34">
      <c r="A58" s="14">
        <f t="shared" si="25"/>
        <v>46031</v>
      </c>
      <c r="B58" s="11">
        <v>38.380000000000003</v>
      </c>
      <c r="C58" s="70">
        <v>15.49</v>
      </c>
      <c r="D58" s="70">
        <v>13.06</v>
      </c>
      <c r="E58" s="70">
        <v>22.73</v>
      </c>
      <c r="F58" s="70">
        <v>35.630000000000003</v>
      </c>
      <c r="G58" s="70">
        <v>47.22</v>
      </c>
      <c r="H58" s="71">
        <v>378</v>
      </c>
      <c r="I58" s="71">
        <v>7.68</v>
      </c>
      <c r="J58" s="70">
        <v>0.5</v>
      </c>
      <c r="K58" s="192">
        <v>2.35</v>
      </c>
      <c r="L58" s="77">
        <v>6.54</v>
      </c>
      <c r="M58" s="74"/>
      <c r="N58" s="78">
        <v>38.380000000000003</v>
      </c>
      <c r="O58" s="70">
        <v>15.46</v>
      </c>
      <c r="P58" s="70">
        <v>11.72</v>
      </c>
      <c r="Q58" s="70">
        <v>21.74</v>
      </c>
      <c r="R58" s="70">
        <v>34.97</v>
      </c>
      <c r="S58" s="70">
        <v>48.56</v>
      </c>
      <c r="T58" s="82">
        <v>370</v>
      </c>
      <c r="U58" s="70">
        <v>8.24</v>
      </c>
      <c r="V58" s="70">
        <v>1</v>
      </c>
      <c r="W58" s="192">
        <v>2.13</v>
      </c>
      <c r="X58" s="83">
        <v>5.82</v>
      </c>
      <c r="Y58" s="74"/>
      <c r="Z58" s="67">
        <v>12.6</v>
      </c>
      <c r="AA58" s="70">
        <v>23.04</v>
      </c>
      <c r="AB58" s="70">
        <v>37.89</v>
      </c>
      <c r="AC58" s="70">
        <v>47.7</v>
      </c>
      <c r="AD58" s="82">
        <v>362</v>
      </c>
      <c r="AE58" s="70">
        <v>10.24</v>
      </c>
      <c r="AF58" s="70">
        <v>0.5</v>
      </c>
      <c r="AG58" s="192">
        <v>2.12</v>
      </c>
      <c r="AH58" s="87">
        <v>5.93</v>
      </c>
    </row>
    <row r="59" spans="1:34">
      <c r="A59" s="14">
        <f t="shared" si="25"/>
        <v>46032</v>
      </c>
      <c r="B59" s="11">
        <v>39.409999999999997</v>
      </c>
      <c r="C59" s="70">
        <v>16</v>
      </c>
      <c r="D59" s="70">
        <v>11.22</v>
      </c>
      <c r="E59" s="70">
        <v>21.56</v>
      </c>
      <c r="F59" s="70">
        <v>37.49</v>
      </c>
      <c r="G59" s="70">
        <v>48.62</v>
      </c>
      <c r="H59" s="71">
        <v>375</v>
      </c>
      <c r="I59" s="71">
        <v>10.84</v>
      </c>
      <c r="J59" s="70">
        <v>0.5</v>
      </c>
      <c r="K59" s="192">
        <v>2.19</v>
      </c>
      <c r="L59" s="77">
        <v>6.49</v>
      </c>
      <c r="M59" s="74"/>
      <c r="N59" s="78">
        <v>39.409999999999997</v>
      </c>
      <c r="O59" s="70">
        <v>16.2</v>
      </c>
      <c r="P59" s="70">
        <v>11.46</v>
      </c>
      <c r="Q59" s="70">
        <v>20.62</v>
      </c>
      <c r="R59" s="70">
        <v>33.770000000000003</v>
      </c>
      <c r="S59" s="70">
        <v>46.32</v>
      </c>
      <c r="T59" s="82">
        <v>374</v>
      </c>
      <c r="U59" s="70">
        <v>10.16</v>
      </c>
      <c r="V59" s="70">
        <v>1</v>
      </c>
      <c r="W59" s="192">
        <v>2.12</v>
      </c>
      <c r="X59" s="83">
        <v>5.56</v>
      </c>
      <c r="Y59" s="74"/>
      <c r="Z59" s="67">
        <v>12.7</v>
      </c>
      <c r="AA59" s="70">
        <v>20.57</v>
      </c>
      <c r="AB59" s="70">
        <v>34.340000000000003</v>
      </c>
      <c r="AC59" s="70">
        <v>46.41</v>
      </c>
      <c r="AD59" s="82">
        <v>380</v>
      </c>
      <c r="AE59" s="70">
        <v>9.52</v>
      </c>
      <c r="AF59" s="70">
        <v>1</v>
      </c>
      <c r="AG59" s="192">
        <v>2.11</v>
      </c>
      <c r="AH59" s="87">
        <v>6.59</v>
      </c>
    </row>
    <row r="60" spans="1:34">
      <c r="A60" s="14">
        <f t="shared" si="25"/>
        <v>46033</v>
      </c>
      <c r="B60" s="11">
        <v>38.340000000000003</v>
      </c>
      <c r="C60" s="13">
        <v>16.2</v>
      </c>
      <c r="D60" s="13">
        <v>11.35</v>
      </c>
      <c r="E60" s="13">
        <v>20.37</v>
      </c>
      <c r="F60" s="13">
        <v>36.36</v>
      </c>
      <c r="G60" s="13">
        <v>46.2</v>
      </c>
      <c r="H60" s="12">
        <v>391</v>
      </c>
      <c r="I60" s="71">
        <v>9.6</v>
      </c>
      <c r="J60" s="13">
        <v>5.5</v>
      </c>
      <c r="K60" s="184">
        <v>2.2599999999999998</v>
      </c>
      <c r="L60" s="26">
        <v>6.54</v>
      </c>
      <c r="M60" s="22"/>
      <c r="N60" s="29">
        <v>38.340000000000003</v>
      </c>
      <c r="O60" s="13">
        <v>17.5</v>
      </c>
      <c r="P60" s="13">
        <v>10.36</v>
      </c>
      <c r="Q60" s="13">
        <v>19.41</v>
      </c>
      <c r="R60" s="13">
        <v>33.28</v>
      </c>
      <c r="S60" s="13">
        <v>46.02</v>
      </c>
      <c r="T60" s="36">
        <v>364</v>
      </c>
      <c r="U60" s="13">
        <v>10.68</v>
      </c>
      <c r="V60" s="13">
        <v>18</v>
      </c>
      <c r="W60" s="184">
        <v>2.2599999999999998</v>
      </c>
      <c r="X60" s="37">
        <v>6.48</v>
      </c>
      <c r="Y60" s="22"/>
      <c r="Z60" s="38">
        <v>10.81</v>
      </c>
      <c r="AA60" s="13">
        <v>19.850000000000001</v>
      </c>
      <c r="AB60" s="13">
        <v>34.54</v>
      </c>
      <c r="AC60" s="13">
        <v>46.92</v>
      </c>
      <c r="AD60" s="36">
        <v>386</v>
      </c>
      <c r="AE60" s="13">
        <v>10</v>
      </c>
      <c r="AF60" s="13">
        <v>8.5</v>
      </c>
      <c r="AG60" s="184">
        <v>2.4</v>
      </c>
      <c r="AH60" s="45">
        <v>6.84</v>
      </c>
    </row>
    <row r="61" spans="1:34">
      <c r="A61" s="14">
        <f t="shared" si="25"/>
        <v>46034</v>
      </c>
      <c r="B61" s="38">
        <v>38.380000000000003</v>
      </c>
      <c r="C61" s="13">
        <v>16</v>
      </c>
      <c r="D61" s="13">
        <v>9.8699999999999992</v>
      </c>
      <c r="E61" s="13">
        <v>18.149999999999999</v>
      </c>
      <c r="F61" s="13">
        <v>32.32</v>
      </c>
      <c r="G61" s="13">
        <v>45.31</v>
      </c>
      <c r="H61" s="12">
        <v>379</v>
      </c>
      <c r="I61" s="71">
        <v>9.36</v>
      </c>
      <c r="J61" s="13">
        <v>0.5</v>
      </c>
      <c r="K61" s="184">
        <v>2.21</v>
      </c>
      <c r="L61" s="26">
        <v>6.67</v>
      </c>
      <c r="M61" s="22"/>
      <c r="N61" s="29">
        <v>38.380000000000003</v>
      </c>
      <c r="O61" s="13">
        <v>16.399999999999999</v>
      </c>
      <c r="P61" s="13">
        <v>10.44</v>
      </c>
      <c r="Q61" s="13">
        <v>19.27</v>
      </c>
      <c r="R61" s="13">
        <v>32.33</v>
      </c>
      <c r="S61" s="13">
        <v>45.24</v>
      </c>
      <c r="T61" s="36">
        <v>356</v>
      </c>
      <c r="U61" s="13">
        <v>11.44</v>
      </c>
      <c r="V61" s="13">
        <v>21</v>
      </c>
      <c r="W61" s="184">
        <v>2.2200000000000002</v>
      </c>
      <c r="X61" s="37">
        <v>6.6</v>
      </c>
      <c r="Y61" s="22"/>
      <c r="Z61" s="38">
        <v>9.86</v>
      </c>
      <c r="AA61" s="13">
        <v>18.78</v>
      </c>
      <c r="AB61" s="13">
        <v>34.369999999999997</v>
      </c>
      <c r="AC61" s="13">
        <v>46.57</v>
      </c>
      <c r="AD61" s="36">
        <v>368</v>
      </c>
      <c r="AE61" s="13">
        <v>10.199999999999999</v>
      </c>
      <c r="AF61" s="13">
        <v>1.5</v>
      </c>
      <c r="AG61" s="184">
        <v>2.0099999999999998</v>
      </c>
      <c r="AH61" s="45">
        <v>7.1</v>
      </c>
    </row>
    <row r="62" spans="1:34">
      <c r="A62" s="14">
        <f t="shared" si="25"/>
        <v>46035</v>
      </c>
      <c r="B62" s="38">
        <v>39.26</v>
      </c>
      <c r="C62" s="13">
        <v>16</v>
      </c>
      <c r="D62" s="13">
        <v>9.66</v>
      </c>
      <c r="E62" s="13">
        <v>19.71</v>
      </c>
      <c r="F62" s="13">
        <v>34.26</v>
      </c>
      <c r="G62" s="13">
        <v>45.77</v>
      </c>
      <c r="H62" s="12">
        <v>384</v>
      </c>
      <c r="I62" s="71">
        <v>9.6</v>
      </c>
      <c r="J62" s="13">
        <v>2</v>
      </c>
      <c r="K62" s="184">
        <v>2.3010000000000002</v>
      </c>
      <c r="L62" s="26">
        <v>6.86</v>
      </c>
      <c r="M62" s="22"/>
      <c r="N62" s="29">
        <v>38</v>
      </c>
      <c r="O62" s="13">
        <v>16</v>
      </c>
      <c r="P62" s="13">
        <v>9.81</v>
      </c>
      <c r="Q62" s="13">
        <v>18.8</v>
      </c>
      <c r="R62" s="13">
        <v>33.07</v>
      </c>
      <c r="S62" s="13">
        <v>45.26</v>
      </c>
      <c r="T62" s="36">
        <v>356</v>
      </c>
      <c r="U62" s="13">
        <v>10.199999999999999</v>
      </c>
      <c r="V62" s="13">
        <v>19</v>
      </c>
      <c r="W62" s="184">
        <v>2.3239999999999998</v>
      </c>
      <c r="X62" s="37">
        <v>5.95</v>
      </c>
      <c r="Y62" s="22"/>
      <c r="Z62" s="38">
        <v>10.91</v>
      </c>
      <c r="AA62" s="13">
        <v>18.75</v>
      </c>
      <c r="AB62" s="13">
        <v>32.53</v>
      </c>
      <c r="AC62" s="13">
        <v>47.76</v>
      </c>
      <c r="AD62" s="36">
        <v>384</v>
      </c>
      <c r="AE62" s="13">
        <v>10.24</v>
      </c>
      <c r="AF62" s="13">
        <v>3.5</v>
      </c>
      <c r="AG62" s="184">
        <v>2.2250000000000001</v>
      </c>
      <c r="AH62" s="45">
        <v>6.74</v>
      </c>
    </row>
    <row r="63" spans="1:34">
      <c r="A63" s="14">
        <f t="shared" si="25"/>
        <v>46036</v>
      </c>
      <c r="B63" s="38">
        <v>40.04</v>
      </c>
      <c r="C63" s="13">
        <v>16</v>
      </c>
      <c r="D63" s="13">
        <v>11.78</v>
      </c>
      <c r="E63" s="13">
        <v>21</v>
      </c>
      <c r="F63" s="13">
        <v>35.270000000000003</v>
      </c>
      <c r="G63" s="13">
        <v>46.69</v>
      </c>
      <c r="H63" s="12">
        <v>374</v>
      </c>
      <c r="I63" s="71">
        <v>10.039999999999999</v>
      </c>
      <c r="J63" s="13">
        <v>1</v>
      </c>
      <c r="K63" s="184">
        <v>2.3460000000000001</v>
      </c>
      <c r="L63" s="26">
        <v>6.38</v>
      </c>
      <c r="M63" s="22"/>
      <c r="N63" s="29">
        <v>37.82</v>
      </c>
      <c r="O63" s="13">
        <v>16</v>
      </c>
      <c r="P63" s="13">
        <v>12.17</v>
      </c>
      <c r="Q63" s="13">
        <v>21.41</v>
      </c>
      <c r="R63" s="13">
        <v>35.58</v>
      </c>
      <c r="S63" s="13">
        <v>44.71</v>
      </c>
      <c r="T63" s="36">
        <v>397</v>
      </c>
      <c r="U63" s="13">
        <v>9.6</v>
      </c>
      <c r="V63" s="13">
        <v>1.5</v>
      </c>
      <c r="W63" s="184">
        <v>2.2770000000000001</v>
      </c>
      <c r="X63" s="37">
        <v>7.46</v>
      </c>
      <c r="Y63" s="22"/>
      <c r="Z63" s="38">
        <v>11.79</v>
      </c>
      <c r="AA63" s="13">
        <v>21.23</v>
      </c>
      <c r="AB63" s="13">
        <v>37.36</v>
      </c>
      <c r="AC63" s="13">
        <v>46.25</v>
      </c>
      <c r="AD63" s="36">
        <v>371</v>
      </c>
      <c r="AE63" s="13">
        <v>9.68</v>
      </c>
      <c r="AF63" s="13">
        <v>1</v>
      </c>
      <c r="AG63" s="184">
        <v>2.3530000000000002</v>
      </c>
      <c r="AH63" s="37">
        <v>6.45</v>
      </c>
    </row>
    <row r="64" spans="1:34">
      <c r="A64" s="14">
        <f t="shared" si="25"/>
        <v>46037</v>
      </c>
      <c r="B64" s="38">
        <v>38</v>
      </c>
      <c r="C64" s="13">
        <v>16.2</v>
      </c>
      <c r="D64" s="13">
        <v>12.13</v>
      </c>
      <c r="E64" s="13">
        <v>22.37</v>
      </c>
      <c r="F64" s="13">
        <v>39.520000000000003</v>
      </c>
      <c r="G64" s="13">
        <v>46.62</v>
      </c>
      <c r="H64" s="12">
        <v>369</v>
      </c>
      <c r="I64" s="71">
        <v>7.92</v>
      </c>
      <c r="J64" s="13">
        <v>0.5</v>
      </c>
      <c r="K64" s="184">
        <v>2.0699999999999998</v>
      </c>
      <c r="L64" s="37">
        <v>6</v>
      </c>
      <c r="M64" s="22"/>
      <c r="N64" s="29">
        <v>39.520000000000003</v>
      </c>
      <c r="O64" s="13">
        <v>16.2</v>
      </c>
      <c r="P64" s="13">
        <v>12.14</v>
      </c>
      <c r="Q64" s="13">
        <v>22.74</v>
      </c>
      <c r="R64" s="13">
        <v>37.619999999999997</v>
      </c>
      <c r="S64" s="13">
        <v>46.43</v>
      </c>
      <c r="T64" s="36">
        <v>367</v>
      </c>
      <c r="U64" s="13">
        <v>9.0399999999999991</v>
      </c>
      <c r="V64" s="13">
        <v>1</v>
      </c>
      <c r="W64" s="184">
        <v>2.2999999999999998</v>
      </c>
      <c r="X64" s="37">
        <v>6.69</v>
      </c>
      <c r="Y64" s="22"/>
      <c r="Z64" s="38">
        <v>11.97</v>
      </c>
      <c r="AA64" s="13">
        <v>22.7</v>
      </c>
      <c r="AB64" s="13">
        <v>37.22</v>
      </c>
      <c r="AC64" s="13">
        <v>46.12</v>
      </c>
      <c r="AD64" s="36">
        <v>364</v>
      </c>
      <c r="AE64" s="13">
        <v>10.64</v>
      </c>
      <c r="AF64" s="13">
        <v>1</v>
      </c>
      <c r="AG64" s="184">
        <v>2.17</v>
      </c>
      <c r="AH64" s="37">
        <v>4.97</v>
      </c>
    </row>
    <row r="65" spans="1:34">
      <c r="A65" s="14">
        <f t="shared" si="25"/>
        <v>46038</v>
      </c>
      <c r="B65" s="38">
        <v>37.82</v>
      </c>
      <c r="C65" s="13">
        <v>15.39</v>
      </c>
      <c r="D65" s="13">
        <v>10.99</v>
      </c>
      <c r="E65" s="13">
        <v>22.21</v>
      </c>
      <c r="F65" s="13">
        <v>36.409999999999997</v>
      </c>
      <c r="G65" s="13">
        <v>46.22</v>
      </c>
      <c r="H65" s="12">
        <v>371</v>
      </c>
      <c r="I65" s="71">
        <v>8.76</v>
      </c>
      <c r="J65" s="13">
        <v>1</v>
      </c>
      <c r="K65" s="184">
        <v>1.99</v>
      </c>
      <c r="L65" s="26">
        <v>6.21</v>
      </c>
      <c r="M65" s="22"/>
      <c r="N65" s="29">
        <v>36.97</v>
      </c>
      <c r="O65" s="13">
        <v>15.45</v>
      </c>
      <c r="P65" s="13">
        <v>10.95</v>
      </c>
      <c r="Q65" s="13">
        <v>20.68</v>
      </c>
      <c r="R65" s="13">
        <v>36.78</v>
      </c>
      <c r="S65" s="13">
        <v>47.86</v>
      </c>
      <c r="T65" s="36">
        <v>382</v>
      </c>
      <c r="U65" s="13">
        <v>7.16</v>
      </c>
      <c r="V65" s="13">
        <v>2</v>
      </c>
      <c r="W65" s="184">
        <v>2.2000000000000002</v>
      </c>
      <c r="X65" s="37">
        <v>5.86</v>
      </c>
      <c r="Y65" s="22"/>
      <c r="Z65" s="38">
        <v>12.71</v>
      </c>
      <c r="AA65" s="13">
        <v>20.62</v>
      </c>
      <c r="AB65" s="13">
        <v>35.79</v>
      </c>
      <c r="AC65" s="13">
        <v>48.62</v>
      </c>
      <c r="AD65" s="36">
        <v>386</v>
      </c>
      <c r="AE65" s="13">
        <v>9.56</v>
      </c>
      <c r="AF65" s="13">
        <v>0.5</v>
      </c>
      <c r="AG65" s="184">
        <v>2.2799999999999998</v>
      </c>
      <c r="AH65" s="37">
        <v>6.12</v>
      </c>
    </row>
    <row r="66" spans="1:34">
      <c r="A66" s="14">
        <f t="shared" si="25"/>
        <v>46039</v>
      </c>
      <c r="B66" s="38">
        <v>39.520000000000003</v>
      </c>
      <c r="C66" s="13">
        <v>16</v>
      </c>
      <c r="D66" s="13">
        <v>11.27</v>
      </c>
      <c r="E66" s="13">
        <v>21.62</v>
      </c>
      <c r="F66" s="13">
        <v>36.479999999999997</v>
      </c>
      <c r="G66" s="13">
        <v>48.55</v>
      </c>
      <c r="H66" s="12">
        <v>380</v>
      </c>
      <c r="I66" s="71">
        <v>7.44</v>
      </c>
      <c r="J66" s="13">
        <v>0.5</v>
      </c>
      <c r="K66" s="184">
        <v>2.12</v>
      </c>
      <c r="L66" s="26">
        <v>5.73</v>
      </c>
      <c r="M66" s="22"/>
      <c r="N66" s="29">
        <v>38.74</v>
      </c>
      <c r="O66" s="13">
        <v>16</v>
      </c>
      <c r="P66" s="13">
        <v>10.64</v>
      </c>
      <c r="Q66" s="13">
        <v>21.4</v>
      </c>
      <c r="R66" s="13">
        <v>36.340000000000003</v>
      </c>
      <c r="S66" s="13">
        <v>47.78</v>
      </c>
      <c r="T66" s="36">
        <v>362</v>
      </c>
      <c r="U66" s="13">
        <v>6.76</v>
      </c>
      <c r="V66" s="13">
        <v>1</v>
      </c>
      <c r="W66" s="184">
        <v>2.39</v>
      </c>
      <c r="X66" s="37">
        <v>6.13</v>
      </c>
      <c r="Y66" s="22"/>
      <c r="Z66" s="38">
        <v>11.88</v>
      </c>
      <c r="AA66" s="13">
        <v>21.31</v>
      </c>
      <c r="AB66" s="13">
        <v>35.42</v>
      </c>
      <c r="AC66" s="13">
        <v>48.04</v>
      </c>
      <c r="AD66" s="36">
        <v>378</v>
      </c>
      <c r="AE66" s="13">
        <v>8.1999999999999993</v>
      </c>
      <c r="AF66" s="13">
        <v>1.5</v>
      </c>
      <c r="AG66" s="184">
        <v>2.16</v>
      </c>
      <c r="AH66" s="37">
        <v>5.62</v>
      </c>
    </row>
    <row r="67" spans="1:34">
      <c r="A67" s="14">
        <f t="shared" si="25"/>
        <v>46040</v>
      </c>
      <c r="B67" s="38">
        <v>36.97</v>
      </c>
      <c r="C67" s="13">
        <v>16.2</v>
      </c>
      <c r="D67" s="13">
        <v>11.88</v>
      </c>
      <c r="E67" s="13">
        <v>21.23</v>
      </c>
      <c r="F67" s="13">
        <v>32.270000000000003</v>
      </c>
      <c r="G67" s="13">
        <v>46.43</v>
      </c>
      <c r="H67" s="12">
        <v>382</v>
      </c>
      <c r="I67" s="70">
        <v>8</v>
      </c>
      <c r="J67" s="13">
        <v>1</v>
      </c>
      <c r="K67" s="184">
        <v>2.38</v>
      </c>
      <c r="L67" s="26">
        <v>6.94</v>
      </c>
      <c r="M67" s="22"/>
      <c r="N67" s="29">
        <v>40.090000000000003</v>
      </c>
      <c r="O67" s="13">
        <v>17</v>
      </c>
      <c r="P67" s="13">
        <v>11.3</v>
      </c>
      <c r="Q67" s="13">
        <v>20.11</v>
      </c>
      <c r="R67" s="13">
        <v>31.98</v>
      </c>
      <c r="S67" s="13">
        <v>46.91</v>
      </c>
      <c r="T67" s="36">
        <v>370</v>
      </c>
      <c r="U67" s="13">
        <v>7.24</v>
      </c>
      <c r="V67" s="13">
        <v>1</v>
      </c>
      <c r="W67" s="184">
        <v>2.1800000000000002</v>
      </c>
      <c r="X67" s="37">
        <v>5.82</v>
      </c>
      <c r="Y67" s="22"/>
      <c r="Z67" s="38">
        <v>11.26</v>
      </c>
      <c r="AA67" s="13">
        <v>19.600000000000001</v>
      </c>
      <c r="AB67" s="13">
        <v>30.98</v>
      </c>
      <c r="AC67" s="13">
        <v>46.46</v>
      </c>
      <c r="AD67" s="36">
        <v>396</v>
      </c>
      <c r="AE67" s="13">
        <v>8.08</v>
      </c>
      <c r="AF67" s="13">
        <v>1</v>
      </c>
      <c r="AG67" s="184">
        <v>2.2200000000000002</v>
      </c>
      <c r="AH67" s="37">
        <v>5.86</v>
      </c>
    </row>
    <row r="68" spans="1:34">
      <c r="A68" s="14">
        <f t="shared" si="25"/>
        <v>46041</v>
      </c>
      <c r="B68" s="38">
        <v>40.619999999999997</v>
      </c>
      <c r="C68" s="13">
        <v>16</v>
      </c>
      <c r="D68" s="13">
        <v>10.64</v>
      </c>
      <c r="E68" s="13">
        <v>20.38</v>
      </c>
      <c r="F68" s="13">
        <v>31.63</v>
      </c>
      <c r="G68" s="13">
        <v>45.48</v>
      </c>
      <c r="H68" s="12">
        <v>361</v>
      </c>
      <c r="I68" s="70">
        <v>10.08</v>
      </c>
      <c r="J68" s="13">
        <v>2</v>
      </c>
      <c r="K68" s="184">
        <v>2.2200000000000002</v>
      </c>
      <c r="L68" s="37">
        <v>5.8</v>
      </c>
      <c r="M68" s="22"/>
      <c r="N68" s="29">
        <v>40.619999999999997</v>
      </c>
      <c r="O68" s="13">
        <v>16</v>
      </c>
      <c r="P68" s="13">
        <v>10.41</v>
      </c>
      <c r="Q68" s="13">
        <v>20.71</v>
      </c>
      <c r="R68" s="13">
        <v>32.590000000000003</v>
      </c>
      <c r="S68" s="13">
        <v>46.67</v>
      </c>
      <c r="T68" s="36">
        <v>369</v>
      </c>
      <c r="U68" s="13">
        <v>9.76</v>
      </c>
      <c r="V68" s="13">
        <v>0.5</v>
      </c>
      <c r="W68" s="184">
        <v>2.17</v>
      </c>
      <c r="X68" s="37">
        <v>6.26</v>
      </c>
      <c r="Y68" s="22"/>
      <c r="Z68" s="38">
        <v>11.08</v>
      </c>
      <c r="AA68" s="13">
        <v>20.75</v>
      </c>
      <c r="AB68" s="13">
        <v>33.869999999999997</v>
      </c>
      <c r="AC68" s="13">
        <v>47.68</v>
      </c>
      <c r="AD68" s="36">
        <v>355</v>
      </c>
      <c r="AE68" s="13">
        <v>8.8000000000000007</v>
      </c>
      <c r="AF68" s="13">
        <v>1</v>
      </c>
      <c r="AG68" s="184">
        <v>2.33</v>
      </c>
      <c r="AH68" s="37">
        <v>6.18</v>
      </c>
    </row>
    <row r="69" spans="1:34">
      <c r="A69" s="14">
        <f t="shared" si="25"/>
        <v>46042</v>
      </c>
      <c r="B69" s="38">
        <v>38.549999999999997</v>
      </c>
      <c r="C69" s="13">
        <v>15.8</v>
      </c>
      <c r="D69" s="13">
        <v>12.17</v>
      </c>
      <c r="E69" s="13">
        <v>20.16</v>
      </c>
      <c r="F69" s="13">
        <v>35.619999999999997</v>
      </c>
      <c r="G69" s="13">
        <v>47.65</v>
      </c>
      <c r="H69" s="12">
        <v>369</v>
      </c>
      <c r="I69" s="70">
        <v>8.24</v>
      </c>
      <c r="J69" s="13">
        <v>1</v>
      </c>
      <c r="K69" s="184">
        <v>2.56</v>
      </c>
      <c r="L69" s="26">
        <v>5.53</v>
      </c>
      <c r="M69" s="22"/>
      <c r="N69" s="29">
        <v>38.549999999999997</v>
      </c>
      <c r="O69" s="13">
        <v>16.2</v>
      </c>
      <c r="P69" s="13">
        <v>11.27</v>
      </c>
      <c r="Q69" s="13">
        <v>19.079999999999998</v>
      </c>
      <c r="R69" s="13">
        <v>34.67</v>
      </c>
      <c r="S69" s="13">
        <v>46.14</v>
      </c>
      <c r="T69" s="36">
        <v>363</v>
      </c>
      <c r="U69" s="13">
        <v>9.64</v>
      </c>
      <c r="V69" s="13">
        <v>2</v>
      </c>
      <c r="W69" s="184">
        <v>2.2599999999999998</v>
      </c>
      <c r="X69" s="37">
        <v>5.07</v>
      </c>
      <c r="Y69" s="22"/>
      <c r="Z69" s="38">
        <v>12.5</v>
      </c>
      <c r="AA69" s="13">
        <v>20.95</v>
      </c>
      <c r="AB69" s="13">
        <v>38.18</v>
      </c>
      <c r="AC69" s="13">
        <v>49.4</v>
      </c>
      <c r="AD69" s="36">
        <v>358</v>
      </c>
      <c r="AE69" s="13">
        <v>8.8000000000000007</v>
      </c>
      <c r="AF69" s="13">
        <v>0.5</v>
      </c>
      <c r="AG69" s="184">
        <v>2.2799999999999998</v>
      </c>
      <c r="AH69" s="37">
        <v>5.87</v>
      </c>
    </row>
    <row r="70" spans="1:34">
      <c r="A70" s="14">
        <f t="shared" si="25"/>
        <v>46043</v>
      </c>
      <c r="B70" s="38">
        <v>40.200000000000003</v>
      </c>
      <c r="C70" s="13">
        <v>16</v>
      </c>
      <c r="D70" s="13">
        <v>11.86</v>
      </c>
      <c r="E70" s="13">
        <v>22.62</v>
      </c>
      <c r="F70" s="13">
        <v>39.29</v>
      </c>
      <c r="G70" s="13">
        <v>48.05</v>
      </c>
      <c r="H70" s="12">
        <v>365</v>
      </c>
      <c r="I70" s="70">
        <v>8.36</v>
      </c>
      <c r="J70" s="13">
        <v>1</v>
      </c>
      <c r="K70" s="184">
        <v>2.2400000000000002</v>
      </c>
      <c r="L70" s="37">
        <v>5.42</v>
      </c>
      <c r="M70" s="22"/>
      <c r="N70" s="29">
        <v>40.200000000000003</v>
      </c>
      <c r="O70" s="13">
        <v>16</v>
      </c>
      <c r="P70" s="13">
        <v>11.8</v>
      </c>
      <c r="Q70" s="13">
        <v>22.17</v>
      </c>
      <c r="R70" s="13">
        <v>35.049999999999997</v>
      </c>
      <c r="S70" s="13">
        <v>47.95</v>
      </c>
      <c r="T70" s="36">
        <v>374</v>
      </c>
      <c r="U70" s="13">
        <v>9.32</v>
      </c>
      <c r="V70" s="13">
        <v>1</v>
      </c>
      <c r="W70" s="184">
        <v>2.29</v>
      </c>
      <c r="X70" s="37">
        <v>5.88</v>
      </c>
      <c r="Y70" s="22"/>
      <c r="Z70" s="38">
        <v>12.02</v>
      </c>
      <c r="AA70" s="13">
        <v>21.73</v>
      </c>
      <c r="AB70" s="13">
        <v>36.619999999999997</v>
      </c>
      <c r="AC70" s="13">
        <v>47.03</v>
      </c>
      <c r="AD70" s="36">
        <v>381</v>
      </c>
      <c r="AE70" s="12">
        <v>9.64</v>
      </c>
      <c r="AF70" s="13">
        <v>1</v>
      </c>
      <c r="AG70" s="184">
        <v>2.29</v>
      </c>
      <c r="AH70" s="37">
        <v>5.74</v>
      </c>
    </row>
    <row r="71" spans="1:34">
      <c r="A71" s="14">
        <f t="shared" si="25"/>
        <v>46044</v>
      </c>
      <c r="B71" s="38">
        <v>39.520000000000003</v>
      </c>
      <c r="C71" s="13">
        <v>16.5</v>
      </c>
      <c r="D71" s="13">
        <v>11.99</v>
      </c>
      <c r="E71" s="13">
        <v>21.8</v>
      </c>
      <c r="F71" s="13">
        <v>38.880000000000003</v>
      </c>
      <c r="G71" s="13">
        <v>49.57</v>
      </c>
      <c r="H71" s="12">
        <v>362</v>
      </c>
      <c r="I71" s="70">
        <v>9.2799999999999994</v>
      </c>
      <c r="J71" s="13">
        <v>2</v>
      </c>
      <c r="K71" s="184">
        <v>2.17</v>
      </c>
      <c r="L71" s="26">
        <v>6.18</v>
      </c>
      <c r="M71" s="22"/>
      <c r="N71" s="29">
        <v>39.520000000000003</v>
      </c>
      <c r="O71" s="13">
        <v>16.2</v>
      </c>
      <c r="P71" s="13">
        <v>12.81</v>
      </c>
      <c r="Q71" s="13">
        <v>22.64</v>
      </c>
      <c r="R71" s="13">
        <v>35.71</v>
      </c>
      <c r="S71" s="13">
        <v>46.42</v>
      </c>
      <c r="T71" s="36">
        <v>360</v>
      </c>
      <c r="U71" s="13">
        <v>10.28</v>
      </c>
      <c r="V71" s="13">
        <v>1</v>
      </c>
      <c r="W71" s="184">
        <v>2.2400000000000002</v>
      </c>
      <c r="X71" s="37">
        <v>6.65</v>
      </c>
      <c r="Y71" s="22"/>
      <c r="Z71" s="38">
        <v>13.13</v>
      </c>
      <c r="AA71" s="13">
        <v>22.17</v>
      </c>
      <c r="AB71" s="13">
        <v>37.85</v>
      </c>
      <c r="AC71" s="13">
        <v>48.92</v>
      </c>
      <c r="AD71" s="36">
        <v>368</v>
      </c>
      <c r="AE71" s="13">
        <v>9.56</v>
      </c>
      <c r="AF71" s="13">
        <v>1.5</v>
      </c>
      <c r="AG71" s="184">
        <v>2.19</v>
      </c>
      <c r="AH71" s="37">
        <v>6.38</v>
      </c>
    </row>
    <row r="72" spans="1:34">
      <c r="A72" s="14">
        <f t="shared" si="25"/>
        <v>46045</v>
      </c>
      <c r="B72" s="29">
        <v>38.74</v>
      </c>
      <c r="C72" s="13">
        <v>15.24</v>
      </c>
      <c r="D72" s="13">
        <v>11.53</v>
      </c>
      <c r="E72" s="13">
        <v>21.28</v>
      </c>
      <c r="F72" s="13">
        <v>36.6</v>
      </c>
      <c r="G72" s="13">
        <v>47.01</v>
      </c>
      <c r="H72" s="12">
        <v>372</v>
      </c>
      <c r="I72" s="70">
        <v>9.1199999999999992</v>
      </c>
      <c r="J72" s="13">
        <v>0.5</v>
      </c>
      <c r="K72" s="184">
        <v>2.2799999999999998</v>
      </c>
      <c r="L72" s="37">
        <v>5.82</v>
      </c>
      <c r="M72" s="22"/>
      <c r="N72" s="29">
        <v>38.74</v>
      </c>
      <c r="O72" s="13">
        <v>15.67</v>
      </c>
      <c r="P72" s="13">
        <v>10.7</v>
      </c>
      <c r="Q72" s="13">
        <v>22.45</v>
      </c>
      <c r="R72" s="13">
        <v>32.68</v>
      </c>
      <c r="S72" s="13">
        <v>47.16</v>
      </c>
      <c r="T72" s="36">
        <v>368</v>
      </c>
      <c r="U72" s="13">
        <v>10.56</v>
      </c>
      <c r="V72" s="13">
        <v>1.5</v>
      </c>
      <c r="W72" s="184">
        <v>2.25</v>
      </c>
      <c r="X72" s="37">
        <v>6.44</v>
      </c>
      <c r="Y72" s="22"/>
      <c r="Z72" s="38">
        <v>11.2</v>
      </c>
      <c r="AA72" s="13">
        <v>21.2</v>
      </c>
      <c r="AB72" s="13">
        <v>33.9</v>
      </c>
      <c r="AC72" s="13">
        <v>49.82</v>
      </c>
      <c r="AD72" s="36">
        <v>366</v>
      </c>
      <c r="AE72" s="13">
        <v>7.76</v>
      </c>
      <c r="AF72" s="13">
        <v>1</v>
      </c>
      <c r="AG72" s="184">
        <v>2.2000000000000002</v>
      </c>
      <c r="AH72" s="37">
        <v>5.79</v>
      </c>
    </row>
    <row r="73" spans="1:34">
      <c r="A73" s="14">
        <f t="shared" si="25"/>
        <v>46046</v>
      </c>
      <c r="B73" s="29">
        <v>39.06</v>
      </c>
      <c r="C73" s="13">
        <v>15.85</v>
      </c>
      <c r="D73" s="13">
        <v>11.86</v>
      </c>
      <c r="E73" s="13">
        <v>19.5</v>
      </c>
      <c r="F73" s="13">
        <v>34.79</v>
      </c>
      <c r="G73" s="13">
        <v>48.81</v>
      </c>
      <c r="H73" s="12">
        <v>397</v>
      </c>
      <c r="I73" s="70">
        <v>7.36</v>
      </c>
      <c r="J73" s="13">
        <v>1.5</v>
      </c>
      <c r="K73" s="184">
        <v>2.04</v>
      </c>
      <c r="L73" s="37">
        <v>6.45</v>
      </c>
      <c r="M73" s="22"/>
      <c r="N73" s="29">
        <v>39.06</v>
      </c>
      <c r="O73" s="13">
        <v>15.39</v>
      </c>
      <c r="P73" s="13">
        <v>11.48</v>
      </c>
      <c r="Q73" s="13">
        <v>19.43</v>
      </c>
      <c r="R73" s="13">
        <v>33.68</v>
      </c>
      <c r="S73" s="13">
        <v>46.2</v>
      </c>
      <c r="T73" s="36">
        <v>359</v>
      </c>
      <c r="U73" s="13">
        <v>7.48</v>
      </c>
      <c r="V73" s="13">
        <v>1.5</v>
      </c>
      <c r="W73" s="184">
        <v>2.11</v>
      </c>
      <c r="X73" s="37">
        <v>6.02</v>
      </c>
      <c r="Y73" s="22"/>
      <c r="Z73" s="38">
        <v>12.1</v>
      </c>
      <c r="AA73" s="13">
        <v>20.84</v>
      </c>
      <c r="AB73" s="13">
        <v>33.950000000000003</v>
      </c>
      <c r="AC73" s="13">
        <v>49.65</v>
      </c>
      <c r="AD73" s="36">
        <v>390</v>
      </c>
      <c r="AE73" s="13">
        <v>10.119999999999999</v>
      </c>
      <c r="AF73" s="13">
        <v>1</v>
      </c>
      <c r="AG73" s="184">
        <v>2.12</v>
      </c>
      <c r="AH73" s="37">
        <v>5.73</v>
      </c>
    </row>
    <row r="74" spans="1:34">
      <c r="A74" s="14">
        <f t="shared" si="25"/>
        <v>46047</v>
      </c>
      <c r="B74" s="156" t="s">
        <v>35</v>
      </c>
      <c r="C74" s="13" t="s">
        <v>35</v>
      </c>
      <c r="D74" s="13" t="s">
        <v>35</v>
      </c>
      <c r="E74" s="13" t="s">
        <v>35</v>
      </c>
      <c r="F74" s="13" t="s">
        <v>35</v>
      </c>
      <c r="G74" s="13" t="s">
        <v>35</v>
      </c>
      <c r="H74" s="12" t="s">
        <v>35</v>
      </c>
      <c r="I74" s="70" t="s">
        <v>35</v>
      </c>
      <c r="J74" s="13" t="s">
        <v>35</v>
      </c>
      <c r="K74" s="184"/>
      <c r="L74" s="37" t="s">
        <v>35</v>
      </c>
      <c r="M74" s="22"/>
      <c r="N74" s="29">
        <v>39.14</v>
      </c>
      <c r="O74" s="13">
        <v>16.5</v>
      </c>
      <c r="P74" s="13">
        <v>12.12</v>
      </c>
      <c r="Q74" s="13">
        <v>21.26</v>
      </c>
      <c r="R74" s="13">
        <v>31.92</v>
      </c>
      <c r="S74" s="13">
        <v>45.71</v>
      </c>
      <c r="T74" s="36">
        <v>370</v>
      </c>
      <c r="U74" s="13">
        <v>8.4</v>
      </c>
      <c r="V74" s="13">
        <v>1</v>
      </c>
      <c r="W74" s="184">
        <v>2.2400000000000002</v>
      </c>
      <c r="X74" s="37">
        <v>6.8</v>
      </c>
      <c r="Y74" s="22"/>
      <c r="Z74" s="38">
        <v>11.7</v>
      </c>
      <c r="AA74" s="13">
        <v>20.72</v>
      </c>
      <c r="AB74" s="13">
        <v>32.42</v>
      </c>
      <c r="AC74" s="13">
        <v>47.32</v>
      </c>
      <c r="AD74" s="36">
        <v>361</v>
      </c>
      <c r="AE74" s="13">
        <v>5.96</v>
      </c>
      <c r="AF74" s="13">
        <v>0.5</v>
      </c>
      <c r="AG74" s="184">
        <v>2.2799999999999998</v>
      </c>
      <c r="AH74" s="37">
        <v>6.55</v>
      </c>
    </row>
    <row r="75" spans="1:34">
      <c r="A75" s="14">
        <f t="shared" si="25"/>
        <v>46048</v>
      </c>
      <c r="B75" s="29">
        <v>34.93</v>
      </c>
      <c r="C75" s="13">
        <v>17.510000000000002</v>
      </c>
      <c r="D75" s="13">
        <v>12</v>
      </c>
      <c r="E75" s="13">
        <v>21.11</v>
      </c>
      <c r="F75" s="13">
        <v>34.18</v>
      </c>
      <c r="G75" s="13">
        <v>48.78</v>
      </c>
      <c r="H75" s="12">
        <v>386</v>
      </c>
      <c r="I75" s="70">
        <v>10.08</v>
      </c>
      <c r="J75" s="13">
        <v>0.5</v>
      </c>
      <c r="K75" s="184">
        <v>2.2400000000000002</v>
      </c>
      <c r="L75" s="37">
        <v>5.77</v>
      </c>
      <c r="M75" s="22"/>
      <c r="N75" s="29">
        <v>34.93</v>
      </c>
      <c r="O75" s="13">
        <v>17.5</v>
      </c>
      <c r="P75" s="13">
        <v>12.26</v>
      </c>
      <c r="Q75" s="13">
        <v>21.01</v>
      </c>
      <c r="R75" s="13">
        <v>33.869999999999997</v>
      </c>
      <c r="S75" s="13">
        <v>47.6</v>
      </c>
      <c r="T75" s="36">
        <v>350</v>
      </c>
      <c r="U75" s="13">
        <v>8.92</v>
      </c>
      <c r="V75" s="13">
        <v>1</v>
      </c>
      <c r="W75" s="184">
        <v>2.25</v>
      </c>
      <c r="X75" s="51">
        <v>6.17</v>
      </c>
      <c r="Y75" s="22"/>
      <c r="Z75" s="38">
        <v>11.91</v>
      </c>
      <c r="AA75" s="13">
        <v>21.03</v>
      </c>
      <c r="AB75" s="13">
        <v>35.020000000000003</v>
      </c>
      <c r="AC75" s="13">
        <v>46.88</v>
      </c>
      <c r="AD75" s="36">
        <v>374</v>
      </c>
      <c r="AE75" s="13">
        <v>8.64</v>
      </c>
      <c r="AF75" s="13">
        <v>0.5</v>
      </c>
      <c r="AG75" s="184">
        <v>2.17</v>
      </c>
      <c r="AH75" s="51">
        <v>6.68</v>
      </c>
    </row>
    <row r="76" spans="1:34">
      <c r="A76" s="14">
        <f t="shared" si="25"/>
        <v>46049</v>
      </c>
      <c r="B76" s="29">
        <v>37.979999999999997</v>
      </c>
      <c r="C76" s="13">
        <v>17</v>
      </c>
      <c r="D76" s="13">
        <v>11.99</v>
      </c>
      <c r="E76" s="13">
        <v>22.54</v>
      </c>
      <c r="F76" s="13">
        <v>37.54</v>
      </c>
      <c r="G76" s="13">
        <v>46.61</v>
      </c>
      <c r="H76" s="12">
        <v>356</v>
      </c>
      <c r="I76" s="70">
        <v>10.32</v>
      </c>
      <c r="J76" s="13">
        <v>1</v>
      </c>
      <c r="K76" s="184">
        <v>2.4460000000000002</v>
      </c>
      <c r="L76" s="37">
        <v>6.19</v>
      </c>
      <c r="M76" s="22"/>
      <c r="N76" s="29">
        <v>37.979999999999997</v>
      </c>
      <c r="O76" s="13">
        <v>17</v>
      </c>
      <c r="P76" s="13">
        <v>12.05</v>
      </c>
      <c r="Q76" s="13">
        <v>22.45</v>
      </c>
      <c r="R76" s="13">
        <v>35.520000000000003</v>
      </c>
      <c r="S76" s="13">
        <v>46.3</v>
      </c>
      <c r="T76" s="36">
        <v>348</v>
      </c>
      <c r="U76" s="13">
        <v>9.0399999999999991</v>
      </c>
      <c r="V76" s="13">
        <v>0.5</v>
      </c>
      <c r="W76" s="184">
        <v>2.2679999999999998</v>
      </c>
      <c r="X76" s="37">
        <v>6.44</v>
      </c>
      <c r="Y76" s="22"/>
      <c r="Z76" s="38">
        <v>12.74</v>
      </c>
      <c r="AA76" s="13">
        <v>23.02</v>
      </c>
      <c r="AB76" s="13">
        <v>37.08</v>
      </c>
      <c r="AC76" s="13">
        <v>47.51</v>
      </c>
      <c r="AD76" s="36">
        <v>350</v>
      </c>
      <c r="AE76" s="13">
        <v>10.039999999999999</v>
      </c>
      <c r="AF76" s="13">
        <v>1</v>
      </c>
      <c r="AG76" s="184">
        <v>2.39</v>
      </c>
      <c r="AH76" s="37">
        <v>6.18</v>
      </c>
    </row>
    <row r="77" spans="1:34">
      <c r="A77" s="14">
        <f t="shared" si="25"/>
        <v>46050</v>
      </c>
      <c r="B77" s="29">
        <v>32.380000000000003</v>
      </c>
      <c r="C77" s="13">
        <v>17.5</v>
      </c>
      <c r="D77" s="13">
        <v>12.48</v>
      </c>
      <c r="E77" s="13">
        <v>22.66</v>
      </c>
      <c r="F77" s="13">
        <v>35.69</v>
      </c>
      <c r="G77" s="13">
        <v>46.4</v>
      </c>
      <c r="H77" s="12">
        <v>343</v>
      </c>
      <c r="I77" s="70">
        <v>5.68</v>
      </c>
      <c r="J77" s="13">
        <v>1</v>
      </c>
      <c r="K77" s="184">
        <v>2.15</v>
      </c>
      <c r="L77" s="37">
        <v>6.11</v>
      </c>
      <c r="M77" s="22"/>
      <c r="N77" s="29">
        <v>32.380000000000003</v>
      </c>
      <c r="O77" s="13">
        <v>17.5</v>
      </c>
      <c r="P77" s="13">
        <v>12.36</v>
      </c>
      <c r="Q77" s="13">
        <v>21.52</v>
      </c>
      <c r="R77" s="13">
        <v>34.4</v>
      </c>
      <c r="S77" s="13">
        <v>48.18</v>
      </c>
      <c r="T77" s="36">
        <v>353</v>
      </c>
      <c r="U77" s="13">
        <v>6.68</v>
      </c>
      <c r="V77" s="13">
        <v>1.5</v>
      </c>
      <c r="W77" s="184">
        <v>2.27</v>
      </c>
      <c r="X77" s="37">
        <v>6.85</v>
      </c>
      <c r="Y77" s="22"/>
      <c r="Z77" s="38">
        <v>12.89</v>
      </c>
      <c r="AA77" s="13">
        <v>22.02</v>
      </c>
      <c r="AB77" s="13">
        <v>37.14</v>
      </c>
      <c r="AC77" s="13">
        <v>46.61</v>
      </c>
      <c r="AD77" s="36">
        <v>345</v>
      </c>
      <c r="AE77" s="13">
        <v>8.44</v>
      </c>
      <c r="AF77" s="13">
        <v>0.5</v>
      </c>
      <c r="AG77" s="184">
        <v>2.13</v>
      </c>
      <c r="AH77" s="37">
        <v>6.4</v>
      </c>
    </row>
    <row r="78" spans="1:34">
      <c r="A78" s="14">
        <f t="shared" si="25"/>
        <v>46051</v>
      </c>
      <c r="B78" s="29">
        <v>36.29</v>
      </c>
      <c r="C78" s="13">
        <v>17.5</v>
      </c>
      <c r="D78" s="13">
        <v>12.29</v>
      </c>
      <c r="E78" s="13">
        <v>20.54</v>
      </c>
      <c r="F78" s="13">
        <v>39.22</v>
      </c>
      <c r="G78" s="13">
        <v>45.25</v>
      </c>
      <c r="H78" s="12">
        <v>348</v>
      </c>
      <c r="I78" s="70">
        <v>8.9600000000000009</v>
      </c>
      <c r="J78" s="13">
        <v>1</v>
      </c>
      <c r="K78" s="184">
        <v>2.34</v>
      </c>
      <c r="L78" s="37">
        <v>6.64</v>
      </c>
      <c r="M78" s="22"/>
      <c r="N78" s="29">
        <v>36.29</v>
      </c>
      <c r="O78" s="13">
        <v>17.5</v>
      </c>
      <c r="P78" s="13">
        <v>12.11</v>
      </c>
      <c r="Q78" s="13">
        <v>20.25</v>
      </c>
      <c r="R78" s="13">
        <v>38.130000000000003</v>
      </c>
      <c r="S78" s="13">
        <v>46.6</v>
      </c>
      <c r="T78" s="36">
        <v>348</v>
      </c>
      <c r="U78" s="13">
        <v>7.72</v>
      </c>
      <c r="V78" s="13">
        <v>2</v>
      </c>
      <c r="W78" s="184">
        <v>2.14</v>
      </c>
      <c r="X78" s="37">
        <v>7.43</v>
      </c>
      <c r="Y78" s="22"/>
      <c r="Z78" s="38">
        <v>12.54</v>
      </c>
      <c r="AA78" s="13">
        <v>21.16</v>
      </c>
      <c r="AB78" s="13">
        <v>36.909999999999997</v>
      </c>
      <c r="AC78" s="13">
        <v>45.79</v>
      </c>
      <c r="AD78" s="36">
        <v>353</v>
      </c>
      <c r="AE78" s="13">
        <v>6.68</v>
      </c>
      <c r="AF78" s="13">
        <v>0.5</v>
      </c>
      <c r="AG78" s="184">
        <v>2.33</v>
      </c>
      <c r="AH78" s="37">
        <v>6.74</v>
      </c>
    </row>
    <row r="79" spans="1:34">
      <c r="A79" s="14">
        <f t="shared" si="25"/>
        <v>46052</v>
      </c>
      <c r="B79" s="29">
        <v>36.67</v>
      </c>
      <c r="C79" s="13">
        <v>17.5</v>
      </c>
      <c r="D79" s="13">
        <v>12.72</v>
      </c>
      <c r="E79" s="13">
        <v>22.17</v>
      </c>
      <c r="F79" s="13">
        <v>38.659999999999997</v>
      </c>
      <c r="G79" s="13">
        <v>46.46</v>
      </c>
      <c r="H79" s="12">
        <v>356</v>
      </c>
      <c r="I79" s="70">
        <v>7.72</v>
      </c>
      <c r="J79" s="13">
        <v>1</v>
      </c>
      <c r="K79" s="184">
        <v>2.19</v>
      </c>
      <c r="L79" s="37">
        <v>6.79</v>
      </c>
      <c r="M79" s="22"/>
      <c r="N79" s="29">
        <v>36.67</v>
      </c>
      <c r="O79" s="13">
        <v>17.5</v>
      </c>
      <c r="P79" s="47">
        <v>12.09</v>
      </c>
      <c r="Q79" s="47">
        <v>22.28</v>
      </c>
      <c r="R79" s="47">
        <v>38.19</v>
      </c>
      <c r="S79" s="47">
        <v>47.24</v>
      </c>
      <c r="T79" s="52">
        <v>351</v>
      </c>
      <c r="U79" s="47">
        <v>7.44</v>
      </c>
      <c r="V79" s="53">
        <v>1</v>
      </c>
      <c r="W79" s="184">
        <v>2.27</v>
      </c>
      <c r="X79" s="48">
        <v>5.73</v>
      </c>
      <c r="Y79" s="22"/>
      <c r="Z79" s="38">
        <v>12.36</v>
      </c>
      <c r="AA79" s="13">
        <v>22.88</v>
      </c>
      <c r="AB79" s="47">
        <v>37.19</v>
      </c>
      <c r="AC79" s="47">
        <v>46.06</v>
      </c>
      <c r="AD79" s="52">
        <v>372</v>
      </c>
      <c r="AE79" s="13">
        <v>7.8</v>
      </c>
      <c r="AF79" s="53">
        <v>1.5</v>
      </c>
      <c r="AG79" s="53">
        <v>2.11</v>
      </c>
      <c r="AH79" s="37">
        <v>6.6</v>
      </c>
    </row>
    <row r="80" spans="1:34" ht="15.75" thickBot="1">
      <c r="A80" s="14">
        <f t="shared" si="25"/>
        <v>46053</v>
      </c>
      <c r="B80" s="29">
        <v>38.06</v>
      </c>
      <c r="C80" s="13">
        <v>17.5</v>
      </c>
      <c r="D80" s="13">
        <v>12.09</v>
      </c>
      <c r="E80" s="13">
        <v>22.91</v>
      </c>
      <c r="F80" s="13">
        <v>38.68</v>
      </c>
      <c r="G80" s="13">
        <v>44.08</v>
      </c>
      <c r="H80" s="12">
        <v>350</v>
      </c>
      <c r="I80" s="70">
        <v>9.76</v>
      </c>
      <c r="J80" s="13">
        <v>1.5</v>
      </c>
      <c r="K80" s="184">
        <v>2.13</v>
      </c>
      <c r="L80" s="37">
        <v>6.85</v>
      </c>
      <c r="M80" s="22"/>
      <c r="N80" s="56">
        <v>38.06</v>
      </c>
      <c r="O80" s="47">
        <v>17.27</v>
      </c>
      <c r="P80" s="47">
        <v>12.45</v>
      </c>
      <c r="Q80" s="47">
        <v>22.23</v>
      </c>
      <c r="R80" s="47">
        <v>37.49</v>
      </c>
      <c r="S80" s="47">
        <v>45.82</v>
      </c>
      <c r="T80" s="52">
        <v>355</v>
      </c>
      <c r="U80" s="47">
        <v>9.1999999999999993</v>
      </c>
      <c r="V80" s="47">
        <v>1</v>
      </c>
      <c r="W80" s="184">
        <v>2.0099999999999998</v>
      </c>
      <c r="X80" s="48">
        <v>6.45</v>
      </c>
      <c r="Y80" s="22"/>
      <c r="Z80" s="39">
        <v>12.22</v>
      </c>
      <c r="AA80" s="47">
        <v>23.11</v>
      </c>
      <c r="AB80" s="47">
        <v>37.81</v>
      </c>
      <c r="AC80" s="47">
        <v>46.52</v>
      </c>
      <c r="AD80" s="52">
        <v>353</v>
      </c>
      <c r="AE80" s="47">
        <v>9.9600000000000009</v>
      </c>
      <c r="AF80" s="47">
        <v>0.5</v>
      </c>
      <c r="AG80" s="53">
        <v>2.21</v>
      </c>
      <c r="AH80" s="48">
        <v>6.72</v>
      </c>
    </row>
    <row r="81" spans="1:34">
      <c r="A81" s="16" t="s">
        <v>31</v>
      </c>
      <c r="B81" s="17">
        <f>MIN(B50:B80)</f>
        <v>26.42</v>
      </c>
      <c r="C81" s="17">
        <f>MIN(C50:C80)</f>
        <v>15.24</v>
      </c>
      <c r="D81" s="17">
        <f t="shared" ref="D81:L81" si="26">MIN(D50:D80)</f>
        <v>9.66</v>
      </c>
      <c r="E81" s="17">
        <f t="shared" si="26"/>
        <v>18.149999999999999</v>
      </c>
      <c r="F81" s="17">
        <f t="shared" si="26"/>
        <v>31.63</v>
      </c>
      <c r="G81" s="17">
        <f t="shared" si="26"/>
        <v>44.08</v>
      </c>
      <c r="H81" s="197">
        <f t="shared" si="26"/>
        <v>343</v>
      </c>
      <c r="I81" s="17">
        <f t="shared" si="26"/>
        <v>5.68</v>
      </c>
      <c r="J81" s="17">
        <f t="shared" si="26"/>
        <v>0.5</v>
      </c>
      <c r="K81" s="17">
        <f t="shared" si="26"/>
        <v>1.99</v>
      </c>
      <c r="L81" s="30">
        <f t="shared" si="26"/>
        <v>5.42</v>
      </c>
      <c r="M81" s="22"/>
      <c r="N81" s="17">
        <f>MIN(N50:N80)</f>
        <v>26.42</v>
      </c>
      <c r="O81" s="17">
        <f>MIN(O50:O80)</f>
        <v>15.39</v>
      </c>
      <c r="P81" s="17">
        <f t="shared" ref="P81:X81" si="27">MIN(P50:P80)</f>
        <v>9.81</v>
      </c>
      <c r="Q81" s="17">
        <f t="shared" si="27"/>
        <v>18.8</v>
      </c>
      <c r="R81" s="17">
        <f t="shared" si="27"/>
        <v>31.92</v>
      </c>
      <c r="S81" s="17">
        <f t="shared" si="27"/>
        <v>44.71</v>
      </c>
      <c r="T81" s="197">
        <f t="shared" si="27"/>
        <v>340</v>
      </c>
      <c r="U81" s="17">
        <f t="shared" si="27"/>
        <v>6.68</v>
      </c>
      <c r="V81" s="17">
        <f t="shared" si="27"/>
        <v>0.5</v>
      </c>
      <c r="W81" s="17">
        <f t="shared" si="27"/>
        <v>1.97</v>
      </c>
      <c r="X81" s="30">
        <f t="shared" si="27"/>
        <v>5.07</v>
      </c>
      <c r="Z81" s="40">
        <f t="shared" ref="Z81:AH81" si="28">MIN(Z50:Z80)</f>
        <v>9.86</v>
      </c>
      <c r="AA81" s="17">
        <f t="shared" si="28"/>
        <v>18.75</v>
      </c>
      <c r="AB81" s="17">
        <f t="shared" si="28"/>
        <v>30.98</v>
      </c>
      <c r="AC81" s="17">
        <f t="shared" si="28"/>
        <v>45.79</v>
      </c>
      <c r="AD81" s="197">
        <f t="shared" si="28"/>
        <v>345</v>
      </c>
      <c r="AE81" s="17">
        <f t="shared" si="28"/>
        <v>5.96</v>
      </c>
      <c r="AF81" s="17">
        <f t="shared" si="28"/>
        <v>0.5</v>
      </c>
      <c r="AG81" s="17">
        <f t="shared" si="28"/>
        <v>2.0099999999999998</v>
      </c>
      <c r="AH81" s="30">
        <f t="shared" si="28"/>
        <v>4.97</v>
      </c>
    </row>
    <row r="82" spans="1:34">
      <c r="A82" s="18" t="s">
        <v>33</v>
      </c>
      <c r="B82" s="19">
        <f>MAX(B50:B80)</f>
        <v>40.619999999999997</v>
      </c>
      <c r="C82" s="19">
        <f>MAX(C50:C80)</f>
        <v>17.510000000000002</v>
      </c>
      <c r="D82" s="19">
        <f t="shared" ref="D82:L82" si="29">MAX(D50:D80)</f>
        <v>13.12</v>
      </c>
      <c r="E82" s="19">
        <f t="shared" si="29"/>
        <v>23.86</v>
      </c>
      <c r="F82" s="19">
        <f t="shared" si="29"/>
        <v>39.520000000000003</v>
      </c>
      <c r="G82" s="19">
        <f t="shared" si="29"/>
        <v>49.57</v>
      </c>
      <c r="H82" s="198">
        <f t="shared" si="29"/>
        <v>400</v>
      </c>
      <c r="I82" s="19">
        <f t="shared" si="29"/>
        <v>10.84</v>
      </c>
      <c r="J82" s="19">
        <f t="shared" si="29"/>
        <v>5.5</v>
      </c>
      <c r="K82" s="19">
        <f t="shared" si="29"/>
        <v>2.56</v>
      </c>
      <c r="L82" s="31">
        <f t="shared" si="29"/>
        <v>7.73</v>
      </c>
      <c r="M82" s="22"/>
      <c r="N82" s="19">
        <f>MAX(N50:N80)</f>
        <v>40.619999999999997</v>
      </c>
      <c r="O82" s="19">
        <f>MAX(O50:O80)</f>
        <v>17.5</v>
      </c>
      <c r="P82" s="19">
        <f t="shared" ref="P82:X82" si="30">MAX(P50:P80)</f>
        <v>12.81</v>
      </c>
      <c r="Q82" s="19">
        <f t="shared" si="30"/>
        <v>22.74</v>
      </c>
      <c r="R82" s="19">
        <f t="shared" si="30"/>
        <v>39.92</v>
      </c>
      <c r="S82" s="19">
        <f t="shared" si="30"/>
        <v>49.2</v>
      </c>
      <c r="T82" s="198">
        <f t="shared" si="30"/>
        <v>397</v>
      </c>
      <c r="U82" s="19">
        <f t="shared" si="30"/>
        <v>11.48</v>
      </c>
      <c r="V82" s="19">
        <f t="shared" si="30"/>
        <v>21</v>
      </c>
      <c r="W82" s="19">
        <f t="shared" si="30"/>
        <v>2.39</v>
      </c>
      <c r="X82" s="31">
        <f t="shared" si="30"/>
        <v>7.46</v>
      </c>
      <c r="Z82" s="41">
        <f t="shared" ref="Z82:AH82" si="31">MAX(Z50:Z80)</f>
        <v>13.91</v>
      </c>
      <c r="AA82" s="19">
        <f t="shared" si="31"/>
        <v>23.28</v>
      </c>
      <c r="AB82" s="19">
        <f t="shared" si="31"/>
        <v>39.090000000000003</v>
      </c>
      <c r="AC82" s="19">
        <f t="shared" si="31"/>
        <v>49.96</v>
      </c>
      <c r="AD82" s="198">
        <f t="shared" si="31"/>
        <v>401</v>
      </c>
      <c r="AE82" s="19">
        <f t="shared" si="31"/>
        <v>11.64</v>
      </c>
      <c r="AF82" s="19">
        <f t="shared" si="31"/>
        <v>8.5</v>
      </c>
      <c r="AG82" s="19">
        <f t="shared" si="31"/>
        <v>2.4</v>
      </c>
      <c r="AH82" s="31">
        <f t="shared" si="31"/>
        <v>7.1</v>
      </c>
    </row>
    <row r="83" spans="1:34">
      <c r="A83" s="18" t="s">
        <v>36</v>
      </c>
      <c r="B83" s="19">
        <f t="shared" ref="B83:L83" si="32">AVERAGE(B50:B80)</f>
        <v>37.62533333333333</v>
      </c>
      <c r="C83" s="19">
        <f t="shared" si="32"/>
        <v>16.377333333333333</v>
      </c>
      <c r="D83" s="19">
        <f t="shared" si="32"/>
        <v>11.799333333333333</v>
      </c>
      <c r="E83" s="19">
        <f t="shared" si="32"/>
        <v>21.508666666666663</v>
      </c>
      <c r="F83" s="19">
        <f t="shared" si="32"/>
        <v>36.347999999999999</v>
      </c>
      <c r="G83" s="19">
        <f t="shared" si="32"/>
        <v>47.277666666666661</v>
      </c>
      <c r="H83" s="198">
        <f t="shared" si="32"/>
        <v>374.03333333333336</v>
      </c>
      <c r="I83" s="19">
        <f t="shared" si="32"/>
        <v>8.794666666666668</v>
      </c>
      <c r="J83" s="19">
        <f t="shared" si="32"/>
        <v>1.05</v>
      </c>
      <c r="K83" s="19">
        <f t="shared" si="32"/>
        <v>2.1998000000000002</v>
      </c>
      <c r="L83" s="31">
        <f t="shared" si="32"/>
        <v>6.4403333333333315</v>
      </c>
      <c r="M83" s="22"/>
      <c r="N83" s="19">
        <f t="shared" ref="N83:X83" si="33">AVERAGE(N50:N80)</f>
        <v>37.659032258064521</v>
      </c>
      <c r="O83" s="19">
        <f t="shared" si="33"/>
        <v>16.465806451612902</v>
      </c>
      <c r="P83" s="19">
        <f t="shared" si="33"/>
        <v>11.513870967741935</v>
      </c>
      <c r="Q83" s="19">
        <f t="shared" si="33"/>
        <v>21.18225806451613</v>
      </c>
      <c r="R83" s="19">
        <f t="shared" si="33"/>
        <v>35.285483870967731</v>
      </c>
      <c r="S83" s="19">
        <f t="shared" si="33"/>
        <v>46.874838709677412</v>
      </c>
      <c r="T83" s="198">
        <f t="shared" si="33"/>
        <v>364.32258064516128</v>
      </c>
      <c r="U83" s="19">
        <f t="shared" si="33"/>
        <v>9.1264516129032227</v>
      </c>
      <c r="V83" s="19">
        <f t="shared" si="33"/>
        <v>3.032258064516129</v>
      </c>
      <c r="W83" s="19">
        <f t="shared" si="33"/>
        <v>2.1996451612903227</v>
      </c>
      <c r="X83" s="31">
        <f t="shared" si="33"/>
        <v>6.3429032258064506</v>
      </c>
      <c r="Z83" s="41">
        <f>AVERAGE(Z50:Z80)</f>
        <v>12.150000000000002</v>
      </c>
      <c r="AA83" s="19">
        <f t="shared" ref="AA83:AH83" si="34">AVERAGE(AA50:AA80)</f>
        <v>21.326451612903224</v>
      </c>
      <c r="AB83" s="19">
        <f t="shared" si="34"/>
        <v>35.929032258064517</v>
      </c>
      <c r="AC83" s="19">
        <f t="shared" si="34"/>
        <v>47.434193548387086</v>
      </c>
      <c r="AD83" s="198">
        <f t="shared" si="34"/>
        <v>372.67741935483872</v>
      </c>
      <c r="AE83" s="19">
        <f t="shared" si="34"/>
        <v>9.3419354838709712</v>
      </c>
      <c r="AF83" s="19">
        <f t="shared" si="34"/>
        <v>1.1612903225806452</v>
      </c>
      <c r="AG83" s="19">
        <f t="shared" si="34"/>
        <v>2.1904193548387099</v>
      </c>
      <c r="AH83" s="31">
        <f t="shared" si="34"/>
        <v>6.2912903225806458</v>
      </c>
    </row>
    <row r="84" spans="1:34" ht="15.75" thickBot="1">
      <c r="A84" s="20" t="s">
        <v>130</v>
      </c>
      <c r="B84" s="21">
        <f>STDEV(B50:B80)</f>
        <v>2.8769868496976718</v>
      </c>
      <c r="C84" s="21">
        <f t="shared" ref="C84:L84" si="35">STDEV(C50:C80)</f>
        <v>0.68618351487918594</v>
      </c>
      <c r="D84" s="21">
        <f t="shared" si="35"/>
        <v>0.77136213300231771</v>
      </c>
      <c r="E84" s="21">
        <f t="shared" si="35"/>
        <v>1.228645829648497</v>
      </c>
      <c r="F84" s="21">
        <f t="shared" si="35"/>
        <v>2.2209479181584633</v>
      </c>
      <c r="G84" s="21">
        <f t="shared" si="35"/>
        <v>1.3804114412472961</v>
      </c>
      <c r="H84" s="199">
        <f t="shared" si="35"/>
        <v>14.320189108107268</v>
      </c>
      <c r="I84" s="21">
        <f t="shared" si="35"/>
        <v>1.1281835670313065</v>
      </c>
      <c r="J84" s="21">
        <f t="shared" si="35"/>
        <v>0.96802322571167743</v>
      </c>
      <c r="K84" s="21">
        <f t="shared" si="35"/>
        <v>0.13442505924017345</v>
      </c>
      <c r="L84" s="32">
        <f t="shared" si="35"/>
        <v>0.54397314419849396</v>
      </c>
      <c r="M84" s="22"/>
      <c r="N84" s="21">
        <f>STDEV(N50:N80)</f>
        <v>2.8349478006231554</v>
      </c>
      <c r="O84" s="21">
        <f t="shared" ref="O84:X84" si="36">STDEV(O50:O80)</f>
        <v>0.67778449964349963</v>
      </c>
      <c r="P84" s="21">
        <f t="shared" si="36"/>
        <v>0.73451424955251821</v>
      </c>
      <c r="Q84" s="21">
        <f t="shared" si="36"/>
        <v>1.1164070633880796</v>
      </c>
      <c r="R84" s="21">
        <f t="shared" si="36"/>
        <v>2.2426039012862962</v>
      </c>
      <c r="S84" s="21">
        <f t="shared" si="36"/>
        <v>1.0419144909500075</v>
      </c>
      <c r="T84" s="199">
        <f t="shared" si="36"/>
        <v>11.872621436942486</v>
      </c>
      <c r="U84" s="21">
        <f t="shared" si="36"/>
        <v>1.3596900342531641</v>
      </c>
      <c r="V84" s="21">
        <f t="shared" si="36"/>
        <v>5.5586801249201949</v>
      </c>
      <c r="W84" s="21">
        <f t="shared" si="36"/>
        <v>9.5729670909666872E-2</v>
      </c>
      <c r="X84" s="32">
        <f t="shared" si="36"/>
        <v>0.56973206304008717</v>
      </c>
      <c r="Z84" s="42">
        <f>STDEV(Z50:Z80)</f>
        <v>0.83902324163279307</v>
      </c>
      <c r="AA84" s="21">
        <f t="shared" ref="AA84:AH84" si="37">STDEV(AA50:AA80)</f>
        <v>1.1984338345999657</v>
      </c>
      <c r="AB84" s="21">
        <f t="shared" si="37"/>
        <v>1.9667135952119204</v>
      </c>
      <c r="AC84" s="21">
        <f t="shared" si="37"/>
        <v>1.2232954785974599</v>
      </c>
      <c r="AD84" s="199">
        <f t="shared" si="37"/>
        <v>14.606818263569455</v>
      </c>
      <c r="AE84" s="21">
        <f t="shared" si="37"/>
        <v>1.2325729710780726</v>
      </c>
      <c r="AF84" s="21">
        <f t="shared" si="37"/>
        <v>1.4854129435625723</v>
      </c>
      <c r="AG84" s="21">
        <f t="shared" si="37"/>
        <v>0.10593418528927871</v>
      </c>
      <c r="AH84" s="32">
        <f t="shared" si="37"/>
        <v>0.53191942958486904</v>
      </c>
    </row>
    <row r="85" spans="1:34" ht="15.75" thickBot="1"/>
    <row r="86" spans="1:34" ht="15.75" thickBot="1">
      <c r="A86" s="1"/>
      <c r="B86" s="338" t="s">
        <v>0</v>
      </c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  <c r="AA86" s="339"/>
      <c r="AB86" s="339"/>
      <c r="AC86" s="339"/>
      <c r="AD86" s="340"/>
      <c r="AE86" s="340"/>
      <c r="AF86" s="340"/>
      <c r="AG86" s="340"/>
      <c r="AH86" s="340"/>
    </row>
    <row r="87" spans="1:34" ht="15.75" thickBot="1">
      <c r="A87" s="1"/>
      <c r="B87" s="338" t="s">
        <v>131</v>
      </c>
      <c r="C87" s="339"/>
      <c r="D87" s="339"/>
      <c r="E87" s="339"/>
      <c r="F87" s="339"/>
      <c r="G87" s="339"/>
      <c r="H87" s="339"/>
      <c r="I87" s="339"/>
      <c r="J87" s="339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  <c r="AA87" s="339"/>
      <c r="AB87" s="339"/>
      <c r="AC87" s="339"/>
      <c r="AD87" s="4"/>
      <c r="AE87" s="43" t="s">
        <v>107</v>
      </c>
      <c r="AF87" s="341">
        <v>46054</v>
      </c>
      <c r="AG87" s="342"/>
      <c r="AH87" s="343"/>
    </row>
    <row r="88" spans="1:34">
      <c r="A88" s="344"/>
      <c r="B88" s="346" t="s">
        <v>132</v>
      </c>
      <c r="C88" s="347"/>
      <c r="D88" s="347"/>
      <c r="E88" s="347"/>
      <c r="F88" s="347"/>
      <c r="G88" s="347"/>
      <c r="H88" s="347"/>
      <c r="I88" s="347"/>
      <c r="J88" s="347"/>
      <c r="K88" s="348"/>
      <c r="L88" s="349"/>
      <c r="M88" s="22"/>
      <c r="N88" s="350" t="s">
        <v>133</v>
      </c>
      <c r="O88" s="347"/>
      <c r="P88" s="347"/>
      <c r="Q88" s="347"/>
      <c r="R88" s="347"/>
      <c r="S88" s="347"/>
      <c r="T88" s="347"/>
      <c r="U88" s="347"/>
      <c r="V88" s="347"/>
      <c r="W88" s="348"/>
      <c r="X88" s="349"/>
      <c r="Y88" s="22"/>
      <c r="Z88" s="346" t="s">
        <v>134</v>
      </c>
      <c r="AA88" s="347"/>
      <c r="AB88" s="347"/>
      <c r="AC88" s="347"/>
      <c r="AD88" s="347"/>
      <c r="AE88" s="347"/>
      <c r="AF88" s="347"/>
      <c r="AG88" s="348"/>
      <c r="AH88" s="349"/>
    </row>
    <row r="89" spans="1:34" ht="25.5">
      <c r="A89" s="345"/>
      <c r="B89" s="351" t="s">
        <v>135</v>
      </c>
      <c r="C89" s="353" t="s">
        <v>136</v>
      </c>
      <c r="D89" s="64" t="s">
        <v>137</v>
      </c>
      <c r="E89" s="64" t="s">
        <v>138</v>
      </c>
      <c r="F89" s="64" t="s">
        <v>139</v>
      </c>
      <c r="G89" s="64" t="s">
        <v>140</v>
      </c>
      <c r="H89" s="5" t="s">
        <v>141</v>
      </c>
      <c r="I89" s="5" t="s">
        <v>142</v>
      </c>
      <c r="J89" s="5" t="s">
        <v>143</v>
      </c>
      <c r="K89" s="181" t="s">
        <v>81</v>
      </c>
      <c r="L89" s="23" t="s">
        <v>144</v>
      </c>
      <c r="M89" s="22"/>
      <c r="N89" s="355" t="s">
        <v>135</v>
      </c>
      <c r="O89" s="357" t="s">
        <v>136</v>
      </c>
      <c r="P89" s="5" t="s">
        <v>137</v>
      </c>
      <c r="Q89" s="5" t="s">
        <v>138</v>
      </c>
      <c r="R89" s="5" t="s">
        <v>139</v>
      </c>
      <c r="S89" s="5" t="s">
        <v>140</v>
      </c>
      <c r="T89" s="5" t="s">
        <v>141</v>
      </c>
      <c r="U89" s="5" t="s">
        <v>142</v>
      </c>
      <c r="V89" s="5" t="s">
        <v>143</v>
      </c>
      <c r="W89" s="181" t="s">
        <v>81</v>
      </c>
      <c r="X89" s="23" t="s">
        <v>144</v>
      </c>
      <c r="Y89" s="22"/>
      <c r="Z89" s="33" t="s">
        <v>137</v>
      </c>
      <c r="AA89" s="5" t="s">
        <v>138</v>
      </c>
      <c r="AB89" s="5" t="s">
        <v>139</v>
      </c>
      <c r="AC89" s="5" t="s">
        <v>140</v>
      </c>
      <c r="AD89" s="5" t="s">
        <v>141</v>
      </c>
      <c r="AE89" s="5" t="s">
        <v>142</v>
      </c>
      <c r="AF89" s="5" t="s">
        <v>143</v>
      </c>
      <c r="AG89" s="181" t="s">
        <v>81</v>
      </c>
      <c r="AH89" s="23" t="s">
        <v>144</v>
      </c>
    </row>
    <row r="90" spans="1:34" ht="25.5">
      <c r="A90" s="6" t="s">
        <v>145</v>
      </c>
      <c r="B90" s="352"/>
      <c r="C90" s="354"/>
      <c r="D90" s="64" t="s">
        <v>128</v>
      </c>
      <c r="E90" s="64" t="s">
        <v>128</v>
      </c>
      <c r="F90" s="64" t="s">
        <v>128</v>
      </c>
      <c r="G90" s="64" t="s">
        <v>128</v>
      </c>
      <c r="H90" s="5" t="s">
        <v>125</v>
      </c>
      <c r="I90" s="5" t="s">
        <v>146</v>
      </c>
      <c r="J90" s="5" t="s">
        <v>127</v>
      </c>
      <c r="K90" s="181" t="s">
        <v>53</v>
      </c>
      <c r="L90" s="23" t="s">
        <v>53</v>
      </c>
      <c r="M90" s="22"/>
      <c r="N90" s="356"/>
      <c r="O90" s="358"/>
      <c r="P90" s="5" t="s">
        <v>128</v>
      </c>
      <c r="Q90" s="5" t="s">
        <v>128</v>
      </c>
      <c r="R90" s="5" t="s">
        <v>128</v>
      </c>
      <c r="S90" s="5" t="s">
        <v>128</v>
      </c>
      <c r="T90" s="5" t="s">
        <v>125</v>
      </c>
      <c r="U90" s="5" t="s">
        <v>146</v>
      </c>
      <c r="V90" s="5" t="s">
        <v>127</v>
      </c>
      <c r="W90" s="181" t="s">
        <v>53</v>
      </c>
      <c r="X90" s="23" t="s">
        <v>53</v>
      </c>
      <c r="Y90" s="22"/>
      <c r="Z90" s="33" t="s">
        <v>128</v>
      </c>
      <c r="AA90" s="5" t="s">
        <v>128</v>
      </c>
      <c r="AB90" s="5" t="s">
        <v>128</v>
      </c>
      <c r="AC90" s="5" t="s">
        <v>128</v>
      </c>
      <c r="AD90" s="5" t="s">
        <v>125</v>
      </c>
      <c r="AE90" s="5" t="s">
        <v>146</v>
      </c>
      <c r="AF90" s="5" t="s">
        <v>127</v>
      </c>
      <c r="AG90" s="181" t="s">
        <v>53</v>
      </c>
      <c r="AH90" s="23" t="s">
        <v>53</v>
      </c>
    </row>
    <row r="91" spans="1:34" ht="26.25" thickBot="1">
      <c r="A91" s="7" t="s">
        <v>147</v>
      </c>
      <c r="B91" s="65" t="s">
        <v>148</v>
      </c>
      <c r="C91" s="66" t="s">
        <v>149</v>
      </c>
      <c r="D91" s="66" t="s">
        <v>150</v>
      </c>
      <c r="E91" s="66" t="s">
        <v>151</v>
      </c>
      <c r="F91" s="66" t="s">
        <v>152</v>
      </c>
      <c r="G91" s="66" t="s">
        <v>153</v>
      </c>
      <c r="H91" s="9" t="s">
        <v>154</v>
      </c>
      <c r="I91" s="24" t="s">
        <v>155</v>
      </c>
      <c r="J91" s="24" t="s">
        <v>156</v>
      </c>
      <c r="K91" s="24" t="s">
        <v>179</v>
      </c>
      <c r="L91" s="25" t="s">
        <v>157</v>
      </c>
      <c r="M91" s="22"/>
      <c r="N91" s="8" t="s">
        <v>148</v>
      </c>
      <c r="O91" s="9" t="s">
        <v>149</v>
      </c>
      <c r="P91" s="9" t="s">
        <v>150</v>
      </c>
      <c r="Q91" s="9" t="s">
        <v>151</v>
      </c>
      <c r="R91" s="9" t="s">
        <v>152</v>
      </c>
      <c r="S91" s="9" t="s">
        <v>153</v>
      </c>
      <c r="T91" s="9" t="s">
        <v>154</v>
      </c>
      <c r="U91" s="24" t="s">
        <v>155</v>
      </c>
      <c r="V91" s="24" t="s">
        <v>156</v>
      </c>
      <c r="W91" s="24" t="s">
        <v>179</v>
      </c>
      <c r="X91" s="25" t="s">
        <v>157</v>
      </c>
      <c r="Y91" s="22"/>
      <c r="Z91" s="8" t="s">
        <v>150</v>
      </c>
      <c r="AA91" s="9" t="s">
        <v>158</v>
      </c>
      <c r="AB91" s="9" t="s">
        <v>152</v>
      </c>
      <c r="AC91" s="9" t="s">
        <v>159</v>
      </c>
      <c r="AD91" s="9" t="s">
        <v>154</v>
      </c>
      <c r="AE91" s="9" t="s">
        <v>155</v>
      </c>
      <c r="AF91" s="9" t="s">
        <v>156</v>
      </c>
      <c r="AG91" s="24" t="s">
        <v>179</v>
      </c>
      <c r="AH91" s="23" t="s">
        <v>157</v>
      </c>
    </row>
    <row r="92" spans="1:34">
      <c r="A92" s="10">
        <f>AF87+0</f>
        <v>46054</v>
      </c>
      <c r="B92" s="67">
        <v>39.450000000000003</v>
      </c>
      <c r="C92" s="68">
        <v>17</v>
      </c>
      <c r="D92" s="68">
        <v>11.76</v>
      </c>
      <c r="E92" s="68">
        <v>22.65</v>
      </c>
      <c r="F92" s="68">
        <v>36.5</v>
      </c>
      <c r="G92" s="68">
        <v>45.2</v>
      </c>
      <c r="H92" s="69">
        <v>340</v>
      </c>
      <c r="I92" s="69">
        <v>9.52</v>
      </c>
      <c r="J92" s="69">
        <v>0.5</v>
      </c>
      <c r="K92" s="191">
        <v>2.0099999999999998</v>
      </c>
      <c r="L92" s="73">
        <v>6.82</v>
      </c>
      <c r="M92" s="74"/>
      <c r="N92" s="67">
        <v>39.450000000000003</v>
      </c>
      <c r="O92" s="76">
        <v>17.5</v>
      </c>
      <c r="P92" s="76">
        <v>10.67</v>
      </c>
      <c r="Q92" s="76">
        <v>20.91</v>
      </c>
      <c r="R92" s="76">
        <v>34.44</v>
      </c>
      <c r="S92" s="76">
        <v>45.02</v>
      </c>
      <c r="T92" s="85">
        <v>338</v>
      </c>
      <c r="U92" s="76">
        <v>11.76</v>
      </c>
      <c r="V92" s="76">
        <v>0.5</v>
      </c>
      <c r="W92" s="191">
        <v>2.2200000000000002</v>
      </c>
      <c r="X92" s="83">
        <v>7.3</v>
      </c>
      <c r="Y92" s="74"/>
      <c r="Z92" s="81">
        <v>11.08</v>
      </c>
      <c r="AA92" s="76">
        <v>21.51</v>
      </c>
      <c r="AB92" s="76">
        <v>34.64</v>
      </c>
      <c r="AC92" s="76">
        <v>46.9</v>
      </c>
      <c r="AD92" s="85">
        <v>336</v>
      </c>
      <c r="AE92" s="76">
        <v>9.8000000000000007</v>
      </c>
      <c r="AF92" s="76">
        <v>0.5</v>
      </c>
      <c r="AG92" s="194">
        <v>2.0499999999999998</v>
      </c>
      <c r="AH92" s="86">
        <v>6.57</v>
      </c>
    </row>
    <row r="93" spans="1:34">
      <c r="A93" s="14">
        <f t="shared" ref="A93:A119" si="38">A92+1</f>
        <v>46055</v>
      </c>
      <c r="B93" s="67">
        <v>38.56</v>
      </c>
      <c r="C93" s="70">
        <v>17.489999999999998</v>
      </c>
      <c r="D93" s="70">
        <v>11.98</v>
      </c>
      <c r="E93" s="70">
        <v>20.82</v>
      </c>
      <c r="F93" s="70">
        <v>33.11</v>
      </c>
      <c r="G93" s="70">
        <v>46.64</v>
      </c>
      <c r="H93" s="71">
        <v>322</v>
      </c>
      <c r="I93" s="71">
        <v>9.1999999999999993</v>
      </c>
      <c r="J93" s="70">
        <v>0.5</v>
      </c>
      <c r="K93" s="192">
        <v>2.23</v>
      </c>
      <c r="L93" s="77">
        <v>6.61</v>
      </c>
      <c r="M93" s="74"/>
      <c r="N93" s="67">
        <v>38.56</v>
      </c>
      <c r="O93" s="70">
        <v>17.54</v>
      </c>
      <c r="P93" s="70">
        <v>12.46</v>
      </c>
      <c r="Q93" s="70">
        <v>21.94</v>
      </c>
      <c r="R93" s="70">
        <v>37.07</v>
      </c>
      <c r="S93" s="70">
        <v>46.25</v>
      </c>
      <c r="T93" s="82">
        <v>346</v>
      </c>
      <c r="U93" s="70">
        <v>10.84</v>
      </c>
      <c r="V93" s="70">
        <v>0.5</v>
      </c>
      <c r="W93" s="192">
        <v>2.11</v>
      </c>
      <c r="X93" s="83">
        <v>5.28</v>
      </c>
      <c r="Y93" s="74"/>
      <c r="Z93" s="67">
        <v>12.15</v>
      </c>
      <c r="AA93" s="70">
        <v>22.71</v>
      </c>
      <c r="AB93" s="70">
        <v>33.39</v>
      </c>
      <c r="AC93" s="70">
        <v>46.11</v>
      </c>
      <c r="AD93" s="82">
        <v>361</v>
      </c>
      <c r="AE93" s="70">
        <v>11.64</v>
      </c>
      <c r="AF93" s="70">
        <v>1</v>
      </c>
      <c r="AG93" s="192">
        <v>2.15</v>
      </c>
      <c r="AH93" s="87">
        <v>6.75</v>
      </c>
    </row>
    <row r="94" spans="1:34">
      <c r="A94" s="14">
        <f t="shared" si="38"/>
        <v>46056</v>
      </c>
      <c r="B94" s="67">
        <v>39.21</v>
      </c>
      <c r="C94" s="70">
        <v>17.5</v>
      </c>
      <c r="D94" s="70">
        <v>12.48</v>
      </c>
      <c r="E94" s="70">
        <v>21.78</v>
      </c>
      <c r="F94" s="70">
        <v>37.22</v>
      </c>
      <c r="G94" s="70">
        <v>46.09</v>
      </c>
      <c r="H94" s="71">
        <v>344</v>
      </c>
      <c r="I94" s="70">
        <v>8.84</v>
      </c>
      <c r="J94" s="70">
        <v>0.5</v>
      </c>
      <c r="K94" s="192">
        <v>2.2719999999999998</v>
      </c>
      <c r="L94" s="77">
        <v>8.1199999999999992</v>
      </c>
      <c r="M94" s="74"/>
      <c r="N94" s="67">
        <v>39.21</v>
      </c>
      <c r="O94" s="70">
        <v>17.5</v>
      </c>
      <c r="P94" s="70">
        <v>12.06</v>
      </c>
      <c r="Q94" s="70">
        <v>21.42</v>
      </c>
      <c r="R94" s="70">
        <v>39.58</v>
      </c>
      <c r="S94" s="70">
        <v>47.78</v>
      </c>
      <c r="T94" s="82">
        <v>348</v>
      </c>
      <c r="U94" s="70">
        <v>8.8800000000000008</v>
      </c>
      <c r="V94" s="70">
        <v>1.5</v>
      </c>
      <c r="W94" s="192">
        <v>2.33</v>
      </c>
      <c r="X94" s="83">
        <v>8.61</v>
      </c>
      <c r="Y94" s="74"/>
      <c r="Z94" s="67">
        <v>12.61</v>
      </c>
      <c r="AA94" s="70">
        <v>21.36</v>
      </c>
      <c r="AB94" s="70">
        <v>37.86</v>
      </c>
      <c r="AC94" s="70">
        <v>46.38</v>
      </c>
      <c r="AD94" s="82">
        <v>363</v>
      </c>
      <c r="AE94" s="70">
        <v>9.36</v>
      </c>
      <c r="AF94" s="70">
        <v>1</v>
      </c>
      <c r="AG94" s="192">
        <v>2.2200000000000002</v>
      </c>
      <c r="AH94" s="87">
        <v>7.6</v>
      </c>
    </row>
    <row r="95" spans="1:34">
      <c r="A95" s="14">
        <f t="shared" si="38"/>
        <v>46057</v>
      </c>
      <c r="B95" s="67">
        <v>38.17</v>
      </c>
      <c r="C95" s="70">
        <v>17.5</v>
      </c>
      <c r="D95" s="70">
        <v>12.6</v>
      </c>
      <c r="E95" s="70">
        <v>22.76</v>
      </c>
      <c r="F95" s="70">
        <v>34.909999999999997</v>
      </c>
      <c r="G95" s="70">
        <v>49.97</v>
      </c>
      <c r="H95" s="71">
        <v>338</v>
      </c>
      <c r="I95" s="71">
        <v>8.56</v>
      </c>
      <c r="J95" s="70">
        <v>1.5</v>
      </c>
      <c r="K95" s="192">
        <v>2.1440000000000001</v>
      </c>
      <c r="L95" s="77">
        <v>6.14</v>
      </c>
      <c r="M95" s="74"/>
      <c r="N95" s="67">
        <v>38.17</v>
      </c>
      <c r="O95" s="70">
        <v>17.53</v>
      </c>
      <c r="P95" s="70">
        <v>12.75</v>
      </c>
      <c r="Q95" s="70">
        <v>22.24</v>
      </c>
      <c r="R95" s="70">
        <v>35.72</v>
      </c>
      <c r="S95" s="70">
        <v>46.47</v>
      </c>
      <c r="T95" s="82">
        <v>333</v>
      </c>
      <c r="U95" s="70">
        <v>8.48</v>
      </c>
      <c r="V95" s="70">
        <v>1</v>
      </c>
      <c r="W95" s="192">
        <v>2.17</v>
      </c>
      <c r="X95" s="83">
        <v>6.1</v>
      </c>
      <c r="Y95" s="74"/>
      <c r="Z95" s="67">
        <v>11.59</v>
      </c>
      <c r="AA95" s="70">
        <v>22.05</v>
      </c>
      <c r="AB95" s="70">
        <v>34.76</v>
      </c>
      <c r="AC95" s="70">
        <v>47.07</v>
      </c>
      <c r="AD95" s="82">
        <v>348</v>
      </c>
      <c r="AE95" s="70">
        <v>8.84</v>
      </c>
      <c r="AF95" s="70">
        <v>1</v>
      </c>
      <c r="AG95" s="192">
        <v>2.17</v>
      </c>
      <c r="AH95" s="87">
        <v>6.16</v>
      </c>
    </row>
    <row r="96" spans="1:34">
      <c r="A96" s="14">
        <f t="shared" si="38"/>
        <v>46058</v>
      </c>
      <c r="B96" s="67">
        <v>33.93</v>
      </c>
      <c r="C96" s="70">
        <v>17.5</v>
      </c>
      <c r="D96" s="70">
        <v>12.09</v>
      </c>
      <c r="E96" s="70">
        <v>22.16</v>
      </c>
      <c r="F96" s="70">
        <v>37.58</v>
      </c>
      <c r="G96" s="70">
        <v>44.91</v>
      </c>
      <c r="H96" s="71">
        <v>379</v>
      </c>
      <c r="I96" s="71">
        <v>9.32</v>
      </c>
      <c r="J96" s="70">
        <v>1.5</v>
      </c>
      <c r="K96" s="192">
        <v>2.11</v>
      </c>
      <c r="L96" s="77">
        <v>6.49</v>
      </c>
      <c r="M96" s="74"/>
      <c r="N96" s="67">
        <v>33.93</v>
      </c>
      <c r="O96" s="70">
        <v>17.5</v>
      </c>
      <c r="P96" s="70">
        <v>12.26</v>
      </c>
      <c r="Q96" s="70">
        <v>22.94</v>
      </c>
      <c r="R96" s="70">
        <v>39.94</v>
      </c>
      <c r="S96" s="70">
        <v>44.93</v>
      </c>
      <c r="T96" s="82">
        <v>366</v>
      </c>
      <c r="U96" s="70">
        <v>10.4</v>
      </c>
      <c r="V96" s="70">
        <v>1.5</v>
      </c>
      <c r="W96" s="192">
        <v>2.2200000000000002</v>
      </c>
      <c r="X96" s="84">
        <v>7.34</v>
      </c>
      <c r="Y96" s="74"/>
      <c r="Z96" s="67">
        <v>12.41</v>
      </c>
      <c r="AA96" s="70">
        <v>22.24</v>
      </c>
      <c r="AB96" s="70">
        <v>37.26</v>
      </c>
      <c r="AC96" s="70">
        <v>45.25</v>
      </c>
      <c r="AD96" s="82">
        <v>358</v>
      </c>
      <c r="AE96" s="70">
        <v>9.68</v>
      </c>
      <c r="AF96" s="70">
        <v>1</v>
      </c>
      <c r="AG96" s="192">
        <v>2.1</v>
      </c>
      <c r="AH96" s="88">
        <v>7.18</v>
      </c>
    </row>
    <row r="97" spans="1:34">
      <c r="A97" s="14">
        <f t="shared" si="38"/>
        <v>46059</v>
      </c>
      <c r="B97" s="67">
        <v>38.61</v>
      </c>
      <c r="C97" s="70">
        <v>17.02</v>
      </c>
      <c r="D97" s="70">
        <v>12.54</v>
      </c>
      <c r="E97" s="70">
        <v>23.02</v>
      </c>
      <c r="F97" s="70">
        <v>36.19</v>
      </c>
      <c r="G97" s="70">
        <v>46.56</v>
      </c>
      <c r="H97" s="71">
        <v>382</v>
      </c>
      <c r="I97" s="71">
        <v>8.08</v>
      </c>
      <c r="J97" s="70">
        <v>0.5</v>
      </c>
      <c r="K97" s="192">
        <v>2.2200000000000002</v>
      </c>
      <c r="L97" s="77">
        <v>6.89</v>
      </c>
      <c r="M97" s="74"/>
      <c r="N97" s="67">
        <v>38.61</v>
      </c>
      <c r="O97" s="70">
        <v>17.29</v>
      </c>
      <c r="P97" s="70">
        <v>12.54</v>
      </c>
      <c r="Q97" s="70">
        <v>21.89</v>
      </c>
      <c r="R97" s="70">
        <v>36.06</v>
      </c>
      <c r="S97" s="70">
        <v>48.56</v>
      </c>
      <c r="T97" s="82">
        <v>354</v>
      </c>
      <c r="U97" s="70">
        <v>8.6</v>
      </c>
      <c r="V97" s="70">
        <v>0.5</v>
      </c>
      <c r="W97" s="192">
        <v>2.29</v>
      </c>
      <c r="X97" s="84">
        <v>6.23</v>
      </c>
      <c r="Y97" s="74"/>
      <c r="Z97" s="67">
        <v>12.23</v>
      </c>
      <c r="AA97" s="70">
        <v>22.95</v>
      </c>
      <c r="AB97" s="70">
        <v>37</v>
      </c>
      <c r="AC97" s="70">
        <v>46.24</v>
      </c>
      <c r="AD97" s="82">
        <v>382</v>
      </c>
      <c r="AE97" s="70">
        <v>9.7200000000000006</v>
      </c>
      <c r="AF97" s="70">
        <v>0.5</v>
      </c>
      <c r="AG97" s="192">
        <v>2.12</v>
      </c>
      <c r="AH97" s="88">
        <v>5.86</v>
      </c>
    </row>
    <row r="98" spans="1:34">
      <c r="A98" s="14">
        <f t="shared" si="38"/>
        <v>46060</v>
      </c>
      <c r="B98" s="67">
        <v>38.69</v>
      </c>
      <c r="C98" s="70">
        <v>17.190000000000001</v>
      </c>
      <c r="D98" s="70">
        <v>11.99</v>
      </c>
      <c r="E98" s="70">
        <v>21.83</v>
      </c>
      <c r="F98" s="70">
        <v>39.19</v>
      </c>
      <c r="G98" s="70">
        <v>47.3</v>
      </c>
      <c r="H98" s="71">
        <v>367</v>
      </c>
      <c r="I98" s="71">
        <v>8.36</v>
      </c>
      <c r="J98" s="70">
        <v>1</v>
      </c>
      <c r="K98" s="192">
        <v>2.2400000000000002</v>
      </c>
      <c r="L98" s="77">
        <v>7.94</v>
      </c>
      <c r="M98" s="74"/>
      <c r="N98" s="67">
        <v>38.69</v>
      </c>
      <c r="O98" s="79">
        <v>16.8</v>
      </c>
      <c r="P98" s="70">
        <v>11.58</v>
      </c>
      <c r="Q98" s="70">
        <v>20.46</v>
      </c>
      <c r="R98" s="70">
        <v>37.21</v>
      </c>
      <c r="S98" s="70">
        <v>47.7</v>
      </c>
      <c r="T98" s="82">
        <v>398</v>
      </c>
      <c r="U98" s="70">
        <v>9.56</v>
      </c>
      <c r="V98" s="70">
        <v>0.5</v>
      </c>
      <c r="W98" s="192">
        <v>2.3199999999999998</v>
      </c>
      <c r="X98" s="84">
        <v>9.08</v>
      </c>
      <c r="Y98" s="74"/>
      <c r="Z98" s="67">
        <v>12.33</v>
      </c>
      <c r="AA98" s="70">
        <v>21.9</v>
      </c>
      <c r="AB98" s="70">
        <v>37.229999999999997</v>
      </c>
      <c r="AC98" s="70">
        <v>46.49</v>
      </c>
      <c r="AD98" s="82">
        <v>380</v>
      </c>
      <c r="AE98" s="70">
        <v>8.24</v>
      </c>
      <c r="AF98" s="70">
        <v>0.5</v>
      </c>
      <c r="AG98" s="192">
        <v>2.4500000000000002</v>
      </c>
      <c r="AH98" s="88">
        <v>7.68</v>
      </c>
    </row>
    <row r="99" spans="1:34">
      <c r="A99" s="14">
        <f t="shared" si="38"/>
        <v>46061</v>
      </c>
      <c r="B99" s="67">
        <v>39.799999999999997</v>
      </c>
      <c r="C99" s="70">
        <v>18.670000000000002</v>
      </c>
      <c r="D99" s="70">
        <v>12.5</v>
      </c>
      <c r="E99" s="70">
        <v>23.7</v>
      </c>
      <c r="F99" s="70">
        <v>36.25</v>
      </c>
      <c r="G99" s="70">
        <v>47.17</v>
      </c>
      <c r="H99" s="71">
        <v>372</v>
      </c>
      <c r="I99" s="71">
        <v>8.32</v>
      </c>
      <c r="J99" s="70">
        <v>0.5</v>
      </c>
      <c r="K99" s="192">
        <v>2.27</v>
      </c>
      <c r="L99" s="77">
        <v>7.13</v>
      </c>
      <c r="M99" s="74"/>
      <c r="N99" s="67">
        <v>39.799999999999997</v>
      </c>
      <c r="O99" s="70">
        <v>17.02</v>
      </c>
      <c r="P99" s="70">
        <v>12.66</v>
      </c>
      <c r="Q99" s="70">
        <v>21.74</v>
      </c>
      <c r="R99" s="70">
        <v>37.47</v>
      </c>
      <c r="S99" s="70">
        <v>47.76</v>
      </c>
      <c r="T99" s="82">
        <v>391</v>
      </c>
      <c r="U99" s="70">
        <v>10.84</v>
      </c>
      <c r="V99" s="70">
        <v>1</v>
      </c>
      <c r="W99" s="192">
        <v>2.1800000000000002</v>
      </c>
      <c r="X99" s="83">
        <v>7.92</v>
      </c>
      <c r="Y99" s="74"/>
      <c r="Z99" s="67">
        <v>12.55</v>
      </c>
      <c r="AA99" s="70">
        <v>22.44</v>
      </c>
      <c r="AB99" s="70">
        <v>38.58</v>
      </c>
      <c r="AC99" s="70">
        <v>48.04</v>
      </c>
      <c r="AD99" s="82">
        <v>376</v>
      </c>
      <c r="AE99" s="70">
        <v>9.4</v>
      </c>
      <c r="AF99" s="70">
        <v>0.5</v>
      </c>
      <c r="AG99" s="192">
        <v>2.0099999999999998</v>
      </c>
      <c r="AH99" s="87">
        <v>7.19</v>
      </c>
    </row>
    <row r="100" spans="1:34">
      <c r="A100" s="14">
        <f t="shared" si="38"/>
        <v>46062</v>
      </c>
      <c r="B100" s="67">
        <v>39.1</v>
      </c>
      <c r="C100" s="70">
        <v>17.5</v>
      </c>
      <c r="D100" s="70">
        <v>11.81</v>
      </c>
      <c r="E100" s="70">
        <v>21.96</v>
      </c>
      <c r="F100" s="70">
        <v>38.020000000000003</v>
      </c>
      <c r="G100" s="70">
        <v>47.2</v>
      </c>
      <c r="H100" s="71">
        <v>374</v>
      </c>
      <c r="I100" s="71">
        <v>9.8000000000000007</v>
      </c>
      <c r="J100" s="70">
        <v>1</v>
      </c>
      <c r="K100" s="192">
        <v>1.98</v>
      </c>
      <c r="L100" s="77">
        <v>6.94</v>
      </c>
      <c r="M100" s="74"/>
      <c r="N100" s="67">
        <v>39.1</v>
      </c>
      <c r="O100" s="70">
        <v>17.5</v>
      </c>
      <c r="P100" s="70">
        <v>12.6</v>
      </c>
      <c r="Q100" s="70">
        <v>22.82</v>
      </c>
      <c r="R100" s="70">
        <v>39.76</v>
      </c>
      <c r="S100" s="70">
        <v>46.61</v>
      </c>
      <c r="T100" s="82">
        <v>389</v>
      </c>
      <c r="U100" s="70">
        <v>11.24</v>
      </c>
      <c r="V100" s="70">
        <v>0.5</v>
      </c>
      <c r="W100" s="192">
        <v>2.02</v>
      </c>
      <c r="X100" s="83">
        <v>7.69</v>
      </c>
      <c r="Y100" s="74"/>
      <c r="Z100" s="67">
        <v>12.07</v>
      </c>
      <c r="AA100" s="70">
        <v>22.16</v>
      </c>
      <c r="AB100" s="70">
        <v>38.97</v>
      </c>
      <c r="AC100" s="70">
        <v>47.24</v>
      </c>
      <c r="AD100" s="82">
        <v>370</v>
      </c>
      <c r="AE100" s="70">
        <v>10.56</v>
      </c>
      <c r="AF100" s="70">
        <v>0.5</v>
      </c>
      <c r="AG100" s="192">
        <v>1.94</v>
      </c>
      <c r="AH100" s="87">
        <v>7.53</v>
      </c>
    </row>
    <row r="101" spans="1:34">
      <c r="A101" s="14">
        <f t="shared" si="38"/>
        <v>46063</v>
      </c>
      <c r="B101" s="67">
        <v>38.450000000000003</v>
      </c>
      <c r="C101" s="70">
        <v>17.5</v>
      </c>
      <c r="D101" s="70">
        <v>11.81</v>
      </c>
      <c r="E101" s="70">
        <v>22.22</v>
      </c>
      <c r="F101" s="70">
        <v>36.58</v>
      </c>
      <c r="G101" s="70">
        <v>48.3</v>
      </c>
      <c r="H101" s="71">
        <v>374</v>
      </c>
      <c r="I101" s="71">
        <v>9.0399999999999991</v>
      </c>
      <c r="J101" s="70">
        <v>0.5</v>
      </c>
      <c r="K101" s="192">
        <v>2.38</v>
      </c>
      <c r="L101" s="77">
        <v>8.2200000000000006</v>
      </c>
      <c r="M101" s="74"/>
      <c r="N101" s="67">
        <v>38.450000000000003</v>
      </c>
      <c r="O101" s="70">
        <v>17.5</v>
      </c>
      <c r="P101" s="70">
        <v>12.31</v>
      </c>
      <c r="Q101" s="70">
        <v>21.01</v>
      </c>
      <c r="R101" s="70">
        <v>37.71</v>
      </c>
      <c r="S101" s="70">
        <v>47.39</v>
      </c>
      <c r="T101" s="82">
        <v>363</v>
      </c>
      <c r="U101" s="70">
        <v>9.9600000000000009</v>
      </c>
      <c r="V101" s="70">
        <v>0.5</v>
      </c>
      <c r="W101" s="192">
        <v>2.29</v>
      </c>
      <c r="X101" s="83">
        <v>7.87</v>
      </c>
      <c r="Y101" s="74"/>
      <c r="Z101" s="67">
        <v>12.22</v>
      </c>
      <c r="AA101" s="70">
        <v>22.43</v>
      </c>
      <c r="AB101" s="70">
        <v>36.590000000000003</v>
      </c>
      <c r="AC101" s="70">
        <v>47.51</v>
      </c>
      <c r="AD101" s="82">
        <v>403</v>
      </c>
      <c r="AE101" s="70">
        <v>9.76</v>
      </c>
      <c r="AF101" s="70">
        <v>0.5</v>
      </c>
      <c r="AG101" s="192">
        <v>2.34</v>
      </c>
      <c r="AH101" s="87">
        <v>7.25</v>
      </c>
    </row>
    <row r="102" spans="1:34">
      <c r="A102" s="14">
        <f t="shared" si="38"/>
        <v>46064</v>
      </c>
      <c r="B102" s="38">
        <v>35.4</v>
      </c>
      <c r="C102" s="13">
        <v>17.5</v>
      </c>
      <c r="D102" s="13">
        <v>12.25</v>
      </c>
      <c r="E102" s="13">
        <v>22.74</v>
      </c>
      <c r="F102" s="13">
        <v>39.32</v>
      </c>
      <c r="G102" s="13">
        <v>47.64</v>
      </c>
      <c r="H102" s="12">
        <v>436</v>
      </c>
      <c r="I102" s="12">
        <v>10.52</v>
      </c>
      <c r="J102" s="13">
        <v>1</v>
      </c>
      <c r="K102" s="184">
        <v>2.1869999999999998</v>
      </c>
      <c r="L102" s="26">
        <v>7.82</v>
      </c>
      <c r="M102" s="22"/>
      <c r="N102" s="38">
        <v>35.4</v>
      </c>
      <c r="O102" s="13">
        <v>17.23</v>
      </c>
      <c r="P102" s="13">
        <v>12.42</v>
      </c>
      <c r="Q102" s="13">
        <v>22.82</v>
      </c>
      <c r="R102" s="13">
        <v>39.020000000000003</v>
      </c>
      <c r="S102" s="13">
        <v>45.69</v>
      </c>
      <c r="T102" s="36">
        <v>418</v>
      </c>
      <c r="U102" s="13">
        <v>10.72</v>
      </c>
      <c r="V102" s="13">
        <v>0.5</v>
      </c>
      <c r="W102" s="184">
        <v>2.3140000000000001</v>
      </c>
      <c r="X102" s="37">
        <v>7.54</v>
      </c>
      <c r="Y102" s="22"/>
      <c r="Z102" s="38">
        <v>12.48</v>
      </c>
      <c r="AA102" s="13">
        <v>21.77</v>
      </c>
      <c r="AB102" s="13">
        <v>38.31</v>
      </c>
      <c r="AC102" s="13">
        <v>46.9</v>
      </c>
      <c r="AD102" s="36">
        <v>416</v>
      </c>
      <c r="AE102" s="13">
        <v>11.44</v>
      </c>
      <c r="AF102" s="13">
        <v>1.5</v>
      </c>
      <c r="AG102" s="184">
        <v>2.3220000000000001</v>
      </c>
      <c r="AH102" s="45">
        <v>7.34</v>
      </c>
    </row>
    <row r="103" spans="1:34">
      <c r="A103" s="14">
        <f t="shared" si="38"/>
        <v>46065</v>
      </c>
      <c r="B103" s="38">
        <v>38.99</v>
      </c>
      <c r="C103" s="13">
        <v>18</v>
      </c>
      <c r="D103" s="13">
        <v>12.58</v>
      </c>
      <c r="E103" s="13">
        <v>22.56</v>
      </c>
      <c r="F103" s="13">
        <v>39.07</v>
      </c>
      <c r="G103" s="13">
        <v>47.02</v>
      </c>
      <c r="H103" s="12">
        <v>396</v>
      </c>
      <c r="I103" s="12">
        <v>9.36</v>
      </c>
      <c r="J103" s="13">
        <v>0.5</v>
      </c>
      <c r="K103" s="184">
        <v>2.31</v>
      </c>
      <c r="L103" s="26">
        <v>8.41</v>
      </c>
      <c r="M103" s="22"/>
      <c r="N103" s="29">
        <v>38.99</v>
      </c>
      <c r="O103" s="13">
        <v>18</v>
      </c>
      <c r="P103" s="13">
        <v>12.56</v>
      </c>
      <c r="Q103" s="13">
        <v>22.31</v>
      </c>
      <c r="R103" s="13">
        <v>37.74</v>
      </c>
      <c r="S103" s="13">
        <v>46.55</v>
      </c>
      <c r="T103" s="36">
        <v>366</v>
      </c>
      <c r="U103" s="13">
        <v>13.48</v>
      </c>
      <c r="V103" s="13">
        <v>3</v>
      </c>
      <c r="W103" s="184">
        <v>2.4</v>
      </c>
      <c r="X103" s="37">
        <v>7.52</v>
      </c>
      <c r="Y103" s="22"/>
      <c r="Z103" s="38">
        <v>12</v>
      </c>
      <c r="AA103" s="13">
        <v>22.83</v>
      </c>
      <c r="AB103" s="13">
        <v>38.72</v>
      </c>
      <c r="AC103" s="13">
        <v>47.18</v>
      </c>
      <c r="AD103" s="36">
        <v>390</v>
      </c>
      <c r="AE103" s="13">
        <v>10.28</v>
      </c>
      <c r="AF103" s="13">
        <v>1.5</v>
      </c>
      <c r="AG103" s="184">
        <v>2.39</v>
      </c>
      <c r="AH103" s="45">
        <v>7.88</v>
      </c>
    </row>
    <row r="104" spans="1:34">
      <c r="A104" s="14">
        <f t="shared" si="38"/>
        <v>46066</v>
      </c>
      <c r="B104" s="38">
        <v>39.1</v>
      </c>
      <c r="C104" s="13">
        <v>17.920000000000002</v>
      </c>
      <c r="D104" s="13">
        <v>11.2</v>
      </c>
      <c r="E104" s="13">
        <v>22.69</v>
      </c>
      <c r="F104" s="13">
        <v>37.380000000000003</v>
      </c>
      <c r="G104" s="13">
        <v>48.92</v>
      </c>
      <c r="H104" s="12">
        <v>377</v>
      </c>
      <c r="I104" s="12">
        <v>10.6</v>
      </c>
      <c r="J104" s="13">
        <v>0.5</v>
      </c>
      <c r="K104" s="184">
        <v>2.23</v>
      </c>
      <c r="L104" s="26">
        <v>7.12</v>
      </c>
      <c r="M104" s="22"/>
      <c r="N104" s="29">
        <v>39.1</v>
      </c>
      <c r="O104" s="13">
        <v>17.71</v>
      </c>
      <c r="P104" s="13">
        <v>12.11</v>
      </c>
      <c r="Q104" s="13">
        <v>22.31</v>
      </c>
      <c r="R104" s="13">
        <v>36.67</v>
      </c>
      <c r="S104" s="13">
        <v>46.53</v>
      </c>
      <c r="T104" s="36">
        <v>390</v>
      </c>
      <c r="U104" s="13">
        <v>10.16</v>
      </c>
      <c r="V104" s="13">
        <v>0.5</v>
      </c>
      <c r="W104" s="184">
        <v>2.31</v>
      </c>
      <c r="X104" s="37">
        <v>8.01</v>
      </c>
      <c r="Y104" s="22"/>
      <c r="Z104" s="38">
        <v>11.67</v>
      </c>
      <c r="AA104" s="13">
        <v>22.59</v>
      </c>
      <c r="AB104" s="13">
        <v>38.97</v>
      </c>
      <c r="AC104" s="13">
        <v>47</v>
      </c>
      <c r="AD104" s="36">
        <v>375</v>
      </c>
      <c r="AE104" s="13">
        <v>11.08</v>
      </c>
      <c r="AF104" s="13">
        <v>0.5</v>
      </c>
      <c r="AG104" s="184">
        <v>2.1800000000000002</v>
      </c>
      <c r="AH104" s="45">
        <v>6.96</v>
      </c>
    </row>
    <row r="105" spans="1:34">
      <c r="A105" s="14">
        <f t="shared" si="38"/>
        <v>46067</v>
      </c>
      <c r="B105" s="38">
        <v>38.520000000000003</v>
      </c>
      <c r="C105" s="13">
        <v>19.16</v>
      </c>
      <c r="D105" s="13">
        <v>11.28</v>
      </c>
      <c r="E105" s="13">
        <v>21.71</v>
      </c>
      <c r="F105" s="13">
        <v>39.229999999999997</v>
      </c>
      <c r="G105" s="13">
        <v>48.57</v>
      </c>
      <c r="H105" s="162">
        <v>391</v>
      </c>
      <c r="I105" s="161">
        <v>10.08</v>
      </c>
      <c r="J105" s="13">
        <v>0.5</v>
      </c>
      <c r="K105" s="184">
        <v>2.19</v>
      </c>
      <c r="L105" s="26">
        <v>5.81</v>
      </c>
      <c r="M105" s="22"/>
      <c r="N105" s="38">
        <v>38.520000000000003</v>
      </c>
      <c r="O105" s="13">
        <v>16.96</v>
      </c>
      <c r="P105" s="13">
        <v>11.9</v>
      </c>
      <c r="Q105" s="13">
        <v>21</v>
      </c>
      <c r="R105" s="13">
        <v>35.26</v>
      </c>
      <c r="S105" s="13">
        <v>48.24</v>
      </c>
      <c r="T105" s="36">
        <v>398</v>
      </c>
      <c r="U105" s="13">
        <v>9.6</v>
      </c>
      <c r="V105" s="13">
        <v>0.5</v>
      </c>
      <c r="W105" s="184">
        <v>2.3199999999999998</v>
      </c>
      <c r="X105" s="37">
        <v>6.86</v>
      </c>
      <c r="Y105" s="22"/>
      <c r="Z105" s="38">
        <v>12.6</v>
      </c>
      <c r="AA105" s="13">
        <v>22.28</v>
      </c>
      <c r="AB105" s="13">
        <v>36.78</v>
      </c>
      <c r="AC105" s="13">
        <v>49.86</v>
      </c>
      <c r="AD105" s="36">
        <v>397</v>
      </c>
      <c r="AE105" s="13">
        <v>8.36</v>
      </c>
      <c r="AF105" s="13">
        <v>1</v>
      </c>
      <c r="AG105" s="184">
        <v>2.25</v>
      </c>
      <c r="AH105" s="37">
        <v>6.69</v>
      </c>
    </row>
    <row r="106" spans="1:34">
      <c r="A106" s="14">
        <f t="shared" si="38"/>
        <v>46068</v>
      </c>
      <c r="B106" s="38">
        <v>35.299999999999997</v>
      </c>
      <c r="C106" s="13">
        <v>19</v>
      </c>
      <c r="D106" s="13">
        <v>10.99</v>
      </c>
      <c r="E106" s="13">
        <v>20.29</v>
      </c>
      <c r="F106" s="13">
        <v>34.28</v>
      </c>
      <c r="G106" s="13">
        <v>45.36</v>
      </c>
      <c r="H106" s="172">
        <v>389</v>
      </c>
      <c r="I106" s="173">
        <v>8.9600000000000009</v>
      </c>
      <c r="J106" s="13">
        <v>0.5</v>
      </c>
      <c r="K106" s="184">
        <v>2.27</v>
      </c>
      <c r="L106" s="26">
        <v>9.1199999999999992</v>
      </c>
      <c r="M106" s="22"/>
      <c r="N106" s="38">
        <v>35.299999999999997</v>
      </c>
      <c r="O106" s="13">
        <v>19</v>
      </c>
      <c r="P106" s="13">
        <v>10.4</v>
      </c>
      <c r="Q106" s="13">
        <v>21.08</v>
      </c>
      <c r="R106" s="13">
        <v>36.369999999999997</v>
      </c>
      <c r="S106" s="13">
        <v>45.06</v>
      </c>
      <c r="T106" s="36">
        <v>397</v>
      </c>
      <c r="U106" s="13">
        <v>11.36</v>
      </c>
      <c r="V106" s="13">
        <v>0.5</v>
      </c>
      <c r="W106" s="184">
        <v>2.14</v>
      </c>
      <c r="X106" s="37">
        <v>8.81</v>
      </c>
      <c r="Y106" s="22"/>
      <c r="Z106" s="38">
        <v>11.34</v>
      </c>
      <c r="AA106" s="13">
        <v>20.3</v>
      </c>
      <c r="AB106" s="13">
        <v>35.69</v>
      </c>
      <c r="AC106" s="13">
        <v>45.9</v>
      </c>
      <c r="AD106" s="36">
        <v>378</v>
      </c>
      <c r="AE106" s="13">
        <v>10.199999999999999</v>
      </c>
      <c r="AF106" s="13">
        <v>0.5</v>
      </c>
      <c r="AG106" s="184">
        <v>2.2799999999999998</v>
      </c>
      <c r="AH106" s="37">
        <v>8.85</v>
      </c>
    </row>
    <row r="107" spans="1:34">
      <c r="A107" s="14">
        <f t="shared" si="38"/>
        <v>46069</v>
      </c>
      <c r="B107" s="38">
        <v>37.03</v>
      </c>
      <c r="C107" s="13">
        <v>19</v>
      </c>
      <c r="D107" s="13">
        <v>12.63</v>
      </c>
      <c r="E107" s="13">
        <v>22.55</v>
      </c>
      <c r="F107" s="13">
        <v>39.020000000000003</v>
      </c>
      <c r="G107" s="13">
        <v>45.78</v>
      </c>
      <c r="H107" s="12">
        <v>375</v>
      </c>
      <c r="I107" s="12">
        <v>7.68</v>
      </c>
      <c r="J107" s="13">
        <v>0.5</v>
      </c>
      <c r="K107" s="184">
        <v>2.11</v>
      </c>
      <c r="L107" s="26">
        <v>6.72</v>
      </c>
      <c r="M107" s="22"/>
      <c r="N107" s="38">
        <v>37.03</v>
      </c>
      <c r="O107" s="13">
        <v>19</v>
      </c>
      <c r="P107" s="13">
        <v>12.2</v>
      </c>
      <c r="Q107" s="13">
        <v>22.2</v>
      </c>
      <c r="R107" s="13">
        <v>37.4</v>
      </c>
      <c r="S107" s="13">
        <v>46.02</v>
      </c>
      <c r="T107" s="36">
        <v>389</v>
      </c>
      <c r="U107" s="13">
        <v>9.1199999999999992</v>
      </c>
      <c r="V107" s="13">
        <v>1</v>
      </c>
      <c r="W107" s="184">
        <v>2.29</v>
      </c>
      <c r="X107" s="37">
        <v>7.55</v>
      </c>
      <c r="Y107" s="22"/>
      <c r="Z107" s="38">
        <v>12.59</v>
      </c>
      <c r="AA107" s="13">
        <v>23.23</v>
      </c>
      <c r="AB107" s="13">
        <v>38.020000000000003</v>
      </c>
      <c r="AC107" s="13">
        <v>46.02</v>
      </c>
      <c r="AD107" s="36">
        <v>392</v>
      </c>
      <c r="AE107" s="13">
        <v>8.76</v>
      </c>
      <c r="AF107" s="13">
        <v>1</v>
      </c>
      <c r="AG107" s="184">
        <v>2.12</v>
      </c>
      <c r="AH107" s="37">
        <v>7.48</v>
      </c>
    </row>
    <row r="108" spans="1:34">
      <c r="A108" s="14">
        <f t="shared" si="38"/>
        <v>46070</v>
      </c>
      <c r="B108" s="38">
        <v>40.74</v>
      </c>
      <c r="C108" s="13">
        <v>18.64</v>
      </c>
      <c r="D108" s="13">
        <v>11.56</v>
      </c>
      <c r="E108" s="13">
        <v>20.34</v>
      </c>
      <c r="F108" s="13">
        <v>33.92</v>
      </c>
      <c r="G108" s="13">
        <v>47.56</v>
      </c>
      <c r="H108" s="12">
        <v>383</v>
      </c>
      <c r="I108" s="13">
        <v>9.84</v>
      </c>
      <c r="J108" s="13">
        <v>0.5</v>
      </c>
      <c r="K108" s="184">
        <v>2.2669999999999999</v>
      </c>
      <c r="L108" s="26">
        <v>7.38</v>
      </c>
      <c r="M108" s="22"/>
      <c r="N108" s="38">
        <v>40.74</v>
      </c>
      <c r="O108" s="13">
        <v>18.89</v>
      </c>
      <c r="P108" s="13">
        <v>11.51</v>
      </c>
      <c r="Q108" s="13">
        <v>20.66</v>
      </c>
      <c r="R108" s="13">
        <v>35.44</v>
      </c>
      <c r="S108" s="13">
        <v>45.16</v>
      </c>
      <c r="T108" s="36">
        <v>391</v>
      </c>
      <c r="U108" s="13">
        <v>9.86</v>
      </c>
      <c r="V108" s="13">
        <v>1</v>
      </c>
      <c r="W108" s="184">
        <v>2.3690000000000002</v>
      </c>
      <c r="X108" s="37">
        <v>7.82</v>
      </c>
      <c r="Y108" s="22"/>
      <c r="Z108" s="38">
        <v>12.2</v>
      </c>
      <c r="AA108" s="13">
        <v>22.95</v>
      </c>
      <c r="AB108" s="13">
        <v>36.24</v>
      </c>
      <c r="AC108" s="13">
        <v>48.41</v>
      </c>
      <c r="AD108" s="36">
        <v>398</v>
      </c>
      <c r="AE108" s="13">
        <v>9.8800000000000008</v>
      </c>
      <c r="AF108" s="13">
        <v>1</v>
      </c>
      <c r="AG108" s="184">
        <v>2.2770000000000001</v>
      </c>
      <c r="AH108" s="37">
        <v>7.56</v>
      </c>
    </row>
    <row r="109" spans="1:34">
      <c r="A109" s="14">
        <f t="shared" si="38"/>
        <v>46071</v>
      </c>
      <c r="B109" s="38">
        <v>34.4</v>
      </c>
      <c r="C109" s="13">
        <v>19</v>
      </c>
      <c r="D109" s="13">
        <v>10.35</v>
      </c>
      <c r="E109" s="13">
        <v>19.809999999999999</v>
      </c>
      <c r="F109" s="13">
        <v>35.9</v>
      </c>
      <c r="G109" s="13">
        <v>47.58</v>
      </c>
      <c r="H109" s="12">
        <v>359</v>
      </c>
      <c r="I109" s="12">
        <v>10.08</v>
      </c>
      <c r="J109" s="13">
        <v>1.5</v>
      </c>
      <c r="K109" s="184">
        <v>2.0299999999999998</v>
      </c>
      <c r="L109" s="26">
        <v>7.33</v>
      </c>
      <c r="M109" s="22"/>
      <c r="N109" s="38">
        <v>34.4</v>
      </c>
      <c r="O109" s="13">
        <v>19</v>
      </c>
      <c r="P109" s="13">
        <v>10.53</v>
      </c>
      <c r="Q109" s="13">
        <v>19.399999999999999</v>
      </c>
      <c r="R109" s="13">
        <v>35.340000000000003</v>
      </c>
      <c r="S109" s="13">
        <v>46.87</v>
      </c>
      <c r="T109" s="36">
        <v>349</v>
      </c>
      <c r="U109" s="13">
        <v>10.72</v>
      </c>
      <c r="V109" s="13">
        <v>1.5</v>
      </c>
      <c r="W109" s="184">
        <v>2.1949999999999998</v>
      </c>
      <c r="X109" s="37">
        <v>7.41</v>
      </c>
      <c r="Y109" s="22"/>
      <c r="Z109" s="38">
        <v>11.31</v>
      </c>
      <c r="AA109" s="13">
        <v>21.03</v>
      </c>
      <c r="AB109" s="13">
        <v>36.14</v>
      </c>
      <c r="AC109" s="13">
        <v>47.35</v>
      </c>
      <c r="AD109" s="36">
        <v>380</v>
      </c>
      <c r="AE109" s="13">
        <v>11.24</v>
      </c>
      <c r="AF109" s="13">
        <v>1</v>
      </c>
      <c r="AG109" s="184">
        <v>2.1059999999999999</v>
      </c>
      <c r="AH109" s="37">
        <v>7.84</v>
      </c>
    </row>
    <row r="110" spans="1:34">
      <c r="A110" s="14">
        <f t="shared" si="38"/>
        <v>46072</v>
      </c>
      <c r="B110" s="38">
        <v>36.97</v>
      </c>
      <c r="C110" s="13">
        <v>19.2</v>
      </c>
      <c r="D110" s="13">
        <v>11.28</v>
      </c>
      <c r="E110" s="13">
        <v>20.38</v>
      </c>
      <c r="F110" s="13">
        <v>33.94</v>
      </c>
      <c r="G110" s="13">
        <v>46.98</v>
      </c>
      <c r="H110" s="12">
        <v>361</v>
      </c>
      <c r="I110" s="12">
        <v>10.72</v>
      </c>
      <c r="J110" s="13">
        <v>0.5</v>
      </c>
      <c r="K110" s="184">
        <v>2.23</v>
      </c>
      <c r="L110" s="37">
        <v>8.09</v>
      </c>
      <c r="M110" s="22"/>
      <c r="N110" s="29">
        <v>36.97</v>
      </c>
      <c r="O110" s="13">
        <v>19.2</v>
      </c>
      <c r="P110" s="13">
        <v>9.8000000000000007</v>
      </c>
      <c r="Q110" s="13">
        <v>19.8</v>
      </c>
      <c r="R110" s="13">
        <v>32.86</v>
      </c>
      <c r="S110" s="13">
        <v>46.52</v>
      </c>
      <c r="T110" s="36">
        <v>381</v>
      </c>
      <c r="U110" s="13">
        <v>11.76</v>
      </c>
      <c r="V110" s="13">
        <v>1</v>
      </c>
      <c r="W110" s="184">
        <v>2.29</v>
      </c>
      <c r="X110" s="37">
        <v>8.26</v>
      </c>
      <c r="Y110" s="22"/>
      <c r="Z110" s="38">
        <v>11.8</v>
      </c>
      <c r="AA110" s="13">
        <v>22.1</v>
      </c>
      <c r="AB110" s="13">
        <v>32.869999999999997</v>
      </c>
      <c r="AC110" s="13">
        <v>48.31</v>
      </c>
      <c r="AD110" s="36">
        <v>370</v>
      </c>
      <c r="AE110" s="13">
        <v>10.119999999999999</v>
      </c>
      <c r="AF110" s="13">
        <v>1</v>
      </c>
      <c r="AG110" s="184">
        <v>2.31</v>
      </c>
      <c r="AH110" s="37">
        <v>7.86</v>
      </c>
    </row>
    <row r="111" spans="1:34">
      <c r="A111" s="14">
        <f t="shared" si="38"/>
        <v>46073</v>
      </c>
      <c r="B111" s="38">
        <v>40.619999999999997</v>
      </c>
      <c r="C111" s="13">
        <v>15</v>
      </c>
      <c r="D111" s="13">
        <v>11.58</v>
      </c>
      <c r="E111" s="13">
        <v>21.91</v>
      </c>
      <c r="F111" s="13">
        <v>33.24</v>
      </c>
      <c r="G111" s="13">
        <v>44.79</v>
      </c>
      <c r="H111" s="12">
        <v>386</v>
      </c>
      <c r="I111" s="13">
        <v>9.64</v>
      </c>
      <c r="J111" s="13">
        <v>0.5</v>
      </c>
      <c r="K111" s="184">
        <v>2.33</v>
      </c>
      <c r="L111" s="26">
        <v>7.78</v>
      </c>
      <c r="M111" s="22"/>
      <c r="N111" s="29">
        <v>40.619999999999997</v>
      </c>
      <c r="O111" s="13">
        <v>17</v>
      </c>
      <c r="P111" s="13">
        <v>11.71</v>
      </c>
      <c r="Q111" s="13">
        <v>21.87</v>
      </c>
      <c r="R111" s="13">
        <v>34.04</v>
      </c>
      <c r="S111" s="13">
        <v>46.84</v>
      </c>
      <c r="T111" s="36">
        <v>379</v>
      </c>
      <c r="U111" s="13">
        <v>9.84</v>
      </c>
      <c r="V111" s="13">
        <v>2.5</v>
      </c>
      <c r="W111" s="184">
        <v>2.34</v>
      </c>
      <c r="X111" s="37">
        <v>8.52</v>
      </c>
      <c r="Y111" s="22"/>
      <c r="Z111" s="38">
        <v>11.63</v>
      </c>
      <c r="AA111" s="13">
        <v>22.19</v>
      </c>
      <c r="AB111" s="13">
        <v>33.54</v>
      </c>
      <c r="AC111" s="13">
        <v>46.61</v>
      </c>
      <c r="AD111" s="36">
        <v>391</v>
      </c>
      <c r="AE111" s="13">
        <v>8.7200000000000006</v>
      </c>
      <c r="AF111" s="13">
        <v>0.5</v>
      </c>
      <c r="AG111" s="184">
        <v>2.31</v>
      </c>
      <c r="AH111" s="37">
        <v>8.17</v>
      </c>
    </row>
    <row r="112" spans="1:34">
      <c r="A112" s="14">
        <f t="shared" si="38"/>
        <v>46074</v>
      </c>
      <c r="B112" s="38">
        <v>38.549999999999997</v>
      </c>
      <c r="C112" s="13">
        <v>17.07</v>
      </c>
      <c r="D112" s="13">
        <v>11.74</v>
      </c>
      <c r="E112" s="13">
        <v>20.87</v>
      </c>
      <c r="F112" s="13">
        <v>34.22</v>
      </c>
      <c r="G112" s="13">
        <v>46.51</v>
      </c>
      <c r="H112" s="36">
        <v>381</v>
      </c>
      <c r="I112" s="12">
        <v>8.7200000000000006</v>
      </c>
      <c r="J112" s="13">
        <v>1</v>
      </c>
      <c r="K112" s="184">
        <v>2.29</v>
      </c>
      <c r="L112" s="37">
        <v>7.99</v>
      </c>
      <c r="M112" s="22"/>
      <c r="N112" s="29">
        <v>38.549999999999997</v>
      </c>
      <c r="O112" s="13">
        <v>18.79</v>
      </c>
      <c r="P112" s="13">
        <v>10.99</v>
      </c>
      <c r="Q112" s="13">
        <v>19.96</v>
      </c>
      <c r="R112" s="13">
        <v>35.75</v>
      </c>
      <c r="S112" s="13">
        <v>45.98</v>
      </c>
      <c r="T112" s="36">
        <v>373</v>
      </c>
      <c r="U112" s="13">
        <v>9.84</v>
      </c>
      <c r="V112" s="13">
        <v>1</v>
      </c>
      <c r="W112" s="184">
        <v>2.2999999999999998</v>
      </c>
      <c r="X112" s="37">
        <v>7.8</v>
      </c>
      <c r="Y112" s="22"/>
      <c r="Z112" s="38">
        <v>11.36</v>
      </c>
      <c r="AA112" s="13">
        <v>21.26</v>
      </c>
      <c r="AB112" s="13">
        <v>33.17</v>
      </c>
      <c r="AC112" s="13">
        <v>45.5</v>
      </c>
      <c r="AD112" s="36">
        <v>392</v>
      </c>
      <c r="AE112" s="12">
        <v>8.85</v>
      </c>
      <c r="AF112" s="13">
        <v>0.5</v>
      </c>
      <c r="AG112" s="184">
        <v>2.3199999999999998</v>
      </c>
      <c r="AH112" s="37">
        <v>7.42</v>
      </c>
    </row>
    <row r="113" spans="1:34">
      <c r="A113" s="14">
        <f t="shared" si="38"/>
        <v>46075</v>
      </c>
      <c r="B113" s="38">
        <v>40.200000000000003</v>
      </c>
      <c r="C113" s="13">
        <v>19</v>
      </c>
      <c r="D113" s="13">
        <v>11.64</v>
      </c>
      <c r="E113" s="13">
        <v>20.69</v>
      </c>
      <c r="F113" s="13">
        <v>32.78</v>
      </c>
      <c r="G113" s="13">
        <v>47.64</v>
      </c>
      <c r="H113" s="12">
        <v>398</v>
      </c>
      <c r="I113" s="13">
        <v>11.88</v>
      </c>
      <c r="J113" s="13">
        <v>1.5</v>
      </c>
      <c r="K113" s="184">
        <v>2.09</v>
      </c>
      <c r="L113" s="26">
        <v>6.02</v>
      </c>
      <c r="M113" s="22"/>
      <c r="N113" s="29">
        <v>40.200000000000003</v>
      </c>
      <c r="O113" s="13">
        <v>19</v>
      </c>
      <c r="P113" s="13">
        <v>11.13</v>
      </c>
      <c r="Q113" s="13">
        <v>20.09</v>
      </c>
      <c r="R113" s="13">
        <v>32.590000000000003</v>
      </c>
      <c r="S113" s="13">
        <v>47.35</v>
      </c>
      <c r="T113" s="36">
        <v>363</v>
      </c>
      <c r="U113" s="13">
        <v>9.92</v>
      </c>
      <c r="V113" s="13">
        <v>0.5</v>
      </c>
      <c r="W113" s="184">
        <v>2.12</v>
      </c>
      <c r="X113" s="37">
        <v>8.15</v>
      </c>
      <c r="Y113" s="22"/>
      <c r="Z113" s="38">
        <v>12.67</v>
      </c>
      <c r="AA113" s="13">
        <v>21.01</v>
      </c>
      <c r="AB113" s="13">
        <v>33.36</v>
      </c>
      <c r="AC113" s="13">
        <v>48.41</v>
      </c>
      <c r="AD113" s="36">
        <v>355</v>
      </c>
      <c r="AE113" s="13">
        <v>9.6</v>
      </c>
      <c r="AF113" s="13">
        <v>1</v>
      </c>
      <c r="AG113" s="184">
        <v>2.16</v>
      </c>
      <c r="AH113" s="37">
        <v>8.0299999999999994</v>
      </c>
    </row>
    <row r="114" spans="1:34">
      <c r="A114" s="14">
        <f t="shared" si="38"/>
        <v>46076</v>
      </c>
      <c r="B114" s="29">
        <v>38.17</v>
      </c>
      <c r="C114" s="13">
        <v>19</v>
      </c>
      <c r="D114" s="13">
        <v>10.77</v>
      </c>
      <c r="E114" s="13">
        <v>21.09</v>
      </c>
      <c r="F114" s="13">
        <v>33.270000000000003</v>
      </c>
      <c r="G114" s="13">
        <v>47.33</v>
      </c>
      <c r="H114" s="36">
        <v>392</v>
      </c>
      <c r="I114" s="13">
        <v>8.16</v>
      </c>
      <c r="J114" s="13">
        <v>1</v>
      </c>
      <c r="K114" s="184">
        <v>2.0499999999999998</v>
      </c>
      <c r="L114" s="37">
        <v>7.06</v>
      </c>
      <c r="M114" s="22"/>
      <c r="N114" s="29">
        <v>38.17</v>
      </c>
      <c r="O114" s="13">
        <v>19.010000000000002</v>
      </c>
      <c r="P114" s="13">
        <v>10.9</v>
      </c>
      <c r="Q114" s="13">
        <v>20.07</v>
      </c>
      <c r="R114" s="13">
        <v>32.68</v>
      </c>
      <c r="S114" s="13">
        <v>48.1</v>
      </c>
      <c r="T114" s="36">
        <v>374</v>
      </c>
      <c r="U114" s="13">
        <v>8.84</v>
      </c>
      <c r="V114" s="13">
        <v>0.5</v>
      </c>
      <c r="W114" s="184">
        <v>2.2000000000000002</v>
      </c>
      <c r="X114" s="37">
        <v>8.2799999999999994</v>
      </c>
      <c r="Y114" s="22"/>
      <c r="Z114" s="38">
        <v>10.44</v>
      </c>
      <c r="AA114" s="13">
        <v>21.64</v>
      </c>
      <c r="AB114" s="13">
        <v>33.17</v>
      </c>
      <c r="AC114" s="13">
        <v>48.2</v>
      </c>
      <c r="AD114" s="36">
        <v>369</v>
      </c>
      <c r="AE114" s="13">
        <v>9.48</v>
      </c>
      <c r="AF114" s="13">
        <v>0.5</v>
      </c>
      <c r="AG114" s="184">
        <v>2.12</v>
      </c>
      <c r="AH114" s="37">
        <v>7.66</v>
      </c>
    </row>
    <row r="115" spans="1:34">
      <c r="A115" s="14">
        <f t="shared" si="38"/>
        <v>46077</v>
      </c>
      <c r="B115" s="29">
        <v>33.93</v>
      </c>
      <c r="C115" s="13">
        <v>18.93</v>
      </c>
      <c r="D115" s="13">
        <v>11.36</v>
      </c>
      <c r="E115" s="13">
        <v>20.170000000000002</v>
      </c>
      <c r="F115" s="13">
        <v>34.56</v>
      </c>
      <c r="G115" s="13">
        <v>45.82</v>
      </c>
      <c r="H115" s="36">
        <v>421</v>
      </c>
      <c r="I115" s="13">
        <v>11.28</v>
      </c>
      <c r="J115" s="13">
        <v>0.5</v>
      </c>
      <c r="K115" s="184">
        <v>2.077</v>
      </c>
      <c r="L115" s="37">
        <v>8.7799999999999994</v>
      </c>
      <c r="M115" s="22"/>
      <c r="N115" s="29">
        <v>33.93</v>
      </c>
      <c r="O115" s="13">
        <v>17.940000000000001</v>
      </c>
      <c r="P115" s="13">
        <v>12.17</v>
      </c>
      <c r="Q115" s="13">
        <v>20.09</v>
      </c>
      <c r="R115" s="13">
        <v>34.53</v>
      </c>
      <c r="S115" s="13">
        <v>46.37</v>
      </c>
      <c r="T115" s="36">
        <v>378</v>
      </c>
      <c r="U115" s="13">
        <v>12.08</v>
      </c>
      <c r="V115" s="13">
        <v>1</v>
      </c>
      <c r="W115" s="184">
        <v>2.3559999999999999</v>
      </c>
      <c r="X115" s="37">
        <v>6.52</v>
      </c>
      <c r="Y115" s="22"/>
      <c r="Z115" s="38">
        <v>12.39</v>
      </c>
      <c r="AA115" s="13">
        <v>21.21</v>
      </c>
      <c r="AB115" s="13">
        <v>35.479999999999997</v>
      </c>
      <c r="AC115" s="13">
        <v>45.34</v>
      </c>
      <c r="AD115" s="36">
        <v>383</v>
      </c>
      <c r="AE115" s="13">
        <v>12.08</v>
      </c>
      <c r="AF115" s="13">
        <v>0.5</v>
      </c>
      <c r="AG115" s="184">
        <v>2.2450000000000001</v>
      </c>
      <c r="AH115" s="37">
        <v>7.1</v>
      </c>
    </row>
    <row r="116" spans="1:34">
      <c r="A116" s="14">
        <f t="shared" si="38"/>
        <v>46078</v>
      </c>
      <c r="B116" s="29">
        <v>38.61</v>
      </c>
      <c r="C116" s="13">
        <v>18.5</v>
      </c>
      <c r="D116" s="13">
        <v>11.33</v>
      </c>
      <c r="E116" s="13">
        <v>20.52</v>
      </c>
      <c r="F116" s="13">
        <v>34.090000000000003</v>
      </c>
      <c r="G116" s="13">
        <v>45.01</v>
      </c>
      <c r="H116" s="36">
        <v>367</v>
      </c>
      <c r="I116" s="13">
        <v>9.8800000000000008</v>
      </c>
      <c r="J116" s="13">
        <v>0.5</v>
      </c>
      <c r="K116" s="184">
        <v>2.2200000000000002</v>
      </c>
      <c r="L116" s="37">
        <v>6.16</v>
      </c>
      <c r="M116" s="22"/>
      <c r="N116" s="29">
        <v>38.61</v>
      </c>
      <c r="O116" s="13">
        <v>18.399999999999999</v>
      </c>
      <c r="P116" s="13">
        <v>12.11</v>
      </c>
      <c r="Q116" s="13">
        <v>22.39</v>
      </c>
      <c r="R116" s="13">
        <v>35.79</v>
      </c>
      <c r="S116" s="13">
        <v>47.3</v>
      </c>
      <c r="T116" s="36">
        <v>379</v>
      </c>
      <c r="U116" s="13">
        <v>11.64</v>
      </c>
      <c r="V116" s="13">
        <v>0.5</v>
      </c>
      <c r="W116" s="184">
        <v>2.08</v>
      </c>
      <c r="X116" s="37">
        <v>6.51</v>
      </c>
      <c r="Y116" s="22"/>
      <c r="Z116" s="38">
        <v>11.15</v>
      </c>
      <c r="AA116" s="13">
        <v>21.55</v>
      </c>
      <c r="AB116" s="13">
        <v>35.4</v>
      </c>
      <c r="AC116" s="13">
        <v>45.75</v>
      </c>
      <c r="AD116" s="36">
        <v>381</v>
      </c>
      <c r="AE116" s="13">
        <v>10.02</v>
      </c>
      <c r="AF116" s="13">
        <v>0.5</v>
      </c>
      <c r="AG116" s="184">
        <v>2.0299999999999998</v>
      </c>
      <c r="AH116" s="37">
        <v>7.02</v>
      </c>
    </row>
    <row r="117" spans="1:34">
      <c r="A117" s="14">
        <f t="shared" si="38"/>
        <v>46079</v>
      </c>
      <c r="B117" s="29">
        <v>38.69</v>
      </c>
      <c r="C117" s="13">
        <v>18.399999999999999</v>
      </c>
      <c r="D117" s="13">
        <v>11.53</v>
      </c>
      <c r="E117" s="13">
        <v>20.91</v>
      </c>
      <c r="F117" s="13">
        <v>30.33</v>
      </c>
      <c r="G117" s="13">
        <v>48.56</v>
      </c>
      <c r="H117" s="36">
        <v>363</v>
      </c>
      <c r="I117" s="13">
        <v>11.24</v>
      </c>
      <c r="J117" s="13">
        <v>1.5</v>
      </c>
      <c r="K117" s="184">
        <v>2.0499999999999998</v>
      </c>
      <c r="L117" s="37">
        <v>6.26</v>
      </c>
      <c r="M117" s="22"/>
      <c r="N117" s="29">
        <v>38.69</v>
      </c>
      <c r="O117" s="13">
        <v>18.399999999999999</v>
      </c>
      <c r="P117" s="13">
        <v>12.48</v>
      </c>
      <c r="Q117" s="13">
        <v>21.07</v>
      </c>
      <c r="R117" s="13">
        <v>33.47</v>
      </c>
      <c r="S117" s="13">
        <v>48.2</v>
      </c>
      <c r="T117" s="36">
        <v>341</v>
      </c>
      <c r="U117" s="13">
        <v>8.48</v>
      </c>
      <c r="V117" s="13">
        <v>0.5</v>
      </c>
      <c r="W117" s="184">
        <v>2.25</v>
      </c>
      <c r="X117" s="51">
        <v>6.34</v>
      </c>
      <c r="Y117" s="22"/>
      <c r="Z117" s="38">
        <v>11.98</v>
      </c>
      <c r="AA117" s="13">
        <v>21.6</v>
      </c>
      <c r="AB117" s="13">
        <v>36.61</v>
      </c>
      <c r="AC117" s="13">
        <v>46.34</v>
      </c>
      <c r="AD117" s="36">
        <v>363</v>
      </c>
      <c r="AE117" s="13">
        <v>12.16</v>
      </c>
      <c r="AF117" s="13">
        <v>1</v>
      </c>
      <c r="AG117" s="184">
        <v>2.21</v>
      </c>
      <c r="AH117" s="51">
        <v>6.72</v>
      </c>
    </row>
    <row r="118" spans="1:34">
      <c r="A118" s="14">
        <f t="shared" si="38"/>
        <v>46080</v>
      </c>
      <c r="B118" s="29">
        <v>39.799999999999997</v>
      </c>
      <c r="C118" s="13">
        <v>18.190000000000001</v>
      </c>
      <c r="D118" s="13">
        <v>11.96</v>
      </c>
      <c r="E118" s="13">
        <v>21.3</v>
      </c>
      <c r="F118" s="13">
        <v>33.22</v>
      </c>
      <c r="G118" s="13">
        <v>48.64</v>
      </c>
      <c r="H118" s="36">
        <v>370</v>
      </c>
      <c r="I118" s="13">
        <v>9.24</v>
      </c>
      <c r="J118" s="13">
        <v>0.5</v>
      </c>
      <c r="K118" s="184">
        <v>2.2200000000000002</v>
      </c>
      <c r="L118" s="37">
        <v>6.17</v>
      </c>
      <c r="M118" s="22"/>
      <c r="N118" s="29">
        <v>39.799999999999997</v>
      </c>
      <c r="O118" s="13">
        <v>18</v>
      </c>
      <c r="P118" s="13">
        <v>10.63</v>
      </c>
      <c r="Q118" s="13">
        <v>20.11</v>
      </c>
      <c r="R118" s="13">
        <v>34.4</v>
      </c>
      <c r="S118" s="13">
        <v>47.14</v>
      </c>
      <c r="T118" s="36">
        <v>359</v>
      </c>
      <c r="U118" s="13">
        <v>12.68</v>
      </c>
      <c r="V118" s="13">
        <v>1</v>
      </c>
      <c r="W118" s="184">
        <v>2.33</v>
      </c>
      <c r="X118" s="37">
        <v>6.28</v>
      </c>
      <c r="Y118" s="22"/>
      <c r="Z118" s="38">
        <v>11.96</v>
      </c>
      <c r="AA118" s="13">
        <v>20.71</v>
      </c>
      <c r="AB118" s="13">
        <v>35.700000000000003</v>
      </c>
      <c r="AC118" s="13">
        <v>46.81</v>
      </c>
      <c r="AD118" s="36">
        <v>376</v>
      </c>
      <c r="AE118" s="13">
        <v>12.76</v>
      </c>
      <c r="AF118" s="13">
        <v>1</v>
      </c>
      <c r="AG118" s="184">
        <v>2.23</v>
      </c>
      <c r="AH118" s="37">
        <v>7.06</v>
      </c>
    </row>
    <row r="119" spans="1:34" ht="15.75" thickBot="1">
      <c r="A119" s="14">
        <f t="shared" si="38"/>
        <v>46081</v>
      </c>
      <c r="B119" s="29">
        <v>40.07</v>
      </c>
      <c r="C119" s="13">
        <v>19.25</v>
      </c>
      <c r="D119" s="13">
        <v>11.14</v>
      </c>
      <c r="E119" s="13">
        <v>20.76</v>
      </c>
      <c r="F119" s="13">
        <v>38.94</v>
      </c>
      <c r="G119" s="13">
        <v>48.14</v>
      </c>
      <c r="H119" s="36">
        <v>386</v>
      </c>
      <c r="I119" s="13">
        <v>8.16</v>
      </c>
      <c r="J119" s="13">
        <v>0.5</v>
      </c>
      <c r="K119" s="184">
        <v>2.19</v>
      </c>
      <c r="L119" s="37">
        <v>6.8</v>
      </c>
      <c r="M119" s="22"/>
      <c r="N119" s="29">
        <v>40.07</v>
      </c>
      <c r="O119" s="13">
        <v>17.5</v>
      </c>
      <c r="P119" s="13">
        <v>12.24</v>
      </c>
      <c r="Q119" s="13">
        <v>21.32</v>
      </c>
      <c r="R119" s="13">
        <v>38.79</v>
      </c>
      <c r="S119" s="13">
        <v>47.98</v>
      </c>
      <c r="T119" s="36">
        <v>341</v>
      </c>
      <c r="U119" s="13">
        <v>11.64</v>
      </c>
      <c r="V119" s="13">
        <v>1</v>
      </c>
      <c r="W119" s="184">
        <v>2.5099999999999998</v>
      </c>
      <c r="X119" s="37">
        <v>6.97</v>
      </c>
      <c r="Y119" s="22"/>
      <c r="Z119" s="38">
        <v>11.43</v>
      </c>
      <c r="AA119" s="13">
        <v>22.03</v>
      </c>
      <c r="AB119" s="13">
        <v>37.08</v>
      </c>
      <c r="AC119" s="13">
        <v>47.08</v>
      </c>
      <c r="AD119" s="36">
        <v>391</v>
      </c>
      <c r="AE119" s="13">
        <v>9.52</v>
      </c>
      <c r="AF119" s="13">
        <v>0.5</v>
      </c>
      <c r="AG119" s="184">
        <v>2.2200000000000002</v>
      </c>
      <c r="AH119" s="37">
        <v>6.52</v>
      </c>
    </row>
    <row r="120" spans="1:34">
      <c r="A120" s="16" t="s">
        <v>31</v>
      </c>
      <c r="B120" s="17">
        <f>MIN(B89:B119)</f>
        <v>33.93</v>
      </c>
      <c r="C120" s="17">
        <f>MIN(C89:C119)</f>
        <v>15</v>
      </c>
      <c r="D120" s="17">
        <f t="shared" ref="D120:L120" si="39">MIN(D89:D119)</f>
        <v>10.35</v>
      </c>
      <c r="E120" s="17">
        <f t="shared" si="39"/>
        <v>19.809999999999999</v>
      </c>
      <c r="F120" s="17">
        <f t="shared" si="39"/>
        <v>30.33</v>
      </c>
      <c r="G120" s="17">
        <f t="shared" si="39"/>
        <v>44.79</v>
      </c>
      <c r="H120" s="197">
        <f t="shared" si="39"/>
        <v>322</v>
      </c>
      <c r="I120" s="17">
        <f t="shared" si="39"/>
        <v>7.68</v>
      </c>
      <c r="J120" s="17">
        <f t="shared" si="39"/>
        <v>0.5</v>
      </c>
      <c r="K120" s="17">
        <f t="shared" si="39"/>
        <v>1.98</v>
      </c>
      <c r="L120" s="30">
        <f t="shared" si="39"/>
        <v>5.81</v>
      </c>
      <c r="M120" s="22"/>
      <c r="N120" s="17">
        <f>MIN(N89:N119)</f>
        <v>33.93</v>
      </c>
      <c r="O120" s="17">
        <f>MIN(O89:O119)</f>
        <v>16.8</v>
      </c>
      <c r="P120" s="17">
        <f t="shared" ref="P120:X120" si="40">MIN(P89:P119)</f>
        <v>9.8000000000000007</v>
      </c>
      <c r="Q120" s="17">
        <f t="shared" si="40"/>
        <v>19.399999999999999</v>
      </c>
      <c r="R120" s="17">
        <f t="shared" si="40"/>
        <v>32.590000000000003</v>
      </c>
      <c r="S120" s="17">
        <f t="shared" si="40"/>
        <v>44.93</v>
      </c>
      <c r="T120" s="197">
        <f t="shared" si="40"/>
        <v>333</v>
      </c>
      <c r="U120" s="17">
        <f t="shared" si="40"/>
        <v>8.48</v>
      </c>
      <c r="V120" s="17">
        <f t="shared" si="40"/>
        <v>0.5</v>
      </c>
      <c r="W120" s="17">
        <f t="shared" si="40"/>
        <v>2.02</v>
      </c>
      <c r="X120" s="30">
        <f t="shared" si="40"/>
        <v>5.28</v>
      </c>
      <c r="Z120" s="40">
        <f t="shared" ref="Z120:AH120" si="41">MIN(Z89:Z119)</f>
        <v>10.44</v>
      </c>
      <c r="AA120" s="17">
        <f t="shared" si="41"/>
        <v>20.3</v>
      </c>
      <c r="AB120" s="17">
        <f t="shared" si="41"/>
        <v>32.869999999999997</v>
      </c>
      <c r="AC120" s="17">
        <f t="shared" si="41"/>
        <v>45.25</v>
      </c>
      <c r="AD120" s="197">
        <f t="shared" si="41"/>
        <v>336</v>
      </c>
      <c r="AE120" s="17">
        <f t="shared" si="41"/>
        <v>8.24</v>
      </c>
      <c r="AF120" s="17">
        <f t="shared" si="41"/>
        <v>0.5</v>
      </c>
      <c r="AG120" s="17">
        <f t="shared" si="41"/>
        <v>1.94</v>
      </c>
      <c r="AH120" s="30">
        <f t="shared" si="41"/>
        <v>5.86</v>
      </c>
    </row>
    <row r="121" spans="1:34">
      <c r="A121" s="18" t="s">
        <v>33</v>
      </c>
      <c r="B121" s="19">
        <f>MAX(B89:B119)</f>
        <v>40.74</v>
      </c>
      <c r="C121" s="19">
        <f>MAX(C89:C119)</f>
        <v>19.25</v>
      </c>
      <c r="D121" s="19">
        <f t="shared" ref="D121:L121" si="42">MAX(D89:D119)</f>
        <v>12.63</v>
      </c>
      <c r="E121" s="19">
        <f t="shared" si="42"/>
        <v>23.7</v>
      </c>
      <c r="F121" s="19">
        <f t="shared" si="42"/>
        <v>39.32</v>
      </c>
      <c r="G121" s="19">
        <f t="shared" si="42"/>
        <v>49.97</v>
      </c>
      <c r="H121" s="198">
        <f t="shared" si="42"/>
        <v>436</v>
      </c>
      <c r="I121" s="19">
        <f t="shared" si="42"/>
        <v>11.88</v>
      </c>
      <c r="J121" s="19">
        <f t="shared" si="42"/>
        <v>1.5</v>
      </c>
      <c r="K121" s="19">
        <f t="shared" si="42"/>
        <v>2.38</v>
      </c>
      <c r="L121" s="31">
        <f t="shared" si="42"/>
        <v>9.1199999999999992</v>
      </c>
      <c r="M121" s="22"/>
      <c r="N121" s="19">
        <f>MAX(N89:N119)</f>
        <v>40.74</v>
      </c>
      <c r="O121" s="19">
        <f>MAX(O89:O119)</f>
        <v>19.2</v>
      </c>
      <c r="P121" s="19">
        <f t="shared" ref="P121:X121" si="43">MAX(P89:P119)</f>
        <v>12.75</v>
      </c>
      <c r="Q121" s="19">
        <f t="shared" si="43"/>
        <v>22.94</v>
      </c>
      <c r="R121" s="19">
        <f t="shared" si="43"/>
        <v>39.94</v>
      </c>
      <c r="S121" s="19">
        <f t="shared" si="43"/>
        <v>48.56</v>
      </c>
      <c r="T121" s="198">
        <f t="shared" si="43"/>
        <v>418</v>
      </c>
      <c r="U121" s="19">
        <f t="shared" si="43"/>
        <v>13.48</v>
      </c>
      <c r="V121" s="19">
        <f t="shared" si="43"/>
        <v>3</v>
      </c>
      <c r="W121" s="19">
        <f t="shared" si="43"/>
        <v>2.5099999999999998</v>
      </c>
      <c r="X121" s="31">
        <f t="shared" si="43"/>
        <v>9.08</v>
      </c>
      <c r="Z121" s="41">
        <f t="shared" ref="Z121:AH121" si="44">MAX(Z89:Z119)</f>
        <v>12.67</v>
      </c>
      <c r="AA121" s="19">
        <f t="shared" si="44"/>
        <v>23.23</v>
      </c>
      <c r="AB121" s="19">
        <f t="shared" si="44"/>
        <v>38.97</v>
      </c>
      <c r="AC121" s="19">
        <f t="shared" si="44"/>
        <v>49.86</v>
      </c>
      <c r="AD121" s="198">
        <f t="shared" si="44"/>
        <v>416</v>
      </c>
      <c r="AE121" s="19">
        <f t="shared" si="44"/>
        <v>12.76</v>
      </c>
      <c r="AF121" s="19">
        <f t="shared" si="44"/>
        <v>1.5</v>
      </c>
      <c r="AG121" s="19">
        <f t="shared" si="44"/>
        <v>2.4500000000000002</v>
      </c>
      <c r="AH121" s="31">
        <f t="shared" si="44"/>
        <v>8.85</v>
      </c>
    </row>
    <row r="122" spans="1:34">
      <c r="A122" s="18" t="s">
        <v>36</v>
      </c>
      <c r="B122" s="19">
        <f t="shared" ref="B122:L122" si="45">AVERAGE(B89:B119)</f>
        <v>38.180714285714274</v>
      </c>
      <c r="C122" s="19">
        <f t="shared" si="45"/>
        <v>18.058214285714286</v>
      </c>
      <c r="D122" s="19">
        <f t="shared" si="45"/>
        <v>11.740357142857141</v>
      </c>
      <c r="E122" s="19">
        <f t="shared" si="45"/>
        <v>21.578214285714278</v>
      </c>
      <c r="F122" s="19">
        <f t="shared" si="45"/>
        <v>35.795000000000002</v>
      </c>
      <c r="G122" s="19">
        <f t="shared" si="45"/>
        <v>47.042500000000004</v>
      </c>
      <c r="H122" s="198">
        <f t="shared" si="45"/>
        <v>375.82142857142856</v>
      </c>
      <c r="I122" s="19">
        <f t="shared" si="45"/>
        <v>9.4671428571428589</v>
      </c>
      <c r="J122" s="19">
        <f t="shared" si="45"/>
        <v>0.7678571428571429</v>
      </c>
      <c r="K122" s="19">
        <f t="shared" si="45"/>
        <v>2.1856071428571426</v>
      </c>
      <c r="L122" s="31">
        <f t="shared" si="45"/>
        <v>7.2185714285714297</v>
      </c>
      <c r="M122" s="22"/>
      <c r="N122" s="19">
        <f t="shared" ref="N122:X122" si="46">AVERAGE(N89:N119)</f>
        <v>38.180714285714274</v>
      </c>
      <c r="O122" s="19">
        <f t="shared" si="46"/>
        <v>17.95392857142857</v>
      </c>
      <c r="P122" s="19">
        <f t="shared" si="46"/>
        <v>11.774285714285716</v>
      </c>
      <c r="Q122" s="19">
        <f t="shared" si="46"/>
        <v>21.282857142857146</v>
      </c>
      <c r="R122" s="19">
        <f t="shared" si="46"/>
        <v>36.18214285714285</v>
      </c>
      <c r="S122" s="19">
        <f t="shared" si="46"/>
        <v>46.798928571428569</v>
      </c>
      <c r="T122" s="198">
        <f t="shared" si="46"/>
        <v>371.14285714285717</v>
      </c>
      <c r="U122" s="19">
        <f t="shared" si="46"/>
        <v>10.439285714285715</v>
      </c>
      <c r="V122" s="19">
        <f t="shared" si="46"/>
        <v>0.9285714285714286</v>
      </c>
      <c r="W122" s="19">
        <f t="shared" si="46"/>
        <v>2.2594285714285709</v>
      </c>
      <c r="X122" s="31">
        <f t="shared" si="46"/>
        <v>7.4489285714285725</v>
      </c>
      <c r="Z122" s="41">
        <f>AVERAGE(Z89:Z119)</f>
        <v>11.937142857142856</v>
      </c>
      <c r="AA122" s="19">
        <f t="shared" ref="AA122:AH122" si="47">AVERAGE(AA89:AA119)</f>
        <v>21.929642857142856</v>
      </c>
      <c r="AB122" s="19">
        <f t="shared" si="47"/>
        <v>36.126071428571429</v>
      </c>
      <c r="AC122" s="19">
        <f t="shared" si="47"/>
        <v>46.935714285714269</v>
      </c>
      <c r="AD122" s="198">
        <f t="shared" si="47"/>
        <v>377.64285714285717</v>
      </c>
      <c r="AE122" s="19">
        <f t="shared" si="47"/>
        <v>10.055357142857144</v>
      </c>
      <c r="AF122" s="19">
        <f t="shared" si="47"/>
        <v>0.7857142857142857</v>
      </c>
      <c r="AG122" s="19">
        <f t="shared" si="47"/>
        <v>2.2010714285714283</v>
      </c>
      <c r="AH122" s="31">
        <f t="shared" si="47"/>
        <v>7.2832142857142861</v>
      </c>
    </row>
    <row r="123" spans="1:34" ht="15.75" thickBot="1">
      <c r="A123" s="20" t="s">
        <v>130</v>
      </c>
      <c r="B123" s="21">
        <f>STDEV(B89:B119)</f>
        <v>1.9342333701388599</v>
      </c>
      <c r="C123" s="21">
        <f t="shared" ref="C123:L123" si="48">STDEV(C89:C119)</f>
        <v>0.9750709511560478</v>
      </c>
      <c r="D123" s="21">
        <f t="shared" si="48"/>
        <v>0.59313031572207764</v>
      </c>
      <c r="E123" s="21">
        <f t="shared" si="48"/>
        <v>1.0346373620256859</v>
      </c>
      <c r="F123" s="21">
        <f t="shared" si="48"/>
        <v>2.4614291241742734</v>
      </c>
      <c r="G123" s="21">
        <f t="shared" si="48"/>
        <v>1.3359186740605522</v>
      </c>
      <c r="H123" s="199">
        <f t="shared" si="48"/>
        <v>23.620539667414338</v>
      </c>
      <c r="I123" s="21">
        <f t="shared" si="48"/>
        <v>1.0691667130608804</v>
      </c>
      <c r="J123" s="21">
        <f t="shared" si="48"/>
        <v>0.39632905467139234</v>
      </c>
      <c r="K123" s="21">
        <f t="shared" si="48"/>
        <v>0.10435102416069644</v>
      </c>
      <c r="L123" s="32">
        <f t="shared" si="48"/>
        <v>0.88848066022725491</v>
      </c>
      <c r="M123" s="22"/>
      <c r="N123" s="21">
        <f>STDEV(N89:N119)</f>
        <v>1.9342333701388599</v>
      </c>
      <c r="O123" s="21">
        <f t="shared" ref="O123:X123" si="49">STDEV(O89:O119)</f>
        <v>0.76342473633117747</v>
      </c>
      <c r="P123" s="21">
        <f t="shared" si="49"/>
        <v>0.82051216422440154</v>
      </c>
      <c r="Q123" s="21">
        <f t="shared" si="49"/>
        <v>1.0286735692965541</v>
      </c>
      <c r="R123" s="21">
        <f t="shared" si="49"/>
        <v>2.1353555643600401</v>
      </c>
      <c r="S123" s="21">
        <f t="shared" si="49"/>
        <v>1.0482766785104949</v>
      </c>
      <c r="T123" s="199">
        <f t="shared" si="49"/>
        <v>21.962449916828643</v>
      </c>
      <c r="U123" s="21">
        <f t="shared" si="49"/>
        <v>1.3080772674296133</v>
      </c>
      <c r="V123" s="21">
        <f t="shared" si="49"/>
        <v>0.61935279413100541</v>
      </c>
      <c r="W123" s="21">
        <f t="shared" si="49"/>
        <v>0.10703562182107566</v>
      </c>
      <c r="X123" s="32">
        <f t="shared" si="49"/>
        <v>0.92028312586182071</v>
      </c>
      <c r="Z123" s="42">
        <f>STDEV(Z89:Z119)</f>
        <v>0.56613607278643974</v>
      </c>
      <c r="AA123" s="21">
        <f t="shared" ref="AA123:AH123" si="50">STDEV(AA89:AA119)</f>
        <v>0.72422363101798004</v>
      </c>
      <c r="AB123" s="21">
        <f t="shared" si="50"/>
        <v>1.9307652278512177</v>
      </c>
      <c r="AC123" s="21">
        <f t="shared" si="50"/>
        <v>1.0753239944880295</v>
      </c>
      <c r="AD123" s="199">
        <f t="shared" si="50"/>
        <v>17.550380993467723</v>
      </c>
      <c r="AE123" s="21">
        <f t="shared" si="50"/>
        <v>1.1830953818435883</v>
      </c>
      <c r="AF123" s="21">
        <f t="shared" si="50"/>
        <v>0.31706324373711403</v>
      </c>
      <c r="AG123" s="21">
        <f t="shared" si="50"/>
        <v>0.12000645926178423</v>
      </c>
      <c r="AH123" s="32">
        <f t="shared" si="50"/>
        <v>0.63843009751889779</v>
      </c>
    </row>
    <row r="124" spans="1:34" ht="15.75" thickBot="1"/>
    <row r="125" spans="1:34" ht="15.75" thickBot="1">
      <c r="A125" s="1"/>
      <c r="B125" s="338" t="s">
        <v>0</v>
      </c>
      <c r="C125" s="339"/>
      <c r="D125" s="339"/>
      <c r="E125" s="339"/>
      <c r="F125" s="339"/>
      <c r="G125" s="339"/>
      <c r="H125" s="339"/>
      <c r="I125" s="339"/>
      <c r="J125" s="339"/>
      <c r="K125" s="339"/>
      <c r="L125" s="339"/>
      <c r="M125" s="339"/>
      <c r="N125" s="339"/>
      <c r="O125" s="339"/>
      <c r="P125" s="339"/>
      <c r="Q125" s="339"/>
      <c r="R125" s="339"/>
      <c r="S125" s="339"/>
      <c r="T125" s="339"/>
      <c r="U125" s="339"/>
      <c r="V125" s="339"/>
      <c r="W125" s="339"/>
      <c r="X125" s="339"/>
      <c r="Y125" s="339"/>
      <c r="Z125" s="339"/>
      <c r="AA125" s="339"/>
      <c r="AB125" s="339"/>
      <c r="AC125" s="339"/>
      <c r="AD125" s="340"/>
      <c r="AE125" s="340"/>
      <c r="AF125" s="340"/>
      <c r="AG125" s="340"/>
      <c r="AH125" s="340"/>
    </row>
    <row r="126" spans="1:34" ht="15.75" thickBot="1">
      <c r="A126" s="1"/>
      <c r="B126" s="338" t="s">
        <v>131</v>
      </c>
      <c r="C126" s="339"/>
      <c r="D126" s="339"/>
      <c r="E126" s="339"/>
      <c r="F126" s="339"/>
      <c r="G126" s="339"/>
      <c r="H126" s="339"/>
      <c r="I126" s="339"/>
      <c r="J126" s="339"/>
      <c r="K126" s="339"/>
      <c r="L126" s="339"/>
      <c r="M126" s="339"/>
      <c r="N126" s="339"/>
      <c r="O126" s="339"/>
      <c r="P126" s="339"/>
      <c r="Q126" s="339"/>
      <c r="R126" s="339"/>
      <c r="S126" s="339"/>
      <c r="T126" s="339"/>
      <c r="U126" s="339"/>
      <c r="V126" s="339"/>
      <c r="W126" s="339"/>
      <c r="X126" s="339"/>
      <c r="Y126" s="339"/>
      <c r="Z126" s="339"/>
      <c r="AA126" s="339"/>
      <c r="AB126" s="339"/>
      <c r="AC126" s="339"/>
      <c r="AD126" s="4"/>
      <c r="AE126" s="43" t="s">
        <v>107</v>
      </c>
      <c r="AF126" s="341">
        <v>46082</v>
      </c>
      <c r="AG126" s="342"/>
      <c r="AH126" s="343"/>
    </row>
    <row r="127" spans="1:34">
      <c r="A127" s="344"/>
      <c r="B127" s="346" t="s">
        <v>132</v>
      </c>
      <c r="C127" s="347"/>
      <c r="D127" s="347"/>
      <c r="E127" s="347"/>
      <c r="F127" s="347"/>
      <c r="G127" s="347"/>
      <c r="H127" s="347"/>
      <c r="I127" s="347"/>
      <c r="J127" s="347"/>
      <c r="K127" s="348"/>
      <c r="L127" s="349"/>
      <c r="M127" s="22"/>
      <c r="N127" s="350" t="s">
        <v>133</v>
      </c>
      <c r="O127" s="347"/>
      <c r="P127" s="347"/>
      <c r="Q127" s="347"/>
      <c r="R127" s="347"/>
      <c r="S127" s="347"/>
      <c r="T127" s="347"/>
      <c r="U127" s="347"/>
      <c r="V127" s="347"/>
      <c r="W127" s="348"/>
      <c r="X127" s="349"/>
      <c r="Y127" s="22"/>
      <c r="Z127" s="346" t="s">
        <v>134</v>
      </c>
      <c r="AA127" s="347"/>
      <c r="AB127" s="347"/>
      <c r="AC127" s="347"/>
      <c r="AD127" s="347"/>
      <c r="AE127" s="347"/>
      <c r="AF127" s="347"/>
      <c r="AG127" s="348"/>
      <c r="AH127" s="349"/>
    </row>
    <row r="128" spans="1:34" ht="25.5">
      <c r="A128" s="345"/>
      <c r="B128" s="351" t="s">
        <v>135</v>
      </c>
      <c r="C128" s="353" t="s">
        <v>136</v>
      </c>
      <c r="D128" s="64" t="s">
        <v>137</v>
      </c>
      <c r="E128" s="64" t="s">
        <v>138</v>
      </c>
      <c r="F128" s="64" t="s">
        <v>139</v>
      </c>
      <c r="G128" s="64" t="s">
        <v>140</v>
      </c>
      <c r="H128" s="5" t="s">
        <v>141</v>
      </c>
      <c r="I128" s="5" t="s">
        <v>142</v>
      </c>
      <c r="J128" s="5" t="s">
        <v>143</v>
      </c>
      <c r="K128" s="181" t="s">
        <v>81</v>
      </c>
      <c r="L128" s="23" t="s">
        <v>144</v>
      </c>
      <c r="M128" s="22"/>
      <c r="N128" s="355" t="s">
        <v>135</v>
      </c>
      <c r="O128" s="357" t="s">
        <v>136</v>
      </c>
      <c r="P128" s="5" t="s">
        <v>137</v>
      </c>
      <c r="Q128" s="5" t="s">
        <v>138</v>
      </c>
      <c r="R128" s="5" t="s">
        <v>139</v>
      </c>
      <c r="S128" s="5" t="s">
        <v>140</v>
      </c>
      <c r="T128" s="5" t="s">
        <v>141</v>
      </c>
      <c r="U128" s="5" t="s">
        <v>142</v>
      </c>
      <c r="V128" s="5" t="s">
        <v>143</v>
      </c>
      <c r="W128" s="181" t="s">
        <v>81</v>
      </c>
      <c r="X128" s="23" t="s">
        <v>144</v>
      </c>
      <c r="Y128" s="22"/>
      <c r="Z128" s="33" t="s">
        <v>137</v>
      </c>
      <c r="AA128" s="5" t="s">
        <v>138</v>
      </c>
      <c r="AB128" s="5" t="s">
        <v>139</v>
      </c>
      <c r="AC128" s="5" t="s">
        <v>140</v>
      </c>
      <c r="AD128" s="5" t="s">
        <v>141</v>
      </c>
      <c r="AE128" s="5" t="s">
        <v>142</v>
      </c>
      <c r="AF128" s="5" t="s">
        <v>143</v>
      </c>
      <c r="AG128" s="181" t="s">
        <v>81</v>
      </c>
      <c r="AH128" s="23" t="s">
        <v>144</v>
      </c>
    </row>
    <row r="129" spans="1:34" ht="25.5">
      <c r="A129" s="6" t="s">
        <v>145</v>
      </c>
      <c r="B129" s="352"/>
      <c r="C129" s="354"/>
      <c r="D129" s="64" t="s">
        <v>128</v>
      </c>
      <c r="E129" s="64" t="s">
        <v>128</v>
      </c>
      <c r="F129" s="64" t="s">
        <v>128</v>
      </c>
      <c r="G129" s="64" t="s">
        <v>128</v>
      </c>
      <c r="H129" s="5" t="s">
        <v>125</v>
      </c>
      <c r="I129" s="5" t="s">
        <v>146</v>
      </c>
      <c r="J129" s="5" t="s">
        <v>127</v>
      </c>
      <c r="K129" s="181" t="s">
        <v>53</v>
      </c>
      <c r="L129" s="23" t="s">
        <v>53</v>
      </c>
      <c r="M129" s="22"/>
      <c r="N129" s="356"/>
      <c r="O129" s="358"/>
      <c r="P129" s="5" t="s">
        <v>128</v>
      </c>
      <c r="Q129" s="5" t="s">
        <v>128</v>
      </c>
      <c r="R129" s="5" t="s">
        <v>128</v>
      </c>
      <c r="S129" s="5" t="s">
        <v>128</v>
      </c>
      <c r="T129" s="5" t="s">
        <v>125</v>
      </c>
      <c r="U129" s="5" t="s">
        <v>146</v>
      </c>
      <c r="V129" s="5" t="s">
        <v>127</v>
      </c>
      <c r="W129" s="181" t="s">
        <v>53</v>
      </c>
      <c r="X129" s="23" t="s">
        <v>53</v>
      </c>
      <c r="Y129" s="22"/>
      <c r="Z129" s="33" t="s">
        <v>128</v>
      </c>
      <c r="AA129" s="5" t="s">
        <v>128</v>
      </c>
      <c r="AB129" s="5" t="s">
        <v>128</v>
      </c>
      <c r="AC129" s="5" t="s">
        <v>128</v>
      </c>
      <c r="AD129" s="5" t="s">
        <v>125</v>
      </c>
      <c r="AE129" s="5" t="s">
        <v>146</v>
      </c>
      <c r="AF129" s="5" t="s">
        <v>127</v>
      </c>
      <c r="AG129" s="181" t="s">
        <v>53</v>
      </c>
      <c r="AH129" s="23" t="s">
        <v>53</v>
      </c>
    </row>
    <row r="130" spans="1:34" ht="26.25" thickBot="1">
      <c r="A130" s="7" t="s">
        <v>147</v>
      </c>
      <c r="B130" s="65" t="s">
        <v>148</v>
      </c>
      <c r="C130" s="66" t="s">
        <v>149</v>
      </c>
      <c r="D130" s="66" t="s">
        <v>150</v>
      </c>
      <c r="E130" s="66" t="s">
        <v>151</v>
      </c>
      <c r="F130" s="66" t="s">
        <v>152</v>
      </c>
      <c r="G130" s="66" t="s">
        <v>153</v>
      </c>
      <c r="H130" s="9" t="s">
        <v>154</v>
      </c>
      <c r="I130" s="24" t="s">
        <v>155</v>
      </c>
      <c r="J130" s="24" t="s">
        <v>156</v>
      </c>
      <c r="K130" s="24" t="s">
        <v>179</v>
      </c>
      <c r="L130" s="25" t="s">
        <v>157</v>
      </c>
      <c r="M130" s="22"/>
      <c r="N130" s="8" t="s">
        <v>148</v>
      </c>
      <c r="O130" s="9" t="s">
        <v>149</v>
      </c>
      <c r="P130" s="9" t="s">
        <v>150</v>
      </c>
      <c r="Q130" s="9" t="s">
        <v>151</v>
      </c>
      <c r="R130" s="9" t="s">
        <v>152</v>
      </c>
      <c r="S130" s="9" t="s">
        <v>153</v>
      </c>
      <c r="T130" s="9" t="s">
        <v>154</v>
      </c>
      <c r="U130" s="24" t="s">
        <v>155</v>
      </c>
      <c r="V130" s="24" t="s">
        <v>156</v>
      </c>
      <c r="W130" s="24" t="s">
        <v>179</v>
      </c>
      <c r="X130" s="25" t="s">
        <v>157</v>
      </c>
      <c r="Y130" s="22"/>
      <c r="Z130" s="8" t="s">
        <v>150</v>
      </c>
      <c r="AA130" s="9" t="s">
        <v>158</v>
      </c>
      <c r="AB130" s="9" t="s">
        <v>152</v>
      </c>
      <c r="AC130" s="9" t="s">
        <v>159</v>
      </c>
      <c r="AD130" s="9" t="s">
        <v>154</v>
      </c>
      <c r="AE130" s="9" t="s">
        <v>155</v>
      </c>
      <c r="AF130" s="9" t="s">
        <v>156</v>
      </c>
      <c r="AG130" s="24" t="s">
        <v>179</v>
      </c>
      <c r="AH130" s="23" t="s">
        <v>157</v>
      </c>
    </row>
    <row r="131" spans="1:34">
      <c r="A131" s="10">
        <f>AF126+0</f>
        <v>46082</v>
      </c>
      <c r="B131" s="67">
        <v>39.21</v>
      </c>
      <c r="C131" s="68">
        <v>19</v>
      </c>
      <c r="D131" s="68">
        <v>11.04</v>
      </c>
      <c r="E131" s="68">
        <v>20.78</v>
      </c>
      <c r="F131" s="68">
        <v>34.299999999999997</v>
      </c>
      <c r="G131" s="68">
        <v>49.14</v>
      </c>
      <c r="H131" s="69">
        <v>382</v>
      </c>
      <c r="I131" s="69">
        <v>8.84</v>
      </c>
      <c r="J131" s="69">
        <v>1.5</v>
      </c>
      <c r="K131" s="191">
        <v>2.2000000000000002</v>
      </c>
      <c r="L131" s="73">
        <v>7.27</v>
      </c>
      <c r="M131" s="74"/>
      <c r="N131" s="75">
        <v>39.21</v>
      </c>
      <c r="O131" s="76">
        <v>19</v>
      </c>
      <c r="P131" s="76">
        <v>10.08</v>
      </c>
      <c r="Q131" s="76">
        <v>20.09</v>
      </c>
      <c r="R131" s="76">
        <v>34.76</v>
      </c>
      <c r="S131" s="76">
        <v>48.18</v>
      </c>
      <c r="T131" s="85">
        <v>390</v>
      </c>
      <c r="U131" s="76">
        <v>10.16</v>
      </c>
      <c r="V131" s="76">
        <v>1.5</v>
      </c>
      <c r="W131" s="191">
        <v>2.2400000000000002</v>
      </c>
      <c r="X131" s="76">
        <v>7.46</v>
      </c>
      <c r="Y131" s="74"/>
      <c r="Z131" s="81">
        <v>11.57</v>
      </c>
      <c r="AA131" s="76">
        <v>21.68</v>
      </c>
      <c r="AB131" s="76">
        <v>37.5</v>
      </c>
      <c r="AC131" s="76">
        <v>46.64</v>
      </c>
      <c r="AD131" s="85">
        <v>386</v>
      </c>
      <c r="AE131" s="76">
        <v>9.16</v>
      </c>
      <c r="AF131" s="76">
        <v>0.5</v>
      </c>
      <c r="AG131" s="194">
        <v>2.1800000000000002</v>
      </c>
      <c r="AH131" s="86">
        <v>6.98</v>
      </c>
    </row>
    <row r="132" spans="1:34">
      <c r="A132" s="14">
        <f t="shared" ref="A132:A161" si="51">A131+1</f>
        <v>46083</v>
      </c>
      <c r="B132" s="67">
        <v>38.17</v>
      </c>
      <c r="C132" s="70">
        <v>19.850000000000001</v>
      </c>
      <c r="D132" s="70">
        <v>11.96</v>
      </c>
      <c r="E132" s="70">
        <v>20.18</v>
      </c>
      <c r="F132" s="70">
        <v>34.590000000000003</v>
      </c>
      <c r="G132" s="70">
        <v>46.18</v>
      </c>
      <c r="H132" s="71">
        <v>380</v>
      </c>
      <c r="I132" s="71">
        <v>9.36</v>
      </c>
      <c r="J132" s="70">
        <v>0.5</v>
      </c>
      <c r="K132" s="192">
        <v>2.31</v>
      </c>
      <c r="L132" s="77">
        <v>7.29</v>
      </c>
      <c r="M132" s="74"/>
      <c r="N132" s="78">
        <v>38.17</v>
      </c>
      <c r="O132" s="70">
        <v>18</v>
      </c>
      <c r="P132" s="70">
        <v>11.15</v>
      </c>
      <c r="Q132" s="70">
        <v>21.03</v>
      </c>
      <c r="R132" s="70">
        <v>37.67</v>
      </c>
      <c r="S132" s="70">
        <v>47.72</v>
      </c>
      <c r="T132" s="82">
        <v>376</v>
      </c>
      <c r="U132" s="70">
        <v>10.039999999999999</v>
      </c>
      <c r="V132" s="70">
        <v>1</v>
      </c>
      <c r="W132" s="192">
        <v>2.25</v>
      </c>
      <c r="X132" s="70">
        <v>6.57</v>
      </c>
      <c r="Y132" s="74"/>
      <c r="Z132" s="67">
        <v>11.56</v>
      </c>
      <c r="AA132" s="70">
        <v>21.32</v>
      </c>
      <c r="AB132" s="70">
        <v>36.880000000000003</v>
      </c>
      <c r="AC132" s="70">
        <v>45.03</v>
      </c>
      <c r="AD132" s="82">
        <v>392</v>
      </c>
      <c r="AE132" s="70">
        <v>7.96</v>
      </c>
      <c r="AF132" s="70">
        <v>0.5</v>
      </c>
      <c r="AG132" s="192">
        <v>2.27</v>
      </c>
      <c r="AH132" s="87">
        <v>6.74</v>
      </c>
    </row>
    <row r="133" spans="1:34">
      <c r="A133" s="14">
        <f t="shared" si="51"/>
        <v>46084</v>
      </c>
      <c r="B133" s="67">
        <v>33.93</v>
      </c>
      <c r="C133" s="70">
        <v>19.350000000000001</v>
      </c>
      <c r="D133" s="70">
        <v>12.13</v>
      </c>
      <c r="E133" s="70">
        <v>21.12</v>
      </c>
      <c r="F133" s="70">
        <v>34.89</v>
      </c>
      <c r="G133" s="70">
        <v>45.56</v>
      </c>
      <c r="H133" s="71">
        <v>406</v>
      </c>
      <c r="I133" s="70">
        <v>10.32</v>
      </c>
      <c r="J133" s="70">
        <v>1</v>
      </c>
      <c r="K133" s="192">
        <v>2.1779999999999999</v>
      </c>
      <c r="L133" s="77">
        <v>7.72</v>
      </c>
      <c r="M133" s="74"/>
      <c r="N133" s="70">
        <v>33.93</v>
      </c>
      <c r="O133" s="70">
        <v>20</v>
      </c>
      <c r="P133" s="70">
        <v>11.62</v>
      </c>
      <c r="Q133" s="70">
        <v>20.7</v>
      </c>
      <c r="R133" s="70">
        <v>36.01</v>
      </c>
      <c r="S133" s="70">
        <v>45.73</v>
      </c>
      <c r="T133" s="82">
        <v>409</v>
      </c>
      <c r="U133" s="70">
        <v>10.88</v>
      </c>
      <c r="V133" s="70">
        <v>0.5</v>
      </c>
      <c r="W133" s="192">
        <v>2.286</v>
      </c>
      <c r="X133" s="83">
        <v>7.01</v>
      </c>
      <c r="Y133" s="74"/>
      <c r="Z133" s="67">
        <v>11.49</v>
      </c>
      <c r="AA133" s="70">
        <v>20.29</v>
      </c>
      <c r="AB133" s="70">
        <v>33.6</v>
      </c>
      <c r="AC133" s="70">
        <v>45.6</v>
      </c>
      <c r="AD133" s="82">
        <v>389</v>
      </c>
      <c r="AE133" s="70">
        <v>11</v>
      </c>
      <c r="AF133" s="70">
        <v>0.5</v>
      </c>
      <c r="AG133" s="192">
        <v>2.2109999999999999</v>
      </c>
      <c r="AH133" s="87">
        <v>6.83</v>
      </c>
    </row>
    <row r="134" spans="1:34">
      <c r="A134" s="14">
        <f t="shared" si="51"/>
        <v>46085</v>
      </c>
      <c r="B134" s="67">
        <v>38.61</v>
      </c>
      <c r="C134" s="70">
        <v>18</v>
      </c>
      <c r="D134" s="70">
        <v>12.96</v>
      </c>
      <c r="E134" s="70">
        <v>22.14</v>
      </c>
      <c r="F134" s="70">
        <v>34.31</v>
      </c>
      <c r="G134" s="70">
        <v>45.67</v>
      </c>
      <c r="H134" s="71">
        <v>396</v>
      </c>
      <c r="I134" s="71">
        <v>10.039999999999999</v>
      </c>
      <c r="J134" s="70">
        <v>0.5</v>
      </c>
      <c r="K134" s="192">
        <v>2.33</v>
      </c>
      <c r="L134" s="77">
        <v>6.5</v>
      </c>
      <c r="M134" s="74"/>
      <c r="N134" s="78">
        <v>38.61</v>
      </c>
      <c r="O134" s="70">
        <v>18</v>
      </c>
      <c r="P134" s="70">
        <v>12.8</v>
      </c>
      <c r="Q134" s="70">
        <v>21.32</v>
      </c>
      <c r="R134" s="70">
        <v>33.35</v>
      </c>
      <c r="S134" s="70">
        <v>45.5</v>
      </c>
      <c r="T134" s="82">
        <v>401</v>
      </c>
      <c r="U134" s="70">
        <v>11.4</v>
      </c>
      <c r="V134" s="70">
        <v>0.5</v>
      </c>
      <c r="W134" s="192">
        <v>2.0499999999999998</v>
      </c>
      <c r="X134" s="83">
        <v>6.58</v>
      </c>
      <c r="Y134" s="74"/>
      <c r="Z134" s="67">
        <v>11.6</v>
      </c>
      <c r="AA134" s="70">
        <v>22.36</v>
      </c>
      <c r="AB134" s="70">
        <v>35.78</v>
      </c>
      <c r="AC134" s="70">
        <v>46.3</v>
      </c>
      <c r="AD134" s="82">
        <v>384</v>
      </c>
      <c r="AE134" s="70">
        <v>11.72</v>
      </c>
      <c r="AF134" s="70">
        <v>0.5</v>
      </c>
      <c r="AG134" s="192">
        <v>2.29</v>
      </c>
      <c r="AH134" s="87">
        <v>6.73</v>
      </c>
    </row>
    <row r="135" spans="1:34">
      <c r="A135" s="14">
        <f t="shared" si="51"/>
        <v>46086</v>
      </c>
      <c r="B135" s="67">
        <v>38.69</v>
      </c>
      <c r="C135" s="70">
        <v>18.2</v>
      </c>
      <c r="D135" s="70">
        <v>12.65</v>
      </c>
      <c r="E135" s="70">
        <v>22.34</v>
      </c>
      <c r="F135" s="70">
        <v>37.880000000000003</v>
      </c>
      <c r="G135" s="70">
        <v>47.68</v>
      </c>
      <c r="H135" s="71">
        <v>376</v>
      </c>
      <c r="I135" s="71">
        <v>9.6</v>
      </c>
      <c r="J135" s="70">
        <v>1</v>
      </c>
      <c r="K135" s="192">
        <v>2.4</v>
      </c>
      <c r="L135" s="77">
        <v>6.56</v>
      </c>
      <c r="M135" s="74"/>
      <c r="N135" s="78">
        <v>38.69</v>
      </c>
      <c r="O135" s="70">
        <v>18.18</v>
      </c>
      <c r="P135" s="70">
        <v>11.71</v>
      </c>
      <c r="Q135" s="70">
        <v>20.81</v>
      </c>
      <c r="R135" s="70">
        <v>37.19</v>
      </c>
      <c r="S135" s="70">
        <v>46.57</v>
      </c>
      <c r="T135" s="82">
        <v>389</v>
      </c>
      <c r="U135" s="70">
        <v>10.76</v>
      </c>
      <c r="V135" s="70">
        <v>1</v>
      </c>
      <c r="W135" s="192">
        <v>2.2999999999999998</v>
      </c>
      <c r="X135" s="84">
        <v>7.01</v>
      </c>
      <c r="Y135" s="74"/>
      <c r="Z135" s="67">
        <v>11.18</v>
      </c>
      <c r="AA135" s="70">
        <v>22.28</v>
      </c>
      <c r="AB135" s="70">
        <v>36.229999999999997</v>
      </c>
      <c r="AC135" s="70">
        <v>45.14</v>
      </c>
      <c r="AD135" s="82">
        <v>392</v>
      </c>
      <c r="AE135" s="70">
        <v>11.76</v>
      </c>
      <c r="AF135" s="70">
        <v>0.5</v>
      </c>
      <c r="AG135" s="192">
        <v>2.4500000000000002</v>
      </c>
      <c r="AH135" s="88">
        <v>6.89</v>
      </c>
    </row>
    <row r="136" spans="1:34">
      <c r="A136" s="14">
        <f t="shared" si="51"/>
        <v>46087</v>
      </c>
      <c r="B136" s="67">
        <v>39.07</v>
      </c>
      <c r="C136" s="70">
        <v>18</v>
      </c>
      <c r="D136" s="70">
        <v>11.67</v>
      </c>
      <c r="E136" s="70">
        <v>21.85</v>
      </c>
      <c r="F136" s="70">
        <v>38.58</v>
      </c>
      <c r="G136" s="70">
        <v>47.67</v>
      </c>
      <c r="H136" s="71">
        <v>396</v>
      </c>
      <c r="I136" s="71">
        <v>9.36</v>
      </c>
      <c r="J136" s="70">
        <v>0.5</v>
      </c>
      <c r="K136" s="192">
        <v>1.93</v>
      </c>
      <c r="L136" s="77">
        <v>6.88</v>
      </c>
      <c r="M136" s="74"/>
      <c r="N136" s="78">
        <v>39.07</v>
      </c>
      <c r="O136" s="70">
        <v>18</v>
      </c>
      <c r="P136" s="70">
        <v>12.38</v>
      </c>
      <c r="Q136" s="70">
        <v>20.52</v>
      </c>
      <c r="R136" s="70">
        <v>37</v>
      </c>
      <c r="S136" s="70">
        <v>46.76</v>
      </c>
      <c r="T136" s="82">
        <v>392</v>
      </c>
      <c r="U136" s="70">
        <v>10.44</v>
      </c>
      <c r="V136" s="70">
        <v>1</v>
      </c>
      <c r="W136" s="192">
        <v>2.59</v>
      </c>
      <c r="X136" s="84">
        <v>7.52</v>
      </c>
      <c r="Y136" s="74"/>
      <c r="Z136" s="67">
        <v>11.03</v>
      </c>
      <c r="AA136" s="70">
        <v>21.89</v>
      </c>
      <c r="AB136" s="70">
        <v>37.479999999999997</v>
      </c>
      <c r="AC136" s="70">
        <v>46.03</v>
      </c>
      <c r="AD136" s="82">
        <v>384</v>
      </c>
      <c r="AE136" s="70">
        <v>9.84</v>
      </c>
      <c r="AF136" s="70">
        <v>0.5</v>
      </c>
      <c r="AG136" s="192">
        <v>2.13</v>
      </c>
      <c r="AH136" s="88">
        <v>5.59</v>
      </c>
    </row>
    <row r="137" spans="1:34">
      <c r="A137" s="14">
        <f t="shared" si="51"/>
        <v>46088</v>
      </c>
      <c r="B137" s="67">
        <v>37.270000000000003</v>
      </c>
      <c r="C137" s="70">
        <v>18.5</v>
      </c>
      <c r="D137" s="70">
        <v>11.77</v>
      </c>
      <c r="E137" s="70">
        <v>20.440000000000001</v>
      </c>
      <c r="F137" s="70">
        <v>31.12</v>
      </c>
      <c r="G137" s="70">
        <v>46.95</v>
      </c>
      <c r="H137" s="71">
        <v>385</v>
      </c>
      <c r="I137" s="71">
        <v>9.68</v>
      </c>
      <c r="J137" s="70">
        <v>1</v>
      </c>
      <c r="K137" s="192">
        <v>2.34</v>
      </c>
      <c r="L137" s="77">
        <v>6.15</v>
      </c>
      <c r="M137" s="74"/>
      <c r="N137" s="67">
        <v>37.270000000000003</v>
      </c>
      <c r="O137" s="79">
        <v>18.5</v>
      </c>
      <c r="P137" s="70">
        <v>12.94</v>
      </c>
      <c r="Q137" s="70">
        <v>22.44</v>
      </c>
      <c r="R137" s="70">
        <v>36.840000000000003</v>
      </c>
      <c r="S137" s="70">
        <v>46.88</v>
      </c>
      <c r="T137" s="82">
        <v>408</v>
      </c>
      <c r="U137" s="70">
        <v>10.98</v>
      </c>
      <c r="V137" s="70">
        <v>1</v>
      </c>
      <c r="W137" s="192">
        <v>2.14</v>
      </c>
      <c r="X137" s="84">
        <v>6.02</v>
      </c>
      <c r="Y137" s="74"/>
      <c r="Z137" s="67">
        <v>11.06</v>
      </c>
      <c r="AA137" s="70">
        <v>20.48</v>
      </c>
      <c r="AB137" s="70">
        <v>35.200000000000003</v>
      </c>
      <c r="AC137" s="70">
        <v>46.91</v>
      </c>
      <c r="AD137" s="82">
        <v>387</v>
      </c>
      <c r="AE137" s="70">
        <v>9.44</v>
      </c>
      <c r="AF137" s="70">
        <v>0.5</v>
      </c>
      <c r="AG137" s="192">
        <v>2.38</v>
      </c>
      <c r="AH137" s="88">
        <v>6.68</v>
      </c>
    </row>
    <row r="138" spans="1:34">
      <c r="A138" s="14">
        <f t="shared" si="51"/>
        <v>46089</v>
      </c>
      <c r="B138" s="67">
        <v>35.53</v>
      </c>
      <c r="C138" s="70">
        <v>18</v>
      </c>
      <c r="D138" s="70">
        <v>11.03</v>
      </c>
      <c r="E138" s="70">
        <v>21.07</v>
      </c>
      <c r="F138" s="70">
        <v>38.32</v>
      </c>
      <c r="G138" s="70">
        <v>46.42</v>
      </c>
      <c r="H138" s="71">
        <v>379</v>
      </c>
      <c r="I138" s="71">
        <v>9.56</v>
      </c>
      <c r="J138" s="70">
        <v>0.5</v>
      </c>
      <c r="K138" s="192">
        <v>2.379</v>
      </c>
      <c r="L138" s="77">
        <v>6.99</v>
      </c>
      <c r="M138" s="74"/>
      <c r="N138" s="67">
        <v>35.53</v>
      </c>
      <c r="O138" s="70">
        <v>18</v>
      </c>
      <c r="P138" s="70">
        <v>12</v>
      </c>
      <c r="Q138" s="70">
        <v>22.38</v>
      </c>
      <c r="R138" s="70">
        <v>39.979999999999997</v>
      </c>
      <c r="S138" s="70">
        <v>46.51</v>
      </c>
      <c r="T138" s="82">
        <v>384</v>
      </c>
      <c r="U138" s="70">
        <v>12.42</v>
      </c>
      <c r="V138" s="70">
        <v>1</v>
      </c>
      <c r="W138" s="192">
        <v>2.15</v>
      </c>
      <c r="X138" s="83">
        <v>6.18</v>
      </c>
      <c r="Y138" s="74"/>
      <c r="Z138" s="67">
        <v>11.92</v>
      </c>
      <c r="AA138" s="70">
        <v>21.68</v>
      </c>
      <c r="AB138" s="70">
        <v>40.72</v>
      </c>
      <c r="AC138" s="70">
        <v>47.98</v>
      </c>
      <c r="AD138" s="82">
        <v>398</v>
      </c>
      <c r="AE138" s="70">
        <v>9.6</v>
      </c>
      <c r="AF138" s="70">
        <v>1</v>
      </c>
      <c r="AG138" s="192">
        <v>2.286</v>
      </c>
      <c r="AH138" s="87">
        <v>5.95</v>
      </c>
    </row>
    <row r="139" spans="1:34">
      <c r="A139" s="14">
        <f t="shared" si="51"/>
        <v>46090</v>
      </c>
      <c r="B139" s="67">
        <v>37.58</v>
      </c>
      <c r="C139" s="70">
        <v>18</v>
      </c>
      <c r="D139" s="70">
        <v>12.47</v>
      </c>
      <c r="E139" s="70">
        <v>21.76</v>
      </c>
      <c r="F139" s="70">
        <v>37.979999999999997</v>
      </c>
      <c r="G139" s="70">
        <v>47.35</v>
      </c>
      <c r="H139" s="71">
        <v>391</v>
      </c>
      <c r="I139" s="71">
        <v>9.48</v>
      </c>
      <c r="J139" s="70">
        <v>0.5</v>
      </c>
      <c r="K139" s="192">
        <v>2.19</v>
      </c>
      <c r="L139" s="77">
        <v>5.27</v>
      </c>
      <c r="M139" s="74"/>
      <c r="N139" s="67">
        <v>37.58</v>
      </c>
      <c r="O139" s="70">
        <v>17.5</v>
      </c>
      <c r="P139" s="70">
        <v>11.95</v>
      </c>
      <c r="Q139" s="70">
        <v>21.78</v>
      </c>
      <c r="R139" s="70">
        <v>37.08</v>
      </c>
      <c r="S139" s="70">
        <v>46.15</v>
      </c>
      <c r="T139" s="82">
        <v>382</v>
      </c>
      <c r="U139" s="70">
        <v>11.2</v>
      </c>
      <c r="V139" s="70">
        <v>0.5</v>
      </c>
      <c r="W139" s="192">
        <v>2.14</v>
      </c>
      <c r="X139" s="83">
        <v>5.35</v>
      </c>
      <c r="Y139" s="74"/>
      <c r="Z139" s="67">
        <v>12.18</v>
      </c>
      <c r="AA139" s="70">
        <v>21.99</v>
      </c>
      <c r="AB139" s="70">
        <v>37.659999999999997</v>
      </c>
      <c r="AC139" s="70">
        <v>46.11</v>
      </c>
      <c r="AD139" s="82">
        <v>410</v>
      </c>
      <c r="AE139" s="70">
        <v>10</v>
      </c>
      <c r="AF139" s="70">
        <v>0.5</v>
      </c>
      <c r="AG139" s="192">
        <v>2.13</v>
      </c>
      <c r="AH139" s="87">
        <v>5.73</v>
      </c>
    </row>
    <row r="140" spans="1:34">
      <c r="A140" s="14">
        <f t="shared" si="51"/>
        <v>46091</v>
      </c>
      <c r="B140" s="67">
        <v>38.42</v>
      </c>
      <c r="C140" s="70">
        <v>18.5</v>
      </c>
      <c r="D140" s="70">
        <v>12.53</v>
      </c>
      <c r="E140" s="70">
        <v>22.16</v>
      </c>
      <c r="F140" s="70">
        <v>33.49</v>
      </c>
      <c r="G140" s="70">
        <v>48.78</v>
      </c>
      <c r="H140" s="71">
        <v>374</v>
      </c>
      <c r="I140" s="71">
        <v>9.48</v>
      </c>
      <c r="J140" s="70">
        <v>0.5</v>
      </c>
      <c r="K140" s="192">
        <v>2.2599999999999998</v>
      </c>
      <c r="L140" s="77">
        <v>5.9</v>
      </c>
      <c r="M140" s="74"/>
      <c r="N140" s="67">
        <v>38.42</v>
      </c>
      <c r="O140" s="70">
        <v>18.5</v>
      </c>
      <c r="P140" s="70">
        <v>12.46</v>
      </c>
      <c r="Q140" s="70">
        <v>23.05</v>
      </c>
      <c r="R140" s="70">
        <v>35.159999999999997</v>
      </c>
      <c r="S140" s="70">
        <v>47.97</v>
      </c>
      <c r="T140" s="82">
        <v>389</v>
      </c>
      <c r="U140" s="70">
        <v>10.039999999999999</v>
      </c>
      <c r="V140" s="70">
        <v>18</v>
      </c>
      <c r="W140" s="192">
        <v>2.17</v>
      </c>
      <c r="X140" s="83">
        <v>6.75</v>
      </c>
      <c r="Y140" s="74"/>
      <c r="Z140" s="67">
        <v>12.41</v>
      </c>
      <c r="AA140" s="70">
        <v>23.64</v>
      </c>
      <c r="AB140" s="70">
        <v>34.409999999999997</v>
      </c>
      <c r="AC140" s="70">
        <v>46.06</v>
      </c>
      <c r="AD140" s="82">
        <v>390</v>
      </c>
      <c r="AE140" s="70">
        <v>10.28</v>
      </c>
      <c r="AF140" s="70">
        <v>1</v>
      </c>
      <c r="AG140" s="192">
        <v>2.17</v>
      </c>
      <c r="AH140" s="87">
        <v>6.9</v>
      </c>
    </row>
    <row r="141" spans="1:34">
      <c r="A141" s="14">
        <f t="shared" si="51"/>
        <v>46092</v>
      </c>
      <c r="B141" s="38">
        <v>39.1</v>
      </c>
      <c r="C141" s="13">
        <v>18</v>
      </c>
      <c r="D141" s="13">
        <v>12.4</v>
      </c>
      <c r="E141" s="13">
        <v>22.3</v>
      </c>
      <c r="F141" s="13">
        <v>35.71</v>
      </c>
      <c r="G141" s="13">
        <v>46.17</v>
      </c>
      <c r="H141" s="12">
        <v>365</v>
      </c>
      <c r="I141" s="12">
        <v>9.68</v>
      </c>
      <c r="J141" s="13">
        <v>50</v>
      </c>
      <c r="K141" s="184">
        <v>2.23</v>
      </c>
      <c r="L141" s="26">
        <v>5.89</v>
      </c>
      <c r="M141" s="22"/>
      <c r="N141" s="29">
        <v>39.1</v>
      </c>
      <c r="O141" s="13">
        <v>18</v>
      </c>
      <c r="P141" s="13">
        <v>11.64</v>
      </c>
      <c r="Q141" s="13">
        <v>23.82</v>
      </c>
      <c r="R141" s="13">
        <v>35.159999999999997</v>
      </c>
      <c r="S141" s="13">
        <v>46.44</v>
      </c>
      <c r="T141" s="36">
        <v>362</v>
      </c>
      <c r="U141" s="13">
        <v>11.96</v>
      </c>
      <c r="V141" s="13">
        <v>60.5</v>
      </c>
      <c r="W141" s="184">
        <v>2.02</v>
      </c>
      <c r="X141" s="37">
        <v>6.97</v>
      </c>
      <c r="Y141" s="22"/>
      <c r="Z141" s="38">
        <v>11.07</v>
      </c>
      <c r="AA141" s="13">
        <v>23.42</v>
      </c>
      <c r="AB141" s="13">
        <v>36.520000000000003</v>
      </c>
      <c r="AC141" s="13">
        <v>45.95</v>
      </c>
      <c r="AD141" s="36">
        <v>373</v>
      </c>
      <c r="AE141" s="13">
        <v>10.28</v>
      </c>
      <c r="AF141" s="13">
        <v>59</v>
      </c>
      <c r="AG141" s="184">
        <v>2.12</v>
      </c>
      <c r="AH141" s="45">
        <v>6.54</v>
      </c>
    </row>
    <row r="142" spans="1:34">
      <c r="A142" s="14">
        <f t="shared" si="51"/>
        <v>46093</v>
      </c>
      <c r="B142" s="38">
        <v>38.520000000000003</v>
      </c>
      <c r="C142" s="13">
        <v>18.3</v>
      </c>
      <c r="D142" s="13">
        <v>11.62</v>
      </c>
      <c r="E142" s="13">
        <v>22.68</v>
      </c>
      <c r="F142" s="13">
        <v>36.28</v>
      </c>
      <c r="G142" s="13">
        <v>47.57</v>
      </c>
      <c r="H142" s="12">
        <v>337</v>
      </c>
      <c r="I142" s="12">
        <v>12.08</v>
      </c>
      <c r="J142" s="13">
        <v>97</v>
      </c>
      <c r="K142" s="184">
        <v>2.2400000000000002</v>
      </c>
      <c r="L142" s="26">
        <v>6.19</v>
      </c>
      <c r="M142" s="22"/>
      <c r="N142" s="29">
        <v>38.520000000000003</v>
      </c>
      <c r="O142" s="13">
        <v>18.3</v>
      </c>
      <c r="P142" s="13">
        <v>12.23</v>
      </c>
      <c r="Q142" s="13">
        <v>22.11</v>
      </c>
      <c r="R142" s="13">
        <v>37.130000000000003</v>
      </c>
      <c r="S142" s="13">
        <v>48.24</v>
      </c>
      <c r="T142" s="36">
        <v>365</v>
      </c>
      <c r="U142" s="13">
        <v>12.32</v>
      </c>
      <c r="V142" s="13">
        <v>51</v>
      </c>
      <c r="W142" s="184">
        <v>2.08</v>
      </c>
      <c r="X142" s="37">
        <v>5.87</v>
      </c>
      <c r="Y142" s="22"/>
      <c r="Z142" s="38">
        <v>12.88</v>
      </c>
      <c r="AA142" s="13">
        <v>22.73</v>
      </c>
      <c r="AB142" s="13">
        <v>35.6</v>
      </c>
      <c r="AC142" s="13">
        <v>48.62</v>
      </c>
      <c r="AD142" s="36">
        <v>353</v>
      </c>
      <c r="AE142" s="13">
        <v>11.04</v>
      </c>
      <c r="AF142" s="13">
        <v>65</v>
      </c>
      <c r="AG142" s="184">
        <v>2.16</v>
      </c>
      <c r="AH142" s="45">
        <v>5.66</v>
      </c>
    </row>
    <row r="143" spans="1:34">
      <c r="A143" s="14">
        <f t="shared" si="51"/>
        <v>46094</v>
      </c>
      <c r="B143" s="38">
        <v>35.299999999999997</v>
      </c>
      <c r="C143" s="13">
        <v>18</v>
      </c>
      <c r="D143" s="13">
        <v>11.57</v>
      </c>
      <c r="E143" s="13">
        <v>22.96</v>
      </c>
      <c r="F143" s="13">
        <v>38.26</v>
      </c>
      <c r="G143" s="13">
        <v>48.76</v>
      </c>
      <c r="H143" s="12">
        <v>341</v>
      </c>
      <c r="I143" s="12">
        <v>11.12</v>
      </c>
      <c r="J143" s="13">
        <v>0.5</v>
      </c>
      <c r="K143" s="184">
        <v>2.4460000000000002</v>
      </c>
      <c r="L143" s="26">
        <v>6.43</v>
      </c>
      <c r="M143" s="22"/>
      <c r="N143" s="29">
        <v>35.299999999999997</v>
      </c>
      <c r="O143" s="13">
        <v>18</v>
      </c>
      <c r="P143" s="13">
        <v>12.45</v>
      </c>
      <c r="Q143" s="13">
        <v>22.03</v>
      </c>
      <c r="R143" s="13">
        <v>36.450000000000003</v>
      </c>
      <c r="S143" s="13">
        <v>47.4</v>
      </c>
      <c r="T143" s="36">
        <v>327</v>
      </c>
      <c r="U143" s="13">
        <v>10.32</v>
      </c>
      <c r="V143" s="13">
        <v>1</v>
      </c>
      <c r="W143" s="184">
        <v>2.14</v>
      </c>
      <c r="X143" s="37">
        <v>6.14</v>
      </c>
      <c r="Y143" s="22"/>
      <c r="Z143" s="38">
        <v>12.86</v>
      </c>
      <c r="AA143" s="13">
        <v>23.28</v>
      </c>
      <c r="AB143" s="13">
        <v>39.44</v>
      </c>
      <c r="AC143" s="13">
        <v>47.7</v>
      </c>
      <c r="AD143" s="36">
        <v>350</v>
      </c>
      <c r="AE143" s="13">
        <v>9.1199999999999992</v>
      </c>
      <c r="AF143" s="13">
        <v>1</v>
      </c>
      <c r="AG143" s="184">
        <v>2.2200000000000002</v>
      </c>
      <c r="AH143" s="45">
        <v>5.45</v>
      </c>
    </row>
    <row r="144" spans="1:34">
      <c r="A144" s="14">
        <f t="shared" si="51"/>
        <v>46095</v>
      </c>
      <c r="B144" s="38">
        <v>38.520000000000003</v>
      </c>
      <c r="C144" s="13">
        <v>18.2</v>
      </c>
      <c r="D144" s="13">
        <v>13.07</v>
      </c>
      <c r="E144" s="13">
        <v>23.42</v>
      </c>
      <c r="F144" s="13">
        <v>34.049999999999997</v>
      </c>
      <c r="G144" s="13">
        <v>48.02</v>
      </c>
      <c r="H144" s="72">
        <v>376</v>
      </c>
      <c r="I144" s="80">
        <v>8.9600000000000009</v>
      </c>
      <c r="J144" s="13">
        <v>0.5</v>
      </c>
      <c r="K144" s="184">
        <v>2.15</v>
      </c>
      <c r="L144" s="26">
        <v>6.37</v>
      </c>
      <c r="M144" s="22"/>
      <c r="N144" s="29">
        <v>34.4</v>
      </c>
      <c r="O144" s="13">
        <v>18</v>
      </c>
      <c r="P144" s="13">
        <v>12.34</v>
      </c>
      <c r="Q144" s="13">
        <v>22.61</v>
      </c>
      <c r="R144" s="13">
        <v>35</v>
      </c>
      <c r="S144" s="13">
        <v>47.62</v>
      </c>
      <c r="T144" s="36">
        <v>371</v>
      </c>
      <c r="U144" s="13">
        <v>9.32</v>
      </c>
      <c r="V144" s="13">
        <v>1</v>
      </c>
      <c r="W144" s="184">
        <v>2.25</v>
      </c>
      <c r="X144" s="37">
        <v>5.1100000000000003</v>
      </c>
      <c r="Y144" s="22"/>
      <c r="Z144" s="38">
        <v>11.71</v>
      </c>
      <c r="AA144" s="13">
        <v>22.2</v>
      </c>
      <c r="AB144" s="13">
        <v>36.340000000000003</v>
      </c>
      <c r="AC144" s="13">
        <v>46.37</v>
      </c>
      <c r="AD144" s="36">
        <v>378</v>
      </c>
      <c r="AE144" s="13">
        <v>9.48</v>
      </c>
      <c r="AF144" s="13">
        <v>0.5</v>
      </c>
      <c r="AG144" s="184">
        <v>2.33</v>
      </c>
      <c r="AH144" s="37">
        <v>4.99</v>
      </c>
    </row>
    <row r="145" spans="1:34">
      <c r="A145" s="14">
        <f t="shared" si="51"/>
        <v>46096</v>
      </c>
      <c r="B145" s="38">
        <v>35.299999999999997</v>
      </c>
      <c r="C145" s="13">
        <v>17.5</v>
      </c>
      <c r="D145" s="13">
        <v>12.87</v>
      </c>
      <c r="E145" s="13">
        <v>21.22</v>
      </c>
      <c r="F145" s="13">
        <v>37.58</v>
      </c>
      <c r="G145" s="13">
        <v>46.36</v>
      </c>
      <c r="H145" s="72">
        <v>374</v>
      </c>
      <c r="I145" s="80">
        <v>11.04</v>
      </c>
      <c r="J145" s="13">
        <v>0.5</v>
      </c>
      <c r="K145" s="184">
        <v>2.34</v>
      </c>
      <c r="L145" s="26">
        <v>6.51</v>
      </c>
      <c r="M145" s="22"/>
      <c r="N145" s="29">
        <v>36.97</v>
      </c>
      <c r="O145" s="13">
        <v>18</v>
      </c>
      <c r="P145" s="13">
        <v>13.1</v>
      </c>
      <c r="Q145" s="13">
        <v>22.78</v>
      </c>
      <c r="R145" s="13">
        <v>37.979999999999997</v>
      </c>
      <c r="S145" s="13">
        <v>48.32</v>
      </c>
      <c r="T145" s="36">
        <v>380</v>
      </c>
      <c r="U145" s="13">
        <v>11.56</v>
      </c>
      <c r="V145" s="13">
        <v>0.5</v>
      </c>
      <c r="W145" s="184">
        <v>2.1</v>
      </c>
      <c r="X145" s="37">
        <v>6.66</v>
      </c>
      <c r="Y145" s="22"/>
      <c r="Z145" s="38">
        <v>13.47</v>
      </c>
      <c r="AA145" s="13">
        <v>21.7</v>
      </c>
      <c r="AB145" s="13">
        <v>36.74</v>
      </c>
      <c r="AC145" s="13">
        <v>47.26</v>
      </c>
      <c r="AD145" s="36">
        <v>360</v>
      </c>
      <c r="AE145" s="13">
        <v>9.76</v>
      </c>
      <c r="AF145" s="13">
        <v>0.5</v>
      </c>
      <c r="AG145" s="184">
        <v>2.2799999999999998</v>
      </c>
      <c r="AH145" s="37">
        <v>6.34</v>
      </c>
    </row>
    <row r="146" spans="1:34">
      <c r="A146" s="14">
        <f t="shared" si="51"/>
        <v>46097</v>
      </c>
      <c r="B146" s="38">
        <v>37.03</v>
      </c>
      <c r="C146" s="13">
        <v>17.5</v>
      </c>
      <c r="D146" s="13">
        <v>11.2</v>
      </c>
      <c r="E146" s="13">
        <v>21.17</v>
      </c>
      <c r="F146" s="13">
        <v>38.74</v>
      </c>
      <c r="G146" s="13">
        <v>47.24</v>
      </c>
      <c r="H146" s="12">
        <v>344</v>
      </c>
      <c r="I146" s="12">
        <v>9.68</v>
      </c>
      <c r="J146" s="13">
        <v>1</v>
      </c>
      <c r="K146" s="184">
        <v>2.2400000000000002</v>
      </c>
      <c r="L146" s="26">
        <v>7.2</v>
      </c>
      <c r="M146" s="22"/>
      <c r="N146" s="29">
        <v>40.619999999999997</v>
      </c>
      <c r="O146" s="13">
        <v>17.52</v>
      </c>
      <c r="P146" s="13">
        <v>12.04</v>
      </c>
      <c r="Q146" s="13">
        <v>21</v>
      </c>
      <c r="R146" s="13">
        <v>37.619999999999997</v>
      </c>
      <c r="S146" s="13">
        <v>48.7</v>
      </c>
      <c r="T146" s="36">
        <v>345</v>
      </c>
      <c r="U146" s="13">
        <v>14.6</v>
      </c>
      <c r="V146" s="13">
        <v>5</v>
      </c>
      <c r="W146" s="184">
        <v>2.14</v>
      </c>
      <c r="X146" s="37">
        <v>6.94</v>
      </c>
      <c r="Y146" s="22"/>
      <c r="Z146" s="38">
        <v>11.01</v>
      </c>
      <c r="AA146" s="13">
        <v>21.18</v>
      </c>
      <c r="AB146" s="13">
        <v>39.82</v>
      </c>
      <c r="AC146" s="13">
        <v>47.24</v>
      </c>
      <c r="AD146" s="36">
        <v>350</v>
      </c>
      <c r="AE146" s="13">
        <v>10.96</v>
      </c>
      <c r="AF146" s="13">
        <v>0.5</v>
      </c>
      <c r="AG146" s="184">
        <v>2.17</v>
      </c>
      <c r="AH146" s="37">
        <v>6.62</v>
      </c>
    </row>
    <row r="147" spans="1:34">
      <c r="A147" s="14">
        <f t="shared" si="51"/>
        <v>46098</v>
      </c>
      <c r="B147" s="38">
        <v>40.74</v>
      </c>
      <c r="C147" s="13">
        <v>17.8</v>
      </c>
      <c r="D147" s="13">
        <v>11.74</v>
      </c>
      <c r="E147" s="13">
        <v>22.35</v>
      </c>
      <c r="F147" s="13">
        <v>37.15</v>
      </c>
      <c r="G147" s="13">
        <v>46.58</v>
      </c>
      <c r="H147" s="12">
        <v>370</v>
      </c>
      <c r="I147" s="12">
        <v>9.84</v>
      </c>
      <c r="J147" s="13">
        <v>1</v>
      </c>
      <c r="K147" s="184">
        <v>2.4460000000000002</v>
      </c>
      <c r="L147" s="26">
        <v>6.85</v>
      </c>
      <c r="M147" s="22"/>
      <c r="N147" s="29">
        <v>38.549999999999997</v>
      </c>
      <c r="O147" s="13">
        <v>17.8</v>
      </c>
      <c r="P147" s="13">
        <v>12.65</v>
      </c>
      <c r="Q147" s="13">
        <v>22.2</v>
      </c>
      <c r="R147" s="13">
        <v>34.32</v>
      </c>
      <c r="S147" s="13">
        <v>46.03</v>
      </c>
      <c r="T147" s="36">
        <v>362</v>
      </c>
      <c r="U147" s="13">
        <v>11.56</v>
      </c>
      <c r="V147" s="13">
        <v>0.5</v>
      </c>
      <c r="W147" s="184">
        <v>1.97</v>
      </c>
      <c r="X147" s="37">
        <v>7.02</v>
      </c>
      <c r="Y147" s="22"/>
      <c r="Z147" s="38">
        <v>12.5</v>
      </c>
      <c r="AA147" s="13">
        <v>22.18</v>
      </c>
      <c r="AB147" s="13">
        <v>33.9</v>
      </c>
      <c r="AC147" s="13">
        <v>45.9</v>
      </c>
      <c r="AD147" s="36">
        <v>368</v>
      </c>
      <c r="AE147" s="13">
        <v>9.3000000000000007</v>
      </c>
      <c r="AF147" s="13">
        <v>2</v>
      </c>
      <c r="AG147" s="184">
        <v>2.0499999999999998</v>
      </c>
      <c r="AH147" s="37">
        <v>7.02</v>
      </c>
    </row>
    <row r="148" spans="1:34">
      <c r="A148" s="14">
        <f t="shared" si="51"/>
        <v>46099</v>
      </c>
      <c r="B148" s="38">
        <v>34.4</v>
      </c>
      <c r="C148" s="13">
        <v>18.5</v>
      </c>
      <c r="D148" s="13">
        <v>12.76</v>
      </c>
      <c r="E148" s="13">
        <v>23.86</v>
      </c>
      <c r="F148" s="13">
        <v>34.32</v>
      </c>
      <c r="G148" s="13">
        <v>46.18</v>
      </c>
      <c r="H148" s="12">
        <v>361</v>
      </c>
      <c r="I148" s="12">
        <v>9.8000000000000007</v>
      </c>
      <c r="J148" s="13">
        <v>0.5</v>
      </c>
      <c r="K148" s="184">
        <v>2.15</v>
      </c>
      <c r="L148" s="26">
        <v>5.76</v>
      </c>
      <c r="M148" s="22"/>
      <c r="N148" s="29">
        <v>40.200000000000003</v>
      </c>
      <c r="O148" s="13">
        <v>18.510000000000002</v>
      </c>
      <c r="P148" s="13">
        <v>12.95</v>
      </c>
      <c r="Q148" s="13">
        <v>22.59</v>
      </c>
      <c r="R148" s="13">
        <v>35.299999999999997</v>
      </c>
      <c r="S148" s="13">
        <v>46.36</v>
      </c>
      <c r="T148" s="36">
        <v>359</v>
      </c>
      <c r="U148" s="13">
        <v>12.04</v>
      </c>
      <c r="V148" s="13">
        <v>2.5</v>
      </c>
      <c r="W148" s="184">
        <v>2.27</v>
      </c>
      <c r="X148" s="37">
        <v>5.92</v>
      </c>
      <c r="Y148" s="22"/>
      <c r="Z148" s="38">
        <v>11.94</v>
      </c>
      <c r="AA148" s="13">
        <v>22.73</v>
      </c>
      <c r="AB148" s="13">
        <v>38.35</v>
      </c>
      <c r="AC148" s="13">
        <v>47.08</v>
      </c>
      <c r="AD148" s="36">
        <v>350</v>
      </c>
      <c r="AE148" s="13">
        <v>8.86</v>
      </c>
      <c r="AF148" s="13">
        <v>1.5</v>
      </c>
      <c r="AG148" s="184">
        <v>2.13</v>
      </c>
      <c r="AH148" s="37">
        <v>6.85</v>
      </c>
    </row>
    <row r="149" spans="1:34">
      <c r="A149" s="14">
        <f t="shared" si="51"/>
        <v>46100</v>
      </c>
      <c r="B149" s="38">
        <v>36.97</v>
      </c>
      <c r="C149" s="13">
        <v>19.7</v>
      </c>
      <c r="D149" s="13">
        <v>12.22</v>
      </c>
      <c r="E149" s="13">
        <v>22.75</v>
      </c>
      <c r="F149" s="13">
        <v>36.630000000000003</v>
      </c>
      <c r="G149" s="13">
        <v>45.64</v>
      </c>
      <c r="H149" s="12">
        <v>343</v>
      </c>
      <c r="I149" s="12">
        <v>12</v>
      </c>
      <c r="J149" s="13">
        <v>0.5</v>
      </c>
      <c r="K149" s="184">
        <v>2.34</v>
      </c>
      <c r="L149" s="37">
        <v>6.01</v>
      </c>
      <c r="M149" s="22"/>
      <c r="N149" s="29">
        <v>38.17</v>
      </c>
      <c r="O149" s="13">
        <v>17.5</v>
      </c>
      <c r="P149" s="13">
        <v>12.94</v>
      </c>
      <c r="Q149" s="13">
        <v>22.72</v>
      </c>
      <c r="R149" s="13">
        <v>35.299999999999997</v>
      </c>
      <c r="S149" s="13">
        <v>46.08</v>
      </c>
      <c r="T149" s="36">
        <v>358</v>
      </c>
      <c r="U149" s="13">
        <v>11.12</v>
      </c>
      <c r="V149" s="13">
        <v>0.5</v>
      </c>
      <c r="W149" s="184">
        <v>2.1949999999999998</v>
      </c>
      <c r="X149" s="37">
        <v>6.34</v>
      </c>
      <c r="Y149" s="22"/>
      <c r="Z149" s="38">
        <v>13.94</v>
      </c>
      <c r="AA149" s="13">
        <v>22.59</v>
      </c>
      <c r="AB149" s="13">
        <v>37.9</v>
      </c>
      <c r="AC149" s="13">
        <v>46.39</v>
      </c>
      <c r="AD149" s="36">
        <v>352</v>
      </c>
      <c r="AE149" s="13">
        <v>10.88</v>
      </c>
      <c r="AF149" s="13">
        <v>0.5</v>
      </c>
      <c r="AG149" s="184">
        <v>2.2799999999999998</v>
      </c>
      <c r="AH149" s="37">
        <v>5.9</v>
      </c>
    </row>
    <row r="150" spans="1:34">
      <c r="A150" s="14">
        <f t="shared" si="51"/>
        <v>46101</v>
      </c>
      <c r="B150" s="38">
        <v>38.229999999999997</v>
      </c>
      <c r="C150" s="13">
        <v>18.03</v>
      </c>
      <c r="D150" s="13">
        <v>11.5</v>
      </c>
      <c r="E150" s="13">
        <v>21.95</v>
      </c>
      <c r="F150" s="13">
        <v>36.46</v>
      </c>
      <c r="G150" s="13">
        <v>46.93</v>
      </c>
      <c r="H150" s="12">
        <v>379</v>
      </c>
      <c r="I150" s="13">
        <v>9.1199999999999992</v>
      </c>
      <c r="J150" s="13">
        <v>0.5</v>
      </c>
      <c r="K150" s="184">
        <v>2.0299999999999998</v>
      </c>
      <c r="L150" s="26">
        <v>5.16</v>
      </c>
      <c r="M150" s="22"/>
      <c r="N150" s="29">
        <v>33.93</v>
      </c>
      <c r="O150" s="13">
        <v>18.52</v>
      </c>
      <c r="P150" s="13">
        <v>13.45</v>
      </c>
      <c r="Q150" s="13">
        <v>22.55</v>
      </c>
      <c r="R150" s="13">
        <v>37.520000000000003</v>
      </c>
      <c r="S150" s="13">
        <v>49.08</v>
      </c>
      <c r="T150" s="36">
        <v>391</v>
      </c>
      <c r="U150" s="13">
        <v>9.0399999999999991</v>
      </c>
      <c r="V150" s="13">
        <v>2</v>
      </c>
      <c r="W150" s="184">
        <v>2.2999999999999998</v>
      </c>
      <c r="X150" s="37">
        <v>5.67</v>
      </c>
      <c r="Y150" s="22"/>
      <c r="Z150" s="38">
        <v>11.28</v>
      </c>
      <c r="AA150" s="13">
        <v>22.93</v>
      </c>
      <c r="AB150" s="13">
        <v>39.9</v>
      </c>
      <c r="AC150" s="13">
        <v>47.24</v>
      </c>
      <c r="AD150" s="36">
        <v>372</v>
      </c>
      <c r="AE150" s="13">
        <v>10.08</v>
      </c>
      <c r="AF150" s="13">
        <v>3</v>
      </c>
      <c r="AG150" s="184">
        <v>2.17</v>
      </c>
      <c r="AH150" s="37">
        <v>5.32</v>
      </c>
    </row>
    <row r="151" spans="1:34">
      <c r="A151" s="14">
        <f t="shared" si="51"/>
        <v>46102</v>
      </c>
      <c r="B151" s="38">
        <v>36.979999999999997</v>
      </c>
      <c r="C151" s="13">
        <v>18</v>
      </c>
      <c r="D151" s="13">
        <v>11.9</v>
      </c>
      <c r="E151" s="13">
        <v>22.7</v>
      </c>
      <c r="F151" s="13">
        <v>37.68</v>
      </c>
      <c r="G151" s="13">
        <v>47.89</v>
      </c>
      <c r="H151" s="36">
        <v>360</v>
      </c>
      <c r="I151" s="12">
        <v>10.36</v>
      </c>
      <c r="J151" s="13">
        <v>2</v>
      </c>
      <c r="K151" s="184">
        <v>2.35</v>
      </c>
      <c r="L151" s="37">
        <v>5.59</v>
      </c>
      <c r="M151" s="22"/>
      <c r="N151" s="29">
        <v>35.61</v>
      </c>
      <c r="O151" s="13">
        <v>18.079999999999998</v>
      </c>
      <c r="P151" s="13">
        <v>11.95</v>
      </c>
      <c r="Q151" s="13">
        <v>23.72</v>
      </c>
      <c r="R151" s="13">
        <v>38.14</v>
      </c>
      <c r="S151" s="13">
        <v>46.27</v>
      </c>
      <c r="T151" s="36">
        <v>372</v>
      </c>
      <c r="U151" s="13">
        <v>9.68</v>
      </c>
      <c r="V151" s="13">
        <v>3</v>
      </c>
      <c r="W151" s="184">
        <v>2.2000000000000002</v>
      </c>
      <c r="X151" s="37">
        <v>7.25</v>
      </c>
      <c r="Y151" s="22"/>
      <c r="Z151" s="38">
        <v>11.76</v>
      </c>
      <c r="AA151" s="13">
        <v>22.21</v>
      </c>
      <c r="AB151" s="13">
        <v>36.58</v>
      </c>
      <c r="AC151" s="13">
        <v>48.79</v>
      </c>
      <c r="AD151" s="36">
        <v>391</v>
      </c>
      <c r="AE151" s="12">
        <v>10.24</v>
      </c>
      <c r="AF151" s="13">
        <v>1.5</v>
      </c>
      <c r="AG151" s="184">
        <v>2.19</v>
      </c>
      <c r="AH151" s="37">
        <v>6.57</v>
      </c>
    </row>
    <row r="152" spans="1:34">
      <c r="A152" s="14">
        <f t="shared" si="51"/>
        <v>46103</v>
      </c>
      <c r="B152" s="38">
        <v>39.200000000000003</v>
      </c>
      <c r="C152" s="13">
        <v>17.5</v>
      </c>
      <c r="D152" s="13">
        <v>11.04</v>
      </c>
      <c r="E152" s="13">
        <v>21.38</v>
      </c>
      <c r="F152" s="13">
        <v>36.72</v>
      </c>
      <c r="G152" s="13">
        <v>48.71</v>
      </c>
      <c r="H152" s="12">
        <v>370</v>
      </c>
      <c r="I152" s="13">
        <v>9.4</v>
      </c>
      <c r="J152" s="13">
        <v>0.5</v>
      </c>
      <c r="K152" s="184">
        <v>2.06</v>
      </c>
      <c r="L152" s="26">
        <v>7.27</v>
      </c>
      <c r="M152" s="22"/>
      <c r="N152" s="29">
        <v>34</v>
      </c>
      <c r="O152" s="13">
        <v>18</v>
      </c>
      <c r="P152" s="13">
        <v>11.38</v>
      </c>
      <c r="Q152" s="13">
        <v>20.81</v>
      </c>
      <c r="R152" s="13">
        <v>37.54</v>
      </c>
      <c r="S152" s="13">
        <v>48.91</v>
      </c>
      <c r="T152" s="36">
        <v>382</v>
      </c>
      <c r="U152" s="13">
        <v>9.76</v>
      </c>
      <c r="V152" s="13">
        <v>5</v>
      </c>
      <c r="W152" s="184">
        <v>2.3690000000000002</v>
      </c>
      <c r="X152" s="37">
        <v>6.32</v>
      </c>
      <c r="Y152" s="22"/>
      <c r="Z152" s="38">
        <v>12.84</v>
      </c>
      <c r="AA152" s="13">
        <v>21.36</v>
      </c>
      <c r="AB152" s="13">
        <v>37.950000000000003</v>
      </c>
      <c r="AC152" s="13">
        <v>48.11</v>
      </c>
      <c r="AD152" s="36">
        <v>411</v>
      </c>
      <c r="AE152" s="13">
        <v>9.1199999999999992</v>
      </c>
      <c r="AF152" s="13">
        <v>2</v>
      </c>
      <c r="AG152" s="184">
        <v>2.12</v>
      </c>
      <c r="AH152" s="37">
        <v>6.7</v>
      </c>
    </row>
    <row r="153" spans="1:34">
      <c r="A153" s="14">
        <f t="shared" si="51"/>
        <v>46104</v>
      </c>
      <c r="B153" s="29">
        <v>35.6</v>
      </c>
      <c r="C153" s="13">
        <v>18</v>
      </c>
      <c r="D153" s="13">
        <v>12.31</v>
      </c>
      <c r="E153" s="13">
        <v>21.69</v>
      </c>
      <c r="F153" s="13">
        <v>38.56</v>
      </c>
      <c r="G153" s="13">
        <v>49.45</v>
      </c>
      <c r="H153" s="36">
        <v>382</v>
      </c>
      <c r="I153" s="13">
        <v>10.32</v>
      </c>
      <c r="J153" s="13">
        <v>1</v>
      </c>
      <c r="K153" s="184">
        <v>2.34</v>
      </c>
      <c r="L153" s="37">
        <v>6.81</v>
      </c>
      <c r="M153" s="22"/>
      <c r="N153" s="29">
        <v>36.979999999999997</v>
      </c>
      <c r="O153" s="13">
        <v>17.5</v>
      </c>
      <c r="P153" s="13">
        <v>11.41</v>
      </c>
      <c r="Q153" s="13">
        <v>21.47</v>
      </c>
      <c r="R153" s="13">
        <v>36.56</v>
      </c>
      <c r="S153" s="13">
        <v>45.22</v>
      </c>
      <c r="T153" s="36">
        <v>373</v>
      </c>
      <c r="U153" s="13">
        <v>10.08</v>
      </c>
      <c r="V153" s="13">
        <v>0.5</v>
      </c>
      <c r="W153" s="184">
        <v>2.29</v>
      </c>
      <c r="X153" s="37">
        <v>7.21</v>
      </c>
      <c r="Y153" s="22"/>
      <c r="Z153" s="38">
        <v>11.74</v>
      </c>
      <c r="AA153" s="13">
        <v>20.23</v>
      </c>
      <c r="AB153" s="13">
        <v>38.03</v>
      </c>
      <c r="AC153" s="13">
        <v>46.46</v>
      </c>
      <c r="AD153" s="36">
        <v>365</v>
      </c>
      <c r="AE153" s="13">
        <v>11.88</v>
      </c>
      <c r="AF153" s="13">
        <v>1</v>
      </c>
      <c r="AG153" s="184">
        <v>2.2109999999999999</v>
      </c>
      <c r="AH153" s="37">
        <v>6.21</v>
      </c>
    </row>
    <row r="154" spans="1:34">
      <c r="A154" s="14">
        <f t="shared" si="51"/>
        <v>46105</v>
      </c>
      <c r="B154" s="29">
        <v>35.869999999999997</v>
      </c>
      <c r="C154" s="13">
        <v>18</v>
      </c>
      <c r="D154" s="13">
        <v>10.33</v>
      </c>
      <c r="E154" s="13">
        <v>21.49</v>
      </c>
      <c r="F154" s="13">
        <v>35.08</v>
      </c>
      <c r="G154" s="13"/>
      <c r="H154" s="36">
        <v>347</v>
      </c>
      <c r="I154" s="13">
        <v>9.3699999999999992</v>
      </c>
      <c r="J154" s="13">
        <v>1</v>
      </c>
      <c r="K154" s="184" t="s">
        <v>180</v>
      </c>
      <c r="L154" s="37">
        <v>6.33</v>
      </c>
      <c r="M154" s="22"/>
      <c r="N154" s="29">
        <v>36.549999999999997</v>
      </c>
      <c r="O154" s="13">
        <v>18</v>
      </c>
      <c r="P154" s="13">
        <v>10.92</v>
      </c>
      <c r="Q154" s="13">
        <v>21.45</v>
      </c>
      <c r="R154" s="13">
        <v>35.69</v>
      </c>
      <c r="S154" s="13"/>
      <c r="T154" s="36">
        <v>357</v>
      </c>
      <c r="U154" s="13">
        <v>10.89</v>
      </c>
      <c r="V154" s="13">
        <v>4</v>
      </c>
      <c r="W154" s="184">
        <v>1.99</v>
      </c>
      <c r="X154" s="37">
        <v>6.69</v>
      </c>
      <c r="Y154" s="22"/>
      <c r="Z154" s="38">
        <v>11.36</v>
      </c>
      <c r="AA154" s="13">
        <v>21.81</v>
      </c>
      <c r="AB154" s="13">
        <v>35.69</v>
      </c>
      <c r="AC154" s="13"/>
      <c r="AD154" s="36">
        <v>362</v>
      </c>
      <c r="AE154" s="13">
        <v>9.77</v>
      </c>
      <c r="AF154" s="13">
        <v>0.5</v>
      </c>
      <c r="AG154" s="184">
        <v>2.09</v>
      </c>
      <c r="AH154" s="37">
        <v>5.95</v>
      </c>
    </row>
    <row r="155" spans="1:34">
      <c r="A155" s="14">
        <f t="shared" si="51"/>
        <v>46106</v>
      </c>
      <c r="B155" s="29">
        <v>36.58</v>
      </c>
      <c r="C155" s="13">
        <v>18</v>
      </c>
      <c r="D155" s="13">
        <v>10.59</v>
      </c>
      <c r="E155" s="13">
        <v>21.99</v>
      </c>
      <c r="F155" s="13">
        <v>35.18</v>
      </c>
      <c r="G155" s="13"/>
      <c r="H155" s="36">
        <v>378</v>
      </c>
      <c r="I155" s="13">
        <v>9.52</v>
      </c>
      <c r="J155" s="13">
        <v>2</v>
      </c>
      <c r="K155" s="184">
        <v>1.95</v>
      </c>
      <c r="L155" s="37">
        <v>6.66</v>
      </c>
      <c r="M155" s="22"/>
      <c r="N155" s="29">
        <v>38.119999999999997</v>
      </c>
      <c r="O155" s="13">
        <v>18</v>
      </c>
      <c r="P155" s="13">
        <v>11.24</v>
      </c>
      <c r="Q155" s="13">
        <v>22.32</v>
      </c>
      <c r="R155" s="13">
        <v>37.130000000000003</v>
      </c>
      <c r="S155" s="13"/>
      <c r="T155" s="36">
        <v>370</v>
      </c>
      <c r="U155" s="13">
        <v>9.86</v>
      </c>
      <c r="V155" s="13">
        <v>1</v>
      </c>
      <c r="W155" s="184">
        <v>1.73</v>
      </c>
      <c r="X155" s="37">
        <v>7.39</v>
      </c>
      <c r="Y155" s="22"/>
      <c r="Z155" s="38">
        <v>11.25</v>
      </c>
      <c r="AA155" s="13">
        <v>21.42</v>
      </c>
      <c r="AB155" s="13">
        <v>34.700000000000003</v>
      </c>
      <c r="AC155" s="13"/>
      <c r="AD155" s="36">
        <v>376</v>
      </c>
      <c r="AE155" s="13">
        <v>9.76</v>
      </c>
      <c r="AF155" s="13">
        <v>2</v>
      </c>
      <c r="AG155" s="184">
        <v>1.96</v>
      </c>
      <c r="AH155" s="37">
        <v>6.49</v>
      </c>
    </row>
    <row r="156" spans="1:34">
      <c r="A156" s="14">
        <f t="shared" si="51"/>
        <v>46107</v>
      </c>
      <c r="B156" s="29">
        <v>38.69</v>
      </c>
      <c r="C156" s="13">
        <v>17.5</v>
      </c>
      <c r="D156" s="13">
        <v>12.37</v>
      </c>
      <c r="E156" s="13">
        <v>22.21</v>
      </c>
      <c r="F156" s="13">
        <v>35.33</v>
      </c>
      <c r="G156" s="13"/>
      <c r="H156" s="36">
        <v>391</v>
      </c>
      <c r="I156" s="13">
        <v>9.36</v>
      </c>
      <c r="J156" s="13">
        <v>1</v>
      </c>
      <c r="K156" s="184">
        <v>1.97</v>
      </c>
      <c r="L156" s="37">
        <v>6.09</v>
      </c>
      <c r="M156" s="22"/>
      <c r="N156" s="29">
        <v>38.69</v>
      </c>
      <c r="O156" s="13">
        <v>17.5</v>
      </c>
      <c r="P156" s="13">
        <v>12.65</v>
      </c>
      <c r="Q156" s="13">
        <v>21.69</v>
      </c>
      <c r="R156" s="13">
        <v>36.770000000000003</v>
      </c>
      <c r="S156" s="13"/>
      <c r="T156" s="36">
        <v>383</v>
      </c>
      <c r="U156" s="13">
        <v>10.28</v>
      </c>
      <c r="V156" s="13">
        <v>0.5</v>
      </c>
      <c r="W156" s="184">
        <v>2.29</v>
      </c>
      <c r="X156" s="51">
        <v>6.78</v>
      </c>
      <c r="Y156" s="22"/>
      <c r="Z156" s="38">
        <v>12.83</v>
      </c>
      <c r="AA156" s="13">
        <v>22.83</v>
      </c>
      <c r="AB156" s="13">
        <v>35.4</v>
      </c>
      <c r="AC156" s="13"/>
      <c r="AD156" s="36">
        <v>384</v>
      </c>
      <c r="AE156" s="13">
        <v>10.76</v>
      </c>
      <c r="AF156" s="13">
        <v>0.5</v>
      </c>
      <c r="AG156" s="184">
        <v>2.02</v>
      </c>
      <c r="AH156" s="51">
        <v>6.91</v>
      </c>
    </row>
    <row r="157" spans="1:34">
      <c r="A157" s="14">
        <f t="shared" si="51"/>
        <v>46108</v>
      </c>
      <c r="B157" s="29">
        <v>39.07</v>
      </c>
      <c r="C157" s="13">
        <v>17.989999999999998</v>
      </c>
      <c r="D157" s="13">
        <v>11.59</v>
      </c>
      <c r="E157" s="13">
        <v>21.9</v>
      </c>
      <c r="F157" s="13">
        <v>37.25</v>
      </c>
      <c r="G157" s="13"/>
      <c r="H157" s="36">
        <v>379</v>
      </c>
      <c r="I157" s="13">
        <v>9.64</v>
      </c>
      <c r="J157" s="13">
        <v>0.5</v>
      </c>
      <c r="K157" s="184">
        <v>2.04</v>
      </c>
      <c r="L157" s="37">
        <v>6.98</v>
      </c>
      <c r="M157" s="22"/>
      <c r="N157" s="29">
        <v>39.07</v>
      </c>
      <c r="O157" s="13">
        <v>18.89</v>
      </c>
      <c r="P157" s="13">
        <v>12.23</v>
      </c>
      <c r="Q157" s="13">
        <v>21.84</v>
      </c>
      <c r="R157" s="13">
        <v>36.270000000000003</v>
      </c>
      <c r="S157" s="13"/>
      <c r="T157" s="36">
        <v>382</v>
      </c>
      <c r="U157" s="13">
        <v>10.039999999999999</v>
      </c>
      <c r="V157" s="13">
        <v>2</v>
      </c>
      <c r="W157" s="184">
        <v>2.2000000000000002</v>
      </c>
      <c r="X157" s="37">
        <v>7.09</v>
      </c>
      <c r="Y157" s="22"/>
      <c r="Z157" s="38">
        <v>12.91</v>
      </c>
      <c r="AA157" s="13">
        <v>21.7</v>
      </c>
      <c r="AB157" s="13">
        <v>36.74</v>
      </c>
      <c r="AC157" s="13"/>
      <c r="AD157" s="36">
        <v>380</v>
      </c>
      <c r="AE157" s="13">
        <v>9.86</v>
      </c>
      <c r="AF157" s="13">
        <v>1</v>
      </c>
      <c r="AG157" s="184">
        <v>2.13</v>
      </c>
      <c r="AH157" s="37">
        <v>6.47</v>
      </c>
    </row>
    <row r="158" spans="1:34">
      <c r="A158" s="14">
        <f t="shared" si="51"/>
        <v>46109</v>
      </c>
      <c r="B158" s="29">
        <v>37.270000000000003</v>
      </c>
      <c r="C158" s="13">
        <v>17.53</v>
      </c>
      <c r="D158" s="13">
        <v>12.21</v>
      </c>
      <c r="E158" s="13">
        <v>21.66</v>
      </c>
      <c r="F158" s="13">
        <v>35.99</v>
      </c>
      <c r="G158" s="13"/>
      <c r="H158" s="36">
        <v>333</v>
      </c>
      <c r="I158" s="13">
        <v>9.68</v>
      </c>
      <c r="J158" s="13">
        <v>2</v>
      </c>
      <c r="K158" s="184">
        <v>2.16</v>
      </c>
      <c r="L158" s="37">
        <v>6.19</v>
      </c>
      <c r="M158" s="22"/>
      <c r="N158" s="29">
        <v>37.270000000000003</v>
      </c>
      <c r="O158" s="13">
        <v>17.39</v>
      </c>
      <c r="P158" s="13">
        <v>11.01</v>
      </c>
      <c r="Q158" s="13">
        <v>21.3</v>
      </c>
      <c r="R158" s="13">
        <v>34.479999999999997</v>
      </c>
      <c r="S158" s="13"/>
      <c r="T158" s="36">
        <v>342</v>
      </c>
      <c r="U158" s="13">
        <v>10.72</v>
      </c>
      <c r="V158" s="13">
        <v>2</v>
      </c>
      <c r="W158" s="184">
        <v>2.0699999999999998</v>
      </c>
      <c r="X158" s="37">
        <v>6.06</v>
      </c>
      <c r="Y158" s="22"/>
      <c r="Z158" s="38">
        <v>12.45</v>
      </c>
      <c r="AA158" s="13">
        <v>22.75</v>
      </c>
      <c r="AB158" s="13">
        <v>35.869999999999997</v>
      </c>
      <c r="AC158" s="13"/>
      <c r="AD158" s="36">
        <v>345</v>
      </c>
      <c r="AE158" s="13">
        <v>9.1999999999999993</v>
      </c>
      <c r="AF158" s="13">
        <v>2</v>
      </c>
      <c r="AG158" s="184">
        <v>2.13</v>
      </c>
      <c r="AH158" s="37">
        <v>6.04</v>
      </c>
    </row>
    <row r="159" spans="1:34">
      <c r="A159" s="14">
        <f t="shared" si="51"/>
        <v>46110</v>
      </c>
      <c r="B159" s="29">
        <v>36.549999999999997</v>
      </c>
      <c r="C159" s="13">
        <v>17.5</v>
      </c>
      <c r="D159" s="13">
        <v>12.4</v>
      </c>
      <c r="E159" s="13">
        <v>21.35</v>
      </c>
      <c r="F159" s="13">
        <v>38.409999999999997</v>
      </c>
      <c r="G159" s="13"/>
      <c r="H159" s="36">
        <v>351</v>
      </c>
      <c r="I159" s="13">
        <v>8.1199999999999992</v>
      </c>
      <c r="J159" s="13">
        <v>0.5</v>
      </c>
      <c r="K159" s="184">
        <v>2.17</v>
      </c>
      <c r="L159" s="37">
        <v>6.27</v>
      </c>
      <c r="M159" s="22"/>
      <c r="N159" s="29">
        <v>36.22</v>
      </c>
      <c r="O159" s="13">
        <v>17.5</v>
      </c>
      <c r="P159" s="13">
        <v>11.66</v>
      </c>
      <c r="Q159" s="13">
        <v>22.41</v>
      </c>
      <c r="R159" s="13">
        <v>37.08</v>
      </c>
      <c r="S159" s="13"/>
      <c r="T159" s="36">
        <v>349</v>
      </c>
      <c r="U159" s="13">
        <v>10.36</v>
      </c>
      <c r="V159" s="13">
        <v>0.5</v>
      </c>
      <c r="W159" s="184">
        <v>2.46</v>
      </c>
      <c r="X159" s="37">
        <v>6.35</v>
      </c>
      <c r="Y159" s="22"/>
      <c r="Z159" s="38">
        <v>12.42</v>
      </c>
      <c r="AA159" s="13">
        <v>22</v>
      </c>
      <c r="AB159" s="13">
        <v>36.700000000000003</v>
      </c>
      <c r="AC159" s="13"/>
      <c r="AD159" s="36">
        <v>352</v>
      </c>
      <c r="AE159" s="13">
        <v>8.84</v>
      </c>
      <c r="AF159" s="13">
        <v>1</v>
      </c>
      <c r="AG159" s="184">
        <v>2.17</v>
      </c>
      <c r="AH159" s="37">
        <v>6.08</v>
      </c>
    </row>
    <row r="160" spans="1:34">
      <c r="A160" s="14">
        <f t="shared" si="51"/>
        <v>46111</v>
      </c>
      <c r="B160" s="29">
        <v>38.520000000000003</v>
      </c>
      <c r="C160" s="13">
        <v>18</v>
      </c>
      <c r="D160" s="13">
        <v>12</v>
      </c>
      <c r="E160" s="13">
        <v>20.97</v>
      </c>
      <c r="F160" s="13">
        <v>37.25</v>
      </c>
      <c r="G160" s="13"/>
      <c r="H160" s="36">
        <v>360</v>
      </c>
      <c r="I160" s="13">
        <v>9.64</v>
      </c>
      <c r="J160" s="13">
        <v>1</v>
      </c>
      <c r="K160" s="184">
        <v>2.34</v>
      </c>
      <c r="L160" s="37">
        <v>4.91</v>
      </c>
      <c r="M160" s="22"/>
      <c r="N160" s="29">
        <v>38.25</v>
      </c>
      <c r="O160" s="13">
        <v>17.5</v>
      </c>
      <c r="P160" s="47">
        <v>11.86</v>
      </c>
      <c r="Q160" s="47">
        <v>20.010000000000002</v>
      </c>
      <c r="R160" s="47">
        <v>37.15</v>
      </c>
      <c r="S160" s="47"/>
      <c r="T160" s="52">
        <v>349</v>
      </c>
      <c r="U160" s="47">
        <v>10.36</v>
      </c>
      <c r="V160" s="53">
        <v>0.5</v>
      </c>
      <c r="W160" s="184">
        <v>2.46</v>
      </c>
      <c r="X160" s="48">
        <v>7.07</v>
      </c>
      <c r="Y160" s="22"/>
      <c r="Z160" s="38">
        <v>11.4</v>
      </c>
      <c r="AA160" s="13">
        <v>21.08</v>
      </c>
      <c r="AB160" s="47">
        <v>36.15</v>
      </c>
      <c r="AC160" s="47"/>
      <c r="AD160" s="52">
        <v>342</v>
      </c>
      <c r="AE160" s="13">
        <v>8.52</v>
      </c>
      <c r="AF160" s="53">
        <v>0.5</v>
      </c>
      <c r="AG160" s="53">
        <v>2.3199999999999998</v>
      </c>
      <c r="AH160" s="37">
        <v>5.86</v>
      </c>
    </row>
    <row r="161" spans="1:34" ht="15.75" thickBot="1">
      <c r="A161" s="14">
        <f t="shared" si="51"/>
        <v>46112</v>
      </c>
      <c r="B161" s="29">
        <v>39.119999999999997</v>
      </c>
      <c r="C161" s="13">
        <v>18</v>
      </c>
      <c r="D161" s="13">
        <v>11.83</v>
      </c>
      <c r="E161" s="13">
        <v>21.73</v>
      </c>
      <c r="F161" s="13">
        <v>34.46</v>
      </c>
      <c r="G161" s="13"/>
      <c r="H161" s="36">
        <v>356</v>
      </c>
      <c r="I161" s="13">
        <v>10.16</v>
      </c>
      <c r="J161" s="13">
        <v>0.5</v>
      </c>
      <c r="K161" s="184">
        <v>1.94</v>
      </c>
      <c r="L161" s="37">
        <v>5.58</v>
      </c>
      <c r="M161" s="22"/>
      <c r="N161" s="56">
        <v>34.979999999999997</v>
      </c>
      <c r="O161" s="47">
        <v>18</v>
      </c>
      <c r="P161" s="47">
        <v>11.88</v>
      </c>
      <c r="Q161" s="47">
        <v>22.98</v>
      </c>
      <c r="R161" s="47">
        <v>37.24</v>
      </c>
      <c r="S161" s="47"/>
      <c r="T161" s="52">
        <v>368</v>
      </c>
      <c r="U161" s="47">
        <v>11.36</v>
      </c>
      <c r="V161" s="47">
        <v>1</v>
      </c>
      <c r="W161" s="184">
        <v>2.4500000000000002</v>
      </c>
      <c r="X161" s="48">
        <v>6.2</v>
      </c>
      <c r="Y161" s="22"/>
      <c r="Z161" s="39">
        <v>11.07</v>
      </c>
      <c r="AA161" s="47">
        <v>21.11</v>
      </c>
      <c r="AB161" s="47">
        <v>36.369999999999997</v>
      </c>
      <c r="AC161" s="47"/>
      <c r="AD161" s="52">
        <v>352</v>
      </c>
      <c r="AE161" s="47">
        <v>11.92</v>
      </c>
      <c r="AF161" s="184"/>
      <c r="AG161" s="184">
        <v>2.04</v>
      </c>
      <c r="AH161" s="48">
        <v>5.5</v>
      </c>
    </row>
    <row r="162" spans="1:34">
      <c r="A162" s="16" t="s">
        <v>31</v>
      </c>
      <c r="B162" s="17">
        <f>MIN(B131:B161)</f>
        <v>33.93</v>
      </c>
      <c r="C162" s="17">
        <f>MIN(C131:C161)</f>
        <v>17.5</v>
      </c>
      <c r="D162" s="17">
        <f t="shared" ref="D162:L162" si="52">MIN(D131:D161)</f>
        <v>10.33</v>
      </c>
      <c r="E162" s="17">
        <f t="shared" si="52"/>
        <v>20.18</v>
      </c>
      <c r="F162" s="17">
        <f t="shared" si="52"/>
        <v>31.12</v>
      </c>
      <c r="G162" s="17">
        <f t="shared" si="52"/>
        <v>45.56</v>
      </c>
      <c r="H162" s="197">
        <f t="shared" si="52"/>
        <v>333</v>
      </c>
      <c r="I162" s="17">
        <f t="shared" si="52"/>
        <v>8.1199999999999992</v>
      </c>
      <c r="J162" s="17">
        <f t="shared" si="52"/>
        <v>0.5</v>
      </c>
      <c r="K162" s="17">
        <f t="shared" si="52"/>
        <v>1.93</v>
      </c>
      <c r="L162" s="30">
        <f t="shared" si="52"/>
        <v>4.91</v>
      </c>
      <c r="M162" s="22"/>
      <c r="N162" s="17">
        <f>MIN(N131:N161)</f>
        <v>33.93</v>
      </c>
      <c r="O162" s="17">
        <f>MIN(O131:O161)</f>
        <v>17.39</v>
      </c>
      <c r="P162" s="17">
        <f t="shared" ref="P162:X162" si="53">MIN(P131:P161)</f>
        <v>10.08</v>
      </c>
      <c r="Q162" s="17">
        <f t="shared" si="53"/>
        <v>20.010000000000002</v>
      </c>
      <c r="R162" s="17">
        <f t="shared" si="53"/>
        <v>33.35</v>
      </c>
      <c r="S162" s="17">
        <f t="shared" si="53"/>
        <v>45.22</v>
      </c>
      <c r="T162" s="197">
        <f t="shared" si="53"/>
        <v>327</v>
      </c>
      <c r="U162" s="17">
        <f t="shared" si="53"/>
        <v>9.0399999999999991</v>
      </c>
      <c r="V162" s="17">
        <f t="shared" si="53"/>
        <v>0.5</v>
      </c>
      <c r="W162" s="17">
        <f t="shared" si="53"/>
        <v>1.73</v>
      </c>
      <c r="X162" s="30">
        <f t="shared" si="53"/>
        <v>5.1100000000000003</v>
      </c>
      <c r="Z162" s="40">
        <f t="shared" ref="Z162:AH162" si="54">MIN(Z131:Z161)</f>
        <v>11.01</v>
      </c>
      <c r="AA162" s="17">
        <f t="shared" si="54"/>
        <v>20.23</v>
      </c>
      <c r="AB162" s="17">
        <f t="shared" si="54"/>
        <v>33.6</v>
      </c>
      <c r="AC162" s="17">
        <f t="shared" si="54"/>
        <v>45.03</v>
      </c>
      <c r="AD162" s="197">
        <f t="shared" si="54"/>
        <v>342</v>
      </c>
      <c r="AE162" s="17">
        <f t="shared" si="54"/>
        <v>7.96</v>
      </c>
      <c r="AF162" s="17">
        <f t="shared" si="54"/>
        <v>0.5</v>
      </c>
      <c r="AG162" s="17">
        <f t="shared" si="54"/>
        <v>1.96</v>
      </c>
      <c r="AH162" s="30">
        <f t="shared" si="54"/>
        <v>4.99</v>
      </c>
    </row>
    <row r="163" spans="1:34">
      <c r="A163" s="18" t="s">
        <v>33</v>
      </c>
      <c r="B163" s="19">
        <f>MAX(B131:B161)</f>
        <v>40.74</v>
      </c>
      <c r="C163" s="19">
        <f>MAX(C131:C161)</f>
        <v>19.850000000000001</v>
      </c>
      <c r="D163" s="19">
        <f t="shared" ref="D163:L163" si="55">MAX(D131:D161)</f>
        <v>13.07</v>
      </c>
      <c r="E163" s="19">
        <f t="shared" si="55"/>
        <v>23.86</v>
      </c>
      <c r="F163" s="19">
        <f t="shared" si="55"/>
        <v>38.74</v>
      </c>
      <c r="G163" s="19">
        <f t="shared" si="55"/>
        <v>49.45</v>
      </c>
      <c r="H163" s="198">
        <f t="shared" si="55"/>
        <v>406</v>
      </c>
      <c r="I163" s="19">
        <f t="shared" si="55"/>
        <v>12.08</v>
      </c>
      <c r="J163" s="19">
        <f t="shared" si="55"/>
        <v>97</v>
      </c>
      <c r="K163" s="19">
        <f t="shared" si="55"/>
        <v>2.4460000000000002</v>
      </c>
      <c r="L163" s="31">
        <f t="shared" si="55"/>
        <v>7.72</v>
      </c>
      <c r="M163" s="22"/>
      <c r="N163" s="19">
        <f>MAX(N131:N161)</f>
        <v>40.619999999999997</v>
      </c>
      <c r="O163" s="19">
        <f>MAX(O131:O161)</f>
        <v>20</v>
      </c>
      <c r="P163" s="19">
        <f t="shared" ref="P163:X163" si="56">MAX(P131:P161)</f>
        <v>13.45</v>
      </c>
      <c r="Q163" s="19">
        <f t="shared" si="56"/>
        <v>23.82</v>
      </c>
      <c r="R163" s="19">
        <f t="shared" si="56"/>
        <v>39.979999999999997</v>
      </c>
      <c r="S163" s="19">
        <f t="shared" si="56"/>
        <v>49.08</v>
      </c>
      <c r="T163" s="198">
        <f t="shared" si="56"/>
        <v>409</v>
      </c>
      <c r="U163" s="19">
        <f t="shared" si="56"/>
        <v>14.6</v>
      </c>
      <c r="V163" s="19">
        <f t="shared" si="56"/>
        <v>60.5</v>
      </c>
      <c r="W163" s="19">
        <f t="shared" si="56"/>
        <v>2.59</v>
      </c>
      <c r="X163" s="31">
        <f t="shared" si="56"/>
        <v>7.52</v>
      </c>
      <c r="Z163" s="41">
        <f t="shared" ref="Z163:AH163" si="57">MAX(Z131:Z161)</f>
        <v>13.94</v>
      </c>
      <c r="AA163" s="19">
        <f t="shared" si="57"/>
        <v>23.64</v>
      </c>
      <c r="AB163" s="19">
        <f t="shared" si="57"/>
        <v>40.72</v>
      </c>
      <c r="AC163" s="19">
        <f t="shared" si="57"/>
        <v>48.79</v>
      </c>
      <c r="AD163" s="198">
        <f t="shared" si="57"/>
        <v>411</v>
      </c>
      <c r="AE163" s="19">
        <f t="shared" si="57"/>
        <v>11.92</v>
      </c>
      <c r="AF163" s="19">
        <f t="shared" si="57"/>
        <v>65</v>
      </c>
      <c r="AG163" s="19">
        <f t="shared" si="57"/>
        <v>2.4500000000000002</v>
      </c>
      <c r="AH163" s="31">
        <f t="shared" si="57"/>
        <v>7.02</v>
      </c>
    </row>
    <row r="164" spans="1:34">
      <c r="A164" s="18" t="s">
        <v>36</v>
      </c>
      <c r="B164" s="19">
        <f t="shared" ref="B164:L164" si="58">AVERAGE(B131:B161)</f>
        <v>37.549677419354843</v>
      </c>
      <c r="C164" s="19">
        <f t="shared" si="58"/>
        <v>18.159677419354839</v>
      </c>
      <c r="D164" s="19">
        <f t="shared" si="58"/>
        <v>11.926774193548383</v>
      </c>
      <c r="E164" s="19">
        <f t="shared" si="58"/>
        <v>21.85709677419355</v>
      </c>
      <c r="F164" s="19">
        <f t="shared" si="58"/>
        <v>36.211290322580652</v>
      </c>
      <c r="G164" s="19">
        <f t="shared" si="58"/>
        <v>47.256521739130442</v>
      </c>
      <c r="H164" s="198">
        <f t="shared" si="58"/>
        <v>369.74193548387098</v>
      </c>
      <c r="I164" s="19">
        <f t="shared" si="58"/>
        <v>9.8261290322580663</v>
      </c>
      <c r="J164" s="19">
        <f t="shared" si="58"/>
        <v>5.532258064516129</v>
      </c>
      <c r="K164" s="19">
        <f t="shared" si="58"/>
        <v>2.2149666666666672</v>
      </c>
      <c r="L164" s="31">
        <f t="shared" si="58"/>
        <v>6.3735483870967755</v>
      </c>
      <c r="M164" s="22"/>
      <c r="N164" s="19">
        <f t="shared" ref="N164:X164" si="59">AVERAGE(N131:N161)</f>
        <v>37.354193548387101</v>
      </c>
      <c r="O164" s="19">
        <f t="shared" si="59"/>
        <v>18.070645161290322</v>
      </c>
      <c r="P164" s="19">
        <f t="shared" si="59"/>
        <v>12.03451612903226</v>
      </c>
      <c r="Q164" s="19">
        <f t="shared" si="59"/>
        <v>21.888064516129035</v>
      </c>
      <c r="R164" s="19">
        <f t="shared" si="59"/>
        <v>36.479677419354836</v>
      </c>
      <c r="S164" s="19">
        <f t="shared" si="59"/>
        <v>47.071304347826093</v>
      </c>
      <c r="T164" s="198">
        <f t="shared" si="59"/>
        <v>373.12903225806451</v>
      </c>
      <c r="U164" s="19">
        <f t="shared" si="59"/>
        <v>10.824193548387099</v>
      </c>
      <c r="V164" s="19">
        <f t="shared" si="59"/>
        <v>5.5</v>
      </c>
      <c r="W164" s="19">
        <f t="shared" si="59"/>
        <v>2.2029032258064518</v>
      </c>
      <c r="X164" s="31">
        <f t="shared" si="59"/>
        <v>6.5645161290322562</v>
      </c>
      <c r="Z164" s="41">
        <f>AVERAGE(Z131:Z161)</f>
        <v>11.95774193548387</v>
      </c>
      <c r="AA164" s="19">
        <f t="shared" ref="AA164:AH164" si="60">AVERAGE(AA131:AA161)</f>
        <v>21.969354838709684</v>
      </c>
      <c r="AB164" s="19">
        <f t="shared" si="60"/>
        <v>36.779032258064518</v>
      </c>
      <c r="AC164" s="19">
        <f t="shared" si="60"/>
        <v>46.735217391304353</v>
      </c>
      <c r="AD164" s="198">
        <f t="shared" si="60"/>
        <v>373.48387096774195</v>
      </c>
      <c r="AE164" s="19">
        <f t="shared" si="60"/>
        <v>10.01258064516129</v>
      </c>
      <c r="AF164" s="19">
        <f t="shared" si="60"/>
        <v>5.05</v>
      </c>
      <c r="AG164" s="19">
        <f t="shared" si="60"/>
        <v>2.1867096774193553</v>
      </c>
      <c r="AH164" s="31">
        <f t="shared" si="60"/>
        <v>6.273870967741936</v>
      </c>
    </row>
    <row r="165" spans="1:34" ht="15.75" thickBot="1">
      <c r="A165" s="20" t="s">
        <v>130</v>
      </c>
      <c r="B165" s="21">
        <f>STDEV(B131:B161)</f>
        <v>1.6348200387626117</v>
      </c>
      <c r="C165" s="21">
        <f t="shared" ref="C165:L165" si="61">STDEV(C131:C161)</f>
        <v>0.59934677703295047</v>
      </c>
      <c r="D165" s="21">
        <f t="shared" si="61"/>
        <v>0.68410226865469081</v>
      </c>
      <c r="E165" s="21">
        <f t="shared" si="61"/>
        <v>0.82407602217427789</v>
      </c>
      <c r="F165" s="21">
        <f t="shared" si="61"/>
        <v>1.8635749549999927</v>
      </c>
      <c r="G165" s="21">
        <f t="shared" si="61"/>
        <v>1.1709188648844515</v>
      </c>
      <c r="H165" s="199">
        <f t="shared" si="61"/>
        <v>18.839617373919754</v>
      </c>
      <c r="I165" s="21">
        <f t="shared" si="61"/>
        <v>0.8300147686210364</v>
      </c>
      <c r="J165" s="21">
        <f t="shared" si="61"/>
        <v>19.137631115976262</v>
      </c>
      <c r="K165" s="21">
        <f t="shared" si="61"/>
        <v>0.1533125010835899</v>
      </c>
      <c r="L165" s="32">
        <f t="shared" si="61"/>
        <v>0.67756204334408454</v>
      </c>
      <c r="M165" s="22"/>
      <c r="N165" s="21">
        <f>STDEV(N131:N161)</f>
        <v>1.8697161534905926</v>
      </c>
      <c r="O165" s="21">
        <f t="shared" ref="O165:X165" si="62">STDEV(O131:O161)</f>
        <v>0.54586894326917579</v>
      </c>
      <c r="P165" s="21">
        <f t="shared" si="62"/>
        <v>0.74363897472576213</v>
      </c>
      <c r="Q165" s="21">
        <f t="shared" si="62"/>
        <v>0.97850027884458202</v>
      </c>
      <c r="R165" s="21">
        <f t="shared" si="62"/>
        <v>1.37275266981096</v>
      </c>
      <c r="S165" s="21">
        <f t="shared" si="62"/>
        <v>1.1425223465004808</v>
      </c>
      <c r="T165" s="199">
        <f t="shared" si="62"/>
        <v>19.448636516876739</v>
      </c>
      <c r="U165" s="21">
        <f t="shared" si="62"/>
        <v>1.1041128390206876</v>
      </c>
      <c r="V165" s="21">
        <f t="shared" si="62"/>
        <v>13.849789408747942</v>
      </c>
      <c r="W165" s="21">
        <f t="shared" si="62"/>
        <v>0.16981565590147249</v>
      </c>
      <c r="X165" s="32">
        <f t="shared" si="62"/>
        <v>0.61337774500263376</v>
      </c>
      <c r="Z165" s="42">
        <f>STDEV(Z131:Z161)</f>
        <v>0.78550073064858594</v>
      </c>
      <c r="AA165" s="21">
        <f t="shared" ref="AA165:AH165" si="63">STDEV(AA131:AA161)</f>
        <v>0.86582883406160227</v>
      </c>
      <c r="AB165" s="21">
        <f t="shared" si="63"/>
        <v>1.7161630746886298</v>
      </c>
      <c r="AC165" s="21">
        <f t="shared" si="63"/>
        <v>1.0225986041151918</v>
      </c>
      <c r="AD165" s="199">
        <f t="shared" si="63"/>
        <v>19.380180542230825</v>
      </c>
      <c r="AE165" s="21">
        <f t="shared" si="63"/>
        <v>1.0195880466866198</v>
      </c>
      <c r="AF165" s="21">
        <f t="shared" si="63"/>
        <v>15.514370424067243</v>
      </c>
      <c r="AG165" s="21">
        <f t="shared" si="63"/>
        <v>0.10766652019031947</v>
      </c>
      <c r="AH165" s="32">
        <f t="shared" si="63"/>
        <v>0.56586027379766235</v>
      </c>
    </row>
    <row r="166" spans="1:34" ht="15.75" thickBot="1"/>
    <row r="167" spans="1:34" ht="15.75" thickBot="1">
      <c r="A167" s="1"/>
      <c r="B167" s="338" t="s">
        <v>0</v>
      </c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339"/>
      <c r="O167" s="339"/>
      <c r="P167" s="339"/>
      <c r="Q167" s="339"/>
      <c r="R167" s="339"/>
      <c r="S167" s="339"/>
      <c r="T167" s="339"/>
      <c r="U167" s="339"/>
      <c r="V167" s="339"/>
      <c r="W167" s="339"/>
      <c r="X167" s="339"/>
      <c r="Y167" s="339"/>
      <c r="Z167" s="339"/>
      <c r="AA167" s="339"/>
      <c r="AB167" s="339"/>
      <c r="AC167" s="339"/>
      <c r="AD167" s="340"/>
      <c r="AE167" s="340"/>
      <c r="AF167" s="340"/>
      <c r="AG167" s="340"/>
      <c r="AH167" s="340"/>
    </row>
    <row r="168" spans="1:34" ht="15.75" thickBot="1">
      <c r="A168" s="1"/>
      <c r="B168" s="338" t="s">
        <v>131</v>
      </c>
      <c r="C168" s="339"/>
      <c r="D168" s="339"/>
      <c r="E168" s="339"/>
      <c r="F168" s="339"/>
      <c r="G168" s="339"/>
      <c r="H168" s="339"/>
      <c r="I168" s="339"/>
      <c r="J168" s="339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  <c r="AA168" s="339"/>
      <c r="AB168" s="339"/>
      <c r="AC168" s="339"/>
      <c r="AD168" s="4"/>
      <c r="AE168" s="43" t="s">
        <v>107</v>
      </c>
      <c r="AF168" s="341">
        <v>46113</v>
      </c>
      <c r="AG168" s="342"/>
      <c r="AH168" s="343"/>
    </row>
    <row r="169" spans="1:34">
      <c r="A169" s="344"/>
      <c r="B169" s="346" t="s">
        <v>132</v>
      </c>
      <c r="C169" s="347"/>
      <c r="D169" s="347"/>
      <c r="E169" s="347"/>
      <c r="F169" s="347"/>
      <c r="G169" s="347"/>
      <c r="H169" s="347"/>
      <c r="I169" s="347"/>
      <c r="J169" s="347"/>
      <c r="K169" s="348"/>
      <c r="L169" s="349"/>
      <c r="M169" s="22"/>
      <c r="N169" s="350" t="s">
        <v>133</v>
      </c>
      <c r="O169" s="347"/>
      <c r="P169" s="347"/>
      <c r="Q169" s="347"/>
      <c r="R169" s="347"/>
      <c r="S169" s="347"/>
      <c r="T169" s="347"/>
      <c r="U169" s="347"/>
      <c r="V169" s="347"/>
      <c r="W169" s="348"/>
      <c r="X169" s="349"/>
      <c r="Y169" s="22"/>
      <c r="Z169" s="346" t="s">
        <v>134</v>
      </c>
      <c r="AA169" s="347"/>
      <c r="AB169" s="347"/>
      <c r="AC169" s="347"/>
      <c r="AD169" s="347"/>
      <c r="AE169" s="347"/>
      <c r="AF169" s="347"/>
      <c r="AG169" s="348"/>
      <c r="AH169" s="349"/>
    </row>
    <row r="170" spans="1:34" ht="25.5">
      <c r="A170" s="345"/>
      <c r="B170" s="351" t="s">
        <v>135</v>
      </c>
      <c r="C170" s="353" t="s">
        <v>136</v>
      </c>
      <c r="D170" s="64" t="s">
        <v>137</v>
      </c>
      <c r="E170" s="64" t="s">
        <v>138</v>
      </c>
      <c r="F170" s="64" t="s">
        <v>139</v>
      </c>
      <c r="G170" s="64" t="s">
        <v>140</v>
      </c>
      <c r="H170" s="5" t="s">
        <v>141</v>
      </c>
      <c r="I170" s="5" t="s">
        <v>142</v>
      </c>
      <c r="J170" s="5" t="s">
        <v>143</v>
      </c>
      <c r="K170" s="181" t="s">
        <v>81</v>
      </c>
      <c r="L170" s="23" t="s">
        <v>144</v>
      </c>
      <c r="M170" s="22"/>
      <c r="N170" s="355" t="s">
        <v>135</v>
      </c>
      <c r="O170" s="357" t="s">
        <v>136</v>
      </c>
      <c r="P170" s="5" t="s">
        <v>137</v>
      </c>
      <c r="Q170" s="5" t="s">
        <v>138</v>
      </c>
      <c r="R170" s="5" t="s">
        <v>139</v>
      </c>
      <c r="S170" s="5" t="s">
        <v>140</v>
      </c>
      <c r="T170" s="5" t="s">
        <v>141</v>
      </c>
      <c r="U170" s="5" t="s">
        <v>142</v>
      </c>
      <c r="V170" s="5" t="s">
        <v>143</v>
      </c>
      <c r="W170" s="181" t="s">
        <v>81</v>
      </c>
      <c r="X170" s="23" t="s">
        <v>144</v>
      </c>
      <c r="Y170" s="22"/>
      <c r="Z170" s="33" t="s">
        <v>137</v>
      </c>
      <c r="AA170" s="5" t="s">
        <v>138</v>
      </c>
      <c r="AB170" s="5" t="s">
        <v>139</v>
      </c>
      <c r="AC170" s="5" t="s">
        <v>140</v>
      </c>
      <c r="AD170" s="5" t="s">
        <v>141</v>
      </c>
      <c r="AE170" s="5" t="s">
        <v>142</v>
      </c>
      <c r="AF170" s="5" t="s">
        <v>143</v>
      </c>
      <c r="AG170" s="181" t="s">
        <v>81</v>
      </c>
      <c r="AH170" s="23" t="s">
        <v>144</v>
      </c>
    </row>
    <row r="171" spans="1:34" ht="25.5">
      <c r="A171" s="6" t="s">
        <v>145</v>
      </c>
      <c r="B171" s="352"/>
      <c r="C171" s="354"/>
      <c r="D171" s="64" t="s">
        <v>128</v>
      </c>
      <c r="E171" s="64" t="s">
        <v>128</v>
      </c>
      <c r="F171" s="64" t="s">
        <v>128</v>
      </c>
      <c r="G171" s="64" t="s">
        <v>128</v>
      </c>
      <c r="H171" s="5" t="s">
        <v>125</v>
      </c>
      <c r="I171" s="5" t="s">
        <v>146</v>
      </c>
      <c r="J171" s="5" t="s">
        <v>127</v>
      </c>
      <c r="K171" s="181" t="s">
        <v>53</v>
      </c>
      <c r="L171" s="23" t="s">
        <v>53</v>
      </c>
      <c r="M171" s="22"/>
      <c r="N171" s="356"/>
      <c r="O171" s="358"/>
      <c r="P171" s="5" t="s">
        <v>128</v>
      </c>
      <c r="Q171" s="5" t="s">
        <v>128</v>
      </c>
      <c r="R171" s="5" t="s">
        <v>128</v>
      </c>
      <c r="S171" s="5" t="s">
        <v>128</v>
      </c>
      <c r="T171" s="5" t="s">
        <v>125</v>
      </c>
      <c r="U171" s="5" t="s">
        <v>146</v>
      </c>
      <c r="V171" s="5" t="s">
        <v>127</v>
      </c>
      <c r="W171" s="181" t="s">
        <v>53</v>
      </c>
      <c r="X171" s="23" t="s">
        <v>53</v>
      </c>
      <c r="Y171" s="22"/>
      <c r="Z171" s="33" t="s">
        <v>128</v>
      </c>
      <c r="AA171" s="5" t="s">
        <v>128</v>
      </c>
      <c r="AB171" s="5" t="s">
        <v>128</v>
      </c>
      <c r="AC171" s="5" t="s">
        <v>128</v>
      </c>
      <c r="AD171" s="5" t="s">
        <v>125</v>
      </c>
      <c r="AE171" s="5" t="s">
        <v>146</v>
      </c>
      <c r="AF171" s="5" t="s">
        <v>127</v>
      </c>
      <c r="AG171" s="181" t="s">
        <v>53</v>
      </c>
      <c r="AH171" s="23" t="s">
        <v>53</v>
      </c>
    </row>
    <row r="172" spans="1:34" ht="26.25" thickBot="1">
      <c r="A172" s="7" t="s">
        <v>147</v>
      </c>
      <c r="B172" s="65" t="s">
        <v>148</v>
      </c>
      <c r="C172" s="66" t="s">
        <v>149</v>
      </c>
      <c r="D172" s="66" t="s">
        <v>150</v>
      </c>
      <c r="E172" s="66" t="s">
        <v>151</v>
      </c>
      <c r="F172" s="66" t="s">
        <v>152</v>
      </c>
      <c r="G172" s="66" t="s">
        <v>153</v>
      </c>
      <c r="H172" s="9" t="s">
        <v>154</v>
      </c>
      <c r="I172" s="24" t="s">
        <v>155</v>
      </c>
      <c r="J172" s="24" t="s">
        <v>156</v>
      </c>
      <c r="K172" s="24" t="s">
        <v>179</v>
      </c>
      <c r="L172" s="25" t="s">
        <v>157</v>
      </c>
      <c r="M172" s="22"/>
      <c r="N172" s="8" t="s">
        <v>148</v>
      </c>
      <c r="O172" s="9" t="s">
        <v>149</v>
      </c>
      <c r="P172" s="9" t="s">
        <v>150</v>
      </c>
      <c r="Q172" s="9" t="s">
        <v>151</v>
      </c>
      <c r="R172" s="9" t="s">
        <v>152</v>
      </c>
      <c r="S172" s="9" t="s">
        <v>153</v>
      </c>
      <c r="T172" s="9" t="s">
        <v>154</v>
      </c>
      <c r="U172" s="24" t="s">
        <v>155</v>
      </c>
      <c r="V172" s="24" t="s">
        <v>156</v>
      </c>
      <c r="W172" s="202" t="s">
        <v>179</v>
      </c>
      <c r="X172" s="25" t="s">
        <v>157</v>
      </c>
      <c r="Y172" s="22"/>
      <c r="Z172" s="8" t="s">
        <v>150</v>
      </c>
      <c r="AA172" s="9" t="s">
        <v>158</v>
      </c>
      <c r="AB172" s="9" t="s">
        <v>152</v>
      </c>
      <c r="AC172" s="9" t="s">
        <v>159</v>
      </c>
      <c r="AD172" s="9" t="s">
        <v>154</v>
      </c>
      <c r="AE172" s="9" t="s">
        <v>155</v>
      </c>
      <c r="AF172" s="9" t="s">
        <v>156</v>
      </c>
      <c r="AG172" s="24" t="s">
        <v>179</v>
      </c>
      <c r="AH172" s="23" t="s">
        <v>157</v>
      </c>
    </row>
    <row r="173" spans="1:34">
      <c r="A173" s="10">
        <f>AF168+0</f>
        <v>46113</v>
      </c>
      <c r="B173" s="67">
        <v>36.880000000000003</v>
      </c>
      <c r="C173" s="68">
        <v>17.5</v>
      </c>
      <c r="D173" s="68">
        <v>11.03</v>
      </c>
      <c r="E173" s="68">
        <v>21.77</v>
      </c>
      <c r="F173" s="68">
        <v>36.21</v>
      </c>
      <c r="G173" s="68"/>
      <c r="H173" s="69">
        <v>372</v>
      </c>
      <c r="I173" s="69">
        <v>10.199999999999999</v>
      </c>
      <c r="J173" s="69">
        <v>0.5</v>
      </c>
      <c r="K173" s="191">
        <v>2.0419999999999998</v>
      </c>
      <c r="L173" s="73">
        <v>5.75</v>
      </c>
      <c r="M173" s="74"/>
      <c r="N173" s="75">
        <v>38.979999999999997</v>
      </c>
      <c r="O173" s="76">
        <v>17</v>
      </c>
      <c r="P173" s="76">
        <v>11.76</v>
      </c>
      <c r="Q173" s="76">
        <v>21.04</v>
      </c>
      <c r="R173" s="76">
        <v>35.619999999999997</v>
      </c>
      <c r="S173" s="76"/>
      <c r="T173" s="85">
        <v>360</v>
      </c>
      <c r="U173" s="76">
        <v>11.84</v>
      </c>
      <c r="V173" s="76">
        <v>1.5</v>
      </c>
      <c r="W173" s="70">
        <v>2.343</v>
      </c>
      <c r="X173" s="201">
        <v>6.1</v>
      </c>
      <c r="Y173" s="74"/>
      <c r="Z173" s="81">
        <v>11.31</v>
      </c>
      <c r="AA173" s="76">
        <v>22.06</v>
      </c>
      <c r="AB173" s="76">
        <v>39.520000000000003</v>
      </c>
      <c r="AC173" s="76"/>
      <c r="AD173" s="85">
        <v>382</v>
      </c>
      <c r="AE173" s="76">
        <v>10.92</v>
      </c>
      <c r="AF173" s="76">
        <v>0.5</v>
      </c>
      <c r="AG173" s="194">
        <v>2.2629999999999999</v>
      </c>
      <c r="AH173" s="86">
        <v>6.11</v>
      </c>
    </row>
    <row r="174" spans="1:34">
      <c r="A174" s="14">
        <f t="shared" ref="A174:A202" si="64">A173+1</f>
        <v>46114</v>
      </c>
      <c r="B174" s="67">
        <v>37.58</v>
      </c>
      <c r="C174" s="70">
        <v>17.71</v>
      </c>
      <c r="D174" s="70">
        <v>12.15</v>
      </c>
      <c r="E174" s="70">
        <v>21.42</v>
      </c>
      <c r="F174" s="70">
        <v>37.880000000000003</v>
      </c>
      <c r="G174" s="70"/>
      <c r="H174" s="71">
        <v>381</v>
      </c>
      <c r="I174" s="71">
        <v>8.8800000000000008</v>
      </c>
      <c r="J174" s="70">
        <v>0.5</v>
      </c>
      <c r="K174" s="192">
        <v>2.4300000000000002</v>
      </c>
      <c r="L174" s="77">
        <v>6.06</v>
      </c>
      <c r="M174" s="74"/>
      <c r="N174" s="78">
        <v>40.200000000000003</v>
      </c>
      <c r="O174" s="70">
        <v>17.71</v>
      </c>
      <c r="P174" s="70">
        <v>12.46</v>
      </c>
      <c r="Q174" s="70">
        <v>22.98</v>
      </c>
      <c r="R174" s="70">
        <v>38.4</v>
      </c>
      <c r="S174" s="70"/>
      <c r="T174" s="82">
        <v>368</v>
      </c>
      <c r="U174" s="70">
        <v>10.48</v>
      </c>
      <c r="V174" s="70">
        <v>0.5</v>
      </c>
      <c r="W174" s="70">
        <v>2.41</v>
      </c>
      <c r="X174" s="83">
        <v>6.66</v>
      </c>
      <c r="Y174" s="74"/>
      <c r="Z174" s="67">
        <v>12.56</v>
      </c>
      <c r="AA174" s="70">
        <v>22.6</v>
      </c>
      <c r="AB174" s="70">
        <v>36.33</v>
      </c>
      <c r="AC174" s="70"/>
      <c r="AD174" s="82">
        <v>392</v>
      </c>
      <c r="AE174" s="70">
        <v>9.52</v>
      </c>
      <c r="AF174" s="70">
        <v>0.5</v>
      </c>
      <c r="AG174" s="192">
        <v>2.39</v>
      </c>
      <c r="AH174" s="87">
        <v>6.54</v>
      </c>
    </row>
    <row r="175" spans="1:34">
      <c r="A175" s="14">
        <f t="shared" si="64"/>
        <v>46115</v>
      </c>
      <c r="B175" s="67">
        <v>40.020000000000003</v>
      </c>
      <c r="C175" s="70">
        <v>17.38</v>
      </c>
      <c r="D175" s="70">
        <v>11.36</v>
      </c>
      <c r="E175" s="70">
        <v>22.54</v>
      </c>
      <c r="F175" s="70">
        <v>39.799999999999997</v>
      </c>
      <c r="G175" s="70"/>
      <c r="H175" s="71">
        <v>368</v>
      </c>
      <c r="I175" s="70">
        <v>8.68</v>
      </c>
      <c r="J175" s="70">
        <v>0.5</v>
      </c>
      <c r="K175" s="192">
        <v>2.15</v>
      </c>
      <c r="L175" s="77">
        <v>7.15</v>
      </c>
      <c r="M175" s="74"/>
      <c r="N175" s="70">
        <v>38.17</v>
      </c>
      <c r="O175" s="70">
        <v>17.71</v>
      </c>
      <c r="P175" s="70">
        <v>12.19</v>
      </c>
      <c r="Q175" s="70">
        <v>21.56</v>
      </c>
      <c r="R175" s="70">
        <v>40.74</v>
      </c>
      <c r="S175" s="70"/>
      <c r="T175" s="82">
        <v>344</v>
      </c>
      <c r="U175" s="70">
        <v>10.84</v>
      </c>
      <c r="V175" s="70">
        <v>0.5</v>
      </c>
      <c r="W175" s="192">
        <v>2.29</v>
      </c>
      <c r="X175" s="200">
        <v>7.41</v>
      </c>
      <c r="Y175" s="74"/>
      <c r="Z175" s="67">
        <v>11.87</v>
      </c>
      <c r="AA175" s="70">
        <v>21.98</v>
      </c>
      <c r="AB175" s="70">
        <v>36.5</v>
      </c>
      <c r="AC175" s="70"/>
      <c r="AD175" s="82">
        <v>368</v>
      </c>
      <c r="AE175" s="70">
        <v>9.44</v>
      </c>
      <c r="AF175" s="70">
        <v>0.5</v>
      </c>
      <c r="AG175" s="192">
        <v>2.29</v>
      </c>
      <c r="AH175" s="87">
        <v>6.74</v>
      </c>
    </row>
    <row r="176" spans="1:34">
      <c r="A176" s="14">
        <f t="shared" si="64"/>
        <v>46116</v>
      </c>
      <c r="B176" s="67">
        <v>38.96</v>
      </c>
      <c r="C176" s="70">
        <v>17.8</v>
      </c>
      <c r="D176" s="70">
        <v>12.96</v>
      </c>
      <c r="E176" s="70">
        <v>22.48</v>
      </c>
      <c r="F176" s="70">
        <v>33.659999999999997</v>
      </c>
      <c r="G176" s="70"/>
      <c r="H176" s="71">
        <v>380</v>
      </c>
      <c r="I176" s="71">
        <v>10.08</v>
      </c>
      <c r="J176" s="70">
        <v>0.5</v>
      </c>
      <c r="K176" s="192">
        <v>2.2400000000000002</v>
      </c>
      <c r="L176" s="77">
        <v>6.19</v>
      </c>
      <c r="M176" s="74"/>
      <c r="N176" s="78">
        <v>33.93</v>
      </c>
      <c r="O176" s="70">
        <v>17.5</v>
      </c>
      <c r="P176" s="70">
        <v>12.31</v>
      </c>
      <c r="Q176" s="70">
        <v>22.24</v>
      </c>
      <c r="R176" s="70">
        <v>30.66</v>
      </c>
      <c r="S176" s="70"/>
      <c r="T176" s="82">
        <v>373</v>
      </c>
      <c r="U176" s="70">
        <v>12.01</v>
      </c>
      <c r="V176" s="70">
        <v>0.5</v>
      </c>
      <c r="W176" s="192">
        <v>2.2400000000000002</v>
      </c>
      <c r="X176" s="83">
        <v>6.19</v>
      </c>
      <c r="Y176" s="74"/>
      <c r="Z176" s="67">
        <v>12.56</v>
      </c>
      <c r="AA176" s="70">
        <v>22.09</v>
      </c>
      <c r="AB176" s="70">
        <v>32.86</v>
      </c>
      <c r="AC176" s="70"/>
      <c r="AD176" s="82">
        <v>390</v>
      </c>
      <c r="AE176" s="70">
        <v>10.199999999999999</v>
      </c>
      <c r="AF176" s="70">
        <v>0.5</v>
      </c>
      <c r="AG176" s="192">
        <v>2.2400000000000002</v>
      </c>
      <c r="AH176" s="87">
        <v>6.82</v>
      </c>
    </row>
    <row r="177" spans="1:34">
      <c r="A177" s="14">
        <f t="shared" si="64"/>
        <v>46117</v>
      </c>
      <c r="B177" s="67">
        <v>36.880000000000003</v>
      </c>
      <c r="C177" s="70">
        <v>18.059999999999999</v>
      </c>
      <c r="D177" s="70">
        <v>12.21</v>
      </c>
      <c r="E177" s="70">
        <v>22.84</v>
      </c>
      <c r="F177" s="70">
        <v>36.44</v>
      </c>
      <c r="G177" s="70"/>
      <c r="H177" s="71">
        <v>396</v>
      </c>
      <c r="I177" s="71">
        <v>9.64</v>
      </c>
      <c r="J177" s="70">
        <v>0.5</v>
      </c>
      <c r="K177" s="192">
        <v>2.2200000000000002</v>
      </c>
      <c r="L177" s="77">
        <v>4.92</v>
      </c>
      <c r="M177" s="74"/>
      <c r="N177" s="78">
        <v>35.61</v>
      </c>
      <c r="O177" s="70">
        <v>17.47</v>
      </c>
      <c r="P177" s="70">
        <v>12.63</v>
      </c>
      <c r="Q177" s="70">
        <v>22.88</v>
      </c>
      <c r="R177" s="70">
        <v>36.1</v>
      </c>
      <c r="S177" s="70"/>
      <c r="T177" s="82">
        <v>382</v>
      </c>
      <c r="U177" s="70">
        <v>9.1199999999999992</v>
      </c>
      <c r="V177" s="70">
        <v>0.5</v>
      </c>
      <c r="W177" s="192">
        <v>2.2200000000000002</v>
      </c>
      <c r="X177" s="84">
        <v>7.05</v>
      </c>
      <c r="Y177" s="74"/>
      <c r="Z177" s="67">
        <v>12.59</v>
      </c>
      <c r="AA177" s="70">
        <v>23.11</v>
      </c>
      <c r="AB177" s="70">
        <v>37.36</v>
      </c>
      <c r="AC177" s="70"/>
      <c r="AD177" s="82">
        <v>392</v>
      </c>
      <c r="AE177" s="70">
        <v>8.08</v>
      </c>
      <c r="AF177" s="70">
        <v>0.5</v>
      </c>
      <c r="AG177" s="192">
        <v>2.13</v>
      </c>
      <c r="AH177" s="88">
        <v>7.88</v>
      </c>
    </row>
    <row r="178" spans="1:34">
      <c r="A178" s="14">
        <f t="shared" si="64"/>
        <v>46118</v>
      </c>
      <c r="B178" s="67">
        <v>38.22</v>
      </c>
      <c r="C178" s="70">
        <v>18</v>
      </c>
      <c r="D178" s="70">
        <v>12.32</v>
      </c>
      <c r="E178" s="70">
        <v>21.73</v>
      </c>
      <c r="F178" s="70">
        <v>38.25</v>
      </c>
      <c r="G178" s="70"/>
      <c r="H178" s="71">
        <v>386</v>
      </c>
      <c r="I178" s="71">
        <v>10.36</v>
      </c>
      <c r="J178" s="70">
        <v>0.5</v>
      </c>
      <c r="K178" s="192">
        <v>2.2799999999999998</v>
      </c>
      <c r="L178" s="77">
        <v>8.08</v>
      </c>
      <c r="M178" s="74"/>
      <c r="N178" s="78">
        <v>36.659999999999997</v>
      </c>
      <c r="O178" s="70">
        <v>18</v>
      </c>
      <c r="P178" s="70">
        <v>12.48</v>
      </c>
      <c r="Q178" s="70">
        <v>22.42</v>
      </c>
      <c r="R178" s="70">
        <v>35.53</v>
      </c>
      <c r="S178" s="70"/>
      <c r="T178" s="82">
        <v>378</v>
      </c>
      <c r="U178" s="70">
        <v>10.6</v>
      </c>
      <c r="V178" s="70">
        <v>0.5</v>
      </c>
      <c r="W178" s="192">
        <v>2.13</v>
      </c>
      <c r="X178" s="84">
        <v>8.16</v>
      </c>
      <c r="Y178" s="74"/>
      <c r="Z178" s="67">
        <v>12.16</v>
      </c>
      <c r="AA178" s="70">
        <v>21.36</v>
      </c>
      <c r="AB178" s="70">
        <v>34.65</v>
      </c>
      <c r="AC178" s="70"/>
      <c r="AD178" s="82">
        <v>371</v>
      </c>
      <c r="AE178" s="70">
        <v>10.199999999999999</v>
      </c>
      <c r="AF178" s="70">
        <v>0.5</v>
      </c>
      <c r="AG178" s="192">
        <v>2.08</v>
      </c>
      <c r="AH178" s="88">
        <v>7.3</v>
      </c>
    </row>
    <row r="179" spans="1:34">
      <c r="A179" s="14">
        <f t="shared" si="64"/>
        <v>46119</v>
      </c>
      <c r="B179" s="67">
        <v>37.08</v>
      </c>
      <c r="C179" s="70">
        <v>17.5</v>
      </c>
      <c r="D179" s="70">
        <v>12.03</v>
      </c>
      <c r="E179" s="70">
        <v>20.53</v>
      </c>
      <c r="F179" s="70">
        <v>33.49</v>
      </c>
      <c r="G179" s="70"/>
      <c r="H179" s="71">
        <v>367</v>
      </c>
      <c r="I179" s="71">
        <v>11.16</v>
      </c>
      <c r="J179" s="70">
        <v>1</v>
      </c>
      <c r="K179" s="192">
        <v>2.1800000000000002</v>
      </c>
      <c r="L179" s="77">
        <v>6.48</v>
      </c>
      <c r="M179" s="74"/>
      <c r="N179" s="78">
        <v>36.92</v>
      </c>
      <c r="O179" s="79">
        <v>17.5</v>
      </c>
      <c r="P179" s="70">
        <v>11.11</v>
      </c>
      <c r="Q179" s="70">
        <v>22.18</v>
      </c>
      <c r="R179" s="70">
        <v>33.51</v>
      </c>
      <c r="S179" s="70"/>
      <c r="T179" s="82">
        <v>354</v>
      </c>
      <c r="U179" s="70">
        <v>9.2799999999999994</v>
      </c>
      <c r="V179" s="70">
        <v>2</v>
      </c>
      <c r="W179" s="192">
        <v>2.1</v>
      </c>
      <c r="X179" s="84">
        <v>6.68</v>
      </c>
      <c r="Y179" s="74"/>
      <c r="Z179" s="67">
        <v>11.43</v>
      </c>
      <c r="AA179" s="70">
        <v>22.95</v>
      </c>
      <c r="AB179" s="70">
        <v>33.97</v>
      </c>
      <c r="AC179" s="70"/>
      <c r="AD179" s="82">
        <v>366</v>
      </c>
      <c r="AE179" s="70">
        <v>10.76</v>
      </c>
      <c r="AF179" s="70">
        <v>0.5</v>
      </c>
      <c r="AG179" s="192">
        <v>2.1800000000000002</v>
      </c>
      <c r="AH179" s="88">
        <v>6.91</v>
      </c>
    </row>
    <row r="180" spans="1:34">
      <c r="A180" s="14">
        <f t="shared" si="64"/>
        <v>46120</v>
      </c>
      <c r="B180" s="67">
        <v>36.659999999999997</v>
      </c>
      <c r="C180" s="70">
        <v>18</v>
      </c>
      <c r="D180" s="70">
        <v>12.5</v>
      </c>
      <c r="E180" s="70">
        <v>22.58</v>
      </c>
      <c r="F180" s="70">
        <v>35.9</v>
      </c>
      <c r="G180" s="70"/>
      <c r="H180" s="71">
        <v>368</v>
      </c>
      <c r="I180" s="71">
        <v>10.88</v>
      </c>
      <c r="J180" s="70">
        <v>0.5</v>
      </c>
      <c r="K180" s="192">
        <v>2.27</v>
      </c>
      <c r="L180" s="77">
        <v>6.69</v>
      </c>
      <c r="M180" s="74"/>
      <c r="N180" s="78">
        <v>35.979999999999997</v>
      </c>
      <c r="O180" s="70">
        <v>18</v>
      </c>
      <c r="P180" s="70">
        <v>11.28</v>
      </c>
      <c r="Q180" s="70">
        <v>23.73</v>
      </c>
      <c r="R180" s="70">
        <v>36.28</v>
      </c>
      <c r="S180" s="70"/>
      <c r="T180" s="82">
        <v>360</v>
      </c>
      <c r="U180" s="70">
        <v>11.6</v>
      </c>
      <c r="V180" s="70">
        <v>1</v>
      </c>
      <c r="W180" s="192">
        <v>2.27</v>
      </c>
      <c r="X180" s="83">
        <v>5.62</v>
      </c>
      <c r="Y180" s="74"/>
      <c r="Z180" s="67">
        <v>11.88</v>
      </c>
      <c r="AA180" s="70">
        <v>22.92</v>
      </c>
      <c r="AB180" s="70">
        <v>35.119999999999997</v>
      </c>
      <c r="AC180" s="70"/>
      <c r="AD180" s="82">
        <v>372</v>
      </c>
      <c r="AE180" s="70">
        <v>9.48</v>
      </c>
      <c r="AF180" s="70">
        <v>0.5</v>
      </c>
      <c r="AG180" s="192">
        <v>2.23</v>
      </c>
      <c r="AH180" s="87">
        <v>7.11</v>
      </c>
    </row>
    <row r="181" spans="1:34">
      <c r="A181" s="14">
        <f t="shared" si="64"/>
        <v>46121</v>
      </c>
      <c r="B181" s="205" t="s">
        <v>35</v>
      </c>
      <c r="C181" s="206" t="s">
        <v>35</v>
      </c>
      <c r="D181" s="206" t="s">
        <v>35</v>
      </c>
      <c r="E181" s="206" t="s">
        <v>35</v>
      </c>
      <c r="F181" s="206" t="s">
        <v>35</v>
      </c>
      <c r="G181" s="206" t="s">
        <v>35</v>
      </c>
      <c r="H181" s="206" t="s">
        <v>35</v>
      </c>
      <c r="I181" s="206" t="s">
        <v>35</v>
      </c>
      <c r="J181" s="206" t="s">
        <v>35</v>
      </c>
      <c r="K181" s="206" t="s">
        <v>35</v>
      </c>
      <c r="L181" s="207" t="s">
        <v>35</v>
      </c>
      <c r="M181" s="74"/>
      <c r="N181" s="78">
        <v>34</v>
      </c>
      <c r="O181" s="70">
        <v>17.489999999999998</v>
      </c>
      <c r="P181" s="70">
        <v>12.64</v>
      </c>
      <c r="Q181" s="70">
        <v>22.84</v>
      </c>
      <c r="R181" s="70">
        <v>36.450000000000003</v>
      </c>
      <c r="S181" s="70"/>
      <c r="T181" s="82">
        <v>330</v>
      </c>
      <c r="U181" s="70">
        <v>16</v>
      </c>
      <c r="V181" s="70">
        <v>22</v>
      </c>
      <c r="W181" s="192">
        <v>2.06</v>
      </c>
      <c r="X181" s="83">
        <v>6.92</v>
      </c>
      <c r="Y181" s="74"/>
      <c r="Z181" s="67">
        <v>12.46</v>
      </c>
      <c r="AA181" s="70">
        <v>22.87</v>
      </c>
      <c r="AB181" s="70">
        <v>35.18</v>
      </c>
      <c r="AC181" s="70"/>
      <c r="AD181" s="82">
        <v>355</v>
      </c>
      <c r="AE181" s="70">
        <v>10.4</v>
      </c>
      <c r="AF181" s="70">
        <v>1</v>
      </c>
      <c r="AG181" s="192">
        <v>2.1</v>
      </c>
      <c r="AH181" s="87">
        <v>6.71</v>
      </c>
    </row>
    <row r="182" spans="1:34">
      <c r="A182" s="14">
        <f t="shared" si="64"/>
        <v>46122</v>
      </c>
      <c r="B182" s="205" t="s">
        <v>35</v>
      </c>
      <c r="C182" s="206" t="s">
        <v>35</v>
      </c>
      <c r="D182" s="206" t="s">
        <v>35</v>
      </c>
      <c r="E182" s="206" t="s">
        <v>35</v>
      </c>
      <c r="F182" s="206" t="s">
        <v>35</v>
      </c>
      <c r="G182" s="206" t="s">
        <v>35</v>
      </c>
      <c r="H182" s="206" t="s">
        <v>35</v>
      </c>
      <c r="I182" s="206" t="s">
        <v>35</v>
      </c>
      <c r="J182" s="206" t="s">
        <v>35</v>
      </c>
      <c r="K182" s="206" t="s">
        <v>35</v>
      </c>
      <c r="L182" s="207" t="s">
        <v>35</v>
      </c>
      <c r="M182" s="74"/>
      <c r="N182" s="78">
        <v>36.979999999999997</v>
      </c>
      <c r="O182" s="70">
        <v>18</v>
      </c>
      <c r="P182" s="70">
        <v>11.02</v>
      </c>
      <c r="Q182" s="70">
        <v>20.62</v>
      </c>
      <c r="R182" s="70">
        <v>34.119999999999997</v>
      </c>
      <c r="S182" s="70"/>
      <c r="T182" s="82">
        <v>356</v>
      </c>
      <c r="U182" s="70">
        <v>13.76</v>
      </c>
      <c r="V182" s="70">
        <v>37</v>
      </c>
      <c r="W182" s="192">
        <v>2.0699999999999998</v>
      </c>
      <c r="X182" s="83">
        <v>7.61</v>
      </c>
      <c r="Y182" s="74"/>
      <c r="Z182" s="67">
        <v>12.99</v>
      </c>
      <c r="AA182" s="70">
        <v>22.16</v>
      </c>
      <c r="AB182" s="70">
        <v>34.29</v>
      </c>
      <c r="AC182" s="70"/>
      <c r="AD182" s="82">
        <v>363</v>
      </c>
      <c r="AE182" s="70">
        <v>14.84</v>
      </c>
      <c r="AF182" s="70">
        <v>16</v>
      </c>
      <c r="AG182" s="192">
        <v>2.15</v>
      </c>
      <c r="AH182" s="87">
        <v>7.25</v>
      </c>
    </row>
    <row r="183" spans="1:34">
      <c r="A183" s="14">
        <f t="shared" si="64"/>
        <v>46123</v>
      </c>
      <c r="B183" s="205" t="s">
        <v>35</v>
      </c>
      <c r="C183" s="206" t="s">
        <v>35</v>
      </c>
      <c r="D183" s="206" t="s">
        <v>35</v>
      </c>
      <c r="E183" s="206" t="s">
        <v>35</v>
      </c>
      <c r="F183" s="206" t="s">
        <v>35</v>
      </c>
      <c r="G183" s="206" t="s">
        <v>35</v>
      </c>
      <c r="H183" s="206" t="s">
        <v>35</v>
      </c>
      <c r="I183" s="206" t="s">
        <v>35</v>
      </c>
      <c r="J183" s="206" t="s">
        <v>35</v>
      </c>
      <c r="K183" s="206" t="s">
        <v>35</v>
      </c>
      <c r="L183" s="207" t="s">
        <v>35</v>
      </c>
      <c r="M183" s="22"/>
      <c r="N183" s="29">
        <v>36.549999999999997</v>
      </c>
      <c r="O183" s="13">
        <v>18.02</v>
      </c>
      <c r="P183" s="13">
        <v>12.1</v>
      </c>
      <c r="Q183" s="13">
        <v>22.09</v>
      </c>
      <c r="R183" s="13">
        <v>36.81</v>
      </c>
      <c r="S183" s="13"/>
      <c r="T183" s="36">
        <v>428</v>
      </c>
      <c r="U183" s="13">
        <v>8.76</v>
      </c>
      <c r="V183" s="13">
        <v>1.5</v>
      </c>
      <c r="W183" s="184">
        <v>2.34</v>
      </c>
      <c r="X183" s="37">
        <v>7.52</v>
      </c>
      <c r="Y183" s="22"/>
      <c r="Z183" s="38">
        <v>12.21</v>
      </c>
      <c r="AA183" s="13">
        <v>22.02</v>
      </c>
      <c r="AB183" s="13">
        <v>37.36</v>
      </c>
      <c r="AC183" s="13"/>
      <c r="AD183" s="36">
        <v>361</v>
      </c>
      <c r="AE183" s="13">
        <v>10.8</v>
      </c>
      <c r="AF183" s="13">
        <v>4</v>
      </c>
      <c r="AG183" s="184">
        <v>2.25</v>
      </c>
      <c r="AH183" s="45">
        <v>7.09</v>
      </c>
    </row>
    <row r="184" spans="1:34">
      <c r="A184" s="14">
        <f t="shared" si="64"/>
        <v>46124</v>
      </c>
      <c r="B184" s="205" t="s">
        <v>35</v>
      </c>
      <c r="C184" s="206" t="s">
        <v>35</v>
      </c>
      <c r="D184" s="206" t="s">
        <v>35</v>
      </c>
      <c r="E184" s="206" t="s">
        <v>35</v>
      </c>
      <c r="F184" s="206" t="s">
        <v>35</v>
      </c>
      <c r="G184" s="206" t="s">
        <v>35</v>
      </c>
      <c r="H184" s="206" t="s">
        <v>35</v>
      </c>
      <c r="I184" s="206" t="s">
        <v>35</v>
      </c>
      <c r="J184" s="206" t="s">
        <v>35</v>
      </c>
      <c r="K184" s="206" t="s">
        <v>35</v>
      </c>
      <c r="L184" s="207" t="s">
        <v>35</v>
      </c>
      <c r="M184" s="22"/>
      <c r="N184" s="29">
        <v>35.979999999999997</v>
      </c>
      <c r="O184" s="13">
        <v>18</v>
      </c>
      <c r="P184" s="13">
        <v>12.63</v>
      </c>
      <c r="Q184" s="13">
        <v>21.16</v>
      </c>
      <c r="R184" s="13">
        <v>36.799999999999997</v>
      </c>
      <c r="S184" s="13"/>
      <c r="T184" s="36">
        <v>355</v>
      </c>
      <c r="U184" s="13">
        <v>11.16</v>
      </c>
      <c r="V184" s="13">
        <v>21.5</v>
      </c>
      <c r="W184" s="184">
        <v>2.15</v>
      </c>
      <c r="X184" s="37">
        <v>7.63</v>
      </c>
      <c r="Y184" s="22"/>
      <c r="Z184" s="38">
        <v>11.34</v>
      </c>
      <c r="AA184" s="13">
        <v>22.15</v>
      </c>
      <c r="AB184" s="13">
        <v>35.89</v>
      </c>
      <c r="AC184" s="13"/>
      <c r="AD184" s="36">
        <v>350</v>
      </c>
      <c r="AE184" s="13">
        <v>12.8</v>
      </c>
      <c r="AF184" s="13">
        <v>0.5</v>
      </c>
      <c r="AG184" s="184">
        <v>2.2400000000000002</v>
      </c>
      <c r="AH184" s="45">
        <v>7.73</v>
      </c>
    </row>
    <row r="185" spans="1:34">
      <c r="A185" s="14">
        <f t="shared" si="64"/>
        <v>46125</v>
      </c>
      <c r="B185" s="205" t="s">
        <v>35</v>
      </c>
      <c r="C185" s="206" t="s">
        <v>35</v>
      </c>
      <c r="D185" s="206" t="s">
        <v>35</v>
      </c>
      <c r="E185" s="206" t="s">
        <v>35</v>
      </c>
      <c r="F185" s="206" t="s">
        <v>35</v>
      </c>
      <c r="G185" s="206" t="s">
        <v>35</v>
      </c>
      <c r="H185" s="206" t="s">
        <v>35</v>
      </c>
      <c r="I185" s="206" t="s">
        <v>35</v>
      </c>
      <c r="J185" s="206" t="s">
        <v>35</v>
      </c>
      <c r="K185" s="206" t="s">
        <v>35</v>
      </c>
      <c r="L185" s="207" t="s">
        <v>35</v>
      </c>
      <c r="M185" s="22"/>
      <c r="N185" s="29">
        <v>36.82</v>
      </c>
      <c r="O185" s="13">
        <v>17.8</v>
      </c>
      <c r="P185" s="13">
        <v>12.48</v>
      </c>
      <c r="Q185" s="13">
        <v>21.44</v>
      </c>
      <c r="R185" s="13">
        <v>36.28</v>
      </c>
      <c r="S185" s="13"/>
      <c r="T185" s="36">
        <v>358</v>
      </c>
      <c r="U185" s="13">
        <v>9.6</v>
      </c>
      <c r="V185" s="13">
        <v>21.5</v>
      </c>
      <c r="W185" s="184">
        <v>2.2000000000000002</v>
      </c>
      <c r="X185" s="37">
        <v>7.62</v>
      </c>
      <c r="Y185" s="22"/>
      <c r="Z185" s="38">
        <v>12.67</v>
      </c>
      <c r="AA185" s="13">
        <v>21.72</v>
      </c>
      <c r="AB185" s="13">
        <v>33.6</v>
      </c>
      <c r="AC185" s="13"/>
      <c r="AD185" s="36">
        <v>355</v>
      </c>
      <c r="AE185" s="13">
        <v>9.76</v>
      </c>
      <c r="AF185" s="13">
        <v>27</v>
      </c>
      <c r="AG185" s="184">
        <v>2.2000000000000002</v>
      </c>
      <c r="AH185" s="45">
        <v>7.56</v>
      </c>
    </row>
    <row r="186" spans="1:34">
      <c r="A186" s="14">
        <f t="shared" si="64"/>
        <v>46126</v>
      </c>
      <c r="B186" s="205" t="s">
        <v>35</v>
      </c>
      <c r="C186" s="206" t="s">
        <v>35</v>
      </c>
      <c r="D186" s="206" t="s">
        <v>35</v>
      </c>
      <c r="E186" s="206" t="s">
        <v>35</v>
      </c>
      <c r="F186" s="206" t="s">
        <v>35</v>
      </c>
      <c r="G186" s="206" t="s">
        <v>35</v>
      </c>
      <c r="H186" s="206" t="s">
        <v>35</v>
      </c>
      <c r="I186" s="206" t="s">
        <v>35</v>
      </c>
      <c r="J186" s="206" t="s">
        <v>35</v>
      </c>
      <c r="K186" s="206" t="s">
        <v>35</v>
      </c>
      <c r="L186" s="207" t="s">
        <v>35</v>
      </c>
      <c r="M186" s="22"/>
      <c r="N186" s="29">
        <v>38</v>
      </c>
      <c r="O186" s="13">
        <v>18</v>
      </c>
      <c r="P186" s="13">
        <v>11.82</v>
      </c>
      <c r="Q186" s="13">
        <v>23.44</v>
      </c>
      <c r="R186" s="13"/>
      <c r="S186" s="13"/>
      <c r="T186" s="36">
        <v>356</v>
      </c>
      <c r="U186" s="13">
        <v>10.96</v>
      </c>
      <c r="V186" s="13">
        <v>32.5</v>
      </c>
      <c r="W186" s="184">
        <v>2.2400000000000002</v>
      </c>
      <c r="X186" s="37">
        <v>8.1300000000000008</v>
      </c>
      <c r="Y186" s="22"/>
      <c r="Z186" s="38">
        <v>21.72</v>
      </c>
      <c r="AA186" s="13">
        <v>22.82</v>
      </c>
      <c r="AB186" s="13"/>
      <c r="AC186" s="13"/>
      <c r="AD186" s="36">
        <v>352</v>
      </c>
      <c r="AE186" s="13">
        <v>9.76</v>
      </c>
      <c r="AF186" s="13">
        <v>22</v>
      </c>
      <c r="AG186" s="184">
        <v>2.17</v>
      </c>
      <c r="AH186" s="37">
        <v>6.07</v>
      </c>
    </row>
    <row r="187" spans="1:34">
      <c r="A187" s="14">
        <f t="shared" si="64"/>
        <v>46127</v>
      </c>
      <c r="B187" s="205">
        <v>35.92</v>
      </c>
      <c r="C187" s="206">
        <v>17.5</v>
      </c>
      <c r="D187" s="206">
        <v>12.27</v>
      </c>
      <c r="E187" s="206">
        <v>23.1</v>
      </c>
      <c r="F187" s="206"/>
      <c r="G187" s="206"/>
      <c r="H187" s="212">
        <v>368</v>
      </c>
      <c r="I187" s="206">
        <v>9.84</v>
      </c>
      <c r="J187" s="206">
        <v>9.5</v>
      </c>
      <c r="K187" s="206">
        <v>2.08</v>
      </c>
      <c r="L187" s="207">
        <v>9.07</v>
      </c>
      <c r="M187" s="22"/>
      <c r="N187" s="29">
        <v>36.020000000000003</v>
      </c>
      <c r="O187" s="13">
        <v>17.5</v>
      </c>
      <c r="P187" s="13">
        <v>12.7</v>
      </c>
      <c r="Q187" s="13">
        <v>23.59</v>
      </c>
      <c r="R187" s="13"/>
      <c r="S187" s="13"/>
      <c r="T187" s="36">
        <v>380</v>
      </c>
      <c r="U187" s="13">
        <v>8.6199999999999992</v>
      </c>
      <c r="V187" s="13">
        <v>28.5</v>
      </c>
      <c r="W187" s="184">
        <v>1.9</v>
      </c>
      <c r="X187" s="37">
        <v>7.09</v>
      </c>
      <c r="Y187" s="22"/>
      <c r="Z187" s="38">
        <v>12.16</v>
      </c>
      <c r="AA187" s="13">
        <v>23.16</v>
      </c>
      <c r="AB187" s="13"/>
      <c r="AC187" s="13"/>
      <c r="AD187" s="36">
        <v>372</v>
      </c>
      <c r="AE187" s="13">
        <v>9.3000000000000007</v>
      </c>
      <c r="AF187" s="13">
        <v>18</v>
      </c>
      <c r="AG187" s="184">
        <v>1.93</v>
      </c>
      <c r="AH187" s="37">
        <v>7.36</v>
      </c>
    </row>
    <row r="188" spans="1:34">
      <c r="A188" s="14">
        <f t="shared" si="64"/>
        <v>46128</v>
      </c>
      <c r="B188" s="38">
        <v>36.26</v>
      </c>
      <c r="C188" s="13">
        <v>18</v>
      </c>
      <c r="D188" s="13">
        <v>12.4</v>
      </c>
      <c r="E188" s="13">
        <v>22.58</v>
      </c>
      <c r="F188" s="13"/>
      <c r="G188" s="13"/>
      <c r="H188" s="12">
        <v>389</v>
      </c>
      <c r="I188" s="12">
        <v>10.8</v>
      </c>
      <c r="J188" s="13">
        <v>0.5</v>
      </c>
      <c r="K188" s="184">
        <v>2.2999999999999998</v>
      </c>
      <c r="L188" s="26">
        <v>8.24</v>
      </c>
      <c r="M188" s="22"/>
      <c r="N188" s="29">
        <v>38.19</v>
      </c>
      <c r="O188" s="13">
        <v>18</v>
      </c>
      <c r="P188" s="13">
        <v>13.44</v>
      </c>
      <c r="Q188" s="13">
        <v>23.19</v>
      </c>
      <c r="R188" s="13"/>
      <c r="S188" s="13"/>
      <c r="T188" s="36">
        <v>399</v>
      </c>
      <c r="U188" s="13">
        <v>8.8800000000000008</v>
      </c>
      <c r="V188" s="13">
        <v>13</v>
      </c>
      <c r="W188" s="184">
        <v>2.29</v>
      </c>
      <c r="X188" s="37">
        <v>8.5399999999999991</v>
      </c>
      <c r="Y188" s="22"/>
      <c r="Z188" s="38">
        <v>12.62</v>
      </c>
      <c r="AA188" s="13">
        <v>22.73</v>
      </c>
      <c r="AB188" s="13"/>
      <c r="AC188" s="13"/>
      <c r="AD188" s="36">
        <v>401</v>
      </c>
      <c r="AE188" s="13">
        <v>11.68</v>
      </c>
      <c r="AF188" s="13">
        <v>4</v>
      </c>
      <c r="AG188" s="184">
        <v>2.2000000000000002</v>
      </c>
      <c r="AH188" s="37">
        <v>7.64</v>
      </c>
    </row>
    <row r="189" spans="1:34">
      <c r="A189" s="14">
        <f t="shared" si="64"/>
        <v>46129</v>
      </c>
      <c r="B189" s="38" t="s">
        <v>35</v>
      </c>
      <c r="C189" s="13" t="s">
        <v>35</v>
      </c>
      <c r="D189" s="13" t="s">
        <v>35</v>
      </c>
      <c r="E189" s="13" t="s">
        <v>35</v>
      </c>
      <c r="F189" s="13" t="s">
        <v>35</v>
      </c>
      <c r="G189" s="13" t="s">
        <v>35</v>
      </c>
      <c r="H189" s="12" t="s">
        <v>35</v>
      </c>
      <c r="I189" s="12" t="s">
        <v>35</v>
      </c>
      <c r="J189" s="13" t="s">
        <v>35</v>
      </c>
      <c r="K189" s="184" t="s">
        <v>35</v>
      </c>
      <c r="L189" s="26" t="s">
        <v>35</v>
      </c>
      <c r="M189" s="22"/>
      <c r="N189" s="29">
        <v>35.020000000000003</v>
      </c>
      <c r="O189" s="13">
        <v>18</v>
      </c>
      <c r="P189" s="13">
        <v>12.78</v>
      </c>
      <c r="Q189" s="13">
        <v>23.27</v>
      </c>
      <c r="R189" s="13"/>
      <c r="S189" s="13"/>
      <c r="T189" s="36">
        <v>372</v>
      </c>
      <c r="U189" s="13">
        <v>11.56</v>
      </c>
      <c r="V189" s="13">
        <v>2</v>
      </c>
      <c r="W189" s="184">
        <v>2.27</v>
      </c>
      <c r="X189" s="37">
        <v>9.5</v>
      </c>
      <c r="Y189" s="22"/>
      <c r="Z189" s="38">
        <v>12.89</v>
      </c>
      <c r="AA189" s="13">
        <v>23.05</v>
      </c>
      <c r="AB189" s="13"/>
      <c r="AC189" s="13"/>
      <c r="AD189" s="36">
        <v>391</v>
      </c>
      <c r="AE189" s="13">
        <v>9.9600000000000009</v>
      </c>
      <c r="AF189" s="13">
        <v>4</v>
      </c>
      <c r="AG189" s="184">
        <v>2.2000000000000002</v>
      </c>
      <c r="AH189" s="37">
        <v>8.7100000000000009</v>
      </c>
    </row>
    <row r="190" spans="1:34">
      <c r="A190" s="14">
        <f t="shared" si="64"/>
        <v>46130</v>
      </c>
      <c r="B190" s="38">
        <v>36.97</v>
      </c>
      <c r="C190" s="13">
        <v>18</v>
      </c>
      <c r="D190" s="13">
        <v>13.52</v>
      </c>
      <c r="E190" s="13">
        <v>23.26</v>
      </c>
      <c r="F190" s="13"/>
      <c r="G190" s="13"/>
      <c r="H190" s="12">
        <v>380</v>
      </c>
      <c r="I190" s="12">
        <v>9.8800000000000008</v>
      </c>
      <c r="J190" s="13">
        <v>5</v>
      </c>
      <c r="K190" s="184">
        <v>2.11</v>
      </c>
      <c r="L190" s="26">
        <v>8.36</v>
      </c>
      <c r="M190" s="22"/>
      <c r="N190" s="29" t="s">
        <v>35</v>
      </c>
      <c r="O190" s="13" t="s">
        <v>35</v>
      </c>
      <c r="P190" s="13" t="s">
        <v>35</v>
      </c>
      <c r="Q190" s="13" t="s">
        <v>35</v>
      </c>
      <c r="R190" s="13" t="s">
        <v>35</v>
      </c>
      <c r="S190" s="13" t="s">
        <v>35</v>
      </c>
      <c r="T190" s="36" t="s">
        <v>35</v>
      </c>
      <c r="U190" s="13" t="s">
        <v>35</v>
      </c>
      <c r="V190" s="13" t="s">
        <v>35</v>
      </c>
      <c r="W190" s="184" t="s">
        <v>35</v>
      </c>
      <c r="X190" s="37" t="s">
        <v>35</v>
      </c>
      <c r="Y190" s="22"/>
      <c r="Z190" s="38">
        <v>13.01</v>
      </c>
      <c r="AA190" s="13">
        <v>23.02</v>
      </c>
      <c r="AB190" s="13"/>
      <c r="AC190" s="13"/>
      <c r="AD190" s="36">
        <v>422</v>
      </c>
      <c r="AE190" s="13">
        <v>9.6</v>
      </c>
      <c r="AF190" s="13">
        <v>1</v>
      </c>
      <c r="AG190" s="184">
        <v>2.17</v>
      </c>
      <c r="AH190" s="37">
        <v>9.0500000000000007</v>
      </c>
    </row>
    <row r="191" spans="1:34">
      <c r="A191" s="14">
        <f t="shared" si="64"/>
        <v>46131</v>
      </c>
      <c r="B191" s="38">
        <v>40.619999999999997</v>
      </c>
      <c r="C191" s="13">
        <v>17</v>
      </c>
      <c r="D191" s="13">
        <v>13.74</v>
      </c>
      <c r="E191" s="13"/>
      <c r="F191" s="13"/>
      <c r="G191" s="13"/>
      <c r="H191" s="12">
        <v>402</v>
      </c>
      <c r="I191" s="12">
        <v>11.72</v>
      </c>
      <c r="J191" s="13">
        <v>15.5</v>
      </c>
      <c r="K191" s="184">
        <v>2.41</v>
      </c>
      <c r="L191" s="37">
        <v>9.2799999999999994</v>
      </c>
      <c r="M191" s="22"/>
      <c r="N191" s="29" t="s">
        <v>35</v>
      </c>
      <c r="O191" s="13" t="s">
        <v>35</v>
      </c>
      <c r="P191" s="13" t="s">
        <v>35</v>
      </c>
      <c r="Q191" s="13" t="s">
        <v>35</v>
      </c>
      <c r="R191" s="13" t="s">
        <v>35</v>
      </c>
      <c r="S191" s="13" t="s">
        <v>35</v>
      </c>
      <c r="T191" s="36" t="s">
        <v>35</v>
      </c>
      <c r="U191" s="13" t="s">
        <v>35</v>
      </c>
      <c r="V191" s="13" t="s">
        <v>35</v>
      </c>
      <c r="W191" s="184" t="s">
        <v>35</v>
      </c>
      <c r="X191" s="37" t="s">
        <v>35</v>
      </c>
      <c r="Y191" s="22"/>
      <c r="Z191" s="38">
        <v>13.21</v>
      </c>
      <c r="AA191" s="13"/>
      <c r="AB191" s="13"/>
      <c r="AC191" s="13"/>
      <c r="AD191" s="36">
        <v>372</v>
      </c>
      <c r="AE191" s="13">
        <v>9.76</v>
      </c>
      <c r="AF191" s="13">
        <v>1.5</v>
      </c>
      <c r="AG191" s="184">
        <v>1.99</v>
      </c>
      <c r="AH191" s="37">
        <v>7.64</v>
      </c>
    </row>
    <row r="192" spans="1:34">
      <c r="A192" s="14">
        <f t="shared" si="64"/>
        <v>46132</v>
      </c>
      <c r="B192" s="38">
        <v>38.549999999999997</v>
      </c>
      <c r="C192" s="13">
        <v>17.5</v>
      </c>
      <c r="D192" s="13"/>
      <c r="E192" s="13"/>
      <c r="F192" s="13"/>
      <c r="G192" s="13"/>
      <c r="H192" s="12">
        <v>358</v>
      </c>
      <c r="I192" s="13">
        <v>9.9600000000000009</v>
      </c>
      <c r="J192" s="13"/>
      <c r="K192" s="184">
        <v>2.13</v>
      </c>
      <c r="L192" s="26">
        <v>8.0399999999999991</v>
      </c>
      <c r="M192" s="22"/>
      <c r="N192" s="29" t="s">
        <v>35</v>
      </c>
      <c r="O192" s="13" t="s">
        <v>35</v>
      </c>
      <c r="P192" s="13" t="s">
        <v>35</v>
      </c>
      <c r="Q192" s="13" t="s">
        <v>35</v>
      </c>
      <c r="R192" s="13" t="s">
        <v>35</v>
      </c>
      <c r="S192" s="13" t="s">
        <v>35</v>
      </c>
      <c r="T192" s="36" t="s">
        <v>35</v>
      </c>
      <c r="U192" s="13" t="s">
        <v>35</v>
      </c>
      <c r="V192" s="13" t="s">
        <v>35</v>
      </c>
      <c r="W192" s="184" t="s">
        <v>35</v>
      </c>
      <c r="X192" s="37" t="s">
        <v>35</v>
      </c>
      <c r="Y192" s="22"/>
      <c r="Z192" s="38"/>
      <c r="AA192" s="13"/>
      <c r="AB192" s="13"/>
      <c r="AC192" s="13"/>
      <c r="AD192" s="36">
        <v>361</v>
      </c>
      <c r="AE192" s="13">
        <v>11.32</v>
      </c>
      <c r="AF192" s="13"/>
      <c r="AG192" s="184">
        <v>2.34</v>
      </c>
      <c r="AH192" s="37">
        <v>7</v>
      </c>
    </row>
    <row r="193" spans="1:34">
      <c r="A193" s="14">
        <f t="shared" si="64"/>
        <v>46133</v>
      </c>
      <c r="B193" s="38"/>
      <c r="C193" s="13"/>
      <c r="D193" s="13"/>
      <c r="E193" s="13"/>
      <c r="F193" s="13"/>
      <c r="G193" s="13"/>
      <c r="H193" s="36"/>
      <c r="I193" s="12"/>
      <c r="J193" s="13"/>
      <c r="K193" s="184"/>
      <c r="L193" s="37"/>
      <c r="M193" s="22"/>
      <c r="N193" s="29"/>
      <c r="O193" s="13"/>
      <c r="P193" s="13"/>
      <c r="Q193" s="13"/>
      <c r="R193" s="13"/>
      <c r="S193" s="13"/>
      <c r="T193" s="36"/>
      <c r="U193" s="13"/>
      <c r="V193" s="13"/>
      <c r="W193" s="184"/>
      <c r="X193" s="37"/>
      <c r="Y193" s="22"/>
      <c r="Z193" s="38"/>
      <c r="AA193" s="13"/>
      <c r="AB193" s="13"/>
      <c r="AC193" s="13"/>
      <c r="AD193" s="36"/>
      <c r="AE193" s="12"/>
      <c r="AF193" s="13"/>
      <c r="AG193" s="184"/>
      <c r="AH193" s="37"/>
    </row>
    <row r="194" spans="1:34">
      <c r="A194" s="14">
        <f t="shared" si="64"/>
        <v>46134</v>
      </c>
      <c r="B194" s="38"/>
      <c r="C194" s="13"/>
      <c r="D194" s="13"/>
      <c r="E194" s="13"/>
      <c r="F194" s="13"/>
      <c r="G194" s="13"/>
      <c r="H194" s="12"/>
      <c r="I194" s="13"/>
      <c r="J194" s="13"/>
      <c r="K194" s="184"/>
      <c r="L194" s="26"/>
      <c r="M194" s="22"/>
      <c r="N194" s="29"/>
      <c r="O194" s="13"/>
      <c r="P194" s="13"/>
      <c r="Q194" s="13"/>
      <c r="R194" s="13"/>
      <c r="S194" s="13"/>
      <c r="T194" s="36"/>
      <c r="U194" s="13"/>
      <c r="V194" s="13"/>
      <c r="W194" s="184"/>
      <c r="X194" s="37"/>
      <c r="Y194" s="22"/>
      <c r="Z194" s="38"/>
      <c r="AA194" s="13"/>
      <c r="AB194" s="13"/>
      <c r="AC194" s="13"/>
      <c r="AD194" s="36"/>
      <c r="AE194" s="13"/>
      <c r="AF194" s="13"/>
      <c r="AG194" s="184"/>
      <c r="AH194" s="37"/>
    </row>
    <row r="195" spans="1:34">
      <c r="A195" s="14">
        <f t="shared" si="64"/>
        <v>46135</v>
      </c>
      <c r="B195" s="29"/>
      <c r="C195" s="13"/>
      <c r="D195" s="13"/>
      <c r="E195" s="13"/>
      <c r="F195" s="13"/>
      <c r="G195" s="13"/>
      <c r="H195" s="13"/>
      <c r="I195" s="13"/>
      <c r="J195" s="13"/>
      <c r="K195" s="184"/>
      <c r="L195" s="37"/>
      <c r="M195" s="22"/>
      <c r="N195" s="29"/>
      <c r="O195" s="13"/>
      <c r="P195" s="13"/>
      <c r="Q195" s="13"/>
      <c r="R195" s="13"/>
      <c r="S195" s="13"/>
      <c r="T195" s="36"/>
      <c r="U195" s="13"/>
      <c r="V195" s="13"/>
      <c r="W195" s="184"/>
      <c r="X195" s="37"/>
      <c r="Y195" s="22"/>
      <c r="Z195" s="38"/>
      <c r="AA195" s="13"/>
      <c r="AB195" s="13"/>
      <c r="AC195" s="13"/>
      <c r="AD195" s="36"/>
      <c r="AE195" s="13"/>
      <c r="AF195" s="13"/>
      <c r="AG195" s="184"/>
      <c r="AH195" s="37"/>
    </row>
    <row r="196" spans="1:34">
      <c r="A196" s="14">
        <f t="shared" si="64"/>
        <v>46136</v>
      </c>
      <c r="B196" s="29"/>
      <c r="C196" s="13"/>
      <c r="D196" s="13"/>
      <c r="E196" s="13"/>
      <c r="F196" s="13"/>
      <c r="G196" s="13"/>
      <c r="H196" s="13"/>
      <c r="I196" s="13"/>
      <c r="J196" s="13"/>
      <c r="K196" s="184"/>
      <c r="L196" s="37"/>
      <c r="M196" s="22"/>
      <c r="N196" s="29"/>
      <c r="O196" s="13"/>
      <c r="P196" s="13"/>
      <c r="Q196" s="13"/>
      <c r="R196" s="13"/>
      <c r="S196" s="13"/>
      <c r="T196" s="36"/>
      <c r="U196" s="13"/>
      <c r="V196" s="13"/>
      <c r="W196" s="184"/>
      <c r="X196" s="37"/>
      <c r="Y196" s="22"/>
      <c r="Z196" s="38"/>
      <c r="AA196" s="13"/>
      <c r="AB196" s="13"/>
      <c r="AC196" s="13"/>
      <c r="AD196" s="36"/>
      <c r="AE196" s="13"/>
      <c r="AF196" s="13"/>
      <c r="AG196" s="184"/>
      <c r="AH196" s="37"/>
    </row>
    <row r="197" spans="1:34">
      <c r="A197" s="14">
        <f t="shared" si="64"/>
        <v>46137</v>
      </c>
      <c r="B197" s="29"/>
      <c r="C197" s="13"/>
      <c r="D197" s="13"/>
      <c r="E197" s="13"/>
      <c r="F197" s="13"/>
      <c r="G197" s="13"/>
      <c r="H197" s="13"/>
      <c r="I197" s="13"/>
      <c r="J197" s="13"/>
      <c r="K197" s="184"/>
      <c r="L197" s="37"/>
      <c r="M197" s="22"/>
      <c r="N197" s="29"/>
      <c r="O197" s="13"/>
      <c r="P197" s="13"/>
      <c r="Q197" s="13"/>
      <c r="R197" s="13"/>
      <c r="S197" s="13"/>
      <c r="T197" s="36"/>
      <c r="U197" s="13"/>
      <c r="V197" s="13"/>
      <c r="W197" s="184"/>
      <c r="X197" s="37"/>
      <c r="Y197" s="22"/>
      <c r="Z197" s="38"/>
      <c r="AA197" s="13"/>
      <c r="AB197" s="13"/>
      <c r="AC197" s="13"/>
      <c r="AD197" s="36"/>
      <c r="AE197" s="13"/>
      <c r="AF197" s="13"/>
      <c r="AG197" s="184"/>
      <c r="AH197" s="37"/>
    </row>
    <row r="198" spans="1:34">
      <c r="A198" s="14">
        <f t="shared" si="64"/>
        <v>46138</v>
      </c>
      <c r="B198" s="29"/>
      <c r="C198" s="13"/>
      <c r="D198" s="13"/>
      <c r="E198" s="13"/>
      <c r="F198" s="13"/>
      <c r="G198" s="13"/>
      <c r="H198" s="13"/>
      <c r="I198" s="13"/>
      <c r="J198" s="13"/>
      <c r="K198" s="184"/>
      <c r="L198" s="37"/>
      <c r="M198" s="22"/>
      <c r="N198" s="29"/>
      <c r="O198" s="13"/>
      <c r="P198" s="13"/>
      <c r="Q198" s="13"/>
      <c r="R198" s="13"/>
      <c r="S198" s="13"/>
      <c r="T198" s="36"/>
      <c r="U198" s="13"/>
      <c r="V198" s="13"/>
      <c r="W198" s="184"/>
      <c r="X198" s="51"/>
      <c r="Y198" s="22"/>
      <c r="Z198" s="38"/>
      <c r="AA198" s="13"/>
      <c r="AB198" s="13"/>
      <c r="AC198" s="13"/>
      <c r="AD198" s="36"/>
      <c r="AE198" s="13"/>
      <c r="AF198" s="13"/>
      <c r="AG198" s="184"/>
      <c r="AH198" s="51"/>
    </row>
    <row r="199" spans="1:34">
      <c r="A199" s="14">
        <f t="shared" si="64"/>
        <v>46139</v>
      </c>
      <c r="B199" s="29"/>
      <c r="C199" s="13"/>
      <c r="D199" s="13"/>
      <c r="E199" s="13"/>
      <c r="F199" s="13"/>
      <c r="G199" s="13"/>
      <c r="H199" s="13"/>
      <c r="I199" s="13"/>
      <c r="J199" s="13"/>
      <c r="K199" s="184"/>
      <c r="L199" s="37"/>
      <c r="M199" s="22"/>
      <c r="N199" s="29"/>
      <c r="O199" s="13"/>
      <c r="P199" s="13"/>
      <c r="Q199" s="13"/>
      <c r="R199" s="13"/>
      <c r="S199" s="13"/>
      <c r="T199" s="36"/>
      <c r="U199" s="13"/>
      <c r="V199" s="13"/>
      <c r="W199" s="184"/>
      <c r="X199" s="37"/>
      <c r="Y199" s="22"/>
      <c r="Z199" s="38"/>
      <c r="AA199" s="13"/>
      <c r="AB199" s="13"/>
      <c r="AC199" s="13"/>
      <c r="AD199" s="36"/>
      <c r="AE199" s="13"/>
      <c r="AF199" s="13"/>
      <c r="AG199" s="184"/>
      <c r="AH199" s="37"/>
    </row>
    <row r="200" spans="1:34">
      <c r="A200" s="14">
        <f t="shared" si="64"/>
        <v>46140</v>
      </c>
      <c r="B200" s="29"/>
      <c r="C200" s="13"/>
      <c r="D200" s="13"/>
      <c r="E200" s="13"/>
      <c r="F200" s="13"/>
      <c r="G200" s="13"/>
      <c r="H200" s="13"/>
      <c r="I200" s="13"/>
      <c r="J200" s="13"/>
      <c r="K200" s="184"/>
      <c r="L200" s="37"/>
      <c r="M200" s="22"/>
      <c r="N200" s="29"/>
      <c r="O200" s="13"/>
      <c r="P200" s="13"/>
      <c r="Q200" s="13"/>
      <c r="R200" s="13"/>
      <c r="S200" s="13"/>
      <c r="T200" s="36"/>
      <c r="U200" s="13"/>
      <c r="V200" s="13"/>
      <c r="W200" s="184"/>
      <c r="X200" s="37"/>
      <c r="Y200" s="22"/>
      <c r="Z200" s="38"/>
      <c r="AA200" s="13"/>
      <c r="AB200" s="13"/>
      <c r="AC200" s="13"/>
      <c r="AD200" s="36"/>
      <c r="AE200" s="13"/>
      <c r="AF200" s="13"/>
      <c r="AG200" s="184"/>
      <c r="AH200" s="37"/>
    </row>
    <row r="201" spans="1:34">
      <c r="A201" s="14">
        <f t="shared" si="64"/>
        <v>46141</v>
      </c>
      <c r="B201" s="29"/>
      <c r="C201" s="13"/>
      <c r="D201" s="13"/>
      <c r="E201" s="13"/>
      <c r="F201" s="13"/>
      <c r="G201" s="13"/>
      <c r="H201" s="13"/>
      <c r="I201" s="13"/>
      <c r="J201" s="13"/>
      <c r="K201" s="184"/>
      <c r="L201" s="37"/>
      <c r="M201" s="22"/>
      <c r="N201" s="29"/>
      <c r="O201" s="13"/>
      <c r="P201" s="13"/>
      <c r="Q201" s="13"/>
      <c r="R201" s="13"/>
      <c r="S201" s="13"/>
      <c r="T201" s="36"/>
      <c r="U201" s="13"/>
      <c r="V201" s="13"/>
      <c r="W201" s="184"/>
      <c r="X201" s="37"/>
      <c r="Y201" s="22"/>
      <c r="Z201" s="38"/>
      <c r="AA201" s="13"/>
      <c r="AB201" s="13"/>
      <c r="AC201" s="13"/>
      <c r="AD201" s="36"/>
      <c r="AE201" s="13"/>
      <c r="AF201" s="13"/>
      <c r="AG201" s="184"/>
      <c r="AH201" s="37"/>
    </row>
    <row r="202" spans="1:34">
      <c r="A202" s="14">
        <f t="shared" si="64"/>
        <v>46142</v>
      </c>
      <c r="B202" s="29"/>
      <c r="C202" s="13"/>
      <c r="D202" s="13"/>
      <c r="E202" s="13"/>
      <c r="F202" s="13"/>
      <c r="G202" s="13"/>
      <c r="H202" s="13"/>
      <c r="I202" s="13"/>
      <c r="J202" s="13"/>
      <c r="K202" s="184"/>
      <c r="L202" s="37"/>
      <c r="M202" s="22"/>
      <c r="N202" s="29"/>
      <c r="O202" s="13"/>
      <c r="P202" s="47"/>
      <c r="Q202" s="47"/>
      <c r="R202" s="47"/>
      <c r="S202" s="47"/>
      <c r="T202" s="52"/>
      <c r="U202" s="47"/>
      <c r="V202" s="53"/>
      <c r="W202" s="184"/>
      <c r="X202" s="48"/>
      <c r="Y202" s="22"/>
      <c r="Z202" s="38"/>
      <c r="AA202" s="13"/>
      <c r="AB202" s="47"/>
      <c r="AC202" s="47"/>
      <c r="AD202" s="52"/>
      <c r="AE202" s="13"/>
      <c r="AF202" s="53"/>
      <c r="AG202" s="53"/>
      <c r="AH202" s="37"/>
    </row>
    <row r="203" spans="1:34" ht="15.75" thickBot="1">
      <c r="A203" s="15"/>
      <c r="B203" s="29"/>
      <c r="C203" s="13"/>
      <c r="D203" s="13"/>
      <c r="E203" s="13"/>
      <c r="F203" s="13"/>
      <c r="G203" s="13"/>
      <c r="H203" s="13"/>
      <c r="I203" s="13"/>
      <c r="J203" s="13"/>
      <c r="K203" s="184"/>
      <c r="L203" s="37"/>
      <c r="M203" s="22"/>
      <c r="N203" s="56"/>
      <c r="O203" s="47"/>
      <c r="P203" s="47"/>
      <c r="Q203" s="47"/>
      <c r="R203" s="47"/>
      <c r="S203" s="47"/>
      <c r="T203" s="52"/>
      <c r="U203" s="47"/>
      <c r="V203" s="47"/>
      <c r="W203" s="184"/>
      <c r="X203" s="48"/>
      <c r="Y203" s="22"/>
      <c r="Z203" s="39"/>
      <c r="AA203" s="47"/>
      <c r="AB203" s="47"/>
      <c r="AC203" s="47"/>
      <c r="AD203" s="47"/>
      <c r="AE203" s="47"/>
      <c r="AF203" s="47"/>
      <c r="AG203" s="53"/>
      <c r="AH203" s="48"/>
    </row>
    <row r="204" spans="1:34">
      <c r="A204" s="16" t="s">
        <v>31</v>
      </c>
      <c r="B204" s="17">
        <f>MIN(B173:B203)</f>
        <v>35.92</v>
      </c>
      <c r="C204" s="17">
        <f>MIN(C173:C203)</f>
        <v>17</v>
      </c>
      <c r="D204" s="17">
        <f t="shared" ref="D204:L204" si="65">MIN(D173:D203)</f>
        <v>11.03</v>
      </c>
      <c r="E204" s="17">
        <f t="shared" si="65"/>
        <v>20.53</v>
      </c>
      <c r="F204" s="17">
        <f t="shared" si="65"/>
        <v>33.49</v>
      </c>
      <c r="G204" s="17">
        <f t="shared" si="65"/>
        <v>0</v>
      </c>
      <c r="H204" s="197">
        <f t="shared" si="65"/>
        <v>358</v>
      </c>
      <c r="I204" s="17">
        <f t="shared" si="65"/>
        <v>8.68</v>
      </c>
      <c r="J204" s="17">
        <f t="shared" si="65"/>
        <v>0.5</v>
      </c>
      <c r="K204" s="17">
        <f t="shared" si="65"/>
        <v>2.0419999999999998</v>
      </c>
      <c r="L204" s="30">
        <f t="shared" si="65"/>
        <v>4.92</v>
      </c>
      <c r="M204" s="22"/>
      <c r="N204" s="17">
        <f>MIN(N173:N203)</f>
        <v>33.93</v>
      </c>
      <c r="O204" s="17">
        <f>MIN(O173:O203)</f>
        <v>17</v>
      </c>
      <c r="P204" s="17">
        <f t="shared" ref="P204:X204" si="66">MIN(P173:P203)</f>
        <v>11.02</v>
      </c>
      <c r="Q204" s="17">
        <f t="shared" si="66"/>
        <v>20.62</v>
      </c>
      <c r="R204" s="17">
        <f t="shared" si="66"/>
        <v>30.66</v>
      </c>
      <c r="S204" s="17">
        <f t="shared" si="66"/>
        <v>0</v>
      </c>
      <c r="T204" s="197">
        <f t="shared" si="66"/>
        <v>330</v>
      </c>
      <c r="U204" s="17">
        <f t="shared" si="66"/>
        <v>8.6199999999999992</v>
      </c>
      <c r="V204" s="17">
        <f t="shared" si="66"/>
        <v>0.5</v>
      </c>
      <c r="W204" s="17">
        <f t="shared" si="66"/>
        <v>1.9</v>
      </c>
      <c r="X204" s="30">
        <f t="shared" si="66"/>
        <v>5.62</v>
      </c>
      <c r="Z204" s="40">
        <f t="shared" ref="Z204:AH204" si="67">MIN(Z173:Z203)</f>
        <v>11.31</v>
      </c>
      <c r="AA204" s="17">
        <f t="shared" si="67"/>
        <v>21.36</v>
      </c>
      <c r="AB204" s="17">
        <f t="shared" si="67"/>
        <v>32.86</v>
      </c>
      <c r="AC204" s="17">
        <f t="shared" si="67"/>
        <v>0</v>
      </c>
      <c r="AD204" s="197">
        <f t="shared" si="67"/>
        <v>350</v>
      </c>
      <c r="AE204" s="17">
        <f t="shared" si="67"/>
        <v>8.08</v>
      </c>
      <c r="AF204" s="17">
        <f t="shared" si="67"/>
        <v>0.5</v>
      </c>
      <c r="AG204" s="17">
        <f t="shared" si="67"/>
        <v>1.93</v>
      </c>
      <c r="AH204" s="30">
        <f t="shared" si="67"/>
        <v>6.07</v>
      </c>
    </row>
    <row r="205" spans="1:34">
      <c r="A205" s="18" t="s">
        <v>33</v>
      </c>
      <c r="B205" s="19">
        <f>MAX(B173:B203)</f>
        <v>40.619999999999997</v>
      </c>
      <c r="C205" s="19">
        <f>MAX(C173:C203)</f>
        <v>18.059999999999999</v>
      </c>
      <c r="D205" s="19">
        <f t="shared" ref="D205:L205" si="68">MAX(D173:D203)</f>
        <v>13.74</v>
      </c>
      <c r="E205" s="19">
        <f t="shared" si="68"/>
        <v>23.26</v>
      </c>
      <c r="F205" s="19">
        <f t="shared" si="68"/>
        <v>39.799999999999997</v>
      </c>
      <c r="G205" s="19">
        <f t="shared" si="68"/>
        <v>0</v>
      </c>
      <c r="H205" s="198">
        <f t="shared" si="68"/>
        <v>402</v>
      </c>
      <c r="I205" s="19">
        <f t="shared" si="68"/>
        <v>11.72</v>
      </c>
      <c r="J205" s="19">
        <f t="shared" si="68"/>
        <v>15.5</v>
      </c>
      <c r="K205" s="19">
        <f t="shared" si="68"/>
        <v>2.4300000000000002</v>
      </c>
      <c r="L205" s="31">
        <f t="shared" si="68"/>
        <v>9.2799999999999994</v>
      </c>
      <c r="M205" s="22"/>
      <c r="N205" s="19">
        <f>MAX(N173:N203)</f>
        <v>40.200000000000003</v>
      </c>
      <c r="O205" s="19">
        <f>MAX(O173:O203)</f>
        <v>18.02</v>
      </c>
      <c r="P205" s="19">
        <f t="shared" ref="P205:X205" si="69">MAX(P173:P203)</f>
        <v>13.44</v>
      </c>
      <c r="Q205" s="19">
        <f t="shared" si="69"/>
        <v>23.73</v>
      </c>
      <c r="R205" s="19">
        <f t="shared" si="69"/>
        <v>40.74</v>
      </c>
      <c r="S205" s="19">
        <f t="shared" si="69"/>
        <v>0</v>
      </c>
      <c r="T205" s="198">
        <f t="shared" si="69"/>
        <v>428</v>
      </c>
      <c r="U205" s="19">
        <f t="shared" si="69"/>
        <v>16</v>
      </c>
      <c r="V205" s="19">
        <f t="shared" si="69"/>
        <v>37</v>
      </c>
      <c r="W205" s="19">
        <f t="shared" si="69"/>
        <v>2.41</v>
      </c>
      <c r="X205" s="31">
        <f t="shared" si="69"/>
        <v>9.5</v>
      </c>
      <c r="Z205" s="41">
        <f t="shared" ref="Z205:AH205" si="70">MAX(Z173:Z203)</f>
        <v>21.72</v>
      </c>
      <c r="AA205" s="19">
        <f t="shared" si="70"/>
        <v>23.16</v>
      </c>
      <c r="AB205" s="19">
        <f t="shared" si="70"/>
        <v>39.520000000000003</v>
      </c>
      <c r="AC205" s="19">
        <f t="shared" si="70"/>
        <v>0</v>
      </c>
      <c r="AD205" s="198">
        <f t="shared" si="70"/>
        <v>422</v>
      </c>
      <c r="AE205" s="19">
        <f t="shared" si="70"/>
        <v>14.84</v>
      </c>
      <c r="AF205" s="19">
        <f t="shared" si="70"/>
        <v>27</v>
      </c>
      <c r="AG205" s="19">
        <f t="shared" si="70"/>
        <v>2.39</v>
      </c>
      <c r="AH205" s="31">
        <f t="shared" si="70"/>
        <v>9.0500000000000007</v>
      </c>
    </row>
    <row r="206" spans="1:34">
      <c r="A206" s="18" t="s">
        <v>36</v>
      </c>
      <c r="B206" s="19">
        <f t="shared" ref="B206:L206" si="71">AVERAGE(B173:B203)</f>
        <v>37.738461538461536</v>
      </c>
      <c r="C206" s="19">
        <f t="shared" si="71"/>
        <v>17.688461538461539</v>
      </c>
      <c r="D206" s="19">
        <f t="shared" si="71"/>
        <v>12.374166666666667</v>
      </c>
      <c r="E206" s="19">
        <f t="shared" si="71"/>
        <v>22.257272727272724</v>
      </c>
      <c r="F206" s="19">
        <f t="shared" si="71"/>
        <v>36.453749999999999</v>
      </c>
      <c r="G206" s="19" t="e">
        <f t="shared" si="71"/>
        <v>#DIV/0!</v>
      </c>
      <c r="H206" s="198">
        <f t="shared" si="71"/>
        <v>378.07692307692309</v>
      </c>
      <c r="I206" s="19">
        <f t="shared" si="71"/>
        <v>10.159999999999998</v>
      </c>
      <c r="J206" s="19">
        <f t="shared" si="71"/>
        <v>2.9166666666666665</v>
      </c>
      <c r="K206" s="19">
        <f t="shared" si="71"/>
        <v>2.2186153846153847</v>
      </c>
      <c r="L206" s="31">
        <f t="shared" si="71"/>
        <v>7.2546153846153851</v>
      </c>
      <c r="M206" s="22"/>
      <c r="N206" s="19">
        <f t="shared" ref="N206:X206" si="72">AVERAGE(N173:N203)</f>
        <v>36.706470588235291</v>
      </c>
      <c r="O206" s="19">
        <f t="shared" si="72"/>
        <v>17.747058823529414</v>
      </c>
      <c r="P206" s="19">
        <f t="shared" si="72"/>
        <v>12.225294117647056</v>
      </c>
      <c r="Q206" s="19">
        <f t="shared" si="72"/>
        <v>22.392352941176469</v>
      </c>
      <c r="R206" s="19">
        <f t="shared" si="72"/>
        <v>35.946153846153841</v>
      </c>
      <c r="S206" s="19" t="e">
        <f t="shared" si="72"/>
        <v>#DIV/0!</v>
      </c>
      <c r="T206" s="198">
        <f t="shared" si="72"/>
        <v>367.8235294117647</v>
      </c>
      <c r="U206" s="19">
        <f t="shared" si="72"/>
        <v>10.886470588235294</v>
      </c>
      <c r="V206" s="19">
        <f t="shared" si="72"/>
        <v>10.970588235294118</v>
      </c>
      <c r="W206" s="19">
        <f t="shared" si="72"/>
        <v>2.2072352941176474</v>
      </c>
      <c r="X206" s="31">
        <f t="shared" si="72"/>
        <v>7.3194117647058832</v>
      </c>
      <c r="Z206" s="41">
        <f>AVERAGE(Z173:Z203)</f>
        <v>12.823157894736839</v>
      </c>
      <c r="AA206" s="19">
        <f t="shared" ref="AA206:AH206" si="73">AVERAGE(AA173:AA203)</f>
        <v>22.487222222222226</v>
      </c>
      <c r="AB206" s="19">
        <f t="shared" si="73"/>
        <v>35.586923076923078</v>
      </c>
      <c r="AC206" s="19" t="e">
        <f t="shared" si="73"/>
        <v>#DIV/0!</v>
      </c>
      <c r="AD206" s="198">
        <f t="shared" si="73"/>
        <v>374.4</v>
      </c>
      <c r="AE206" s="19">
        <f t="shared" si="73"/>
        <v>10.429</v>
      </c>
      <c r="AF206" s="19">
        <f t="shared" si="73"/>
        <v>5.4210526315789478</v>
      </c>
      <c r="AG206" s="19">
        <f t="shared" si="73"/>
        <v>2.1871500000000004</v>
      </c>
      <c r="AH206" s="31">
        <f t="shared" si="73"/>
        <v>7.261000000000001</v>
      </c>
    </row>
    <row r="207" spans="1:34" ht="15.75" thickBot="1">
      <c r="A207" s="20" t="s">
        <v>130</v>
      </c>
      <c r="B207" s="21">
        <f>STDEV(B173:B203)</f>
        <v>1.4453998648231461</v>
      </c>
      <c r="C207" s="21">
        <f t="shared" ref="C207:L207" si="74">STDEV(C173:C203)</f>
        <v>0.3227962761517485</v>
      </c>
      <c r="D207" s="21">
        <f t="shared" si="74"/>
        <v>0.77359207400909769</v>
      </c>
      <c r="E207" s="21">
        <f t="shared" si="74"/>
        <v>0.81197402555858755</v>
      </c>
      <c r="F207" s="21">
        <f t="shared" si="74"/>
        <v>2.1847911799529034</v>
      </c>
      <c r="G207" s="21" t="e">
        <f t="shared" si="74"/>
        <v>#DIV/0!</v>
      </c>
      <c r="H207" s="199">
        <f t="shared" si="74"/>
        <v>12.776681484000051</v>
      </c>
      <c r="I207" s="21">
        <f t="shared" si="74"/>
        <v>0.85291656489170542</v>
      </c>
      <c r="J207" s="21">
        <f t="shared" si="74"/>
        <v>4.8281058460441875</v>
      </c>
      <c r="K207" s="21">
        <f t="shared" si="74"/>
        <v>0.1193939825825535</v>
      </c>
      <c r="L207" s="32">
        <f t="shared" si="74"/>
        <v>1.3568751808513029</v>
      </c>
      <c r="M207" s="22"/>
      <c r="N207" s="21">
        <f>STDEV(N173:N203)</f>
        <v>1.6612605950620396</v>
      </c>
      <c r="O207" s="21">
        <f t="shared" ref="O207:X207" si="75">STDEV(O173:O203)</f>
        <v>0.29706406518380757</v>
      </c>
      <c r="P207" s="21">
        <f t="shared" si="75"/>
        <v>0.64653033230331536</v>
      </c>
      <c r="Q207" s="21">
        <f t="shared" si="75"/>
        <v>0.96047858781289808</v>
      </c>
      <c r="R207" s="21">
        <f t="shared" si="75"/>
        <v>2.3887009665699703</v>
      </c>
      <c r="S207" s="21" t="e">
        <f t="shared" si="75"/>
        <v>#DIV/0!</v>
      </c>
      <c r="T207" s="199">
        <f t="shared" si="75"/>
        <v>22.280134913521188</v>
      </c>
      <c r="U207" s="21">
        <f t="shared" si="75"/>
        <v>1.9188243183537954</v>
      </c>
      <c r="V207" s="21">
        <f t="shared" si="75"/>
        <v>13.190278840204741</v>
      </c>
      <c r="W207" s="21">
        <f t="shared" si="75"/>
        <v>0.126678495319729</v>
      </c>
      <c r="X207" s="32">
        <f t="shared" si="75"/>
        <v>0.95874573394249674</v>
      </c>
      <c r="Z207" s="42">
        <f>STDEV(Z173:Z203)</f>
        <v>2.2266568179212922</v>
      </c>
      <c r="AA207" s="21">
        <f t="shared" ref="AA207:AH207" si="76">STDEV(AA173:AA203)</f>
        <v>0.54596709182832404</v>
      </c>
      <c r="AB207" s="21">
        <f t="shared" si="76"/>
        <v>1.8297603878440147</v>
      </c>
      <c r="AC207" s="21" t="e">
        <f t="shared" si="76"/>
        <v>#DIV/0!</v>
      </c>
      <c r="AD207" s="199">
        <f t="shared" si="76"/>
        <v>18.706598891975613</v>
      </c>
      <c r="AE207" s="21">
        <f t="shared" si="76"/>
        <v>1.4469346909933443</v>
      </c>
      <c r="AF207" s="21">
        <f t="shared" si="76"/>
        <v>8.4627667492748238</v>
      </c>
      <c r="AG207" s="21">
        <f t="shared" si="76"/>
        <v>0.10810972739719005</v>
      </c>
      <c r="AH207" s="32">
        <f t="shared" si="76"/>
        <v>0.74577335346393414</v>
      </c>
    </row>
    <row r="208" spans="1:34" ht="15.75" thickBot="1"/>
    <row r="209" spans="1:34" ht="15.75" thickBot="1">
      <c r="A209" s="1"/>
      <c r="B209" s="338" t="s">
        <v>0</v>
      </c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  <c r="AA209" s="339"/>
      <c r="AB209" s="339"/>
      <c r="AC209" s="339"/>
      <c r="AD209" s="340"/>
      <c r="AE209" s="340"/>
      <c r="AF209" s="340"/>
      <c r="AG209" s="340"/>
      <c r="AH209" s="340"/>
    </row>
    <row r="210" spans="1:34" ht="15.75" thickBot="1">
      <c r="A210" s="1"/>
      <c r="B210" s="338" t="s">
        <v>131</v>
      </c>
      <c r="C210" s="339"/>
      <c r="D210" s="339"/>
      <c r="E210" s="339"/>
      <c r="F210" s="339"/>
      <c r="G210" s="339"/>
      <c r="H210" s="339"/>
      <c r="I210" s="339"/>
      <c r="J210" s="339"/>
      <c r="K210" s="339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  <c r="AA210" s="339"/>
      <c r="AB210" s="339"/>
      <c r="AC210" s="339"/>
      <c r="AD210" s="4"/>
      <c r="AE210" s="43" t="s">
        <v>107</v>
      </c>
      <c r="AF210" s="341">
        <v>46143</v>
      </c>
      <c r="AG210" s="342"/>
      <c r="AH210" s="343"/>
    </row>
    <row r="211" spans="1:34">
      <c r="A211" s="344"/>
      <c r="B211" s="346" t="s">
        <v>132</v>
      </c>
      <c r="C211" s="347"/>
      <c r="D211" s="347"/>
      <c r="E211" s="347"/>
      <c r="F211" s="347"/>
      <c r="G211" s="347"/>
      <c r="H211" s="347"/>
      <c r="I211" s="347"/>
      <c r="J211" s="347"/>
      <c r="K211" s="348"/>
      <c r="L211" s="349"/>
      <c r="M211" s="22"/>
      <c r="N211" s="350" t="s">
        <v>133</v>
      </c>
      <c r="O211" s="347"/>
      <c r="P211" s="347"/>
      <c r="Q211" s="347"/>
      <c r="R211" s="347"/>
      <c r="S211" s="347"/>
      <c r="T211" s="347"/>
      <c r="U211" s="347"/>
      <c r="V211" s="347"/>
      <c r="W211" s="348"/>
      <c r="X211" s="349"/>
      <c r="Y211" s="22"/>
      <c r="Z211" s="346" t="s">
        <v>134</v>
      </c>
      <c r="AA211" s="347"/>
      <c r="AB211" s="347"/>
      <c r="AC211" s="347"/>
      <c r="AD211" s="347"/>
      <c r="AE211" s="347"/>
      <c r="AF211" s="347"/>
      <c r="AG211" s="348"/>
      <c r="AH211" s="349"/>
    </row>
    <row r="212" spans="1:34" ht="25.5">
      <c r="A212" s="345"/>
      <c r="B212" s="351" t="s">
        <v>135</v>
      </c>
      <c r="C212" s="353" t="s">
        <v>136</v>
      </c>
      <c r="D212" s="64" t="s">
        <v>137</v>
      </c>
      <c r="E212" s="64" t="s">
        <v>138</v>
      </c>
      <c r="F212" s="64" t="s">
        <v>139</v>
      </c>
      <c r="G212" s="64" t="s">
        <v>140</v>
      </c>
      <c r="H212" s="5" t="s">
        <v>141</v>
      </c>
      <c r="I212" s="5" t="s">
        <v>142</v>
      </c>
      <c r="J212" s="5" t="s">
        <v>143</v>
      </c>
      <c r="K212" s="181" t="s">
        <v>81</v>
      </c>
      <c r="L212" s="23" t="s">
        <v>144</v>
      </c>
      <c r="M212" s="22"/>
      <c r="N212" s="355" t="s">
        <v>135</v>
      </c>
      <c r="O212" s="357" t="s">
        <v>136</v>
      </c>
      <c r="P212" s="5" t="s">
        <v>137</v>
      </c>
      <c r="Q212" s="5" t="s">
        <v>138</v>
      </c>
      <c r="R212" s="5" t="s">
        <v>139</v>
      </c>
      <c r="S212" s="5" t="s">
        <v>140</v>
      </c>
      <c r="T212" s="5" t="s">
        <v>141</v>
      </c>
      <c r="U212" s="5" t="s">
        <v>142</v>
      </c>
      <c r="V212" s="5" t="s">
        <v>143</v>
      </c>
      <c r="W212" s="181" t="s">
        <v>81</v>
      </c>
      <c r="X212" s="23" t="s">
        <v>144</v>
      </c>
      <c r="Y212" s="22"/>
      <c r="Z212" s="33" t="s">
        <v>137</v>
      </c>
      <c r="AA212" s="5" t="s">
        <v>138</v>
      </c>
      <c r="AB212" s="5" t="s">
        <v>139</v>
      </c>
      <c r="AC212" s="5" t="s">
        <v>140</v>
      </c>
      <c r="AD212" s="5" t="s">
        <v>141</v>
      </c>
      <c r="AE212" s="5" t="s">
        <v>142</v>
      </c>
      <c r="AF212" s="5" t="s">
        <v>143</v>
      </c>
      <c r="AG212" s="181" t="s">
        <v>81</v>
      </c>
      <c r="AH212" s="23" t="s">
        <v>144</v>
      </c>
    </row>
    <row r="213" spans="1:34" ht="25.5">
      <c r="A213" s="6" t="s">
        <v>145</v>
      </c>
      <c r="B213" s="352"/>
      <c r="C213" s="354"/>
      <c r="D213" s="64" t="s">
        <v>128</v>
      </c>
      <c r="E213" s="64" t="s">
        <v>128</v>
      </c>
      <c r="F213" s="64" t="s">
        <v>128</v>
      </c>
      <c r="G213" s="64" t="s">
        <v>128</v>
      </c>
      <c r="H213" s="5" t="s">
        <v>125</v>
      </c>
      <c r="I213" s="5" t="s">
        <v>146</v>
      </c>
      <c r="J213" s="5" t="s">
        <v>127</v>
      </c>
      <c r="K213" s="181" t="s">
        <v>53</v>
      </c>
      <c r="L213" s="23" t="s">
        <v>53</v>
      </c>
      <c r="M213" s="22"/>
      <c r="N213" s="356"/>
      <c r="O213" s="358"/>
      <c r="P213" s="5" t="s">
        <v>128</v>
      </c>
      <c r="Q213" s="5" t="s">
        <v>128</v>
      </c>
      <c r="R213" s="5" t="s">
        <v>128</v>
      </c>
      <c r="S213" s="5" t="s">
        <v>128</v>
      </c>
      <c r="T213" s="5" t="s">
        <v>125</v>
      </c>
      <c r="U213" s="5" t="s">
        <v>146</v>
      </c>
      <c r="V213" s="5" t="s">
        <v>127</v>
      </c>
      <c r="W213" s="181" t="s">
        <v>53</v>
      </c>
      <c r="X213" s="23" t="s">
        <v>53</v>
      </c>
      <c r="Y213" s="22"/>
      <c r="Z213" s="33" t="s">
        <v>128</v>
      </c>
      <c r="AA213" s="5" t="s">
        <v>128</v>
      </c>
      <c r="AB213" s="5" t="s">
        <v>128</v>
      </c>
      <c r="AC213" s="5" t="s">
        <v>128</v>
      </c>
      <c r="AD213" s="5" t="s">
        <v>125</v>
      </c>
      <c r="AE213" s="5" t="s">
        <v>146</v>
      </c>
      <c r="AF213" s="5" t="s">
        <v>127</v>
      </c>
      <c r="AG213" s="181" t="s">
        <v>53</v>
      </c>
      <c r="AH213" s="23" t="s">
        <v>53</v>
      </c>
    </row>
    <row r="214" spans="1:34" ht="26.25" thickBot="1">
      <c r="A214" s="7" t="s">
        <v>147</v>
      </c>
      <c r="B214" s="65" t="s">
        <v>148</v>
      </c>
      <c r="C214" s="66" t="s">
        <v>149</v>
      </c>
      <c r="D214" s="66" t="s">
        <v>150</v>
      </c>
      <c r="E214" s="66" t="s">
        <v>151</v>
      </c>
      <c r="F214" s="66" t="s">
        <v>152</v>
      </c>
      <c r="G214" s="66" t="s">
        <v>153</v>
      </c>
      <c r="H214" s="9" t="s">
        <v>154</v>
      </c>
      <c r="I214" s="24" t="s">
        <v>155</v>
      </c>
      <c r="J214" s="24" t="s">
        <v>156</v>
      </c>
      <c r="K214" s="24" t="s">
        <v>179</v>
      </c>
      <c r="L214" s="25" t="s">
        <v>157</v>
      </c>
      <c r="M214" s="22"/>
      <c r="N214" s="8" t="s">
        <v>148</v>
      </c>
      <c r="O214" s="9" t="s">
        <v>149</v>
      </c>
      <c r="P214" s="9" t="s">
        <v>150</v>
      </c>
      <c r="Q214" s="9" t="s">
        <v>151</v>
      </c>
      <c r="R214" s="9" t="s">
        <v>152</v>
      </c>
      <c r="S214" s="9" t="s">
        <v>153</v>
      </c>
      <c r="T214" s="9" t="s">
        <v>154</v>
      </c>
      <c r="U214" s="24" t="s">
        <v>155</v>
      </c>
      <c r="V214" s="24" t="s">
        <v>156</v>
      </c>
      <c r="W214" s="24" t="s">
        <v>179</v>
      </c>
      <c r="X214" s="25" t="s">
        <v>157</v>
      </c>
      <c r="Y214" s="22"/>
      <c r="Z214" s="8" t="s">
        <v>150</v>
      </c>
      <c r="AA214" s="9" t="s">
        <v>158</v>
      </c>
      <c r="AB214" s="9" t="s">
        <v>152</v>
      </c>
      <c r="AC214" s="9" t="s">
        <v>159</v>
      </c>
      <c r="AD214" s="9" t="s">
        <v>154</v>
      </c>
      <c r="AE214" s="9" t="s">
        <v>155</v>
      </c>
      <c r="AF214" s="9" t="s">
        <v>156</v>
      </c>
      <c r="AG214" s="24" t="s">
        <v>179</v>
      </c>
      <c r="AH214" s="23" t="s">
        <v>157</v>
      </c>
    </row>
    <row r="215" spans="1:34">
      <c r="A215" s="10">
        <f>AF210+0</f>
        <v>46143</v>
      </c>
      <c r="B215" s="67"/>
      <c r="C215" s="68"/>
      <c r="D215" s="68"/>
      <c r="E215" s="68"/>
      <c r="F215" s="68"/>
      <c r="G215" s="68"/>
      <c r="H215" s="69"/>
      <c r="I215" s="69"/>
      <c r="J215" s="69"/>
      <c r="K215" s="191"/>
      <c r="L215" s="73"/>
      <c r="M215" s="74"/>
      <c r="N215" s="75"/>
      <c r="O215" s="76"/>
      <c r="P215" s="76"/>
      <c r="Q215" s="76"/>
      <c r="R215" s="76"/>
      <c r="S215" s="76"/>
      <c r="T215" s="76"/>
      <c r="U215" s="76"/>
      <c r="V215" s="76"/>
      <c r="W215" s="191"/>
      <c r="X215" s="76"/>
      <c r="Y215" s="74"/>
      <c r="Z215" s="81"/>
      <c r="AA215" s="76"/>
      <c r="AB215" s="76"/>
      <c r="AC215" s="76"/>
      <c r="AD215" s="85"/>
      <c r="AE215" s="76"/>
      <c r="AF215" s="76"/>
      <c r="AG215" s="194"/>
      <c r="AH215" s="86"/>
    </row>
    <row r="216" spans="1:34">
      <c r="A216" s="14">
        <f t="shared" ref="A216:A244" si="77">A215+1</f>
        <v>46144</v>
      </c>
      <c r="B216" s="67"/>
      <c r="C216" s="70"/>
      <c r="D216" s="70"/>
      <c r="E216" s="70"/>
      <c r="F216" s="70"/>
      <c r="G216" s="70"/>
      <c r="H216" s="71"/>
      <c r="I216" s="71"/>
      <c r="J216" s="70"/>
      <c r="K216" s="192"/>
      <c r="L216" s="77"/>
      <c r="M216" s="74"/>
      <c r="N216" s="78"/>
      <c r="O216" s="70"/>
      <c r="P216" s="70"/>
      <c r="Q216" s="70"/>
      <c r="R216" s="70"/>
      <c r="S216" s="70"/>
      <c r="T216" s="70"/>
      <c r="U216" s="70"/>
      <c r="V216" s="70"/>
      <c r="W216" s="192"/>
      <c r="X216" s="70"/>
      <c r="Y216" s="74"/>
      <c r="Z216" s="67"/>
      <c r="AA216" s="70"/>
      <c r="AB216" s="70"/>
      <c r="AC216" s="70"/>
      <c r="AD216" s="82"/>
      <c r="AE216" s="70"/>
      <c r="AF216" s="70"/>
      <c r="AG216" s="192"/>
      <c r="AH216" s="87"/>
    </row>
    <row r="217" spans="1:34">
      <c r="A217" s="14">
        <f t="shared" si="77"/>
        <v>46145</v>
      </c>
      <c r="B217" s="67"/>
      <c r="C217" s="70"/>
      <c r="D217" s="70"/>
      <c r="E217" s="70"/>
      <c r="F217" s="70"/>
      <c r="G217" s="70"/>
      <c r="H217" s="71"/>
      <c r="I217" s="70"/>
      <c r="J217" s="70"/>
      <c r="K217" s="192"/>
      <c r="L217" s="77"/>
      <c r="M217" s="74"/>
      <c r="N217" s="70"/>
      <c r="O217" s="70"/>
      <c r="P217" s="70"/>
      <c r="Q217" s="70"/>
      <c r="R217" s="70"/>
      <c r="S217" s="70"/>
      <c r="T217" s="82"/>
      <c r="U217" s="70"/>
      <c r="V217" s="70"/>
      <c r="W217" s="192"/>
      <c r="X217" s="83"/>
      <c r="Y217" s="74"/>
      <c r="Z217" s="67"/>
      <c r="AA217" s="70"/>
      <c r="AB217" s="70"/>
      <c r="AC217" s="70"/>
      <c r="AD217" s="82"/>
      <c r="AE217" s="70"/>
      <c r="AF217" s="70"/>
      <c r="AG217" s="192"/>
      <c r="AH217" s="87"/>
    </row>
    <row r="218" spans="1:34">
      <c r="A218" s="14">
        <f t="shared" si="77"/>
        <v>46146</v>
      </c>
      <c r="B218" s="67"/>
      <c r="C218" s="70"/>
      <c r="D218" s="70"/>
      <c r="E218" s="70"/>
      <c r="F218" s="70"/>
      <c r="G218" s="70"/>
      <c r="H218" s="71"/>
      <c r="I218" s="71"/>
      <c r="J218" s="70"/>
      <c r="K218" s="192"/>
      <c r="L218" s="77"/>
      <c r="M218" s="74"/>
      <c r="N218" s="78"/>
      <c r="O218" s="70"/>
      <c r="P218" s="70"/>
      <c r="Q218" s="70"/>
      <c r="R218" s="70"/>
      <c r="S218" s="70"/>
      <c r="T218" s="82"/>
      <c r="U218" s="70"/>
      <c r="V218" s="70"/>
      <c r="W218" s="192"/>
      <c r="X218" s="83"/>
      <c r="Y218" s="74"/>
      <c r="Z218" s="67"/>
      <c r="AA218" s="70"/>
      <c r="AB218" s="70"/>
      <c r="AC218" s="70"/>
      <c r="AD218" s="82"/>
      <c r="AE218" s="70"/>
      <c r="AF218" s="70"/>
      <c r="AG218" s="192"/>
      <c r="AH218" s="87"/>
    </row>
    <row r="219" spans="1:34">
      <c r="A219" s="14">
        <f t="shared" si="77"/>
        <v>46147</v>
      </c>
      <c r="B219" s="67"/>
      <c r="C219" s="70"/>
      <c r="D219" s="70"/>
      <c r="E219" s="70"/>
      <c r="F219" s="70"/>
      <c r="G219" s="70"/>
      <c r="H219" s="71"/>
      <c r="I219" s="71"/>
      <c r="J219" s="70"/>
      <c r="K219" s="192"/>
      <c r="L219" s="77"/>
      <c r="M219" s="74"/>
      <c r="N219" s="78"/>
      <c r="O219" s="70"/>
      <c r="P219" s="70"/>
      <c r="Q219" s="70"/>
      <c r="R219" s="70"/>
      <c r="S219" s="70"/>
      <c r="T219" s="82"/>
      <c r="U219" s="70"/>
      <c r="V219" s="70"/>
      <c r="W219" s="192"/>
      <c r="X219" s="84"/>
      <c r="Y219" s="74"/>
      <c r="Z219" s="67"/>
      <c r="AA219" s="70"/>
      <c r="AB219" s="70"/>
      <c r="AC219" s="70"/>
      <c r="AD219" s="82"/>
      <c r="AE219" s="70"/>
      <c r="AF219" s="70"/>
      <c r="AG219" s="192"/>
      <c r="AH219" s="88"/>
    </row>
    <row r="220" spans="1:34">
      <c r="A220" s="14">
        <f t="shared" si="77"/>
        <v>46148</v>
      </c>
      <c r="B220" s="67"/>
      <c r="C220" s="70"/>
      <c r="D220" s="70"/>
      <c r="E220" s="70"/>
      <c r="F220" s="70"/>
      <c r="G220" s="70"/>
      <c r="H220" s="71"/>
      <c r="I220" s="71"/>
      <c r="J220" s="70"/>
      <c r="K220" s="192"/>
      <c r="L220" s="77"/>
      <c r="M220" s="74"/>
      <c r="N220" s="78"/>
      <c r="O220" s="70"/>
      <c r="P220" s="70"/>
      <c r="Q220" s="70"/>
      <c r="R220" s="70"/>
      <c r="S220" s="70"/>
      <c r="T220" s="82"/>
      <c r="U220" s="70"/>
      <c r="V220" s="70"/>
      <c r="W220" s="192"/>
      <c r="X220" s="84"/>
      <c r="Y220" s="74"/>
      <c r="Z220" s="67"/>
      <c r="AA220" s="70"/>
      <c r="AB220" s="70"/>
      <c r="AC220" s="70"/>
      <c r="AD220" s="82"/>
      <c r="AE220" s="70"/>
      <c r="AF220" s="70"/>
      <c r="AG220" s="192"/>
      <c r="AH220" s="88"/>
    </row>
    <row r="221" spans="1:34">
      <c r="A221" s="14">
        <f t="shared" si="77"/>
        <v>46149</v>
      </c>
      <c r="B221" s="67"/>
      <c r="C221" s="70"/>
      <c r="D221" s="70"/>
      <c r="E221" s="70"/>
      <c r="F221" s="70"/>
      <c r="G221" s="70"/>
      <c r="H221" s="71"/>
      <c r="I221" s="71"/>
      <c r="J221" s="70"/>
      <c r="K221" s="192"/>
      <c r="L221" s="77"/>
      <c r="M221" s="74"/>
      <c r="N221" s="78"/>
      <c r="O221" s="79"/>
      <c r="P221" s="70"/>
      <c r="Q221" s="70"/>
      <c r="R221" s="70"/>
      <c r="S221" s="70"/>
      <c r="T221" s="82"/>
      <c r="U221" s="70"/>
      <c r="V221" s="70"/>
      <c r="W221" s="192"/>
      <c r="X221" s="84"/>
      <c r="Y221" s="74"/>
      <c r="Z221" s="67"/>
      <c r="AA221" s="70"/>
      <c r="AB221" s="70"/>
      <c r="AC221" s="70"/>
      <c r="AD221" s="82"/>
      <c r="AE221" s="70"/>
      <c r="AF221" s="70"/>
      <c r="AG221" s="192"/>
      <c r="AH221" s="88"/>
    </row>
    <row r="222" spans="1:34">
      <c r="A222" s="14">
        <f t="shared" si="77"/>
        <v>46150</v>
      </c>
      <c r="B222" s="67"/>
      <c r="C222" s="70"/>
      <c r="D222" s="70"/>
      <c r="E222" s="70"/>
      <c r="F222" s="70"/>
      <c r="G222" s="70"/>
      <c r="H222" s="71"/>
      <c r="I222" s="71"/>
      <c r="J222" s="70"/>
      <c r="K222" s="192"/>
      <c r="L222" s="77"/>
      <c r="M222" s="74"/>
      <c r="N222" s="78"/>
      <c r="O222" s="70"/>
      <c r="P222" s="70"/>
      <c r="Q222" s="70"/>
      <c r="R222" s="70"/>
      <c r="S222" s="70"/>
      <c r="T222" s="82"/>
      <c r="U222" s="70"/>
      <c r="V222" s="70"/>
      <c r="W222" s="192"/>
      <c r="X222" s="83"/>
      <c r="Y222" s="74"/>
      <c r="Z222" s="67"/>
      <c r="AA222" s="70"/>
      <c r="AB222" s="70"/>
      <c r="AC222" s="70"/>
      <c r="AD222" s="82"/>
      <c r="AE222" s="70"/>
      <c r="AF222" s="70"/>
      <c r="AG222" s="192"/>
      <c r="AH222" s="87"/>
    </row>
    <row r="223" spans="1:34">
      <c r="A223" s="14">
        <f t="shared" si="77"/>
        <v>46151</v>
      </c>
      <c r="B223" s="67"/>
      <c r="C223" s="70"/>
      <c r="D223" s="70"/>
      <c r="E223" s="70"/>
      <c r="F223" s="70"/>
      <c r="G223" s="70"/>
      <c r="H223" s="71"/>
      <c r="I223" s="71"/>
      <c r="J223" s="70"/>
      <c r="K223" s="192"/>
      <c r="L223" s="77"/>
      <c r="M223" s="74"/>
      <c r="N223" s="78"/>
      <c r="O223" s="70"/>
      <c r="P223" s="70"/>
      <c r="Q223" s="70"/>
      <c r="R223" s="70"/>
      <c r="S223" s="70"/>
      <c r="T223" s="82"/>
      <c r="U223" s="70"/>
      <c r="V223" s="70"/>
      <c r="W223" s="192"/>
      <c r="X223" s="83"/>
      <c r="Y223" s="74"/>
      <c r="Z223" s="67"/>
      <c r="AA223" s="70"/>
      <c r="AB223" s="70"/>
      <c r="AC223" s="70"/>
      <c r="AD223" s="82"/>
      <c r="AE223" s="70"/>
      <c r="AF223" s="70"/>
      <c r="AG223" s="192"/>
      <c r="AH223" s="87"/>
    </row>
    <row r="224" spans="1:34">
      <c r="A224" s="14">
        <f t="shared" si="77"/>
        <v>46152</v>
      </c>
      <c r="B224" s="67"/>
      <c r="C224" s="70"/>
      <c r="D224" s="70"/>
      <c r="E224" s="70"/>
      <c r="F224" s="70"/>
      <c r="G224" s="70"/>
      <c r="H224" s="71"/>
      <c r="I224" s="71"/>
      <c r="J224" s="70"/>
      <c r="K224" s="192"/>
      <c r="L224" s="77"/>
      <c r="M224" s="74"/>
      <c r="N224" s="78"/>
      <c r="O224" s="70"/>
      <c r="P224" s="70"/>
      <c r="Q224" s="70"/>
      <c r="R224" s="70"/>
      <c r="S224" s="70"/>
      <c r="T224" s="82"/>
      <c r="U224" s="70"/>
      <c r="V224" s="70"/>
      <c r="W224" s="192"/>
      <c r="X224" s="83"/>
      <c r="Y224" s="74"/>
      <c r="Z224" s="67"/>
      <c r="AA224" s="70"/>
      <c r="AB224" s="70"/>
      <c r="AC224" s="70"/>
      <c r="AD224" s="82"/>
      <c r="AE224" s="70"/>
      <c r="AF224" s="70"/>
      <c r="AG224" s="192"/>
      <c r="AH224" s="87"/>
    </row>
    <row r="225" spans="1:34">
      <c r="A225" s="14">
        <f t="shared" si="77"/>
        <v>46153</v>
      </c>
      <c r="B225" s="38"/>
      <c r="C225" s="13"/>
      <c r="D225" s="13"/>
      <c r="E225" s="13"/>
      <c r="F225" s="13"/>
      <c r="G225" s="13"/>
      <c r="H225" s="12"/>
      <c r="I225" s="12"/>
      <c r="J225" s="13"/>
      <c r="K225" s="184"/>
      <c r="L225" s="26"/>
      <c r="M225" s="22"/>
      <c r="N225" s="29"/>
      <c r="O225" s="13"/>
      <c r="P225" s="13"/>
      <c r="Q225" s="13"/>
      <c r="R225" s="13"/>
      <c r="S225" s="13"/>
      <c r="T225" s="36"/>
      <c r="U225" s="13"/>
      <c r="V225" s="13"/>
      <c r="W225" s="184"/>
      <c r="X225" s="37"/>
      <c r="Y225" s="22"/>
      <c r="Z225" s="38"/>
      <c r="AA225" s="13"/>
      <c r="AB225" s="13"/>
      <c r="AC225" s="13"/>
      <c r="AD225" s="36"/>
      <c r="AE225" s="13"/>
      <c r="AF225" s="13"/>
      <c r="AG225" s="184"/>
      <c r="AH225" s="45"/>
    </row>
    <row r="226" spans="1:34">
      <c r="A226" s="14">
        <f t="shared" si="77"/>
        <v>46154</v>
      </c>
      <c r="B226" s="38"/>
      <c r="C226" s="13"/>
      <c r="D226" s="13"/>
      <c r="E226" s="13"/>
      <c r="F226" s="13"/>
      <c r="G226" s="13"/>
      <c r="H226" s="12"/>
      <c r="I226" s="12"/>
      <c r="J226" s="13"/>
      <c r="K226" s="184"/>
      <c r="L226" s="26"/>
      <c r="M226" s="22"/>
      <c r="N226" s="29"/>
      <c r="O226" s="13"/>
      <c r="P226" s="13"/>
      <c r="Q226" s="13"/>
      <c r="R226" s="13"/>
      <c r="S226" s="13"/>
      <c r="T226" s="36"/>
      <c r="U226" s="13"/>
      <c r="V226" s="13"/>
      <c r="W226" s="184"/>
      <c r="X226" s="37"/>
      <c r="Y226" s="22"/>
      <c r="Z226" s="38"/>
      <c r="AA226" s="13"/>
      <c r="AB226" s="13"/>
      <c r="AC226" s="13"/>
      <c r="AD226" s="36"/>
      <c r="AE226" s="13"/>
      <c r="AF226" s="13"/>
      <c r="AG226" s="184"/>
      <c r="AH226" s="45"/>
    </row>
    <row r="227" spans="1:34">
      <c r="A227" s="14">
        <f t="shared" si="77"/>
        <v>46155</v>
      </c>
      <c r="B227" s="38"/>
      <c r="C227" s="13"/>
      <c r="D227" s="13"/>
      <c r="E227" s="13"/>
      <c r="F227" s="13"/>
      <c r="G227" s="13"/>
      <c r="H227" s="12"/>
      <c r="I227" s="12"/>
      <c r="J227" s="13"/>
      <c r="K227" s="184"/>
      <c r="L227" s="26"/>
      <c r="M227" s="22"/>
      <c r="N227" s="29"/>
      <c r="O227" s="13"/>
      <c r="P227" s="13"/>
      <c r="Q227" s="13"/>
      <c r="R227" s="13"/>
      <c r="S227" s="13"/>
      <c r="T227" s="36"/>
      <c r="U227" s="13"/>
      <c r="V227" s="13"/>
      <c r="W227" s="184"/>
      <c r="X227" s="37"/>
      <c r="Y227" s="22"/>
      <c r="Z227" s="38"/>
      <c r="AA227" s="13"/>
      <c r="AB227" s="13"/>
      <c r="AC227" s="13"/>
      <c r="AD227" s="36"/>
      <c r="AE227" s="13"/>
      <c r="AF227" s="13"/>
      <c r="AG227" s="184"/>
      <c r="AH227" s="45"/>
    </row>
    <row r="228" spans="1:34">
      <c r="A228" s="14">
        <f t="shared" si="77"/>
        <v>46156</v>
      </c>
      <c r="B228" s="38"/>
      <c r="C228" s="13"/>
      <c r="D228" s="13"/>
      <c r="E228" s="13"/>
      <c r="F228" s="13"/>
      <c r="G228" s="13"/>
      <c r="H228" s="72"/>
      <c r="I228" s="80"/>
      <c r="J228" s="13"/>
      <c r="K228" s="184"/>
      <c r="L228" s="26"/>
      <c r="M228" s="22"/>
      <c r="N228" s="29"/>
      <c r="O228" s="13"/>
      <c r="P228" s="13"/>
      <c r="Q228" s="13"/>
      <c r="R228" s="13"/>
      <c r="S228" s="13"/>
      <c r="T228" s="36"/>
      <c r="U228" s="13"/>
      <c r="V228" s="13"/>
      <c r="W228" s="184"/>
      <c r="X228" s="37"/>
      <c r="Y228" s="22"/>
      <c r="Z228" s="38"/>
      <c r="AA228" s="13"/>
      <c r="AB228" s="13"/>
      <c r="AC228" s="13"/>
      <c r="AD228" s="36"/>
      <c r="AE228" s="13"/>
      <c r="AF228" s="13"/>
      <c r="AG228" s="184"/>
      <c r="AH228" s="37"/>
    </row>
    <row r="229" spans="1:34">
      <c r="A229" s="14">
        <f t="shared" si="77"/>
        <v>46157</v>
      </c>
      <c r="B229" s="38"/>
      <c r="C229" s="13"/>
      <c r="D229" s="13"/>
      <c r="E229" s="13"/>
      <c r="F229" s="13"/>
      <c r="G229" s="13"/>
      <c r="H229" s="72"/>
      <c r="I229" s="80"/>
      <c r="J229" s="13"/>
      <c r="K229" s="184"/>
      <c r="L229" s="26"/>
      <c r="M229" s="22"/>
      <c r="N229" s="29"/>
      <c r="O229" s="13"/>
      <c r="P229" s="13"/>
      <c r="Q229" s="13"/>
      <c r="R229" s="13"/>
      <c r="S229" s="13"/>
      <c r="T229" s="36"/>
      <c r="U229" s="13"/>
      <c r="V229" s="13"/>
      <c r="W229" s="184"/>
      <c r="X229" s="37"/>
      <c r="Y229" s="22"/>
      <c r="Z229" s="38"/>
      <c r="AA229" s="13"/>
      <c r="AB229" s="13"/>
      <c r="AC229" s="13"/>
      <c r="AD229" s="36"/>
      <c r="AE229" s="13"/>
      <c r="AF229" s="13"/>
      <c r="AG229" s="184"/>
      <c r="AH229" s="37"/>
    </row>
    <row r="230" spans="1:34">
      <c r="A230" s="14">
        <f t="shared" si="77"/>
        <v>46158</v>
      </c>
      <c r="B230" s="38"/>
      <c r="C230" s="13"/>
      <c r="D230" s="13"/>
      <c r="E230" s="13"/>
      <c r="F230" s="13"/>
      <c r="G230" s="13"/>
      <c r="H230" s="12"/>
      <c r="I230" s="12"/>
      <c r="J230" s="13"/>
      <c r="K230" s="184"/>
      <c r="L230" s="26"/>
      <c r="M230" s="22"/>
      <c r="N230" s="29"/>
      <c r="O230" s="13"/>
      <c r="P230" s="13"/>
      <c r="Q230" s="13"/>
      <c r="R230" s="13"/>
      <c r="S230" s="13"/>
      <c r="T230" s="36"/>
      <c r="U230" s="13"/>
      <c r="V230" s="13"/>
      <c r="W230" s="184"/>
      <c r="X230" s="37"/>
      <c r="Y230" s="22"/>
      <c r="Z230" s="38"/>
      <c r="AA230" s="13"/>
      <c r="AB230" s="13"/>
      <c r="AC230" s="13"/>
      <c r="AD230" s="36"/>
      <c r="AE230" s="13"/>
      <c r="AF230" s="13"/>
      <c r="AG230" s="184"/>
      <c r="AH230" s="37"/>
    </row>
    <row r="231" spans="1:34">
      <c r="A231" s="14">
        <f t="shared" si="77"/>
        <v>46159</v>
      </c>
      <c r="B231" s="38"/>
      <c r="C231" s="13"/>
      <c r="D231" s="13"/>
      <c r="E231" s="13"/>
      <c r="F231" s="13"/>
      <c r="G231" s="13"/>
      <c r="H231" s="12"/>
      <c r="I231" s="12"/>
      <c r="J231" s="13"/>
      <c r="K231" s="184"/>
      <c r="L231" s="26"/>
      <c r="M231" s="22"/>
      <c r="N231" s="29"/>
      <c r="O231" s="13"/>
      <c r="P231" s="13"/>
      <c r="Q231" s="13"/>
      <c r="R231" s="13"/>
      <c r="S231" s="13"/>
      <c r="T231" s="36"/>
      <c r="U231" s="13"/>
      <c r="V231" s="13"/>
      <c r="W231" s="184"/>
      <c r="X231" s="37"/>
      <c r="Y231" s="22"/>
      <c r="Z231" s="38"/>
      <c r="AA231" s="13"/>
      <c r="AB231" s="13"/>
      <c r="AC231" s="13"/>
      <c r="AD231" s="36"/>
      <c r="AE231" s="13"/>
      <c r="AF231" s="13"/>
      <c r="AG231" s="184"/>
      <c r="AH231" s="37"/>
    </row>
    <row r="232" spans="1:34">
      <c r="A232" s="14">
        <f t="shared" si="77"/>
        <v>46160</v>
      </c>
      <c r="B232" s="38"/>
      <c r="C232" s="13"/>
      <c r="D232" s="13"/>
      <c r="E232" s="13"/>
      <c r="F232" s="13"/>
      <c r="G232" s="13"/>
      <c r="H232" s="12"/>
      <c r="I232" s="12"/>
      <c r="J232" s="13"/>
      <c r="K232" s="184"/>
      <c r="L232" s="26"/>
      <c r="M232" s="22"/>
      <c r="N232" s="29"/>
      <c r="O232" s="13"/>
      <c r="P232" s="13"/>
      <c r="Q232" s="13"/>
      <c r="R232" s="13"/>
      <c r="S232" s="13"/>
      <c r="T232" s="36"/>
      <c r="U232" s="13"/>
      <c r="V232" s="13"/>
      <c r="W232" s="184"/>
      <c r="X232" s="37"/>
      <c r="Y232" s="22"/>
      <c r="Z232" s="38"/>
      <c r="AA232" s="13"/>
      <c r="AB232" s="13"/>
      <c r="AC232" s="13"/>
      <c r="AD232" s="36"/>
      <c r="AE232" s="13"/>
      <c r="AF232" s="13"/>
      <c r="AG232" s="184"/>
      <c r="AH232" s="37"/>
    </row>
    <row r="233" spans="1:34">
      <c r="A233" s="14">
        <f t="shared" si="77"/>
        <v>46161</v>
      </c>
      <c r="B233" s="38"/>
      <c r="C233" s="13"/>
      <c r="D233" s="13"/>
      <c r="E233" s="13"/>
      <c r="F233" s="13"/>
      <c r="G233" s="13"/>
      <c r="H233" s="12"/>
      <c r="I233" s="12"/>
      <c r="J233" s="13"/>
      <c r="K233" s="184"/>
      <c r="L233" s="37"/>
      <c r="M233" s="22"/>
      <c r="N233" s="29"/>
      <c r="O233" s="13"/>
      <c r="P233" s="13"/>
      <c r="Q233" s="13"/>
      <c r="R233" s="13"/>
      <c r="S233" s="13"/>
      <c r="T233" s="36"/>
      <c r="U233" s="13"/>
      <c r="V233" s="13"/>
      <c r="W233" s="184"/>
      <c r="X233" s="37"/>
      <c r="Y233" s="22"/>
      <c r="Z233" s="38"/>
      <c r="AA233" s="13"/>
      <c r="AB233" s="13"/>
      <c r="AC233" s="13"/>
      <c r="AD233" s="36"/>
      <c r="AE233" s="13"/>
      <c r="AF233" s="13"/>
      <c r="AG233" s="184"/>
      <c r="AH233" s="37"/>
    </row>
    <row r="234" spans="1:34">
      <c r="A234" s="14">
        <f t="shared" si="77"/>
        <v>46162</v>
      </c>
      <c r="B234" s="38"/>
      <c r="C234" s="13"/>
      <c r="D234" s="13"/>
      <c r="E234" s="13"/>
      <c r="F234" s="13"/>
      <c r="G234" s="13"/>
      <c r="H234" s="12"/>
      <c r="I234" s="13"/>
      <c r="J234" s="13"/>
      <c r="K234" s="184"/>
      <c r="L234" s="26"/>
      <c r="M234" s="22"/>
      <c r="N234" s="29"/>
      <c r="O234" s="13"/>
      <c r="P234" s="13"/>
      <c r="Q234" s="13"/>
      <c r="R234" s="13"/>
      <c r="S234" s="13"/>
      <c r="T234" s="36"/>
      <c r="U234" s="13"/>
      <c r="V234" s="13"/>
      <c r="W234" s="184"/>
      <c r="X234" s="37"/>
      <c r="Y234" s="22"/>
      <c r="Z234" s="38"/>
      <c r="AA234" s="13"/>
      <c r="AB234" s="13"/>
      <c r="AC234" s="13"/>
      <c r="AD234" s="36"/>
      <c r="AE234" s="13"/>
      <c r="AF234" s="13"/>
      <c r="AG234" s="184"/>
      <c r="AH234" s="37"/>
    </row>
    <row r="235" spans="1:34">
      <c r="A235" s="14">
        <f t="shared" si="77"/>
        <v>46163</v>
      </c>
      <c r="B235" s="38"/>
      <c r="C235" s="13"/>
      <c r="D235" s="13"/>
      <c r="E235" s="13"/>
      <c r="F235" s="13"/>
      <c r="G235" s="13"/>
      <c r="H235" s="36"/>
      <c r="I235" s="12"/>
      <c r="J235" s="13"/>
      <c r="K235" s="184"/>
      <c r="L235" s="37"/>
      <c r="M235" s="22"/>
      <c r="N235" s="29"/>
      <c r="O235" s="13"/>
      <c r="P235" s="13"/>
      <c r="Q235" s="13"/>
      <c r="R235" s="13"/>
      <c r="S235" s="13"/>
      <c r="T235" s="36"/>
      <c r="U235" s="13"/>
      <c r="V235" s="13"/>
      <c r="W235" s="184"/>
      <c r="X235" s="37"/>
      <c r="Y235" s="22"/>
      <c r="Z235" s="38"/>
      <c r="AA235" s="13"/>
      <c r="AB235" s="13"/>
      <c r="AC235" s="13"/>
      <c r="AD235" s="36"/>
      <c r="AE235" s="12"/>
      <c r="AF235" s="13"/>
      <c r="AG235" s="184"/>
      <c r="AH235" s="37"/>
    </row>
    <row r="236" spans="1:34">
      <c r="A236" s="14">
        <f t="shared" si="77"/>
        <v>46164</v>
      </c>
      <c r="B236" s="38"/>
      <c r="C236" s="13"/>
      <c r="D236" s="13"/>
      <c r="E236" s="13"/>
      <c r="F236" s="13"/>
      <c r="G236" s="13"/>
      <c r="H236" s="12"/>
      <c r="I236" s="13"/>
      <c r="J236" s="13"/>
      <c r="K236" s="184"/>
      <c r="L236" s="26"/>
      <c r="M236" s="22"/>
      <c r="N236" s="29"/>
      <c r="O236" s="13"/>
      <c r="P236" s="13"/>
      <c r="Q236" s="13"/>
      <c r="R236" s="13"/>
      <c r="S236" s="13"/>
      <c r="T236" s="36"/>
      <c r="U236" s="13"/>
      <c r="V236" s="13"/>
      <c r="W236" s="184"/>
      <c r="X236" s="37"/>
      <c r="Y236" s="22"/>
      <c r="Z236" s="38"/>
      <c r="AA236" s="13"/>
      <c r="AB236" s="13"/>
      <c r="AC236" s="13"/>
      <c r="AD236" s="36"/>
      <c r="AE236" s="13"/>
      <c r="AF236" s="13"/>
      <c r="AG236" s="184"/>
      <c r="AH236" s="37"/>
    </row>
    <row r="237" spans="1:34">
      <c r="A237" s="14">
        <f t="shared" si="77"/>
        <v>46165</v>
      </c>
      <c r="B237" s="29"/>
      <c r="C237" s="13"/>
      <c r="D237" s="13"/>
      <c r="E237" s="13"/>
      <c r="F237" s="13"/>
      <c r="G237" s="13"/>
      <c r="H237" s="13"/>
      <c r="I237" s="13"/>
      <c r="J237" s="13"/>
      <c r="K237" s="184"/>
      <c r="L237" s="37"/>
      <c r="M237" s="22"/>
      <c r="N237" s="29"/>
      <c r="O237" s="13"/>
      <c r="P237" s="13"/>
      <c r="Q237" s="13"/>
      <c r="R237" s="13"/>
      <c r="S237" s="13"/>
      <c r="T237" s="36"/>
      <c r="U237" s="13"/>
      <c r="V237" s="13"/>
      <c r="W237" s="184"/>
      <c r="X237" s="37"/>
      <c r="Y237" s="22"/>
      <c r="Z237" s="38"/>
      <c r="AA237" s="13"/>
      <c r="AB237" s="13"/>
      <c r="AC237" s="13"/>
      <c r="AD237" s="36"/>
      <c r="AE237" s="13"/>
      <c r="AF237" s="13"/>
      <c r="AG237" s="184"/>
      <c r="AH237" s="37"/>
    </row>
    <row r="238" spans="1:34">
      <c r="A238" s="14">
        <f t="shared" si="77"/>
        <v>46166</v>
      </c>
      <c r="B238" s="29"/>
      <c r="C238" s="13"/>
      <c r="D238" s="13"/>
      <c r="E238" s="13"/>
      <c r="F238" s="13"/>
      <c r="G238" s="13"/>
      <c r="H238" s="13"/>
      <c r="I238" s="13"/>
      <c r="J238" s="13"/>
      <c r="K238" s="184"/>
      <c r="L238" s="37"/>
      <c r="M238" s="22"/>
      <c r="N238" s="29"/>
      <c r="O238" s="13"/>
      <c r="P238" s="13"/>
      <c r="Q238" s="13"/>
      <c r="R238" s="13"/>
      <c r="S238" s="13"/>
      <c r="T238" s="36"/>
      <c r="U238" s="13"/>
      <c r="V238" s="13"/>
      <c r="W238" s="184"/>
      <c r="X238" s="37"/>
      <c r="Y238" s="22"/>
      <c r="Z238" s="38"/>
      <c r="AA238" s="13"/>
      <c r="AB238" s="13"/>
      <c r="AC238" s="13"/>
      <c r="AD238" s="36"/>
      <c r="AE238" s="13"/>
      <c r="AF238" s="13"/>
      <c r="AG238" s="184"/>
      <c r="AH238" s="37"/>
    </row>
    <row r="239" spans="1:34">
      <c r="A239" s="14">
        <f t="shared" si="77"/>
        <v>46167</v>
      </c>
      <c r="B239" s="29"/>
      <c r="C239" s="13"/>
      <c r="D239" s="13"/>
      <c r="E239" s="13"/>
      <c r="F239" s="13"/>
      <c r="G239" s="13"/>
      <c r="H239" s="13"/>
      <c r="I239" s="13"/>
      <c r="J239" s="13"/>
      <c r="K239" s="184"/>
      <c r="L239" s="37"/>
      <c r="M239" s="22"/>
      <c r="N239" s="29"/>
      <c r="O239" s="13"/>
      <c r="P239" s="13"/>
      <c r="Q239" s="13"/>
      <c r="R239" s="13"/>
      <c r="S239" s="13"/>
      <c r="T239" s="36"/>
      <c r="U239" s="13"/>
      <c r="V239" s="13"/>
      <c r="W239" s="184"/>
      <c r="X239" s="37"/>
      <c r="Y239" s="22"/>
      <c r="Z239" s="38"/>
      <c r="AA239" s="13"/>
      <c r="AB239" s="13"/>
      <c r="AC239" s="13"/>
      <c r="AD239" s="36"/>
      <c r="AE239" s="13"/>
      <c r="AF239" s="13"/>
      <c r="AG239" s="184"/>
      <c r="AH239" s="37"/>
    </row>
    <row r="240" spans="1:34">
      <c r="A240" s="14">
        <f t="shared" si="77"/>
        <v>46168</v>
      </c>
      <c r="B240" s="29"/>
      <c r="C240" s="13"/>
      <c r="D240" s="13"/>
      <c r="E240" s="13"/>
      <c r="F240" s="13"/>
      <c r="G240" s="13"/>
      <c r="H240" s="13"/>
      <c r="I240" s="13"/>
      <c r="J240" s="13"/>
      <c r="K240" s="184"/>
      <c r="L240" s="37"/>
      <c r="M240" s="22"/>
      <c r="N240" s="29"/>
      <c r="O240" s="13"/>
      <c r="P240" s="13"/>
      <c r="Q240" s="13"/>
      <c r="R240" s="13"/>
      <c r="S240" s="13"/>
      <c r="T240" s="36"/>
      <c r="U240" s="13"/>
      <c r="V240" s="13"/>
      <c r="W240" s="184"/>
      <c r="X240" s="51"/>
      <c r="Y240" s="22"/>
      <c r="Z240" s="38"/>
      <c r="AA240" s="13"/>
      <c r="AB240" s="13"/>
      <c r="AC240" s="13"/>
      <c r="AD240" s="36"/>
      <c r="AE240" s="13"/>
      <c r="AF240" s="13"/>
      <c r="AG240" s="184"/>
      <c r="AH240" s="51"/>
    </row>
    <row r="241" spans="1:34">
      <c r="A241" s="14">
        <f t="shared" si="77"/>
        <v>46169</v>
      </c>
      <c r="B241" s="29"/>
      <c r="C241" s="13"/>
      <c r="D241" s="13"/>
      <c r="E241" s="13"/>
      <c r="F241" s="13"/>
      <c r="G241" s="13"/>
      <c r="H241" s="13"/>
      <c r="I241" s="13"/>
      <c r="J241" s="13"/>
      <c r="K241" s="184"/>
      <c r="L241" s="37"/>
      <c r="M241" s="22"/>
      <c r="N241" s="29"/>
      <c r="O241" s="13"/>
      <c r="P241" s="13"/>
      <c r="Q241" s="13"/>
      <c r="R241" s="13"/>
      <c r="S241" s="13"/>
      <c r="T241" s="36"/>
      <c r="U241" s="13"/>
      <c r="V241" s="13"/>
      <c r="W241" s="184"/>
      <c r="X241" s="37"/>
      <c r="Y241" s="22"/>
      <c r="Z241" s="38"/>
      <c r="AA241" s="13"/>
      <c r="AB241" s="13"/>
      <c r="AC241" s="13"/>
      <c r="AD241" s="36"/>
      <c r="AE241" s="13"/>
      <c r="AF241" s="13"/>
      <c r="AG241" s="184"/>
      <c r="AH241" s="37"/>
    </row>
    <row r="242" spans="1:34">
      <c r="A242" s="14">
        <f t="shared" si="77"/>
        <v>46170</v>
      </c>
      <c r="B242" s="29"/>
      <c r="C242" s="13"/>
      <c r="D242" s="13"/>
      <c r="E242" s="13"/>
      <c r="F242" s="13"/>
      <c r="G242" s="13"/>
      <c r="H242" s="13"/>
      <c r="I242" s="13"/>
      <c r="J242" s="13"/>
      <c r="K242" s="184"/>
      <c r="L242" s="37"/>
      <c r="M242" s="22"/>
      <c r="N242" s="29"/>
      <c r="O242" s="13"/>
      <c r="P242" s="13"/>
      <c r="Q242" s="13"/>
      <c r="R242" s="13"/>
      <c r="S242" s="13"/>
      <c r="T242" s="36"/>
      <c r="U242" s="13"/>
      <c r="V242" s="13"/>
      <c r="W242" s="184"/>
      <c r="X242" s="37"/>
      <c r="Y242" s="22"/>
      <c r="Z242" s="38"/>
      <c r="AA242" s="13"/>
      <c r="AB242" s="13"/>
      <c r="AC242" s="13"/>
      <c r="AD242" s="36"/>
      <c r="AE242" s="13"/>
      <c r="AF242" s="13"/>
      <c r="AG242" s="184"/>
      <c r="AH242" s="37"/>
    </row>
    <row r="243" spans="1:34">
      <c r="A243" s="14">
        <f t="shared" si="77"/>
        <v>46171</v>
      </c>
      <c r="B243" s="29"/>
      <c r="C243" s="13"/>
      <c r="D243" s="13"/>
      <c r="E243" s="13"/>
      <c r="F243" s="13"/>
      <c r="G243" s="13"/>
      <c r="H243" s="13"/>
      <c r="I243" s="13"/>
      <c r="J243" s="13"/>
      <c r="K243" s="184"/>
      <c r="L243" s="37"/>
      <c r="M243" s="22"/>
      <c r="N243" s="29"/>
      <c r="O243" s="13"/>
      <c r="P243" s="13"/>
      <c r="Q243" s="13"/>
      <c r="R243" s="13"/>
      <c r="S243" s="13"/>
      <c r="T243" s="36"/>
      <c r="U243" s="13"/>
      <c r="V243" s="13"/>
      <c r="W243" s="184"/>
      <c r="X243" s="37"/>
      <c r="Y243" s="22"/>
      <c r="Z243" s="38"/>
      <c r="AA243" s="13"/>
      <c r="AB243" s="13"/>
      <c r="AC243" s="13"/>
      <c r="AD243" s="36"/>
      <c r="AE243" s="13"/>
      <c r="AF243" s="13"/>
      <c r="AG243" s="184"/>
      <c r="AH243" s="37"/>
    </row>
    <row r="244" spans="1:34">
      <c r="A244" s="14">
        <f t="shared" si="77"/>
        <v>46172</v>
      </c>
      <c r="B244" s="29"/>
      <c r="C244" s="13"/>
      <c r="D244" s="13"/>
      <c r="E244" s="13"/>
      <c r="F244" s="13"/>
      <c r="G244" s="13"/>
      <c r="H244" s="13"/>
      <c r="I244" s="13"/>
      <c r="J244" s="13"/>
      <c r="K244" s="184"/>
      <c r="L244" s="37"/>
      <c r="M244" s="22"/>
      <c r="N244" s="29"/>
      <c r="O244" s="13"/>
      <c r="P244" s="47"/>
      <c r="Q244" s="47"/>
      <c r="R244" s="47"/>
      <c r="S244" s="47"/>
      <c r="T244" s="52"/>
      <c r="U244" s="47"/>
      <c r="V244" s="53"/>
      <c r="W244" s="184"/>
      <c r="X244" s="48"/>
      <c r="Y244" s="22"/>
      <c r="Z244" s="38"/>
      <c r="AA244" s="13"/>
      <c r="AB244" s="47"/>
      <c r="AC244" s="47"/>
      <c r="AD244" s="52"/>
      <c r="AE244" s="13"/>
      <c r="AF244" s="53"/>
      <c r="AG244" s="53"/>
      <c r="AH244" s="37"/>
    </row>
    <row r="245" spans="1:34" ht="15.75" thickBot="1">
      <c r="A245" s="15"/>
      <c r="B245" s="29"/>
      <c r="C245" s="13"/>
      <c r="D245" s="13"/>
      <c r="E245" s="13"/>
      <c r="F245" s="13"/>
      <c r="G245" s="13"/>
      <c r="H245" s="13"/>
      <c r="I245" s="13"/>
      <c r="J245" s="13"/>
      <c r="K245" s="184"/>
      <c r="L245" s="37"/>
      <c r="M245" s="22"/>
      <c r="N245" s="56"/>
      <c r="O245" s="47"/>
      <c r="P245" s="47"/>
      <c r="Q245" s="47"/>
      <c r="R245" s="47"/>
      <c r="S245" s="47"/>
      <c r="T245" s="52"/>
      <c r="U245" s="47"/>
      <c r="V245" s="47"/>
      <c r="W245" s="184"/>
      <c r="X245" s="48"/>
      <c r="Y245" s="22"/>
      <c r="Z245" s="39"/>
      <c r="AA245" s="47"/>
      <c r="AB245" s="47"/>
      <c r="AC245" s="47"/>
      <c r="AD245" s="47"/>
      <c r="AE245" s="47"/>
      <c r="AF245" s="47"/>
      <c r="AG245" s="53"/>
      <c r="AH245" s="48"/>
    </row>
    <row r="246" spans="1:34">
      <c r="A246" s="16" t="s">
        <v>31</v>
      </c>
      <c r="B246" s="17">
        <f>MIN(B215:B245)</f>
        <v>0</v>
      </c>
      <c r="C246" s="17">
        <f>MIN(C215:C245)</f>
        <v>0</v>
      </c>
      <c r="D246" s="17">
        <f t="shared" ref="D246:L246" si="78">MIN(D215:D245)</f>
        <v>0</v>
      </c>
      <c r="E246" s="17">
        <f t="shared" si="78"/>
        <v>0</v>
      </c>
      <c r="F246" s="17">
        <f t="shared" si="78"/>
        <v>0</v>
      </c>
      <c r="G246" s="17">
        <f t="shared" si="78"/>
        <v>0</v>
      </c>
      <c r="H246" s="197">
        <f t="shared" si="78"/>
        <v>0</v>
      </c>
      <c r="I246" s="17">
        <f t="shared" si="78"/>
        <v>0</v>
      </c>
      <c r="J246" s="17">
        <f t="shared" si="78"/>
        <v>0</v>
      </c>
      <c r="K246" s="17">
        <f t="shared" si="78"/>
        <v>0</v>
      </c>
      <c r="L246" s="30">
        <f t="shared" si="78"/>
        <v>0</v>
      </c>
      <c r="M246" s="22"/>
      <c r="N246" s="17">
        <f>MIN(N215:N245)</f>
        <v>0</v>
      </c>
      <c r="O246" s="17">
        <f>MIN(O215:O245)</f>
        <v>0</v>
      </c>
      <c r="P246" s="17">
        <f t="shared" ref="P246:X246" si="79">MIN(P215:P245)</f>
        <v>0</v>
      </c>
      <c r="Q246" s="17">
        <f t="shared" si="79"/>
        <v>0</v>
      </c>
      <c r="R246" s="17">
        <f t="shared" si="79"/>
        <v>0</v>
      </c>
      <c r="S246" s="17">
        <f t="shared" si="79"/>
        <v>0</v>
      </c>
      <c r="T246" s="197">
        <f t="shared" si="79"/>
        <v>0</v>
      </c>
      <c r="U246" s="17">
        <f t="shared" si="79"/>
        <v>0</v>
      </c>
      <c r="V246" s="17">
        <f t="shared" si="79"/>
        <v>0</v>
      </c>
      <c r="W246" s="17">
        <f t="shared" si="79"/>
        <v>0</v>
      </c>
      <c r="X246" s="30">
        <f t="shared" si="79"/>
        <v>0</v>
      </c>
      <c r="Z246" s="40">
        <f t="shared" ref="Z246:AH246" si="80">MIN(Z215:Z245)</f>
        <v>0</v>
      </c>
      <c r="AA246" s="17">
        <f t="shared" si="80"/>
        <v>0</v>
      </c>
      <c r="AB246" s="17">
        <f t="shared" si="80"/>
        <v>0</v>
      </c>
      <c r="AC246" s="17">
        <f t="shared" si="80"/>
        <v>0</v>
      </c>
      <c r="AD246" s="197">
        <f t="shared" si="80"/>
        <v>0</v>
      </c>
      <c r="AE246" s="17">
        <f t="shared" si="80"/>
        <v>0</v>
      </c>
      <c r="AF246" s="17">
        <f t="shared" si="80"/>
        <v>0</v>
      </c>
      <c r="AG246" s="17">
        <f t="shared" si="80"/>
        <v>0</v>
      </c>
      <c r="AH246" s="30">
        <f t="shared" si="80"/>
        <v>0</v>
      </c>
    </row>
    <row r="247" spans="1:34">
      <c r="A247" s="18" t="s">
        <v>33</v>
      </c>
      <c r="B247" s="19">
        <f>MAX(B215:B245)</f>
        <v>0</v>
      </c>
      <c r="C247" s="19">
        <f>MAX(C215:C245)</f>
        <v>0</v>
      </c>
      <c r="D247" s="19">
        <f t="shared" ref="D247:L247" si="81">MAX(D215:D245)</f>
        <v>0</v>
      </c>
      <c r="E247" s="19">
        <f t="shared" si="81"/>
        <v>0</v>
      </c>
      <c r="F247" s="19">
        <f t="shared" si="81"/>
        <v>0</v>
      </c>
      <c r="G247" s="19">
        <f t="shared" si="81"/>
        <v>0</v>
      </c>
      <c r="H247" s="198">
        <f t="shared" si="81"/>
        <v>0</v>
      </c>
      <c r="I247" s="19">
        <f t="shared" si="81"/>
        <v>0</v>
      </c>
      <c r="J247" s="19">
        <f t="shared" si="81"/>
        <v>0</v>
      </c>
      <c r="K247" s="19">
        <f t="shared" si="81"/>
        <v>0</v>
      </c>
      <c r="L247" s="31">
        <f t="shared" si="81"/>
        <v>0</v>
      </c>
      <c r="M247" s="22"/>
      <c r="N247" s="19">
        <f>MAX(N215:N245)</f>
        <v>0</v>
      </c>
      <c r="O247" s="19">
        <f>MAX(O215:O245)</f>
        <v>0</v>
      </c>
      <c r="P247" s="19">
        <f t="shared" ref="P247:X247" si="82">MAX(P215:P245)</f>
        <v>0</v>
      </c>
      <c r="Q247" s="19">
        <f t="shared" si="82"/>
        <v>0</v>
      </c>
      <c r="R247" s="19">
        <f t="shared" si="82"/>
        <v>0</v>
      </c>
      <c r="S247" s="19">
        <f t="shared" si="82"/>
        <v>0</v>
      </c>
      <c r="T247" s="198">
        <f t="shared" si="82"/>
        <v>0</v>
      </c>
      <c r="U247" s="19">
        <f t="shared" si="82"/>
        <v>0</v>
      </c>
      <c r="V247" s="19">
        <f t="shared" si="82"/>
        <v>0</v>
      </c>
      <c r="W247" s="19">
        <f t="shared" si="82"/>
        <v>0</v>
      </c>
      <c r="X247" s="31">
        <f t="shared" si="82"/>
        <v>0</v>
      </c>
      <c r="Z247" s="41">
        <f t="shared" ref="Z247:AH247" si="83">MAX(Z215:Z245)</f>
        <v>0</v>
      </c>
      <c r="AA247" s="19">
        <f t="shared" si="83"/>
        <v>0</v>
      </c>
      <c r="AB247" s="19">
        <f t="shared" si="83"/>
        <v>0</v>
      </c>
      <c r="AC247" s="19">
        <f t="shared" si="83"/>
        <v>0</v>
      </c>
      <c r="AD247" s="198">
        <f t="shared" si="83"/>
        <v>0</v>
      </c>
      <c r="AE247" s="19">
        <f t="shared" si="83"/>
        <v>0</v>
      </c>
      <c r="AF247" s="19">
        <f t="shared" si="83"/>
        <v>0</v>
      </c>
      <c r="AG247" s="19">
        <f t="shared" si="83"/>
        <v>0</v>
      </c>
      <c r="AH247" s="31">
        <f t="shared" si="83"/>
        <v>0</v>
      </c>
    </row>
    <row r="248" spans="1:34">
      <c r="A248" s="18" t="s">
        <v>36</v>
      </c>
      <c r="B248" s="19" t="e">
        <f t="shared" ref="B248:L248" si="84">AVERAGE(B215:B245)</f>
        <v>#DIV/0!</v>
      </c>
      <c r="C248" s="19" t="e">
        <f t="shared" si="84"/>
        <v>#DIV/0!</v>
      </c>
      <c r="D248" s="19" t="e">
        <f t="shared" si="84"/>
        <v>#DIV/0!</v>
      </c>
      <c r="E248" s="19" t="e">
        <f t="shared" si="84"/>
        <v>#DIV/0!</v>
      </c>
      <c r="F248" s="19" t="e">
        <f t="shared" si="84"/>
        <v>#DIV/0!</v>
      </c>
      <c r="G248" s="19" t="e">
        <f t="shared" si="84"/>
        <v>#DIV/0!</v>
      </c>
      <c r="H248" s="198" t="e">
        <f t="shared" si="84"/>
        <v>#DIV/0!</v>
      </c>
      <c r="I248" s="19" t="e">
        <f t="shared" si="84"/>
        <v>#DIV/0!</v>
      </c>
      <c r="J248" s="19" t="e">
        <f t="shared" si="84"/>
        <v>#DIV/0!</v>
      </c>
      <c r="K248" s="19" t="e">
        <f t="shared" si="84"/>
        <v>#DIV/0!</v>
      </c>
      <c r="L248" s="31" t="e">
        <f t="shared" si="84"/>
        <v>#DIV/0!</v>
      </c>
      <c r="M248" s="22"/>
      <c r="N248" s="19" t="e">
        <f t="shared" ref="N248:X248" si="85">AVERAGE(N215:N245)</f>
        <v>#DIV/0!</v>
      </c>
      <c r="O248" s="19" t="e">
        <f t="shared" si="85"/>
        <v>#DIV/0!</v>
      </c>
      <c r="P248" s="19" t="e">
        <f t="shared" si="85"/>
        <v>#DIV/0!</v>
      </c>
      <c r="Q248" s="19" t="e">
        <f t="shared" si="85"/>
        <v>#DIV/0!</v>
      </c>
      <c r="R248" s="19" t="e">
        <f t="shared" si="85"/>
        <v>#DIV/0!</v>
      </c>
      <c r="S248" s="19" t="e">
        <f t="shared" si="85"/>
        <v>#DIV/0!</v>
      </c>
      <c r="T248" s="198" t="e">
        <f t="shared" si="85"/>
        <v>#DIV/0!</v>
      </c>
      <c r="U248" s="19" t="e">
        <f t="shared" si="85"/>
        <v>#DIV/0!</v>
      </c>
      <c r="V248" s="19" t="e">
        <f t="shared" si="85"/>
        <v>#DIV/0!</v>
      </c>
      <c r="W248" s="19" t="e">
        <f t="shared" si="85"/>
        <v>#DIV/0!</v>
      </c>
      <c r="X248" s="31" t="e">
        <f t="shared" si="85"/>
        <v>#DIV/0!</v>
      </c>
      <c r="Z248" s="41" t="e">
        <f>AVERAGE(Z215:Z245)</f>
        <v>#DIV/0!</v>
      </c>
      <c r="AA248" s="19" t="e">
        <f t="shared" ref="AA248:AH248" si="86">AVERAGE(AA215:AA245)</f>
        <v>#DIV/0!</v>
      </c>
      <c r="AB248" s="19" t="e">
        <f t="shared" si="86"/>
        <v>#DIV/0!</v>
      </c>
      <c r="AC248" s="19" t="e">
        <f t="shared" si="86"/>
        <v>#DIV/0!</v>
      </c>
      <c r="AD248" s="198" t="e">
        <f t="shared" si="86"/>
        <v>#DIV/0!</v>
      </c>
      <c r="AE248" s="19" t="e">
        <f t="shared" si="86"/>
        <v>#DIV/0!</v>
      </c>
      <c r="AF248" s="19" t="e">
        <f t="shared" si="86"/>
        <v>#DIV/0!</v>
      </c>
      <c r="AG248" s="19" t="e">
        <f t="shared" si="86"/>
        <v>#DIV/0!</v>
      </c>
      <c r="AH248" s="31" t="e">
        <f t="shared" si="86"/>
        <v>#DIV/0!</v>
      </c>
    </row>
    <row r="249" spans="1:34" ht="15.75" thickBot="1">
      <c r="A249" s="20" t="s">
        <v>130</v>
      </c>
      <c r="B249" s="21" t="e">
        <f>STDEV(B215:B245)</f>
        <v>#DIV/0!</v>
      </c>
      <c r="C249" s="21" t="e">
        <f t="shared" ref="C249:L249" si="87">STDEV(C215:C245)</f>
        <v>#DIV/0!</v>
      </c>
      <c r="D249" s="21" t="e">
        <f t="shared" si="87"/>
        <v>#DIV/0!</v>
      </c>
      <c r="E249" s="21" t="e">
        <f t="shared" si="87"/>
        <v>#DIV/0!</v>
      </c>
      <c r="F249" s="21" t="e">
        <f t="shared" si="87"/>
        <v>#DIV/0!</v>
      </c>
      <c r="G249" s="21" t="e">
        <f t="shared" si="87"/>
        <v>#DIV/0!</v>
      </c>
      <c r="H249" s="199" t="e">
        <f t="shared" si="87"/>
        <v>#DIV/0!</v>
      </c>
      <c r="I249" s="21" t="e">
        <f t="shared" si="87"/>
        <v>#DIV/0!</v>
      </c>
      <c r="J249" s="21" t="e">
        <f t="shared" si="87"/>
        <v>#DIV/0!</v>
      </c>
      <c r="K249" s="21" t="e">
        <f t="shared" si="87"/>
        <v>#DIV/0!</v>
      </c>
      <c r="L249" s="32" t="e">
        <f t="shared" si="87"/>
        <v>#DIV/0!</v>
      </c>
      <c r="M249" s="22"/>
      <c r="N249" s="21" t="e">
        <f>STDEV(N215:N245)</f>
        <v>#DIV/0!</v>
      </c>
      <c r="O249" s="21" t="e">
        <f t="shared" ref="O249:X249" si="88">STDEV(O215:O245)</f>
        <v>#DIV/0!</v>
      </c>
      <c r="P249" s="21" t="e">
        <f t="shared" si="88"/>
        <v>#DIV/0!</v>
      </c>
      <c r="Q249" s="21" t="e">
        <f t="shared" si="88"/>
        <v>#DIV/0!</v>
      </c>
      <c r="R249" s="21" t="e">
        <f t="shared" si="88"/>
        <v>#DIV/0!</v>
      </c>
      <c r="S249" s="21" t="e">
        <f t="shared" si="88"/>
        <v>#DIV/0!</v>
      </c>
      <c r="T249" s="199" t="e">
        <f t="shared" si="88"/>
        <v>#DIV/0!</v>
      </c>
      <c r="U249" s="21" t="e">
        <f t="shared" si="88"/>
        <v>#DIV/0!</v>
      </c>
      <c r="V249" s="21" t="e">
        <f t="shared" si="88"/>
        <v>#DIV/0!</v>
      </c>
      <c r="W249" s="21" t="e">
        <f t="shared" si="88"/>
        <v>#DIV/0!</v>
      </c>
      <c r="X249" s="32" t="e">
        <f t="shared" si="88"/>
        <v>#DIV/0!</v>
      </c>
      <c r="Z249" s="42" t="e">
        <f>STDEV(Z215:Z245)</f>
        <v>#DIV/0!</v>
      </c>
      <c r="AA249" s="21" t="e">
        <f t="shared" ref="AA249:AH249" si="89">STDEV(AA215:AA245)</f>
        <v>#DIV/0!</v>
      </c>
      <c r="AB249" s="21" t="e">
        <f t="shared" si="89"/>
        <v>#DIV/0!</v>
      </c>
      <c r="AC249" s="21" t="e">
        <f t="shared" si="89"/>
        <v>#DIV/0!</v>
      </c>
      <c r="AD249" s="199" t="e">
        <f t="shared" si="89"/>
        <v>#DIV/0!</v>
      </c>
      <c r="AE249" s="21" t="e">
        <f t="shared" si="89"/>
        <v>#DIV/0!</v>
      </c>
      <c r="AF249" s="21" t="e">
        <f t="shared" si="89"/>
        <v>#DIV/0!</v>
      </c>
      <c r="AG249" s="21" t="e">
        <f t="shared" si="89"/>
        <v>#DIV/0!</v>
      </c>
      <c r="AH249" s="32" t="e">
        <f t="shared" si="89"/>
        <v>#DIV/0!</v>
      </c>
    </row>
    <row r="250" spans="1:34" ht="15.75" thickBot="1"/>
    <row r="251" spans="1:34" ht="15.75" thickBot="1">
      <c r="A251" s="1"/>
      <c r="B251" s="338" t="s">
        <v>0</v>
      </c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  <c r="AA251" s="339"/>
      <c r="AB251" s="339"/>
      <c r="AC251" s="339"/>
      <c r="AD251" s="340"/>
      <c r="AE251" s="340"/>
      <c r="AF251" s="340"/>
      <c r="AG251" s="340"/>
      <c r="AH251" s="340"/>
    </row>
    <row r="252" spans="1:34" ht="15.75" thickBot="1">
      <c r="A252" s="1"/>
      <c r="B252" s="338" t="s">
        <v>131</v>
      </c>
      <c r="C252" s="339"/>
      <c r="D252" s="339"/>
      <c r="E252" s="339"/>
      <c r="F252" s="339"/>
      <c r="G252" s="339"/>
      <c r="H252" s="339"/>
      <c r="I252" s="339"/>
      <c r="J252" s="339"/>
      <c r="K252" s="339"/>
      <c r="L252" s="339"/>
      <c r="M252" s="339"/>
      <c r="N252" s="339"/>
      <c r="O252" s="339"/>
      <c r="P252" s="339"/>
      <c r="Q252" s="339"/>
      <c r="R252" s="339"/>
      <c r="S252" s="339"/>
      <c r="T252" s="339"/>
      <c r="U252" s="339"/>
      <c r="V252" s="339"/>
      <c r="W252" s="339"/>
      <c r="X252" s="339"/>
      <c r="Y252" s="339"/>
      <c r="Z252" s="339"/>
      <c r="AA252" s="339"/>
      <c r="AB252" s="339"/>
      <c r="AC252" s="339"/>
      <c r="AD252" s="4"/>
      <c r="AE252" s="43" t="s">
        <v>107</v>
      </c>
      <c r="AF252" s="341">
        <v>46174</v>
      </c>
      <c r="AG252" s="342"/>
      <c r="AH252" s="343"/>
    </row>
    <row r="253" spans="1:34">
      <c r="A253" s="344"/>
      <c r="B253" s="346" t="s">
        <v>132</v>
      </c>
      <c r="C253" s="347"/>
      <c r="D253" s="347"/>
      <c r="E253" s="347"/>
      <c r="F253" s="347"/>
      <c r="G253" s="347"/>
      <c r="H253" s="347"/>
      <c r="I253" s="347"/>
      <c r="J253" s="347"/>
      <c r="K253" s="348"/>
      <c r="L253" s="349"/>
      <c r="M253" s="22"/>
      <c r="N253" s="350" t="s">
        <v>133</v>
      </c>
      <c r="O253" s="347"/>
      <c r="P253" s="347"/>
      <c r="Q253" s="347"/>
      <c r="R253" s="347"/>
      <c r="S253" s="347"/>
      <c r="T253" s="347"/>
      <c r="U253" s="347"/>
      <c r="V253" s="347"/>
      <c r="W253" s="348"/>
      <c r="X253" s="349"/>
      <c r="Y253" s="22"/>
      <c r="Z253" s="346" t="s">
        <v>134</v>
      </c>
      <c r="AA253" s="347"/>
      <c r="AB253" s="347"/>
      <c r="AC253" s="347"/>
      <c r="AD253" s="347"/>
      <c r="AE253" s="347"/>
      <c r="AF253" s="347"/>
      <c r="AG253" s="348"/>
      <c r="AH253" s="349"/>
    </row>
    <row r="254" spans="1:34" ht="25.5">
      <c r="A254" s="345"/>
      <c r="B254" s="351" t="s">
        <v>135</v>
      </c>
      <c r="C254" s="353" t="s">
        <v>136</v>
      </c>
      <c r="D254" s="64" t="s">
        <v>137</v>
      </c>
      <c r="E254" s="64" t="s">
        <v>138</v>
      </c>
      <c r="F254" s="64" t="s">
        <v>139</v>
      </c>
      <c r="G254" s="64" t="s">
        <v>140</v>
      </c>
      <c r="H254" s="5" t="s">
        <v>141</v>
      </c>
      <c r="I254" s="5" t="s">
        <v>142</v>
      </c>
      <c r="J254" s="5" t="s">
        <v>143</v>
      </c>
      <c r="K254" s="181" t="s">
        <v>81</v>
      </c>
      <c r="L254" s="23" t="s">
        <v>144</v>
      </c>
      <c r="M254" s="22"/>
      <c r="N254" s="355" t="s">
        <v>135</v>
      </c>
      <c r="O254" s="357" t="s">
        <v>136</v>
      </c>
      <c r="P254" s="5" t="s">
        <v>137</v>
      </c>
      <c r="Q254" s="5" t="s">
        <v>138</v>
      </c>
      <c r="R254" s="5" t="s">
        <v>139</v>
      </c>
      <c r="S254" s="5" t="s">
        <v>140</v>
      </c>
      <c r="T254" s="5" t="s">
        <v>141</v>
      </c>
      <c r="U254" s="5" t="s">
        <v>142</v>
      </c>
      <c r="V254" s="5" t="s">
        <v>143</v>
      </c>
      <c r="W254" s="181" t="s">
        <v>81</v>
      </c>
      <c r="X254" s="23" t="s">
        <v>144</v>
      </c>
      <c r="Y254" s="22"/>
      <c r="Z254" s="33" t="s">
        <v>137</v>
      </c>
      <c r="AA254" s="5" t="s">
        <v>138</v>
      </c>
      <c r="AB254" s="5" t="s">
        <v>139</v>
      </c>
      <c r="AC254" s="5" t="s">
        <v>140</v>
      </c>
      <c r="AD254" s="5" t="s">
        <v>141</v>
      </c>
      <c r="AE254" s="5" t="s">
        <v>142</v>
      </c>
      <c r="AF254" s="5" t="s">
        <v>143</v>
      </c>
      <c r="AG254" s="181" t="s">
        <v>81</v>
      </c>
      <c r="AH254" s="23" t="s">
        <v>144</v>
      </c>
    </row>
    <row r="255" spans="1:34" ht="25.5">
      <c r="A255" s="6" t="s">
        <v>145</v>
      </c>
      <c r="B255" s="352"/>
      <c r="C255" s="354"/>
      <c r="D255" s="64" t="s">
        <v>128</v>
      </c>
      <c r="E255" s="64" t="s">
        <v>128</v>
      </c>
      <c r="F255" s="64" t="s">
        <v>128</v>
      </c>
      <c r="G255" s="64" t="s">
        <v>128</v>
      </c>
      <c r="H255" s="5" t="s">
        <v>125</v>
      </c>
      <c r="I255" s="5" t="s">
        <v>146</v>
      </c>
      <c r="J255" s="5" t="s">
        <v>127</v>
      </c>
      <c r="K255" s="181" t="s">
        <v>53</v>
      </c>
      <c r="L255" s="23" t="s">
        <v>53</v>
      </c>
      <c r="M255" s="22"/>
      <c r="N255" s="356"/>
      <c r="O255" s="358"/>
      <c r="P255" s="5" t="s">
        <v>128</v>
      </c>
      <c r="Q255" s="5" t="s">
        <v>128</v>
      </c>
      <c r="R255" s="5" t="s">
        <v>128</v>
      </c>
      <c r="S255" s="5" t="s">
        <v>128</v>
      </c>
      <c r="T255" s="5" t="s">
        <v>125</v>
      </c>
      <c r="U255" s="5" t="s">
        <v>146</v>
      </c>
      <c r="V255" s="5" t="s">
        <v>127</v>
      </c>
      <c r="W255" s="181" t="s">
        <v>53</v>
      </c>
      <c r="X255" s="23" t="s">
        <v>53</v>
      </c>
      <c r="Y255" s="22"/>
      <c r="Z255" s="33" t="s">
        <v>128</v>
      </c>
      <c r="AA255" s="5" t="s">
        <v>128</v>
      </c>
      <c r="AB255" s="5" t="s">
        <v>128</v>
      </c>
      <c r="AC255" s="5" t="s">
        <v>128</v>
      </c>
      <c r="AD255" s="5" t="s">
        <v>125</v>
      </c>
      <c r="AE255" s="5" t="s">
        <v>146</v>
      </c>
      <c r="AF255" s="5" t="s">
        <v>127</v>
      </c>
      <c r="AG255" s="181" t="s">
        <v>53</v>
      </c>
      <c r="AH255" s="23" t="s">
        <v>53</v>
      </c>
    </row>
    <row r="256" spans="1:34" ht="26.25" thickBot="1">
      <c r="A256" s="7" t="s">
        <v>147</v>
      </c>
      <c r="B256" s="65" t="s">
        <v>148</v>
      </c>
      <c r="C256" s="66" t="s">
        <v>149</v>
      </c>
      <c r="D256" s="66" t="s">
        <v>150</v>
      </c>
      <c r="E256" s="66" t="s">
        <v>151</v>
      </c>
      <c r="F256" s="66" t="s">
        <v>152</v>
      </c>
      <c r="G256" s="66" t="s">
        <v>153</v>
      </c>
      <c r="H256" s="9" t="s">
        <v>154</v>
      </c>
      <c r="I256" s="24" t="s">
        <v>155</v>
      </c>
      <c r="J256" s="24" t="s">
        <v>156</v>
      </c>
      <c r="K256" s="24" t="s">
        <v>179</v>
      </c>
      <c r="L256" s="25" t="s">
        <v>157</v>
      </c>
      <c r="M256" s="22"/>
      <c r="N256" s="8" t="s">
        <v>148</v>
      </c>
      <c r="O256" s="9" t="s">
        <v>149</v>
      </c>
      <c r="P256" s="9" t="s">
        <v>150</v>
      </c>
      <c r="Q256" s="9" t="s">
        <v>151</v>
      </c>
      <c r="R256" s="9" t="s">
        <v>152</v>
      </c>
      <c r="S256" s="9" t="s">
        <v>153</v>
      </c>
      <c r="T256" s="9" t="s">
        <v>154</v>
      </c>
      <c r="U256" s="24" t="s">
        <v>155</v>
      </c>
      <c r="V256" s="24" t="s">
        <v>156</v>
      </c>
      <c r="W256" s="24" t="s">
        <v>179</v>
      </c>
      <c r="X256" s="25" t="s">
        <v>157</v>
      </c>
      <c r="Y256" s="22"/>
      <c r="Z256" s="8" t="s">
        <v>150</v>
      </c>
      <c r="AA256" s="9" t="s">
        <v>158</v>
      </c>
      <c r="AB256" s="9" t="s">
        <v>152</v>
      </c>
      <c r="AC256" s="9" t="s">
        <v>159</v>
      </c>
      <c r="AD256" s="9" t="s">
        <v>154</v>
      </c>
      <c r="AE256" s="9" t="s">
        <v>155</v>
      </c>
      <c r="AF256" s="9" t="s">
        <v>156</v>
      </c>
      <c r="AG256" s="24" t="s">
        <v>179</v>
      </c>
      <c r="AH256" s="23" t="s">
        <v>157</v>
      </c>
    </row>
    <row r="257" spans="1:34">
      <c r="A257" s="10">
        <f>AF252+0</f>
        <v>46174</v>
      </c>
      <c r="B257" s="67"/>
      <c r="C257" s="68"/>
      <c r="D257" s="68"/>
      <c r="E257" s="68"/>
      <c r="F257" s="68"/>
      <c r="G257" s="68"/>
      <c r="H257" s="69"/>
      <c r="I257" s="69"/>
      <c r="J257" s="69"/>
      <c r="K257" s="191"/>
      <c r="L257" s="73"/>
      <c r="M257" s="74"/>
      <c r="N257" s="75"/>
      <c r="O257" s="76"/>
      <c r="P257" s="76"/>
      <c r="Q257" s="76"/>
      <c r="R257" s="76"/>
      <c r="S257" s="76"/>
      <c r="T257" s="76"/>
      <c r="U257" s="76"/>
      <c r="V257" s="76"/>
      <c r="W257" s="191"/>
      <c r="X257" s="76"/>
      <c r="Y257" s="74"/>
      <c r="Z257" s="81"/>
      <c r="AA257" s="76"/>
      <c r="AB257" s="76"/>
      <c r="AC257" s="76"/>
      <c r="AD257" s="85"/>
      <c r="AE257" s="76"/>
      <c r="AF257" s="76"/>
      <c r="AG257" s="194"/>
      <c r="AH257" s="86"/>
    </row>
    <row r="258" spans="1:34">
      <c r="A258" s="14">
        <f t="shared" ref="A258:A286" si="90">A257+1</f>
        <v>46175</v>
      </c>
      <c r="B258" s="67"/>
      <c r="C258" s="70"/>
      <c r="D258" s="70"/>
      <c r="E258" s="70"/>
      <c r="F258" s="70"/>
      <c r="G258" s="70"/>
      <c r="H258" s="71"/>
      <c r="I258" s="71"/>
      <c r="J258" s="70"/>
      <c r="K258" s="192"/>
      <c r="L258" s="77"/>
      <c r="M258" s="74"/>
      <c r="N258" s="78"/>
      <c r="O258" s="70"/>
      <c r="P258" s="70"/>
      <c r="Q258" s="70"/>
      <c r="R258" s="70"/>
      <c r="S258" s="70"/>
      <c r="T258" s="70"/>
      <c r="U258" s="70"/>
      <c r="V258" s="70"/>
      <c r="W258" s="192"/>
      <c r="X258" s="70"/>
      <c r="Y258" s="74"/>
      <c r="Z258" s="67"/>
      <c r="AA258" s="70"/>
      <c r="AB258" s="70"/>
      <c r="AC258" s="70"/>
      <c r="AD258" s="82"/>
      <c r="AE258" s="70"/>
      <c r="AF258" s="70"/>
      <c r="AG258" s="192"/>
      <c r="AH258" s="87"/>
    </row>
    <row r="259" spans="1:34">
      <c r="A259" s="14">
        <f t="shared" si="90"/>
        <v>46176</v>
      </c>
      <c r="B259" s="67"/>
      <c r="C259" s="70"/>
      <c r="D259" s="70"/>
      <c r="E259" s="70"/>
      <c r="F259" s="70"/>
      <c r="G259" s="70"/>
      <c r="H259" s="71"/>
      <c r="I259" s="70"/>
      <c r="J259" s="70"/>
      <c r="K259" s="192"/>
      <c r="L259" s="77"/>
      <c r="M259" s="74"/>
      <c r="N259" s="70"/>
      <c r="O259" s="70"/>
      <c r="P259" s="70"/>
      <c r="Q259" s="70"/>
      <c r="R259" s="70"/>
      <c r="S259" s="70"/>
      <c r="T259" s="82"/>
      <c r="U259" s="70"/>
      <c r="V259" s="70"/>
      <c r="W259" s="192"/>
      <c r="X259" s="83"/>
      <c r="Y259" s="74"/>
      <c r="Z259" s="67"/>
      <c r="AA259" s="70"/>
      <c r="AB259" s="70"/>
      <c r="AC259" s="70"/>
      <c r="AD259" s="82"/>
      <c r="AE259" s="70"/>
      <c r="AF259" s="70"/>
      <c r="AG259" s="192"/>
      <c r="AH259" s="87"/>
    </row>
    <row r="260" spans="1:34">
      <c r="A260" s="14">
        <f t="shared" si="90"/>
        <v>46177</v>
      </c>
      <c r="B260" s="67"/>
      <c r="C260" s="70"/>
      <c r="D260" s="70"/>
      <c r="E260" s="70"/>
      <c r="F260" s="70"/>
      <c r="G260" s="70"/>
      <c r="H260" s="71"/>
      <c r="I260" s="71"/>
      <c r="J260" s="70"/>
      <c r="K260" s="192"/>
      <c r="L260" s="77"/>
      <c r="M260" s="74"/>
      <c r="N260" s="78"/>
      <c r="O260" s="70"/>
      <c r="P260" s="70"/>
      <c r="Q260" s="70"/>
      <c r="R260" s="70"/>
      <c r="S260" s="70"/>
      <c r="T260" s="82"/>
      <c r="U260" s="70"/>
      <c r="V260" s="70"/>
      <c r="W260" s="192"/>
      <c r="X260" s="83"/>
      <c r="Y260" s="74"/>
      <c r="Z260" s="67"/>
      <c r="AA260" s="70"/>
      <c r="AB260" s="70"/>
      <c r="AC260" s="70"/>
      <c r="AD260" s="82"/>
      <c r="AE260" s="70"/>
      <c r="AF260" s="70"/>
      <c r="AG260" s="192"/>
      <c r="AH260" s="87"/>
    </row>
    <row r="261" spans="1:34">
      <c r="A261" s="14">
        <f t="shared" si="90"/>
        <v>46178</v>
      </c>
      <c r="B261" s="67"/>
      <c r="C261" s="70"/>
      <c r="D261" s="70"/>
      <c r="E261" s="70"/>
      <c r="F261" s="70"/>
      <c r="G261" s="70"/>
      <c r="H261" s="71"/>
      <c r="I261" s="71"/>
      <c r="J261" s="70"/>
      <c r="K261" s="192"/>
      <c r="L261" s="77"/>
      <c r="M261" s="74"/>
      <c r="N261" s="78"/>
      <c r="O261" s="70"/>
      <c r="P261" s="70"/>
      <c r="Q261" s="70"/>
      <c r="R261" s="70"/>
      <c r="S261" s="70"/>
      <c r="T261" s="82"/>
      <c r="U261" s="70"/>
      <c r="V261" s="70"/>
      <c r="W261" s="192"/>
      <c r="X261" s="84"/>
      <c r="Y261" s="74"/>
      <c r="Z261" s="67"/>
      <c r="AA261" s="70"/>
      <c r="AB261" s="70"/>
      <c r="AC261" s="70"/>
      <c r="AD261" s="82"/>
      <c r="AE261" s="70"/>
      <c r="AF261" s="70"/>
      <c r="AG261" s="192"/>
      <c r="AH261" s="88"/>
    </row>
    <row r="262" spans="1:34">
      <c r="A262" s="14">
        <f t="shared" si="90"/>
        <v>46179</v>
      </c>
      <c r="B262" s="67"/>
      <c r="C262" s="70"/>
      <c r="D262" s="70"/>
      <c r="E262" s="70"/>
      <c r="F262" s="70"/>
      <c r="G262" s="70"/>
      <c r="H262" s="71"/>
      <c r="I262" s="71"/>
      <c r="J262" s="70"/>
      <c r="K262" s="192"/>
      <c r="L262" s="77"/>
      <c r="M262" s="74"/>
      <c r="N262" s="78"/>
      <c r="O262" s="70"/>
      <c r="P262" s="70"/>
      <c r="Q262" s="70"/>
      <c r="R262" s="70"/>
      <c r="S262" s="70"/>
      <c r="T262" s="82"/>
      <c r="U262" s="70"/>
      <c r="V262" s="70"/>
      <c r="W262" s="192"/>
      <c r="X262" s="84"/>
      <c r="Y262" s="74"/>
      <c r="Z262" s="67"/>
      <c r="AA262" s="70"/>
      <c r="AB262" s="70"/>
      <c r="AC262" s="70"/>
      <c r="AD262" s="82"/>
      <c r="AE262" s="70"/>
      <c r="AF262" s="70"/>
      <c r="AG262" s="192"/>
      <c r="AH262" s="88"/>
    </row>
    <row r="263" spans="1:34">
      <c r="A263" s="14">
        <f t="shared" si="90"/>
        <v>46180</v>
      </c>
      <c r="B263" s="67"/>
      <c r="C263" s="70"/>
      <c r="D263" s="70"/>
      <c r="E263" s="70"/>
      <c r="F263" s="70"/>
      <c r="G263" s="70"/>
      <c r="H263" s="71"/>
      <c r="I263" s="71"/>
      <c r="J263" s="70"/>
      <c r="K263" s="192"/>
      <c r="L263" s="77"/>
      <c r="M263" s="74"/>
      <c r="N263" s="78"/>
      <c r="O263" s="79"/>
      <c r="P263" s="70"/>
      <c r="Q263" s="70"/>
      <c r="R263" s="70"/>
      <c r="S263" s="70"/>
      <c r="T263" s="82"/>
      <c r="U263" s="70"/>
      <c r="V263" s="70"/>
      <c r="W263" s="192"/>
      <c r="X263" s="84"/>
      <c r="Y263" s="74"/>
      <c r="Z263" s="67"/>
      <c r="AA263" s="70"/>
      <c r="AB263" s="70"/>
      <c r="AC263" s="70"/>
      <c r="AD263" s="82"/>
      <c r="AE263" s="70"/>
      <c r="AF263" s="70"/>
      <c r="AG263" s="192"/>
      <c r="AH263" s="88"/>
    </row>
    <row r="264" spans="1:34">
      <c r="A264" s="14">
        <f t="shared" si="90"/>
        <v>46181</v>
      </c>
      <c r="B264" s="67"/>
      <c r="C264" s="70"/>
      <c r="D264" s="70"/>
      <c r="E264" s="70"/>
      <c r="F264" s="70"/>
      <c r="G264" s="70"/>
      <c r="H264" s="71"/>
      <c r="I264" s="71"/>
      <c r="J264" s="70"/>
      <c r="K264" s="192"/>
      <c r="L264" s="77"/>
      <c r="M264" s="74"/>
      <c r="N264" s="78"/>
      <c r="O264" s="70"/>
      <c r="P264" s="70"/>
      <c r="Q264" s="70"/>
      <c r="R264" s="70"/>
      <c r="S264" s="70"/>
      <c r="T264" s="82"/>
      <c r="U264" s="70"/>
      <c r="V264" s="70"/>
      <c r="W264" s="192"/>
      <c r="X264" s="83"/>
      <c r="Y264" s="74"/>
      <c r="Z264" s="67"/>
      <c r="AA264" s="70"/>
      <c r="AB264" s="70"/>
      <c r="AC264" s="70"/>
      <c r="AD264" s="82"/>
      <c r="AE264" s="70"/>
      <c r="AF264" s="70"/>
      <c r="AG264" s="192"/>
      <c r="AH264" s="87"/>
    </row>
    <row r="265" spans="1:34">
      <c r="A265" s="14">
        <f t="shared" si="90"/>
        <v>46182</v>
      </c>
      <c r="B265" s="67"/>
      <c r="C265" s="70"/>
      <c r="D265" s="70"/>
      <c r="E265" s="70"/>
      <c r="F265" s="70"/>
      <c r="G265" s="70"/>
      <c r="H265" s="71"/>
      <c r="I265" s="71"/>
      <c r="J265" s="70"/>
      <c r="K265" s="192"/>
      <c r="L265" s="77"/>
      <c r="M265" s="74"/>
      <c r="N265" s="78"/>
      <c r="O265" s="70"/>
      <c r="P265" s="70"/>
      <c r="Q265" s="70"/>
      <c r="R265" s="70"/>
      <c r="S265" s="70"/>
      <c r="T265" s="82"/>
      <c r="U265" s="70"/>
      <c r="V265" s="70"/>
      <c r="W265" s="192"/>
      <c r="X265" s="83"/>
      <c r="Y265" s="74"/>
      <c r="Z265" s="67"/>
      <c r="AA265" s="70"/>
      <c r="AB265" s="70"/>
      <c r="AC265" s="70"/>
      <c r="AD265" s="82"/>
      <c r="AE265" s="70"/>
      <c r="AF265" s="70"/>
      <c r="AG265" s="192"/>
      <c r="AH265" s="87"/>
    </row>
    <row r="266" spans="1:34">
      <c r="A266" s="14">
        <f t="shared" si="90"/>
        <v>46183</v>
      </c>
      <c r="B266" s="67"/>
      <c r="C266" s="70"/>
      <c r="D266" s="70"/>
      <c r="E266" s="70"/>
      <c r="F266" s="70"/>
      <c r="G266" s="70"/>
      <c r="H266" s="71"/>
      <c r="I266" s="71"/>
      <c r="J266" s="70"/>
      <c r="K266" s="192"/>
      <c r="L266" s="77"/>
      <c r="M266" s="74"/>
      <c r="N266" s="78"/>
      <c r="O266" s="70"/>
      <c r="P266" s="70"/>
      <c r="Q266" s="70"/>
      <c r="R266" s="70"/>
      <c r="S266" s="70"/>
      <c r="T266" s="82"/>
      <c r="U266" s="70"/>
      <c r="V266" s="70"/>
      <c r="W266" s="192"/>
      <c r="X266" s="83"/>
      <c r="Y266" s="74"/>
      <c r="Z266" s="67"/>
      <c r="AA266" s="70"/>
      <c r="AB266" s="70"/>
      <c r="AC266" s="70"/>
      <c r="AD266" s="82"/>
      <c r="AE266" s="70"/>
      <c r="AF266" s="70"/>
      <c r="AG266" s="192"/>
      <c r="AH266" s="87"/>
    </row>
    <row r="267" spans="1:34">
      <c r="A267" s="14">
        <f t="shared" si="90"/>
        <v>46184</v>
      </c>
      <c r="B267" s="38"/>
      <c r="C267" s="13"/>
      <c r="D267" s="13"/>
      <c r="E267" s="13"/>
      <c r="F267" s="13"/>
      <c r="G267" s="13"/>
      <c r="H267" s="12"/>
      <c r="I267" s="12"/>
      <c r="J267" s="13"/>
      <c r="K267" s="184"/>
      <c r="L267" s="26"/>
      <c r="M267" s="22"/>
      <c r="N267" s="29"/>
      <c r="O267" s="13"/>
      <c r="P267" s="13"/>
      <c r="Q267" s="13"/>
      <c r="R267" s="13"/>
      <c r="S267" s="13"/>
      <c r="T267" s="36"/>
      <c r="U267" s="13"/>
      <c r="V267" s="13"/>
      <c r="W267" s="184"/>
      <c r="X267" s="37"/>
      <c r="Y267" s="22"/>
      <c r="Z267" s="38"/>
      <c r="AA267" s="13"/>
      <c r="AB267" s="13"/>
      <c r="AC267" s="13"/>
      <c r="AD267" s="36"/>
      <c r="AE267" s="13"/>
      <c r="AF267" s="13"/>
      <c r="AG267" s="184"/>
      <c r="AH267" s="45"/>
    </row>
    <row r="268" spans="1:34">
      <c r="A268" s="14">
        <f t="shared" si="90"/>
        <v>46185</v>
      </c>
      <c r="B268" s="38"/>
      <c r="C268" s="13"/>
      <c r="D268" s="13"/>
      <c r="E268" s="13"/>
      <c r="F268" s="13"/>
      <c r="G268" s="13"/>
      <c r="H268" s="12"/>
      <c r="I268" s="12"/>
      <c r="J268" s="13"/>
      <c r="K268" s="184"/>
      <c r="L268" s="26"/>
      <c r="M268" s="22"/>
      <c r="N268" s="29"/>
      <c r="O268" s="13"/>
      <c r="P268" s="13"/>
      <c r="Q268" s="13"/>
      <c r="R268" s="13"/>
      <c r="S268" s="13"/>
      <c r="T268" s="36"/>
      <c r="U268" s="13"/>
      <c r="V268" s="13"/>
      <c r="W268" s="184"/>
      <c r="X268" s="37"/>
      <c r="Y268" s="22"/>
      <c r="Z268" s="38"/>
      <c r="AA268" s="13"/>
      <c r="AB268" s="13"/>
      <c r="AC268" s="13"/>
      <c r="AD268" s="36"/>
      <c r="AE268" s="13"/>
      <c r="AF268" s="13"/>
      <c r="AG268" s="184"/>
      <c r="AH268" s="45"/>
    </row>
    <row r="269" spans="1:34">
      <c r="A269" s="14">
        <f t="shared" si="90"/>
        <v>46186</v>
      </c>
      <c r="B269" s="38"/>
      <c r="C269" s="13"/>
      <c r="D269" s="13"/>
      <c r="E269" s="13"/>
      <c r="F269" s="13"/>
      <c r="G269" s="13"/>
      <c r="H269" s="12"/>
      <c r="I269" s="12"/>
      <c r="J269" s="13"/>
      <c r="K269" s="184"/>
      <c r="L269" s="26"/>
      <c r="M269" s="22"/>
      <c r="N269" s="29"/>
      <c r="O269" s="13"/>
      <c r="P269" s="13"/>
      <c r="Q269" s="13"/>
      <c r="R269" s="13"/>
      <c r="S269" s="13"/>
      <c r="T269" s="36"/>
      <c r="U269" s="13"/>
      <c r="V269" s="13"/>
      <c r="W269" s="184"/>
      <c r="X269" s="37"/>
      <c r="Y269" s="22"/>
      <c r="Z269" s="38"/>
      <c r="AA269" s="13"/>
      <c r="AB269" s="13"/>
      <c r="AC269" s="13"/>
      <c r="AD269" s="36"/>
      <c r="AE269" s="13"/>
      <c r="AF269" s="13"/>
      <c r="AG269" s="184"/>
      <c r="AH269" s="45"/>
    </row>
    <row r="270" spans="1:34">
      <c r="A270" s="14">
        <f t="shared" si="90"/>
        <v>46187</v>
      </c>
      <c r="B270" s="38"/>
      <c r="C270" s="13"/>
      <c r="D270" s="13"/>
      <c r="E270" s="13"/>
      <c r="F270" s="13"/>
      <c r="G270" s="13"/>
      <c r="H270" s="72"/>
      <c r="I270" s="80"/>
      <c r="J270" s="13"/>
      <c r="K270" s="184"/>
      <c r="L270" s="26"/>
      <c r="M270" s="22"/>
      <c r="N270" s="29"/>
      <c r="O270" s="13"/>
      <c r="P270" s="13"/>
      <c r="Q270" s="13"/>
      <c r="R270" s="13"/>
      <c r="S270" s="13"/>
      <c r="T270" s="36"/>
      <c r="U270" s="13"/>
      <c r="V270" s="13"/>
      <c r="W270" s="184"/>
      <c r="X270" s="37"/>
      <c r="Y270" s="22"/>
      <c r="Z270" s="38"/>
      <c r="AA270" s="13"/>
      <c r="AB270" s="13"/>
      <c r="AC270" s="13"/>
      <c r="AD270" s="36"/>
      <c r="AE270" s="13"/>
      <c r="AF270" s="13"/>
      <c r="AG270" s="184"/>
      <c r="AH270" s="37"/>
    </row>
    <row r="271" spans="1:34">
      <c r="A271" s="14">
        <f t="shared" si="90"/>
        <v>46188</v>
      </c>
      <c r="B271" s="38"/>
      <c r="C271" s="13"/>
      <c r="D271" s="13"/>
      <c r="E271" s="13"/>
      <c r="F271" s="13"/>
      <c r="G271" s="13"/>
      <c r="H271" s="72"/>
      <c r="I271" s="80"/>
      <c r="J271" s="13"/>
      <c r="K271" s="184"/>
      <c r="L271" s="26"/>
      <c r="M271" s="22"/>
      <c r="N271" s="29"/>
      <c r="O271" s="13"/>
      <c r="P271" s="13"/>
      <c r="Q271" s="13"/>
      <c r="R271" s="13"/>
      <c r="S271" s="13"/>
      <c r="T271" s="36"/>
      <c r="U271" s="13"/>
      <c r="V271" s="13"/>
      <c r="W271" s="184"/>
      <c r="X271" s="37"/>
      <c r="Y271" s="22"/>
      <c r="Z271" s="38"/>
      <c r="AA271" s="13"/>
      <c r="AB271" s="13"/>
      <c r="AC271" s="13"/>
      <c r="AD271" s="36"/>
      <c r="AE271" s="13"/>
      <c r="AF271" s="13"/>
      <c r="AG271" s="184"/>
      <c r="AH271" s="37"/>
    </row>
    <row r="272" spans="1:34">
      <c r="A272" s="14">
        <f t="shared" si="90"/>
        <v>46189</v>
      </c>
      <c r="B272" s="38"/>
      <c r="C272" s="13"/>
      <c r="D272" s="13"/>
      <c r="E272" s="13"/>
      <c r="F272" s="13"/>
      <c r="G272" s="13"/>
      <c r="H272" s="12"/>
      <c r="I272" s="12"/>
      <c r="J272" s="13"/>
      <c r="K272" s="184"/>
      <c r="L272" s="26"/>
      <c r="M272" s="22"/>
      <c r="N272" s="29"/>
      <c r="O272" s="13"/>
      <c r="P272" s="13"/>
      <c r="Q272" s="13"/>
      <c r="R272" s="13"/>
      <c r="S272" s="13"/>
      <c r="T272" s="36"/>
      <c r="U272" s="13"/>
      <c r="V272" s="13"/>
      <c r="W272" s="184"/>
      <c r="X272" s="37"/>
      <c r="Y272" s="22"/>
      <c r="Z272" s="38"/>
      <c r="AA272" s="13"/>
      <c r="AB272" s="13"/>
      <c r="AC272" s="13"/>
      <c r="AD272" s="36"/>
      <c r="AE272" s="13"/>
      <c r="AF272" s="13"/>
      <c r="AG272" s="184"/>
      <c r="AH272" s="37"/>
    </row>
    <row r="273" spans="1:34">
      <c r="A273" s="14">
        <f t="shared" si="90"/>
        <v>46190</v>
      </c>
      <c r="B273" s="38"/>
      <c r="C273" s="13"/>
      <c r="D273" s="13"/>
      <c r="E273" s="13"/>
      <c r="F273" s="13"/>
      <c r="G273" s="13"/>
      <c r="H273" s="12"/>
      <c r="I273" s="12"/>
      <c r="J273" s="13"/>
      <c r="K273" s="184"/>
      <c r="L273" s="26"/>
      <c r="M273" s="22"/>
      <c r="N273" s="29"/>
      <c r="O273" s="13"/>
      <c r="P273" s="13"/>
      <c r="Q273" s="13"/>
      <c r="R273" s="13"/>
      <c r="S273" s="13"/>
      <c r="T273" s="36"/>
      <c r="U273" s="13"/>
      <c r="V273" s="13"/>
      <c r="W273" s="184"/>
      <c r="X273" s="37"/>
      <c r="Y273" s="22"/>
      <c r="Z273" s="38"/>
      <c r="AA273" s="13"/>
      <c r="AB273" s="13"/>
      <c r="AC273" s="13"/>
      <c r="AD273" s="36"/>
      <c r="AE273" s="13"/>
      <c r="AF273" s="13"/>
      <c r="AG273" s="184"/>
      <c r="AH273" s="37"/>
    </row>
    <row r="274" spans="1:34">
      <c r="A274" s="14">
        <f t="shared" si="90"/>
        <v>46191</v>
      </c>
      <c r="B274" s="38"/>
      <c r="C274" s="13"/>
      <c r="D274" s="13"/>
      <c r="E274" s="13"/>
      <c r="F274" s="13"/>
      <c r="G274" s="13"/>
      <c r="H274" s="12"/>
      <c r="I274" s="12"/>
      <c r="J274" s="13"/>
      <c r="K274" s="184"/>
      <c r="L274" s="26"/>
      <c r="M274" s="22"/>
      <c r="N274" s="29"/>
      <c r="O274" s="13"/>
      <c r="P274" s="13"/>
      <c r="Q274" s="13"/>
      <c r="R274" s="13"/>
      <c r="S274" s="13"/>
      <c r="T274" s="36"/>
      <c r="U274" s="13"/>
      <c r="V274" s="13"/>
      <c r="W274" s="184"/>
      <c r="X274" s="37"/>
      <c r="Y274" s="22"/>
      <c r="Z274" s="38"/>
      <c r="AA274" s="13"/>
      <c r="AB274" s="13"/>
      <c r="AC274" s="13"/>
      <c r="AD274" s="36"/>
      <c r="AE274" s="13"/>
      <c r="AF274" s="13"/>
      <c r="AG274" s="184"/>
      <c r="AH274" s="37"/>
    </row>
    <row r="275" spans="1:34">
      <c r="A275" s="14">
        <f t="shared" si="90"/>
        <v>46192</v>
      </c>
      <c r="B275" s="38"/>
      <c r="C275" s="13"/>
      <c r="D275" s="13"/>
      <c r="E275" s="13"/>
      <c r="F275" s="13"/>
      <c r="G275" s="13"/>
      <c r="H275" s="12"/>
      <c r="I275" s="12"/>
      <c r="J275" s="13"/>
      <c r="K275" s="184"/>
      <c r="L275" s="37"/>
      <c r="M275" s="22"/>
      <c r="N275" s="29"/>
      <c r="O275" s="13"/>
      <c r="P275" s="13"/>
      <c r="Q275" s="13"/>
      <c r="R275" s="13"/>
      <c r="S275" s="13"/>
      <c r="T275" s="36"/>
      <c r="U275" s="13"/>
      <c r="V275" s="13"/>
      <c r="W275" s="184"/>
      <c r="X275" s="37"/>
      <c r="Y275" s="22"/>
      <c r="Z275" s="38"/>
      <c r="AA275" s="13"/>
      <c r="AB275" s="13"/>
      <c r="AC275" s="13"/>
      <c r="AD275" s="36"/>
      <c r="AE275" s="13"/>
      <c r="AF275" s="13"/>
      <c r="AG275" s="184"/>
      <c r="AH275" s="37"/>
    </row>
    <row r="276" spans="1:34">
      <c r="A276" s="14">
        <f t="shared" si="90"/>
        <v>46193</v>
      </c>
      <c r="B276" s="38"/>
      <c r="C276" s="13"/>
      <c r="D276" s="13"/>
      <c r="E276" s="13"/>
      <c r="F276" s="13"/>
      <c r="G276" s="13"/>
      <c r="H276" s="12"/>
      <c r="I276" s="13"/>
      <c r="J276" s="13"/>
      <c r="K276" s="184"/>
      <c r="L276" s="26"/>
      <c r="M276" s="22"/>
      <c r="N276" s="29"/>
      <c r="O276" s="13"/>
      <c r="P276" s="13"/>
      <c r="Q276" s="13"/>
      <c r="R276" s="13"/>
      <c r="S276" s="13"/>
      <c r="T276" s="36"/>
      <c r="U276" s="13"/>
      <c r="V276" s="13"/>
      <c r="W276" s="184"/>
      <c r="X276" s="37"/>
      <c r="Y276" s="22"/>
      <c r="Z276" s="38"/>
      <c r="AA276" s="13"/>
      <c r="AB276" s="13"/>
      <c r="AC276" s="13"/>
      <c r="AD276" s="36"/>
      <c r="AE276" s="13"/>
      <c r="AF276" s="13"/>
      <c r="AG276" s="184"/>
      <c r="AH276" s="37"/>
    </row>
    <row r="277" spans="1:34">
      <c r="A277" s="14">
        <f t="shared" si="90"/>
        <v>46194</v>
      </c>
      <c r="B277" s="38"/>
      <c r="C277" s="13"/>
      <c r="D277" s="13"/>
      <c r="E277" s="13"/>
      <c r="F277" s="13"/>
      <c r="G277" s="13"/>
      <c r="H277" s="36"/>
      <c r="I277" s="12"/>
      <c r="J277" s="13"/>
      <c r="K277" s="184"/>
      <c r="L277" s="37"/>
      <c r="M277" s="22"/>
      <c r="N277" s="29"/>
      <c r="O277" s="13"/>
      <c r="P277" s="13"/>
      <c r="Q277" s="13"/>
      <c r="R277" s="13"/>
      <c r="S277" s="13"/>
      <c r="T277" s="36"/>
      <c r="U277" s="13"/>
      <c r="V277" s="13"/>
      <c r="W277" s="184"/>
      <c r="X277" s="37"/>
      <c r="Y277" s="22"/>
      <c r="Z277" s="38"/>
      <c r="AA277" s="13"/>
      <c r="AB277" s="13"/>
      <c r="AC277" s="13"/>
      <c r="AD277" s="36"/>
      <c r="AE277" s="12"/>
      <c r="AF277" s="13"/>
      <c r="AG277" s="184"/>
      <c r="AH277" s="37"/>
    </row>
    <row r="278" spans="1:34">
      <c r="A278" s="14">
        <f t="shared" si="90"/>
        <v>46195</v>
      </c>
      <c r="B278" s="38"/>
      <c r="C278" s="13"/>
      <c r="D278" s="13"/>
      <c r="E278" s="13"/>
      <c r="F278" s="13"/>
      <c r="G278" s="13"/>
      <c r="H278" s="12"/>
      <c r="I278" s="13"/>
      <c r="J278" s="13"/>
      <c r="K278" s="184"/>
      <c r="L278" s="26"/>
      <c r="M278" s="22"/>
      <c r="N278" s="29"/>
      <c r="O278" s="13"/>
      <c r="P278" s="13"/>
      <c r="Q278" s="13"/>
      <c r="R278" s="13"/>
      <c r="S278" s="13"/>
      <c r="T278" s="36"/>
      <c r="U278" s="13"/>
      <c r="V278" s="13"/>
      <c r="W278" s="184"/>
      <c r="X278" s="37"/>
      <c r="Y278" s="22"/>
      <c r="Z278" s="38"/>
      <c r="AA278" s="13"/>
      <c r="AB278" s="13"/>
      <c r="AC278" s="13"/>
      <c r="AD278" s="36"/>
      <c r="AE278" s="13"/>
      <c r="AF278" s="13"/>
      <c r="AG278" s="184"/>
      <c r="AH278" s="37"/>
    </row>
    <row r="279" spans="1:34">
      <c r="A279" s="14">
        <f t="shared" si="90"/>
        <v>46196</v>
      </c>
      <c r="B279" s="29"/>
      <c r="C279" s="13"/>
      <c r="D279" s="13"/>
      <c r="E279" s="13"/>
      <c r="F279" s="13"/>
      <c r="G279" s="13"/>
      <c r="H279" s="13"/>
      <c r="I279" s="13"/>
      <c r="J279" s="13"/>
      <c r="K279" s="184"/>
      <c r="L279" s="37"/>
      <c r="M279" s="22"/>
      <c r="N279" s="29"/>
      <c r="O279" s="13"/>
      <c r="P279" s="13"/>
      <c r="Q279" s="13"/>
      <c r="R279" s="13"/>
      <c r="S279" s="13"/>
      <c r="T279" s="36"/>
      <c r="U279" s="13"/>
      <c r="V279" s="13"/>
      <c r="W279" s="184"/>
      <c r="X279" s="37"/>
      <c r="Y279" s="22"/>
      <c r="Z279" s="38"/>
      <c r="AA279" s="13"/>
      <c r="AB279" s="13"/>
      <c r="AC279" s="13"/>
      <c r="AD279" s="36"/>
      <c r="AE279" s="13"/>
      <c r="AF279" s="13"/>
      <c r="AG279" s="184"/>
      <c r="AH279" s="37"/>
    </row>
    <row r="280" spans="1:34">
      <c r="A280" s="14">
        <f t="shared" si="90"/>
        <v>46197</v>
      </c>
      <c r="B280" s="29"/>
      <c r="C280" s="13"/>
      <c r="D280" s="13"/>
      <c r="E280" s="13"/>
      <c r="F280" s="13"/>
      <c r="G280" s="13"/>
      <c r="H280" s="13"/>
      <c r="I280" s="13"/>
      <c r="J280" s="13"/>
      <c r="K280" s="184"/>
      <c r="L280" s="37"/>
      <c r="M280" s="22"/>
      <c r="N280" s="29"/>
      <c r="O280" s="13"/>
      <c r="P280" s="13"/>
      <c r="Q280" s="13"/>
      <c r="R280" s="13"/>
      <c r="S280" s="13"/>
      <c r="T280" s="36"/>
      <c r="U280" s="13"/>
      <c r="V280" s="13"/>
      <c r="W280" s="184"/>
      <c r="X280" s="37"/>
      <c r="Y280" s="22"/>
      <c r="Z280" s="38"/>
      <c r="AA280" s="13"/>
      <c r="AB280" s="13"/>
      <c r="AC280" s="13"/>
      <c r="AD280" s="36"/>
      <c r="AE280" s="13"/>
      <c r="AF280" s="13"/>
      <c r="AG280" s="184"/>
      <c r="AH280" s="37"/>
    </row>
    <row r="281" spans="1:34">
      <c r="A281" s="14">
        <f t="shared" si="90"/>
        <v>46198</v>
      </c>
      <c r="B281" s="29"/>
      <c r="C281" s="13"/>
      <c r="D281" s="13"/>
      <c r="E281" s="13"/>
      <c r="F281" s="13"/>
      <c r="G281" s="13"/>
      <c r="H281" s="13"/>
      <c r="I281" s="13"/>
      <c r="J281" s="13"/>
      <c r="K281" s="184"/>
      <c r="L281" s="37"/>
      <c r="M281" s="22"/>
      <c r="N281" s="29"/>
      <c r="O281" s="13"/>
      <c r="P281" s="13"/>
      <c r="Q281" s="13"/>
      <c r="R281" s="13"/>
      <c r="S281" s="13"/>
      <c r="T281" s="36"/>
      <c r="U281" s="13"/>
      <c r="V281" s="13"/>
      <c r="W281" s="184"/>
      <c r="X281" s="37"/>
      <c r="Y281" s="22"/>
      <c r="Z281" s="38"/>
      <c r="AA281" s="13"/>
      <c r="AB281" s="13"/>
      <c r="AC281" s="13"/>
      <c r="AD281" s="36"/>
      <c r="AE281" s="13"/>
      <c r="AF281" s="13"/>
      <c r="AG281" s="184"/>
      <c r="AH281" s="37"/>
    </row>
    <row r="282" spans="1:34">
      <c r="A282" s="14">
        <f t="shared" si="90"/>
        <v>46199</v>
      </c>
      <c r="B282" s="29"/>
      <c r="C282" s="13"/>
      <c r="D282" s="13"/>
      <c r="E282" s="13"/>
      <c r="F282" s="13"/>
      <c r="G282" s="13"/>
      <c r="H282" s="13"/>
      <c r="I282" s="13"/>
      <c r="J282" s="13"/>
      <c r="K282" s="184"/>
      <c r="L282" s="37"/>
      <c r="M282" s="22"/>
      <c r="N282" s="29"/>
      <c r="O282" s="13"/>
      <c r="P282" s="13"/>
      <c r="Q282" s="13"/>
      <c r="R282" s="13"/>
      <c r="S282" s="13"/>
      <c r="T282" s="36"/>
      <c r="U282" s="13"/>
      <c r="V282" s="13"/>
      <c r="W282" s="184"/>
      <c r="X282" s="51"/>
      <c r="Y282" s="22"/>
      <c r="Z282" s="38"/>
      <c r="AA282" s="13"/>
      <c r="AB282" s="13"/>
      <c r="AC282" s="13"/>
      <c r="AD282" s="36"/>
      <c r="AE282" s="13"/>
      <c r="AF282" s="13"/>
      <c r="AG282" s="184"/>
      <c r="AH282" s="51"/>
    </row>
    <row r="283" spans="1:34">
      <c r="A283" s="14">
        <f t="shared" si="90"/>
        <v>46200</v>
      </c>
      <c r="B283" s="29"/>
      <c r="C283" s="13"/>
      <c r="D283" s="13"/>
      <c r="E283" s="13"/>
      <c r="F283" s="13"/>
      <c r="G283" s="13"/>
      <c r="H283" s="13"/>
      <c r="I283" s="13"/>
      <c r="J283" s="13"/>
      <c r="K283" s="184"/>
      <c r="L283" s="37"/>
      <c r="M283" s="22"/>
      <c r="N283" s="29"/>
      <c r="O283" s="13"/>
      <c r="P283" s="13"/>
      <c r="Q283" s="13"/>
      <c r="R283" s="13"/>
      <c r="S283" s="13"/>
      <c r="T283" s="36"/>
      <c r="U283" s="13"/>
      <c r="V283" s="13"/>
      <c r="W283" s="184"/>
      <c r="X283" s="37"/>
      <c r="Y283" s="22"/>
      <c r="Z283" s="38"/>
      <c r="AA283" s="13"/>
      <c r="AB283" s="13"/>
      <c r="AC283" s="13"/>
      <c r="AD283" s="36"/>
      <c r="AE283" s="13"/>
      <c r="AF283" s="13"/>
      <c r="AG283" s="184"/>
      <c r="AH283" s="37"/>
    </row>
    <row r="284" spans="1:34">
      <c r="A284" s="14">
        <f t="shared" si="90"/>
        <v>46201</v>
      </c>
      <c r="B284" s="29"/>
      <c r="C284" s="13"/>
      <c r="D284" s="13"/>
      <c r="E284" s="13"/>
      <c r="F284" s="13"/>
      <c r="G284" s="13"/>
      <c r="H284" s="13"/>
      <c r="I284" s="13"/>
      <c r="J284" s="13"/>
      <c r="K284" s="184"/>
      <c r="L284" s="37"/>
      <c r="M284" s="22"/>
      <c r="N284" s="29"/>
      <c r="O284" s="13"/>
      <c r="P284" s="13"/>
      <c r="Q284" s="13"/>
      <c r="R284" s="13"/>
      <c r="S284" s="13"/>
      <c r="T284" s="36"/>
      <c r="U284" s="13"/>
      <c r="V284" s="13"/>
      <c r="W284" s="184"/>
      <c r="X284" s="37"/>
      <c r="Y284" s="22"/>
      <c r="Z284" s="38"/>
      <c r="AA284" s="13"/>
      <c r="AB284" s="13"/>
      <c r="AC284" s="13"/>
      <c r="AD284" s="36"/>
      <c r="AE284" s="13"/>
      <c r="AF284" s="13"/>
      <c r="AG284" s="184"/>
      <c r="AH284" s="37"/>
    </row>
    <row r="285" spans="1:34">
      <c r="A285" s="14">
        <f t="shared" si="90"/>
        <v>46202</v>
      </c>
      <c r="B285" s="29"/>
      <c r="C285" s="13"/>
      <c r="D285" s="13"/>
      <c r="E285" s="13"/>
      <c r="F285" s="13"/>
      <c r="G285" s="13"/>
      <c r="H285" s="13"/>
      <c r="I285" s="13"/>
      <c r="J285" s="13"/>
      <c r="K285" s="184"/>
      <c r="L285" s="37"/>
      <c r="M285" s="22"/>
      <c r="N285" s="29"/>
      <c r="O285" s="13"/>
      <c r="P285" s="13"/>
      <c r="Q285" s="13"/>
      <c r="R285" s="13"/>
      <c r="S285" s="13"/>
      <c r="T285" s="36"/>
      <c r="U285" s="13"/>
      <c r="V285" s="13"/>
      <c r="W285" s="184"/>
      <c r="X285" s="37"/>
      <c r="Y285" s="22"/>
      <c r="Z285" s="38"/>
      <c r="AA285" s="13"/>
      <c r="AB285" s="13"/>
      <c r="AC285" s="13"/>
      <c r="AD285" s="36"/>
      <c r="AE285" s="13"/>
      <c r="AF285" s="13"/>
      <c r="AG285" s="184"/>
      <c r="AH285" s="37"/>
    </row>
    <row r="286" spans="1:34">
      <c r="A286" s="14">
        <f t="shared" si="90"/>
        <v>46203</v>
      </c>
      <c r="B286" s="29"/>
      <c r="C286" s="13"/>
      <c r="D286" s="13"/>
      <c r="E286" s="13"/>
      <c r="F286" s="13"/>
      <c r="G286" s="13"/>
      <c r="H286" s="13"/>
      <c r="I286" s="13"/>
      <c r="J286" s="13"/>
      <c r="K286" s="184"/>
      <c r="L286" s="37"/>
      <c r="M286" s="22"/>
      <c r="N286" s="29"/>
      <c r="O286" s="13"/>
      <c r="P286" s="47"/>
      <c r="Q286" s="47"/>
      <c r="R286" s="47"/>
      <c r="S286" s="47"/>
      <c r="T286" s="52"/>
      <c r="U286" s="47"/>
      <c r="V286" s="53"/>
      <c r="W286" s="184"/>
      <c r="X286" s="48"/>
      <c r="Y286" s="22"/>
      <c r="Z286" s="38"/>
      <c r="AA286" s="13"/>
      <c r="AB286" s="47"/>
      <c r="AC286" s="47"/>
      <c r="AD286" s="52"/>
      <c r="AE286" s="13"/>
      <c r="AF286" s="53"/>
      <c r="AG286" s="53"/>
      <c r="AH286" s="37"/>
    </row>
    <row r="287" spans="1:34" ht="15.75" thickBot="1">
      <c r="A287" s="15"/>
      <c r="B287" s="29"/>
      <c r="C287" s="13"/>
      <c r="D287" s="13"/>
      <c r="E287" s="13"/>
      <c r="F287" s="13"/>
      <c r="G287" s="13"/>
      <c r="H287" s="13"/>
      <c r="I287" s="13"/>
      <c r="J287" s="13"/>
      <c r="K287" s="184"/>
      <c r="L287" s="37"/>
      <c r="M287" s="22"/>
      <c r="N287" s="56"/>
      <c r="O287" s="47"/>
      <c r="P287" s="47"/>
      <c r="Q287" s="47"/>
      <c r="R287" s="47"/>
      <c r="S287" s="47"/>
      <c r="T287" s="52"/>
      <c r="U287" s="47"/>
      <c r="V287" s="47"/>
      <c r="W287" s="184"/>
      <c r="X287" s="48"/>
      <c r="Y287" s="22"/>
      <c r="Z287" s="39"/>
      <c r="AA287" s="47"/>
      <c r="AB287" s="47"/>
      <c r="AC287" s="47"/>
      <c r="AD287" s="47"/>
      <c r="AE287" s="47"/>
      <c r="AF287" s="47"/>
      <c r="AG287" s="53"/>
      <c r="AH287" s="48"/>
    </row>
    <row r="288" spans="1:34">
      <c r="A288" s="16" t="s">
        <v>31</v>
      </c>
      <c r="B288" s="17">
        <f>MIN(B257:B287)</f>
        <v>0</v>
      </c>
      <c r="C288" s="17">
        <f>MIN(C257:C287)</f>
        <v>0</v>
      </c>
      <c r="D288" s="17">
        <f t="shared" ref="D288:L288" si="91">MIN(D257:D287)</f>
        <v>0</v>
      </c>
      <c r="E288" s="17">
        <f t="shared" si="91"/>
        <v>0</v>
      </c>
      <c r="F288" s="17">
        <f t="shared" si="91"/>
        <v>0</v>
      </c>
      <c r="G288" s="17">
        <f t="shared" si="91"/>
        <v>0</v>
      </c>
      <c r="H288" s="197">
        <f t="shared" si="91"/>
        <v>0</v>
      </c>
      <c r="I288" s="17">
        <f t="shared" si="91"/>
        <v>0</v>
      </c>
      <c r="J288" s="17">
        <f t="shared" si="91"/>
        <v>0</v>
      </c>
      <c r="K288" s="17">
        <f t="shared" si="91"/>
        <v>0</v>
      </c>
      <c r="L288" s="30">
        <f t="shared" si="91"/>
        <v>0</v>
      </c>
      <c r="M288" s="22"/>
      <c r="N288" s="17">
        <f>MIN(N257:N287)</f>
        <v>0</v>
      </c>
      <c r="O288" s="17">
        <f>MIN(O257:O287)</f>
        <v>0</v>
      </c>
      <c r="P288" s="17">
        <f t="shared" ref="P288:X288" si="92">MIN(P257:P287)</f>
        <v>0</v>
      </c>
      <c r="Q288" s="17">
        <f t="shared" si="92"/>
        <v>0</v>
      </c>
      <c r="R288" s="17">
        <f t="shared" si="92"/>
        <v>0</v>
      </c>
      <c r="S288" s="17">
        <f t="shared" si="92"/>
        <v>0</v>
      </c>
      <c r="T288" s="197">
        <f t="shared" si="92"/>
        <v>0</v>
      </c>
      <c r="U288" s="17">
        <f t="shared" si="92"/>
        <v>0</v>
      </c>
      <c r="V288" s="17">
        <f t="shared" si="92"/>
        <v>0</v>
      </c>
      <c r="W288" s="17">
        <f t="shared" si="92"/>
        <v>0</v>
      </c>
      <c r="X288" s="30">
        <f t="shared" si="92"/>
        <v>0</v>
      </c>
      <c r="Z288" s="40">
        <f t="shared" ref="Z288:AH288" si="93">MIN(Z257:Z287)</f>
        <v>0</v>
      </c>
      <c r="AA288" s="17">
        <f t="shared" si="93"/>
        <v>0</v>
      </c>
      <c r="AB288" s="17">
        <f t="shared" si="93"/>
        <v>0</v>
      </c>
      <c r="AC288" s="17">
        <f t="shared" si="93"/>
        <v>0</v>
      </c>
      <c r="AD288" s="197">
        <f t="shared" si="93"/>
        <v>0</v>
      </c>
      <c r="AE288" s="17">
        <f t="shared" si="93"/>
        <v>0</v>
      </c>
      <c r="AF288" s="17">
        <f t="shared" si="93"/>
        <v>0</v>
      </c>
      <c r="AG288" s="17">
        <f t="shared" si="93"/>
        <v>0</v>
      </c>
      <c r="AH288" s="30">
        <f t="shared" si="93"/>
        <v>0</v>
      </c>
    </row>
    <row r="289" spans="1:34">
      <c r="A289" s="18" t="s">
        <v>33</v>
      </c>
      <c r="B289" s="19">
        <f>MAX(B257:B287)</f>
        <v>0</v>
      </c>
      <c r="C289" s="19">
        <f>MAX(C257:C287)</f>
        <v>0</v>
      </c>
      <c r="D289" s="19">
        <f t="shared" ref="D289:L289" si="94">MAX(D257:D287)</f>
        <v>0</v>
      </c>
      <c r="E289" s="19">
        <f t="shared" si="94"/>
        <v>0</v>
      </c>
      <c r="F289" s="19">
        <f t="shared" si="94"/>
        <v>0</v>
      </c>
      <c r="G289" s="19">
        <f t="shared" si="94"/>
        <v>0</v>
      </c>
      <c r="H289" s="198">
        <f t="shared" si="94"/>
        <v>0</v>
      </c>
      <c r="I289" s="19">
        <f t="shared" si="94"/>
        <v>0</v>
      </c>
      <c r="J289" s="19">
        <f t="shared" si="94"/>
        <v>0</v>
      </c>
      <c r="K289" s="19">
        <f t="shared" si="94"/>
        <v>0</v>
      </c>
      <c r="L289" s="31">
        <f t="shared" si="94"/>
        <v>0</v>
      </c>
      <c r="M289" s="22"/>
      <c r="N289" s="19">
        <f>MAX(N257:N287)</f>
        <v>0</v>
      </c>
      <c r="O289" s="19">
        <f>MAX(O257:O287)</f>
        <v>0</v>
      </c>
      <c r="P289" s="19">
        <f t="shared" ref="P289:X289" si="95">MAX(P257:P287)</f>
        <v>0</v>
      </c>
      <c r="Q289" s="19">
        <f t="shared" si="95"/>
        <v>0</v>
      </c>
      <c r="R289" s="19">
        <f t="shared" si="95"/>
        <v>0</v>
      </c>
      <c r="S289" s="19">
        <f t="shared" si="95"/>
        <v>0</v>
      </c>
      <c r="T289" s="198">
        <f t="shared" si="95"/>
        <v>0</v>
      </c>
      <c r="U289" s="19">
        <f t="shared" si="95"/>
        <v>0</v>
      </c>
      <c r="V289" s="19">
        <f t="shared" si="95"/>
        <v>0</v>
      </c>
      <c r="W289" s="19">
        <f t="shared" si="95"/>
        <v>0</v>
      </c>
      <c r="X289" s="31">
        <f t="shared" si="95"/>
        <v>0</v>
      </c>
      <c r="Z289" s="41">
        <f t="shared" ref="Z289:AH289" si="96">MAX(Z257:Z287)</f>
        <v>0</v>
      </c>
      <c r="AA289" s="19">
        <f t="shared" si="96"/>
        <v>0</v>
      </c>
      <c r="AB289" s="19">
        <f t="shared" si="96"/>
        <v>0</v>
      </c>
      <c r="AC289" s="19">
        <f t="shared" si="96"/>
        <v>0</v>
      </c>
      <c r="AD289" s="198">
        <f t="shared" si="96"/>
        <v>0</v>
      </c>
      <c r="AE289" s="19">
        <f t="shared" si="96"/>
        <v>0</v>
      </c>
      <c r="AF289" s="19">
        <f t="shared" si="96"/>
        <v>0</v>
      </c>
      <c r="AG289" s="19">
        <f t="shared" si="96"/>
        <v>0</v>
      </c>
      <c r="AH289" s="31">
        <f t="shared" si="96"/>
        <v>0</v>
      </c>
    </row>
    <row r="290" spans="1:34">
      <c r="A290" s="18" t="s">
        <v>36</v>
      </c>
      <c r="B290" s="19" t="e">
        <f t="shared" ref="B290:L290" si="97">AVERAGE(B257:B287)</f>
        <v>#DIV/0!</v>
      </c>
      <c r="C290" s="19" t="e">
        <f t="shared" si="97"/>
        <v>#DIV/0!</v>
      </c>
      <c r="D290" s="19" t="e">
        <f t="shared" si="97"/>
        <v>#DIV/0!</v>
      </c>
      <c r="E290" s="19" t="e">
        <f t="shared" si="97"/>
        <v>#DIV/0!</v>
      </c>
      <c r="F290" s="19" t="e">
        <f t="shared" si="97"/>
        <v>#DIV/0!</v>
      </c>
      <c r="G290" s="19" t="e">
        <f t="shared" si="97"/>
        <v>#DIV/0!</v>
      </c>
      <c r="H290" s="198" t="e">
        <f t="shared" si="97"/>
        <v>#DIV/0!</v>
      </c>
      <c r="I290" s="19" t="e">
        <f t="shared" si="97"/>
        <v>#DIV/0!</v>
      </c>
      <c r="J290" s="19" t="e">
        <f t="shared" si="97"/>
        <v>#DIV/0!</v>
      </c>
      <c r="K290" s="19" t="e">
        <f t="shared" si="97"/>
        <v>#DIV/0!</v>
      </c>
      <c r="L290" s="31" t="e">
        <f t="shared" si="97"/>
        <v>#DIV/0!</v>
      </c>
      <c r="M290" s="22"/>
      <c r="N290" s="19" t="e">
        <f t="shared" ref="N290:X290" si="98">AVERAGE(N257:N287)</f>
        <v>#DIV/0!</v>
      </c>
      <c r="O290" s="19" t="e">
        <f t="shared" si="98"/>
        <v>#DIV/0!</v>
      </c>
      <c r="P290" s="19" t="e">
        <f t="shared" si="98"/>
        <v>#DIV/0!</v>
      </c>
      <c r="Q290" s="19" t="e">
        <f t="shared" si="98"/>
        <v>#DIV/0!</v>
      </c>
      <c r="R290" s="19" t="e">
        <f t="shared" si="98"/>
        <v>#DIV/0!</v>
      </c>
      <c r="S290" s="19" t="e">
        <f t="shared" si="98"/>
        <v>#DIV/0!</v>
      </c>
      <c r="T290" s="198" t="e">
        <f t="shared" si="98"/>
        <v>#DIV/0!</v>
      </c>
      <c r="U290" s="19" t="e">
        <f t="shared" si="98"/>
        <v>#DIV/0!</v>
      </c>
      <c r="V290" s="19" t="e">
        <f t="shared" si="98"/>
        <v>#DIV/0!</v>
      </c>
      <c r="W290" s="19" t="e">
        <f t="shared" si="98"/>
        <v>#DIV/0!</v>
      </c>
      <c r="X290" s="31" t="e">
        <f t="shared" si="98"/>
        <v>#DIV/0!</v>
      </c>
      <c r="Z290" s="41" t="e">
        <f>AVERAGE(Z257:Z287)</f>
        <v>#DIV/0!</v>
      </c>
      <c r="AA290" s="19" t="e">
        <f t="shared" ref="AA290:AH290" si="99">AVERAGE(AA257:AA287)</f>
        <v>#DIV/0!</v>
      </c>
      <c r="AB290" s="19" t="e">
        <f t="shared" si="99"/>
        <v>#DIV/0!</v>
      </c>
      <c r="AC290" s="19" t="e">
        <f t="shared" si="99"/>
        <v>#DIV/0!</v>
      </c>
      <c r="AD290" s="198" t="e">
        <f t="shared" si="99"/>
        <v>#DIV/0!</v>
      </c>
      <c r="AE290" s="19" t="e">
        <f t="shared" si="99"/>
        <v>#DIV/0!</v>
      </c>
      <c r="AF290" s="19" t="e">
        <f t="shared" si="99"/>
        <v>#DIV/0!</v>
      </c>
      <c r="AG290" s="19" t="e">
        <f t="shared" si="99"/>
        <v>#DIV/0!</v>
      </c>
      <c r="AH290" s="31" t="e">
        <f t="shared" si="99"/>
        <v>#DIV/0!</v>
      </c>
    </row>
    <row r="291" spans="1:34" ht="15.75" thickBot="1">
      <c r="A291" s="20" t="s">
        <v>130</v>
      </c>
      <c r="B291" s="21" t="e">
        <f>STDEV(B257:B287)</f>
        <v>#DIV/0!</v>
      </c>
      <c r="C291" s="21" t="e">
        <f t="shared" ref="C291:L291" si="100">STDEV(C257:C287)</f>
        <v>#DIV/0!</v>
      </c>
      <c r="D291" s="21" t="e">
        <f t="shared" si="100"/>
        <v>#DIV/0!</v>
      </c>
      <c r="E291" s="21" t="e">
        <f t="shared" si="100"/>
        <v>#DIV/0!</v>
      </c>
      <c r="F291" s="21" t="e">
        <f t="shared" si="100"/>
        <v>#DIV/0!</v>
      </c>
      <c r="G291" s="21" t="e">
        <f t="shared" si="100"/>
        <v>#DIV/0!</v>
      </c>
      <c r="H291" s="199" t="e">
        <f t="shared" si="100"/>
        <v>#DIV/0!</v>
      </c>
      <c r="I291" s="21" t="e">
        <f t="shared" si="100"/>
        <v>#DIV/0!</v>
      </c>
      <c r="J291" s="21" t="e">
        <f t="shared" si="100"/>
        <v>#DIV/0!</v>
      </c>
      <c r="K291" s="21" t="e">
        <f t="shared" si="100"/>
        <v>#DIV/0!</v>
      </c>
      <c r="L291" s="32" t="e">
        <f t="shared" si="100"/>
        <v>#DIV/0!</v>
      </c>
      <c r="M291" s="22"/>
      <c r="N291" s="21" t="e">
        <f>STDEV(N257:N287)</f>
        <v>#DIV/0!</v>
      </c>
      <c r="O291" s="21" t="e">
        <f t="shared" ref="O291:X291" si="101">STDEV(O257:O287)</f>
        <v>#DIV/0!</v>
      </c>
      <c r="P291" s="21" t="e">
        <f t="shared" si="101"/>
        <v>#DIV/0!</v>
      </c>
      <c r="Q291" s="21" t="e">
        <f t="shared" si="101"/>
        <v>#DIV/0!</v>
      </c>
      <c r="R291" s="21" t="e">
        <f t="shared" si="101"/>
        <v>#DIV/0!</v>
      </c>
      <c r="S291" s="21" t="e">
        <f t="shared" si="101"/>
        <v>#DIV/0!</v>
      </c>
      <c r="T291" s="199" t="e">
        <f t="shared" si="101"/>
        <v>#DIV/0!</v>
      </c>
      <c r="U291" s="21" t="e">
        <f t="shared" si="101"/>
        <v>#DIV/0!</v>
      </c>
      <c r="V291" s="21" t="e">
        <f t="shared" si="101"/>
        <v>#DIV/0!</v>
      </c>
      <c r="W291" s="21" t="e">
        <f t="shared" si="101"/>
        <v>#DIV/0!</v>
      </c>
      <c r="X291" s="32" t="e">
        <f t="shared" si="101"/>
        <v>#DIV/0!</v>
      </c>
      <c r="Z291" s="42" t="e">
        <f>STDEV(Z257:Z287)</f>
        <v>#DIV/0!</v>
      </c>
      <c r="AA291" s="21" t="e">
        <f t="shared" ref="AA291:AH291" si="102">STDEV(AA257:AA287)</f>
        <v>#DIV/0!</v>
      </c>
      <c r="AB291" s="21" t="e">
        <f t="shared" si="102"/>
        <v>#DIV/0!</v>
      </c>
      <c r="AC291" s="21" t="e">
        <f t="shared" si="102"/>
        <v>#DIV/0!</v>
      </c>
      <c r="AD291" s="199" t="e">
        <f t="shared" si="102"/>
        <v>#DIV/0!</v>
      </c>
      <c r="AE291" s="21" t="e">
        <f t="shared" si="102"/>
        <v>#DIV/0!</v>
      </c>
      <c r="AF291" s="21" t="e">
        <f t="shared" si="102"/>
        <v>#DIV/0!</v>
      </c>
      <c r="AG291" s="21" t="e">
        <f t="shared" si="102"/>
        <v>#DIV/0!</v>
      </c>
      <c r="AH291" s="32" t="e">
        <f t="shared" si="102"/>
        <v>#DIV/0!</v>
      </c>
    </row>
    <row r="292" spans="1:34" ht="15.75" thickBot="1"/>
    <row r="293" spans="1:34" ht="15.75" thickBot="1">
      <c r="A293" s="1"/>
      <c r="B293" s="338" t="s">
        <v>0</v>
      </c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39"/>
      <c r="N293" s="339"/>
      <c r="O293" s="339"/>
      <c r="P293" s="339"/>
      <c r="Q293" s="339"/>
      <c r="R293" s="339"/>
      <c r="S293" s="339"/>
      <c r="T293" s="339"/>
      <c r="U293" s="339"/>
      <c r="V293" s="339"/>
      <c r="W293" s="339"/>
      <c r="X293" s="339"/>
      <c r="Y293" s="339"/>
      <c r="Z293" s="339"/>
      <c r="AA293" s="339"/>
      <c r="AB293" s="339"/>
      <c r="AC293" s="339"/>
      <c r="AD293" s="340"/>
      <c r="AE293" s="340"/>
      <c r="AF293" s="340"/>
      <c r="AG293" s="340"/>
      <c r="AH293" s="340"/>
    </row>
    <row r="294" spans="1:34" ht="15.75" thickBot="1">
      <c r="A294" s="1"/>
      <c r="B294" s="338" t="s">
        <v>131</v>
      </c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339"/>
      <c r="N294" s="339"/>
      <c r="O294" s="339"/>
      <c r="P294" s="339"/>
      <c r="Q294" s="339"/>
      <c r="R294" s="339"/>
      <c r="S294" s="339"/>
      <c r="T294" s="339"/>
      <c r="U294" s="339"/>
      <c r="V294" s="339"/>
      <c r="W294" s="339"/>
      <c r="X294" s="339"/>
      <c r="Y294" s="339"/>
      <c r="Z294" s="339"/>
      <c r="AA294" s="339"/>
      <c r="AB294" s="339"/>
      <c r="AC294" s="339"/>
      <c r="AD294" s="4"/>
      <c r="AE294" s="43" t="s">
        <v>107</v>
      </c>
      <c r="AF294" s="341">
        <v>46204</v>
      </c>
      <c r="AG294" s="342"/>
      <c r="AH294" s="343"/>
    </row>
    <row r="295" spans="1:34">
      <c r="A295" s="344"/>
      <c r="B295" s="346" t="s">
        <v>132</v>
      </c>
      <c r="C295" s="347"/>
      <c r="D295" s="347"/>
      <c r="E295" s="347"/>
      <c r="F295" s="347"/>
      <c r="G295" s="347"/>
      <c r="H295" s="347"/>
      <c r="I295" s="347"/>
      <c r="J295" s="347"/>
      <c r="K295" s="348"/>
      <c r="L295" s="349"/>
      <c r="M295" s="22"/>
      <c r="N295" s="350" t="s">
        <v>133</v>
      </c>
      <c r="O295" s="347"/>
      <c r="P295" s="347"/>
      <c r="Q295" s="347"/>
      <c r="R295" s="347"/>
      <c r="S295" s="347"/>
      <c r="T295" s="347"/>
      <c r="U295" s="347"/>
      <c r="V295" s="347"/>
      <c r="W295" s="348"/>
      <c r="X295" s="349"/>
      <c r="Y295" s="22"/>
      <c r="Z295" s="346" t="s">
        <v>134</v>
      </c>
      <c r="AA295" s="347"/>
      <c r="AB295" s="347"/>
      <c r="AC295" s="347"/>
      <c r="AD295" s="347"/>
      <c r="AE295" s="347"/>
      <c r="AF295" s="347"/>
      <c r="AG295" s="348"/>
      <c r="AH295" s="349"/>
    </row>
    <row r="296" spans="1:34" ht="25.5">
      <c r="A296" s="345"/>
      <c r="B296" s="351" t="s">
        <v>135</v>
      </c>
      <c r="C296" s="353" t="s">
        <v>136</v>
      </c>
      <c r="D296" s="64" t="s">
        <v>137</v>
      </c>
      <c r="E296" s="64" t="s">
        <v>138</v>
      </c>
      <c r="F296" s="64" t="s">
        <v>139</v>
      </c>
      <c r="G296" s="64" t="s">
        <v>140</v>
      </c>
      <c r="H296" s="5" t="s">
        <v>141</v>
      </c>
      <c r="I296" s="5" t="s">
        <v>142</v>
      </c>
      <c r="J296" s="5" t="s">
        <v>143</v>
      </c>
      <c r="K296" s="181" t="s">
        <v>81</v>
      </c>
      <c r="L296" s="23" t="s">
        <v>144</v>
      </c>
      <c r="M296" s="22"/>
      <c r="N296" s="355" t="s">
        <v>135</v>
      </c>
      <c r="O296" s="357" t="s">
        <v>136</v>
      </c>
      <c r="P296" s="5" t="s">
        <v>137</v>
      </c>
      <c r="Q296" s="5" t="s">
        <v>138</v>
      </c>
      <c r="R296" s="5" t="s">
        <v>139</v>
      </c>
      <c r="S296" s="5" t="s">
        <v>140</v>
      </c>
      <c r="T296" s="5" t="s">
        <v>141</v>
      </c>
      <c r="U296" s="5" t="s">
        <v>142</v>
      </c>
      <c r="V296" s="5" t="s">
        <v>143</v>
      </c>
      <c r="W296" s="181" t="s">
        <v>81</v>
      </c>
      <c r="X296" s="23" t="s">
        <v>144</v>
      </c>
      <c r="Y296" s="22"/>
      <c r="Z296" s="33" t="s">
        <v>137</v>
      </c>
      <c r="AA296" s="5" t="s">
        <v>138</v>
      </c>
      <c r="AB296" s="5" t="s">
        <v>139</v>
      </c>
      <c r="AC296" s="5" t="s">
        <v>140</v>
      </c>
      <c r="AD296" s="5" t="s">
        <v>141</v>
      </c>
      <c r="AE296" s="5" t="s">
        <v>142</v>
      </c>
      <c r="AF296" s="5" t="s">
        <v>143</v>
      </c>
      <c r="AG296" s="181" t="s">
        <v>81</v>
      </c>
      <c r="AH296" s="23" t="s">
        <v>144</v>
      </c>
    </row>
    <row r="297" spans="1:34" ht="25.5">
      <c r="A297" s="6" t="s">
        <v>145</v>
      </c>
      <c r="B297" s="352"/>
      <c r="C297" s="354"/>
      <c r="D297" s="64" t="s">
        <v>128</v>
      </c>
      <c r="E297" s="64" t="s">
        <v>128</v>
      </c>
      <c r="F297" s="64" t="s">
        <v>128</v>
      </c>
      <c r="G297" s="64" t="s">
        <v>128</v>
      </c>
      <c r="H297" s="5" t="s">
        <v>125</v>
      </c>
      <c r="I297" s="5" t="s">
        <v>146</v>
      </c>
      <c r="J297" s="5" t="s">
        <v>127</v>
      </c>
      <c r="K297" s="181" t="s">
        <v>53</v>
      </c>
      <c r="L297" s="23" t="s">
        <v>53</v>
      </c>
      <c r="M297" s="22"/>
      <c r="N297" s="356"/>
      <c r="O297" s="358"/>
      <c r="P297" s="5" t="s">
        <v>128</v>
      </c>
      <c r="Q297" s="5" t="s">
        <v>128</v>
      </c>
      <c r="R297" s="5" t="s">
        <v>128</v>
      </c>
      <c r="S297" s="5" t="s">
        <v>128</v>
      </c>
      <c r="T297" s="5" t="s">
        <v>125</v>
      </c>
      <c r="U297" s="5" t="s">
        <v>146</v>
      </c>
      <c r="V297" s="5" t="s">
        <v>127</v>
      </c>
      <c r="W297" s="181" t="s">
        <v>53</v>
      </c>
      <c r="X297" s="23" t="s">
        <v>53</v>
      </c>
      <c r="Y297" s="22"/>
      <c r="Z297" s="33" t="s">
        <v>128</v>
      </c>
      <c r="AA297" s="5" t="s">
        <v>128</v>
      </c>
      <c r="AB297" s="5" t="s">
        <v>128</v>
      </c>
      <c r="AC297" s="5" t="s">
        <v>128</v>
      </c>
      <c r="AD297" s="5" t="s">
        <v>125</v>
      </c>
      <c r="AE297" s="5" t="s">
        <v>146</v>
      </c>
      <c r="AF297" s="5" t="s">
        <v>127</v>
      </c>
      <c r="AG297" s="181" t="s">
        <v>53</v>
      </c>
      <c r="AH297" s="23" t="s">
        <v>53</v>
      </c>
    </row>
    <row r="298" spans="1:34" ht="26.25" thickBot="1">
      <c r="A298" s="7" t="s">
        <v>147</v>
      </c>
      <c r="B298" s="65" t="s">
        <v>148</v>
      </c>
      <c r="C298" s="66" t="s">
        <v>149</v>
      </c>
      <c r="D298" s="66" t="s">
        <v>150</v>
      </c>
      <c r="E298" s="66" t="s">
        <v>151</v>
      </c>
      <c r="F298" s="66" t="s">
        <v>152</v>
      </c>
      <c r="G298" s="66" t="s">
        <v>153</v>
      </c>
      <c r="H298" s="9" t="s">
        <v>154</v>
      </c>
      <c r="I298" s="24" t="s">
        <v>155</v>
      </c>
      <c r="J298" s="24" t="s">
        <v>156</v>
      </c>
      <c r="K298" s="24" t="s">
        <v>179</v>
      </c>
      <c r="L298" s="25" t="s">
        <v>157</v>
      </c>
      <c r="M298" s="22"/>
      <c r="N298" s="8" t="s">
        <v>148</v>
      </c>
      <c r="O298" s="9" t="s">
        <v>149</v>
      </c>
      <c r="P298" s="9" t="s">
        <v>150</v>
      </c>
      <c r="Q298" s="9" t="s">
        <v>151</v>
      </c>
      <c r="R298" s="9" t="s">
        <v>152</v>
      </c>
      <c r="S298" s="9" t="s">
        <v>153</v>
      </c>
      <c r="T298" s="9" t="s">
        <v>154</v>
      </c>
      <c r="U298" s="24" t="s">
        <v>155</v>
      </c>
      <c r="V298" s="24" t="s">
        <v>156</v>
      </c>
      <c r="W298" s="24" t="s">
        <v>179</v>
      </c>
      <c r="X298" s="25" t="s">
        <v>157</v>
      </c>
      <c r="Y298" s="22"/>
      <c r="Z298" s="8" t="s">
        <v>150</v>
      </c>
      <c r="AA298" s="9" t="s">
        <v>158</v>
      </c>
      <c r="AB298" s="9" t="s">
        <v>152</v>
      </c>
      <c r="AC298" s="9" t="s">
        <v>159</v>
      </c>
      <c r="AD298" s="9" t="s">
        <v>154</v>
      </c>
      <c r="AE298" s="9" t="s">
        <v>155</v>
      </c>
      <c r="AF298" s="9" t="s">
        <v>156</v>
      </c>
      <c r="AG298" s="24" t="s">
        <v>179</v>
      </c>
      <c r="AH298" s="23" t="s">
        <v>157</v>
      </c>
    </row>
    <row r="299" spans="1:34">
      <c r="A299" s="10">
        <f>AF294+0</f>
        <v>46204</v>
      </c>
      <c r="B299" s="67"/>
      <c r="C299" s="68"/>
      <c r="D299" s="68"/>
      <c r="E299" s="68"/>
      <c r="F299" s="68"/>
      <c r="G299" s="68"/>
      <c r="H299" s="69"/>
      <c r="I299" s="69"/>
      <c r="J299" s="69"/>
      <c r="K299" s="191"/>
      <c r="L299" s="73"/>
      <c r="M299" s="74"/>
      <c r="N299" s="75"/>
      <c r="O299" s="76"/>
      <c r="P299" s="76"/>
      <c r="Q299" s="76"/>
      <c r="R299" s="76"/>
      <c r="S299" s="76"/>
      <c r="T299" s="76"/>
      <c r="U299" s="76"/>
      <c r="V299" s="76"/>
      <c r="W299" s="191"/>
      <c r="X299" s="76"/>
      <c r="Y299" s="74"/>
      <c r="Z299" s="81"/>
      <c r="AA299" s="76"/>
      <c r="AB299" s="76"/>
      <c r="AC299" s="76"/>
      <c r="AD299" s="85"/>
      <c r="AE299" s="76"/>
      <c r="AF299" s="76"/>
      <c r="AG299" s="194"/>
      <c r="AH299" s="86"/>
    </row>
    <row r="300" spans="1:34">
      <c r="A300" s="14">
        <f t="shared" ref="A300:A328" si="103">A299+1</f>
        <v>46205</v>
      </c>
      <c r="B300" s="67"/>
      <c r="C300" s="70"/>
      <c r="D300" s="70"/>
      <c r="E300" s="70"/>
      <c r="F300" s="70"/>
      <c r="G300" s="70"/>
      <c r="H300" s="71"/>
      <c r="I300" s="71"/>
      <c r="J300" s="70"/>
      <c r="K300" s="192"/>
      <c r="L300" s="77"/>
      <c r="M300" s="74"/>
      <c r="N300" s="78"/>
      <c r="O300" s="70"/>
      <c r="P300" s="70"/>
      <c r="Q300" s="70"/>
      <c r="R300" s="70"/>
      <c r="S300" s="70"/>
      <c r="T300" s="70"/>
      <c r="U300" s="70"/>
      <c r="V300" s="70"/>
      <c r="W300" s="192"/>
      <c r="X300" s="70"/>
      <c r="Y300" s="74"/>
      <c r="Z300" s="67"/>
      <c r="AA300" s="70"/>
      <c r="AB300" s="70"/>
      <c r="AC300" s="70"/>
      <c r="AD300" s="82"/>
      <c r="AE300" s="70"/>
      <c r="AF300" s="70"/>
      <c r="AG300" s="192"/>
      <c r="AH300" s="87"/>
    </row>
    <row r="301" spans="1:34">
      <c r="A301" s="14">
        <f t="shared" si="103"/>
        <v>46206</v>
      </c>
      <c r="B301" s="67"/>
      <c r="C301" s="70"/>
      <c r="D301" s="70"/>
      <c r="E301" s="70"/>
      <c r="F301" s="70"/>
      <c r="G301" s="70"/>
      <c r="H301" s="71"/>
      <c r="I301" s="70"/>
      <c r="J301" s="70"/>
      <c r="K301" s="192"/>
      <c r="L301" s="77"/>
      <c r="M301" s="74"/>
      <c r="N301" s="70"/>
      <c r="O301" s="70"/>
      <c r="P301" s="70"/>
      <c r="Q301" s="70"/>
      <c r="R301" s="70"/>
      <c r="S301" s="70"/>
      <c r="T301" s="82"/>
      <c r="U301" s="70"/>
      <c r="V301" s="70"/>
      <c r="W301" s="192"/>
      <c r="X301" s="83"/>
      <c r="Y301" s="74"/>
      <c r="Z301" s="67"/>
      <c r="AA301" s="70"/>
      <c r="AB301" s="70"/>
      <c r="AC301" s="70"/>
      <c r="AD301" s="82"/>
      <c r="AE301" s="70"/>
      <c r="AF301" s="70"/>
      <c r="AG301" s="192"/>
      <c r="AH301" s="87"/>
    </row>
    <row r="302" spans="1:34">
      <c r="A302" s="14">
        <f t="shared" si="103"/>
        <v>46207</v>
      </c>
      <c r="B302" s="67"/>
      <c r="C302" s="70"/>
      <c r="D302" s="70"/>
      <c r="E302" s="70"/>
      <c r="F302" s="70"/>
      <c r="G302" s="70"/>
      <c r="H302" s="71"/>
      <c r="I302" s="71"/>
      <c r="J302" s="70"/>
      <c r="K302" s="192"/>
      <c r="L302" s="77"/>
      <c r="M302" s="74"/>
      <c r="N302" s="78"/>
      <c r="O302" s="70"/>
      <c r="P302" s="70"/>
      <c r="Q302" s="70"/>
      <c r="R302" s="70"/>
      <c r="S302" s="70"/>
      <c r="T302" s="82"/>
      <c r="U302" s="70"/>
      <c r="V302" s="70"/>
      <c r="W302" s="192"/>
      <c r="X302" s="83"/>
      <c r="Y302" s="74"/>
      <c r="Z302" s="67"/>
      <c r="AA302" s="70"/>
      <c r="AB302" s="70"/>
      <c r="AC302" s="70"/>
      <c r="AD302" s="82"/>
      <c r="AE302" s="70"/>
      <c r="AF302" s="70"/>
      <c r="AG302" s="192"/>
      <c r="AH302" s="87"/>
    </row>
    <row r="303" spans="1:34">
      <c r="A303" s="14">
        <f t="shared" si="103"/>
        <v>46208</v>
      </c>
      <c r="B303" s="67"/>
      <c r="C303" s="70"/>
      <c r="D303" s="70"/>
      <c r="E303" s="70"/>
      <c r="F303" s="70"/>
      <c r="G303" s="70"/>
      <c r="H303" s="71"/>
      <c r="I303" s="71"/>
      <c r="J303" s="70"/>
      <c r="K303" s="192"/>
      <c r="L303" s="77"/>
      <c r="M303" s="74"/>
      <c r="N303" s="78"/>
      <c r="O303" s="70"/>
      <c r="P303" s="70"/>
      <c r="Q303" s="70"/>
      <c r="R303" s="70"/>
      <c r="S303" s="70"/>
      <c r="T303" s="82"/>
      <c r="U303" s="70"/>
      <c r="V303" s="70"/>
      <c r="W303" s="192"/>
      <c r="X303" s="84"/>
      <c r="Y303" s="74"/>
      <c r="Z303" s="67"/>
      <c r="AA303" s="70"/>
      <c r="AB303" s="70"/>
      <c r="AC303" s="70"/>
      <c r="AD303" s="82"/>
      <c r="AE303" s="70"/>
      <c r="AF303" s="70"/>
      <c r="AG303" s="192"/>
      <c r="AH303" s="88"/>
    </row>
    <row r="304" spans="1:34">
      <c r="A304" s="14">
        <f t="shared" si="103"/>
        <v>46209</v>
      </c>
      <c r="B304" s="67"/>
      <c r="C304" s="70"/>
      <c r="D304" s="70"/>
      <c r="E304" s="70"/>
      <c r="F304" s="70"/>
      <c r="G304" s="70"/>
      <c r="H304" s="71"/>
      <c r="I304" s="71"/>
      <c r="J304" s="70"/>
      <c r="K304" s="192"/>
      <c r="L304" s="77"/>
      <c r="M304" s="74"/>
      <c r="N304" s="78"/>
      <c r="O304" s="70"/>
      <c r="P304" s="70"/>
      <c r="Q304" s="70"/>
      <c r="R304" s="70"/>
      <c r="S304" s="70"/>
      <c r="T304" s="82"/>
      <c r="U304" s="70"/>
      <c r="V304" s="70"/>
      <c r="W304" s="192"/>
      <c r="X304" s="84"/>
      <c r="Y304" s="74"/>
      <c r="Z304" s="67"/>
      <c r="AA304" s="70"/>
      <c r="AB304" s="70"/>
      <c r="AC304" s="70"/>
      <c r="AD304" s="82"/>
      <c r="AE304" s="70"/>
      <c r="AF304" s="70"/>
      <c r="AG304" s="192"/>
      <c r="AH304" s="88"/>
    </row>
    <row r="305" spans="1:34">
      <c r="A305" s="14">
        <f t="shared" si="103"/>
        <v>46210</v>
      </c>
      <c r="B305" s="67"/>
      <c r="C305" s="70"/>
      <c r="D305" s="70"/>
      <c r="E305" s="70"/>
      <c r="F305" s="70"/>
      <c r="G305" s="70"/>
      <c r="H305" s="71"/>
      <c r="I305" s="71"/>
      <c r="J305" s="70"/>
      <c r="K305" s="192"/>
      <c r="L305" s="77"/>
      <c r="M305" s="74"/>
      <c r="N305" s="78"/>
      <c r="O305" s="79"/>
      <c r="P305" s="70"/>
      <c r="Q305" s="70"/>
      <c r="R305" s="70"/>
      <c r="S305" s="70"/>
      <c r="T305" s="82"/>
      <c r="U305" s="70"/>
      <c r="V305" s="70"/>
      <c r="W305" s="192"/>
      <c r="X305" s="84"/>
      <c r="Y305" s="74"/>
      <c r="Z305" s="67"/>
      <c r="AA305" s="70"/>
      <c r="AB305" s="70"/>
      <c r="AC305" s="70"/>
      <c r="AD305" s="82"/>
      <c r="AE305" s="70"/>
      <c r="AF305" s="70"/>
      <c r="AG305" s="192"/>
      <c r="AH305" s="88"/>
    </row>
    <row r="306" spans="1:34">
      <c r="A306" s="14">
        <f t="shared" si="103"/>
        <v>46211</v>
      </c>
      <c r="B306" s="67"/>
      <c r="C306" s="70"/>
      <c r="D306" s="70"/>
      <c r="E306" s="70"/>
      <c r="F306" s="70"/>
      <c r="G306" s="70"/>
      <c r="H306" s="71"/>
      <c r="I306" s="71"/>
      <c r="J306" s="70"/>
      <c r="K306" s="192"/>
      <c r="L306" s="77"/>
      <c r="M306" s="74"/>
      <c r="N306" s="78"/>
      <c r="O306" s="70"/>
      <c r="P306" s="70"/>
      <c r="Q306" s="70"/>
      <c r="R306" s="70"/>
      <c r="S306" s="70"/>
      <c r="T306" s="82"/>
      <c r="U306" s="70"/>
      <c r="V306" s="70"/>
      <c r="W306" s="192"/>
      <c r="X306" s="83"/>
      <c r="Y306" s="74"/>
      <c r="Z306" s="67"/>
      <c r="AA306" s="70"/>
      <c r="AB306" s="70"/>
      <c r="AC306" s="70"/>
      <c r="AD306" s="82"/>
      <c r="AE306" s="70"/>
      <c r="AF306" s="70"/>
      <c r="AG306" s="192"/>
      <c r="AH306" s="87"/>
    </row>
    <row r="307" spans="1:34">
      <c r="A307" s="14">
        <f t="shared" si="103"/>
        <v>46212</v>
      </c>
      <c r="B307" s="67"/>
      <c r="C307" s="70"/>
      <c r="D307" s="70"/>
      <c r="E307" s="70"/>
      <c r="F307" s="70"/>
      <c r="G307" s="70"/>
      <c r="H307" s="71"/>
      <c r="I307" s="71"/>
      <c r="J307" s="70"/>
      <c r="K307" s="192"/>
      <c r="L307" s="77"/>
      <c r="M307" s="74"/>
      <c r="N307" s="78"/>
      <c r="O307" s="70"/>
      <c r="P307" s="70"/>
      <c r="Q307" s="70"/>
      <c r="R307" s="70"/>
      <c r="S307" s="70"/>
      <c r="T307" s="82"/>
      <c r="U307" s="70"/>
      <c r="V307" s="70"/>
      <c r="W307" s="192"/>
      <c r="X307" s="83"/>
      <c r="Y307" s="74"/>
      <c r="Z307" s="67"/>
      <c r="AA307" s="70"/>
      <c r="AB307" s="70"/>
      <c r="AC307" s="70"/>
      <c r="AD307" s="82"/>
      <c r="AE307" s="70"/>
      <c r="AF307" s="70"/>
      <c r="AG307" s="192"/>
      <c r="AH307" s="87"/>
    </row>
    <row r="308" spans="1:34">
      <c r="A308" s="14">
        <f t="shared" si="103"/>
        <v>46213</v>
      </c>
      <c r="B308" s="67"/>
      <c r="C308" s="70"/>
      <c r="D308" s="70"/>
      <c r="E308" s="70"/>
      <c r="F308" s="70"/>
      <c r="G308" s="70"/>
      <c r="H308" s="71"/>
      <c r="I308" s="71"/>
      <c r="J308" s="70"/>
      <c r="K308" s="192"/>
      <c r="L308" s="77"/>
      <c r="M308" s="74"/>
      <c r="N308" s="78"/>
      <c r="O308" s="70"/>
      <c r="P308" s="70"/>
      <c r="Q308" s="70"/>
      <c r="R308" s="70"/>
      <c r="S308" s="70"/>
      <c r="T308" s="82"/>
      <c r="U308" s="70"/>
      <c r="V308" s="70"/>
      <c r="W308" s="192"/>
      <c r="X308" s="83"/>
      <c r="Y308" s="74"/>
      <c r="Z308" s="67"/>
      <c r="AA308" s="70"/>
      <c r="AB308" s="70"/>
      <c r="AC308" s="70"/>
      <c r="AD308" s="82"/>
      <c r="AE308" s="70"/>
      <c r="AF308" s="70"/>
      <c r="AG308" s="192"/>
      <c r="AH308" s="87"/>
    </row>
    <row r="309" spans="1:34">
      <c r="A309" s="14">
        <f t="shared" si="103"/>
        <v>46214</v>
      </c>
      <c r="B309" s="38"/>
      <c r="C309" s="13"/>
      <c r="D309" s="13"/>
      <c r="E309" s="13"/>
      <c r="F309" s="13"/>
      <c r="G309" s="13"/>
      <c r="H309" s="12"/>
      <c r="I309" s="12"/>
      <c r="J309" s="13"/>
      <c r="K309" s="184"/>
      <c r="L309" s="26"/>
      <c r="M309" s="22"/>
      <c r="N309" s="29"/>
      <c r="O309" s="13"/>
      <c r="P309" s="13"/>
      <c r="Q309" s="13"/>
      <c r="R309" s="13"/>
      <c r="S309" s="13"/>
      <c r="T309" s="36"/>
      <c r="U309" s="13"/>
      <c r="V309" s="13"/>
      <c r="W309" s="184"/>
      <c r="X309" s="37"/>
      <c r="Y309" s="22"/>
      <c r="Z309" s="38"/>
      <c r="AA309" s="13"/>
      <c r="AB309" s="13"/>
      <c r="AC309" s="13"/>
      <c r="AD309" s="36"/>
      <c r="AE309" s="13"/>
      <c r="AF309" s="13"/>
      <c r="AG309" s="184"/>
      <c r="AH309" s="45"/>
    </row>
    <row r="310" spans="1:34">
      <c r="A310" s="14">
        <f t="shared" si="103"/>
        <v>46215</v>
      </c>
      <c r="B310" s="38"/>
      <c r="C310" s="13"/>
      <c r="D310" s="13"/>
      <c r="E310" s="13"/>
      <c r="F310" s="13"/>
      <c r="G310" s="13"/>
      <c r="H310" s="12"/>
      <c r="I310" s="12"/>
      <c r="J310" s="13"/>
      <c r="K310" s="184"/>
      <c r="L310" s="26"/>
      <c r="M310" s="22"/>
      <c r="N310" s="29"/>
      <c r="O310" s="13"/>
      <c r="P310" s="13"/>
      <c r="Q310" s="13"/>
      <c r="R310" s="13"/>
      <c r="S310" s="13"/>
      <c r="T310" s="36"/>
      <c r="U310" s="13"/>
      <c r="V310" s="13"/>
      <c r="W310" s="184"/>
      <c r="X310" s="37"/>
      <c r="Y310" s="22"/>
      <c r="Z310" s="38"/>
      <c r="AA310" s="13"/>
      <c r="AB310" s="13"/>
      <c r="AC310" s="13"/>
      <c r="AD310" s="36"/>
      <c r="AE310" s="13"/>
      <c r="AF310" s="13"/>
      <c r="AG310" s="184"/>
      <c r="AH310" s="45"/>
    </row>
    <row r="311" spans="1:34">
      <c r="A311" s="14">
        <f t="shared" si="103"/>
        <v>46216</v>
      </c>
      <c r="B311" s="38"/>
      <c r="C311" s="13"/>
      <c r="D311" s="13"/>
      <c r="E311" s="13"/>
      <c r="F311" s="13"/>
      <c r="G311" s="13"/>
      <c r="H311" s="12"/>
      <c r="I311" s="12"/>
      <c r="J311" s="13"/>
      <c r="K311" s="184"/>
      <c r="L311" s="26"/>
      <c r="M311" s="22"/>
      <c r="N311" s="29"/>
      <c r="O311" s="13"/>
      <c r="P311" s="13"/>
      <c r="Q311" s="13"/>
      <c r="R311" s="13"/>
      <c r="S311" s="13"/>
      <c r="T311" s="36"/>
      <c r="U311" s="13"/>
      <c r="V311" s="13"/>
      <c r="W311" s="184"/>
      <c r="X311" s="37"/>
      <c r="Y311" s="22"/>
      <c r="Z311" s="38"/>
      <c r="AA311" s="13"/>
      <c r="AB311" s="13"/>
      <c r="AC311" s="13"/>
      <c r="AD311" s="36"/>
      <c r="AE311" s="13"/>
      <c r="AF311" s="13"/>
      <c r="AG311" s="184"/>
      <c r="AH311" s="45"/>
    </row>
    <row r="312" spans="1:34">
      <c r="A312" s="14">
        <f t="shared" si="103"/>
        <v>46217</v>
      </c>
      <c r="B312" s="38"/>
      <c r="C312" s="13"/>
      <c r="D312" s="13"/>
      <c r="E312" s="13"/>
      <c r="F312" s="13"/>
      <c r="G312" s="13"/>
      <c r="H312" s="72"/>
      <c r="I312" s="80"/>
      <c r="J312" s="13"/>
      <c r="K312" s="184"/>
      <c r="L312" s="26"/>
      <c r="M312" s="22"/>
      <c r="N312" s="29"/>
      <c r="O312" s="13"/>
      <c r="P312" s="13"/>
      <c r="Q312" s="13"/>
      <c r="R312" s="13"/>
      <c r="S312" s="13"/>
      <c r="T312" s="36"/>
      <c r="U312" s="13"/>
      <c r="V312" s="13"/>
      <c r="W312" s="184"/>
      <c r="X312" s="37"/>
      <c r="Y312" s="22"/>
      <c r="Z312" s="38"/>
      <c r="AA312" s="13"/>
      <c r="AB312" s="13"/>
      <c r="AC312" s="13"/>
      <c r="AD312" s="36"/>
      <c r="AE312" s="13"/>
      <c r="AF312" s="13"/>
      <c r="AG312" s="184"/>
      <c r="AH312" s="37"/>
    </row>
    <row r="313" spans="1:34">
      <c r="A313" s="14">
        <f t="shared" si="103"/>
        <v>46218</v>
      </c>
      <c r="B313" s="38"/>
      <c r="C313" s="13"/>
      <c r="D313" s="13"/>
      <c r="E313" s="13"/>
      <c r="F313" s="13"/>
      <c r="G313" s="13"/>
      <c r="H313" s="72"/>
      <c r="I313" s="80"/>
      <c r="J313" s="13"/>
      <c r="K313" s="184"/>
      <c r="L313" s="26"/>
      <c r="M313" s="22"/>
      <c r="N313" s="29"/>
      <c r="O313" s="13"/>
      <c r="P313" s="13"/>
      <c r="Q313" s="13"/>
      <c r="R313" s="13"/>
      <c r="S313" s="13"/>
      <c r="T313" s="36"/>
      <c r="U313" s="13"/>
      <c r="V313" s="13"/>
      <c r="W313" s="184"/>
      <c r="X313" s="37"/>
      <c r="Y313" s="22"/>
      <c r="Z313" s="38"/>
      <c r="AA313" s="13"/>
      <c r="AB313" s="13"/>
      <c r="AC313" s="13"/>
      <c r="AD313" s="36"/>
      <c r="AE313" s="13"/>
      <c r="AF313" s="13"/>
      <c r="AG313" s="184"/>
      <c r="AH313" s="37"/>
    </row>
    <row r="314" spans="1:34">
      <c r="A314" s="14">
        <f t="shared" si="103"/>
        <v>46219</v>
      </c>
      <c r="B314" s="38"/>
      <c r="C314" s="13"/>
      <c r="D314" s="13"/>
      <c r="E314" s="13"/>
      <c r="F314" s="13"/>
      <c r="G314" s="13"/>
      <c r="H314" s="12"/>
      <c r="I314" s="12"/>
      <c r="J314" s="13"/>
      <c r="K314" s="184"/>
      <c r="L314" s="26"/>
      <c r="M314" s="22"/>
      <c r="N314" s="29"/>
      <c r="O314" s="13"/>
      <c r="P314" s="13"/>
      <c r="Q314" s="13"/>
      <c r="R314" s="13"/>
      <c r="S314" s="13"/>
      <c r="T314" s="36"/>
      <c r="U314" s="13"/>
      <c r="V314" s="13"/>
      <c r="W314" s="184"/>
      <c r="X314" s="37"/>
      <c r="Y314" s="22"/>
      <c r="Z314" s="38"/>
      <c r="AA314" s="13"/>
      <c r="AB314" s="13"/>
      <c r="AC314" s="13"/>
      <c r="AD314" s="36"/>
      <c r="AE314" s="13"/>
      <c r="AF314" s="13"/>
      <c r="AG314" s="184"/>
      <c r="AH314" s="37"/>
    </row>
    <row r="315" spans="1:34">
      <c r="A315" s="14">
        <f t="shared" si="103"/>
        <v>46220</v>
      </c>
      <c r="B315" s="38"/>
      <c r="C315" s="13"/>
      <c r="D315" s="13"/>
      <c r="E315" s="13"/>
      <c r="F315" s="13"/>
      <c r="G315" s="13"/>
      <c r="H315" s="12"/>
      <c r="I315" s="12"/>
      <c r="J315" s="13"/>
      <c r="K315" s="184"/>
      <c r="L315" s="26"/>
      <c r="M315" s="22"/>
      <c r="N315" s="29"/>
      <c r="O315" s="13"/>
      <c r="P315" s="13"/>
      <c r="Q315" s="13"/>
      <c r="R315" s="13"/>
      <c r="S315" s="13"/>
      <c r="T315" s="36"/>
      <c r="U315" s="13"/>
      <c r="V315" s="13"/>
      <c r="W315" s="184"/>
      <c r="X315" s="37"/>
      <c r="Y315" s="22"/>
      <c r="Z315" s="38"/>
      <c r="AA315" s="13"/>
      <c r="AB315" s="13"/>
      <c r="AC315" s="13"/>
      <c r="AD315" s="36"/>
      <c r="AE315" s="13"/>
      <c r="AF315" s="13"/>
      <c r="AG315" s="184"/>
      <c r="AH315" s="37"/>
    </row>
    <row r="316" spans="1:34">
      <c r="A316" s="14">
        <f t="shared" si="103"/>
        <v>46221</v>
      </c>
      <c r="B316" s="38"/>
      <c r="C316" s="13"/>
      <c r="D316" s="13"/>
      <c r="E316" s="13"/>
      <c r="F316" s="13"/>
      <c r="G316" s="13"/>
      <c r="H316" s="12"/>
      <c r="I316" s="12"/>
      <c r="J316" s="13"/>
      <c r="K316" s="184"/>
      <c r="L316" s="26"/>
      <c r="M316" s="22"/>
      <c r="N316" s="29"/>
      <c r="O316" s="13"/>
      <c r="P316" s="13"/>
      <c r="Q316" s="13"/>
      <c r="R316" s="13"/>
      <c r="S316" s="13"/>
      <c r="T316" s="36"/>
      <c r="U316" s="13"/>
      <c r="V316" s="13"/>
      <c r="W316" s="184"/>
      <c r="X316" s="37"/>
      <c r="Y316" s="22"/>
      <c r="Z316" s="38"/>
      <c r="AA316" s="13"/>
      <c r="AB316" s="13"/>
      <c r="AC316" s="13"/>
      <c r="AD316" s="36"/>
      <c r="AE316" s="13"/>
      <c r="AF316" s="13"/>
      <c r="AG316" s="184"/>
      <c r="AH316" s="37"/>
    </row>
    <row r="317" spans="1:34">
      <c r="A317" s="14">
        <f t="shared" si="103"/>
        <v>46222</v>
      </c>
      <c r="B317" s="38"/>
      <c r="C317" s="13"/>
      <c r="D317" s="13"/>
      <c r="E317" s="13"/>
      <c r="F317" s="13"/>
      <c r="G317" s="13"/>
      <c r="H317" s="12"/>
      <c r="I317" s="12"/>
      <c r="J317" s="13"/>
      <c r="K317" s="184"/>
      <c r="L317" s="37"/>
      <c r="M317" s="22"/>
      <c r="N317" s="29"/>
      <c r="O317" s="13"/>
      <c r="P317" s="13"/>
      <c r="Q317" s="13"/>
      <c r="R317" s="13"/>
      <c r="S317" s="13"/>
      <c r="T317" s="36"/>
      <c r="U317" s="13"/>
      <c r="V317" s="13"/>
      <c r="W317" s="184"/>
      <c r="X317" s="37"/>
      <c r="Y317" s="22"/>
      <c r="Z317" s="38"/>
      <c r="AA317" s="13"/>
      <c r="AB317" s="13"/>
      <c r="AC317" s="13"/>
      <c r="AD317" s="36"/>
      <c r="AE317" s="13"/>
      <c r="AF317" s="13"/>
      <c r="AG317" s="184"/>
      <c r="AH317" s="37"/>
    </row>
    <row r="318" spans="1:34">
      <c r="A318" s="14">
        <f t="shared" si="103"/>
        <v>46223</v>
      </c>
      <c r="B318" s="38"/>
      <c r="C318" s="13"/>
      <c r="D318" s="13"/>
      <c r="E318" s="13"/>
      <c r="F318" s="13"/>
      <c r="G318" s="13"/>
      <c r="H318" s="12"/>
      <c r="I318" s="13"/>
      <c r="J318" s="13"/>
      <c r="K318" s="184"/>
      <c r="L318" s="26"/>
      <c r="M318" s="22"/>
      <c r="N318" s="29"/>
      <c r="O318" s="13"/>
      <c r="P318" s="13"/>
      <c r="Q318" s="13"/>
      <c r="R318" s="13"/>
      <c r="S318" s="13"/>
      <c r="T318" s="36"/>
      <c r="U318" s="13"/>
      <c r="V318" s="13"/>
      <c r="W318" s="184"/>
      <c r="X318" s="37"/>
      <c r="Y318" s="22"/>
      <c r="Z318" s="38"/>
      <c r="AA318" s="13"/>
      <c r="AB318" s="13"/>
      <c r="AC318" s="13"/>
      <c r="AD318" s="36"/>
      <c r="AE318" s="13"/>
      <c r="AF318" s="13"/>
      <c r="AG318" s="184"/>
      <c r="AH318" s="37"/>
    </row>
    <row r="319" spans="1:34">
      <c r="A319" s="14">
        <f t="shared" si="103"/>
        <v>46224</v>
      </c>
      <c r="B319" s="38"/>
      <c r="C319" s="13"/>
      <c r="D319" s="13"/>
      <c r="E319" s="13"/>
      <c r="F319" s="13"/>
      <c r="G319" s="13"/>
      <c r="H319" s="36"/>
      <c r="I319" s="12"/>
      <c r="J319" s="13"/>
      <c r="K319" s="184"/>
      <c r="L319" s="37"/>
      <c r="M319" s="22"/>
      <c r="N319" s="29"/>
      <c r="O319" s="13"/>
      <c r="P319" s="13"/>
      <c r="Q319" s="13"/>
      <c r="R319" s="13"/>
      <c r="S319" s="13"/>
      <c r="T319" s="36"/>
      <c r="U319" s="13"/>
      <c r="V319" s="13"/>
      <c r="W319" s="184"/>
      <c r="X319" s="37"/>
      <c r="Y319" s="22"/>
      <c r="Z319" s="38"/>
      <c r="AA319" s="13"/>
      <c r="AB319" s="13"/>
      <c r="AC319" s="13"/>
      <c r="AD319" s="36"/>
      <c r="AE319" s="12"/>
      <c r="AF319" s="13"/>
      <c r="AG319" s="184"/>
      <c r="AH319" s="37"/>
    </row>
    <row r="320" spans="1:34">
      <c r="A320" s="14">
        <f t="shared" si="103"/>
        <v>46225</v>
      </c>
      <c r="B320" s="38"/>
      <c r="C320" s="13"/>
      <c r="D320" s="13"/>
      <c r="E320" s="13"/>
      <c r="F320" s="13"/>
      <c r="G320" s="13"/>
      <c r="H320" s="12"/>
      <c r="I320" s="13"/>
      <c r="J320" s="13"/>
      <c r="K320" s="184"/>
      <c r="L320" s="26"/>
      <c r="M320" s="22"/>
      <c r="N320" s="29"/>
      <c r="O320" s="13"/>
      <c r="P320" s="13"/>
      <c r="Q320" s="13"/>
      <c r="R320" s="13"/>
      <c r="S320" s="13"/>
      <c r="T320" s="36"/>
      <c r="U320" s="13"/>
      <c r="V320" s="13"/>
      <c r="W320" s="184"/>
      <c r="X320" s="37"/>
      <c r="Y320" s="22"/>
      <c r="Z320" s="38"/>
      <c r="AA320" s="13"/>
      <c r="AB320" s="13"/>
      <c r="AC320" s="13"/>
      <c r="AD320" s="36"/>
      <c r="AE320" s="13"/>
      <c r="AF320" s="13"/>
      <c r="AG320" s="184"/>
      <c r="AH320" s="37"/>
    </row>
    <row r="321" spans="1:34">
      <c r="A321" s="14">
        <f t="shared" si="103"/>
        <v>46226</v>
      </c>
      <c r="B321" s="29"/>
      <c r="C321" s="13"/>
      <c r="D321" s="13"/>
      <c r="E321" s="13"/>
      <c r="F321" s="13"/>
      <c r="G321" s="13"/>
      <c r="H321" s="13"/>
      <c r="I321" s="13"/>
      <c r="J321" s="13"/>
      <c r="K321" s="184"/>
      <c r="L321" s="37"/>
      <c r="M321" s="22"/>
      <c r="N321" s="29"/>
      <c r="O321" s="13"/>
      <c r="P321" s="13"/>
      <c r="Q321" s="13"/>
      <c r="R321" s="13"/>
      <c r="S321" s="13"/>
      <c r="T321" s="36"/>
      <c r="U321" s="13"/>
      <c r="V321" s="13"/>
      <c r="W321" s="184"/>
      <c r="X321" s="37"/>
      <c r="Y321" s="22"/>
      <c r="Z321" s="38"/>
      <c r="AA321" s="13"/>
      <c r="AB321" s="13"/>
      <c r="AC321" s="13"/>
      <c r="AD321" s="36"/>
      <c r="AE321" s="13"/>
      <c r="AF321" s="13"/>
      <c r="AG321" s="184"/>
      <c r="AH321" s="37"/>
    </row>
    <row r="322" spans="1:34">
      <c r="A322" s="14">
        <f t="shared" si="103"/>
        <v>46227</v>
      </c>
      <c r="B322" s="29"/>
      <c r="C322" s="13"/>
      <c r="D322" s="13"/>
      <c r="E322" s="13"/>
      <c r="F322" s="13"/>
      <c r="G322" s="13"/>
      <c r="H322" s="13"/>
      <c r="I322" s="13"/>
      <c r="J322" s="13"/>
      <c r="K322" s="184"/>
      <c r="L322" s="37"/>
      <c r="M322" s="22"/>
      <c r="N322" s="29"/>
      <c r="O322" s="13"/>
      <c r="P322" s="13"/>
      <c r="Q322" s="13"/>
      <c r="R322" s="13"/>
      <c r="S322" s="13"/>
      <c r="T322" s="36"/>
      <c r="U322" s="13"/>
      <c r="V322" s="13"/>
      <c r="W322" s="184"/>
      <c r="X322" s="37"/>
      <c r="Y322" s="22"/>
      <c r="Z322" s="38"/>
      <c r="AA322" s="13"/>
      <c r="AB322" s="13"/>
      <c r="AC322" s="13"/>
      <c r="AD322" s="36"/>
      <c r="AE322" s="13"/>
      <c r="AF322" s="13"/>
      <c r="AG322" s="184"/>
      <c r="AH322" s="37"/>
    </row>
    <row r="323" spans="1:34">
      <c r="A323" s="14">
        <f t="shared" si="103"/>
        <v>46228</v>
      </c>
      <c r="B323" s="29"/>
      <c r="C323" s="13"/>
      <c r="D323" s="13"/>
      <c r="E323" s="13"/>
      <c r="F323" s="13"/>
      <c r="G323" s="13"/>
      <c r="H323" s="13"/>
      <c r="I323" s="13"/>
      <c r="J323" s="13"/>
      <c r="K323" s="184"/>
      <c r="L323" s="37"/>
      <c r="M323" s="22"/>
      <c r="N323" s="29"/>
      <c r="O323" s="13"/>
      <c r="P323" s="13"/>
      <c r="Q323" s="13"/>
      <c r="R323" s="13"/>
      <c r="S323" s="13"/>
      <c r="T323" s="36"/>
      <c r="U323" s="13"/>
      <c r="V323" s="13"/>
      <c r="W323" s="184"/>
      <c r="X323" s="37"/>
      <c r="Y323" s="22"/>
      <c r="Z323" s="38"/>
      <c r="AA323" s="13"/>
      <c r="AB323" s="13"/>
      <c r="AC323" s="13"/>
      <c r="AD323" s="36"/>
      <c r="AE323" s="13"/>
      <c r="AF323" s="13"/>
      <c r="AG323" s="184"/>
      <c r="AH323" s="37"/>
    </row>
    <row r="324" spans="1:34">
      <c r="A324" s="14">
        <f t="shared" si="103"/>
        <v>46229</v>
      </c>
      <c r="B324" s="29"/>
      <c r="C324" s="13"/>
      <c r="D324" s="13"/>
      <c r="E324" s="13"/>
      <c r="F324" s="13"/>
      <c r="G324" s="13"/>
      <c r="H324" s="13"/>
      <c r="I324" s="13"/>
      <c r="J324" s="13"/>
      <c r="K324" s="184"/>
      <c r="L324" s="37"/>
      <c r="M324" s="22"/>
      <c r="N324" s="29"/>
      <c r="O324" s="13"/>
      <c r="P324" s="13"/>
      <c r="Q324" s="13"/>
      <c r="R324" s="13"/>
      <c r="S324" s="13"/>
      <c r="T324" s="36"/>
      <c r="U324" s="13"/>
      <c r="V324" s="13"/>
      <c r="W324" s="184"/>
      <c r="X324" s="51"/>
      <c r="Y324" s="22"/>
      <c r="Z324" s="38"/>
      <c r="AA324" s="13"/>
      <c r="AB324" s="13"/>
      <c r="AC324" s="13"/>
      <c r="AD324" s="36"/>
      <c r="AE324" s="13"/>
      <c r="AF324" s="13"/>
      <c r="AG324" s="184"/>
      <c r="AH324" s="51"/>
    </row>
    <row r="325" spans="1:34">
      <c r="A325" s="14">
        <f t="shared" si="103"/>
        <v>46230</v>
      </c>
      <c r="B325" s="29"/>
      <c r="C325" s="13"/>
      <c r="D325" s="13"/>
      <c r="E325" s="13"/>
      <c r="F325" s="13"/>
      <c r="G325" s="13"/>
      <c r="H325" s="13"/>
      <c r="I325" s="13"/>
      <c r="J325" s="13"/>
      <c r="K325" s="184"/>
      <c r="L325" s="37"/>
      <c r="M325" s="22"/>
      <c r="N325" s="29"/>
      <c r="O325" s="13"/>
      <c r="P325" s="13"/>
      <c r="Q325" s="13"/>
      <c r="R325" s="13"/>
      <c r="S325" s="13"/>
      <c r="T325" s="36"/>
      <c r="U325" s="13"/>
      <c r="V325" s="13"/>
      <c r="W325" s="184"/>
      <c r="X325" s="37"/>
      <c r="Y325" s="22"/>
      <c r="Z325" s="38"/>
      <c r="AA325" s="13"/>
      <c r="AB325" s="13"/>
      <c r="AC325" s="13"/>
      <c r="AD325" s="36"/>
      <c r="AE325" s="13"/>
      <c r="AF325" s="13"/>
      <c r="AG325" s="184"/>
      <c r="AH325" s="37"/>
    </row>
    <row r="326" spans="1:34">
      <c r="A326" s="14">
        <f t="shared" si="103"/>
        <v>46231</v>
      </c>
      <c r="B326" s="29"/>
      <c r="C326" s="13"/>
      <c r="D326" s="13"/>
      <c r="E326" s="13"/>
      <c r="F326" s="13"/>
      <c r="G326" s="13"/>
      <c r="H326" s="13"/>
      <c r="I326" s="13"/>
      <c r="J326" s="13"/>
      <c r="K326" s="184"/>
      <c r="L326" s="37"/>
      <c r="M326" s="22"/>
      <c r="N326" s="29"/>
      <c r="O326" s="13"/>
      <c r="P326" s="13"/>
      <c r="Q326" s="13"/>
      <c r="R326" s="13"/>
      <c r="S326" s="13"/>
      <c r="T326" s="36"/>
      <c r="U326" s="13"/>
      <c r="V326" s="13"/>
      <c r="W326" s="184"/>
      <c r="X326" s="37"/>
      <c r="Y326" s="22"/>
      <c r="Z326" s="38"/>
      <c r="AA326" s="13"/>
      <c r="AB326" s="13"/>
      <c r="AC326" s="13"/>
      <c r="AD326" s="36"/>
      <c r="AE326" s="13"/>
      <c r="AF326" s="13"/>
      <c r="AG326" s="184"/>
      <c r="AH326" s="37"/>
    </row>
    <row r="327" spans="1:34">
      <c r="A327" s="14">
        <f t="shared" si="103"/>
        <v>46232</v>
      </c>
      <c r="B327" s="29"/>
      <c r="C327" s="13"/>
      <c r="D327" s="13"/>
      <c r="E327" s="13"/>
      <c r="F327" s="13"/>
      <c r="G327" s="13"/>
      <c r="H327" s="13"/>
      <c r="I327" s="13"/>
      <c r="J327" s="13"/>
      <c r="K327" s="184"/>
      <c r="L327" s="37"/>
      <c r="M327" s="22"/>
      <c r="N327" s="29"/>
      <c r="O327" s="13"/>
      <c r="P327" s="13"/>
      <c r="Q327" s="13"/>
      <c r="R327" s="13"/>
      <c r="S327" s="13"/>
      <c r="T327" s="36"/>
      <c r="U327" s="13"/>
      <c r="V327" s="13"/>
      <c r="W327" s="184"/>
      <c r="X327" s="37"/>
      <c r="Y327" s="22"/>
      <c r="Z327" s="38"/>
      <c r="AA327" s="13"/>
      <c r="AB327" s="13"/>
      <c r="AC327" s="13"/>
      <c r="AD327" s="36"/>
      <c r="AE327" s="13"/>
      <c r="AF327" s="13"/>
      <c r="AG327" s="184"/>
      <c r="AH327" s="37"/>
    </row>
    <row r="328" spans="1:34">
      <c r="A328" s="14">
        <f t="shared" si="103"/>
        <v>46233</v>
      </c>
      <c r="B328" s="29"/>
      <c r="C328" s="13"/>
      <c r="D328" s="13"/>
      <c r="E328" s="13"/>
      <c r="F328" s="13"/>
      <c r="G328" s="13"/>
      <c r="H328" s="13"/>
      <c r="I328" s="13"/>
      <c r="J328" s="13"/>
      <c r="K328" s="184"/>
      <c r="L328" s="37"/>
      <c r="M328" s="22"/>
      <c r="N328" s="29"/>
      <c r="O328" s="13"/>
      <c r="P328" s="47"/>
      <c r="Q328" s="47"/>
      <c r="R328" s="47"/>
      <c r="S328" s="47"/>
      <c r="T328" s="52"/>
      <c r="U328" s="47"/>
      <c r="V328" s="53"/>
      <c r="W328" s="184"/>
      <c r="X328" s="48"/>
      <c r="Y328" s="22"/>
      <c r="Z328" s="38"/>
      <c r="AA328" s="13"/>
      <c r="AB328" s="47"/>
      <c r="AC328" s="47"/>
      <c r="AD328" s="52"/>
      <c r="AE328" s="13"/>
      <c r="AF328" s="53"/>
      <c r="AG328" s="53"/>
      <c r="AH328" s="37"/>
    </row>
    <row r="329" spans="1:34" ht="15.75" thickBot="1">
      <c r="A329" s="15"/>
      <c r="B329" s="29"/>
      <c r="C329" s="13"/>
      <c r="D329" s="13"/>
      <c r="E329" s="13"/>
      <c r="F329" s="13"/>
      <c r="G329" s="13"/>
      <c r="H329" s="13"/>
      <c r="I329" s="13"/>
      <c r="J329" s="13"/>
      <c r="K329" s="184"/>
      <c r="L329" s="37"/>
      <c r="M329" s="22"/>
      <c r="N329" s="56"/>
      <c r="O329" s="47"/>
      <c r="P329" s="47"/>
      <c r="Q329" s="47"/>
      <c r="R329" s="47"/>
      <c r="S329" s="47"/>
      <c r="T329" s="52"/>
      <c r="U329" s="47"/>
      <c r="V329" s="47"/>
      <c r="W329" s="184"/>
      <c r="X329" s="48"/>
      <c r="Y329" s="22"/>
      <c r="Z329" s="39"/>
      <c r="AA329" s="47"/>
      <c r="AB329" s="47"/>
      <c r="AC329" s="47"/>
      <c r="AD329" s="47"/>
      <c r="AE329" s="47"/>
      <c r="AF329" s="47"/>
      <c r="AG329" s="53"/>
      <c r="AH329" s="48"/>
    </row>
    <row r="330" spans="1:34">
      <c r="A330" s="16" t="s">
        <v>31</v>
      </c>
      <c r="B330" s="17">
        <f>MIN(B299:B329)</f>
        <v>0</v>
      </c>
      <c r="C330" s="17">
        <f>MIN(C299:C329)</f>
        <v>0</v>
      </c>
      <c r="D330" s="17">
        <f t="shared" ref="D330:L330" si="104">MIN(D299:D329)</f>
        <v>0</v>
      </c>
      <c r="E330" s="17">
        <f t="shared" si="104"/>
        <v>0</v>
      </c>
      <c r="F330" s="17">
        <f t="shared" si="104"/>
        <v>0</v>
      </c>
      <c r="G330" s="17">
        <f t="shared" si="104"/>
        <v>0</v>
      </c>
      <c r="H330" s="197">
        <f t="shared" si="104"/>
        <v>0</v>
      </c>
      <c r="I330" s="17">
        <f t="shared" si="104"/>
        <v>0</v>
      </c>
      <c r="J330" s="17">
        <f t="shared" si="104"/>
        <v>0</v>
      </c>
      <c r="K330" s="17">
        <f t="shared" si="104"/>
        <v>0</v>
      </c>
      <c r="L330" s="30">
        <f t="shared" si="104"/>
        <v>0</v>
      </c>
      <c r="M330" s="22"/>
      <c r="N330" s="17">
        <f>MIN(N299:N329)</f>
        <v>0</v>
      </c>
      <c r="O330" s="17">
        <f>MIN(O299:O329)</f>
        <v>0</v>
      </c>
      <c r="P330" s="17">
        <f t="shared" ref="P330:X330" si="105">MIN(P299:P329)</f>
        <v>0</v>
      </c>
      <c r="Q330" s="17">
        <f t="shared" si="105"/>
        <v>0</v>
      </c>
      <c r="R330" s="17">
        <f t="shared" si="105"/>
        <v>0</v>
      </c>
      <c r="S330" s="17">
        <f t="shared" si="105"/>
        <v>0</v>
      </c>
      <c r="T330" s="197">
        <f t="shared" si="105"/>
        <v>0</v>
      </c>
      <c r="U330" s="17">
        <f t="shared" si="105"/>
        <v>0</v>
      </c>
      <c r="V330" s="17">
        <f t="shared" si="105"/>
        <v>0</v>
      </c>
      <c r="W330" s="17">
        <f t="shared" si="105"/>
        <v>0</v>
      </c>
      <c r="X330" s="30">
        <f t="shared" si="105"/>
        <v>0</v>
      </c>
      <c r="Z330" s="40">
        <f t="shared" ref="Z330:AH330" si="106">MIN(Z299:Z329)</f>
        <v>0</v>
      </c>
      <c r="AA330" s="17">
        <f t="shared" si="106"/>
        <v>0</v>
      </c>
      <c r="AB330" s="17">
        <f t="shared" si="106"/>
        <v>0</v>
      </c>
      <c r="AC330" s="17">
        <f t="shared" si="106"/>
        <v>0</v>
      </c>
      <c r="AD330" s="197">
        <f t="shared" si="106"/>
        <v>0</v>
      </c>
      <c r="AE330" s="17">
        <f t="shared" si="106"/>
        <v>0</v>
      </c>
      <c r="AF330" s="17">
        <f t="shared" si="106"/>
        <v>0</v>
      </c>
      <c r="AG330" s="17">
        <f t="shared" si="106"/>
        <v>0</v>
      </c>
      <c r="AH330" s="30">
        <f t="shared" si="106"/>
        <v>0</v>
      </c>
    </row>
    <row r="331" spans="1:34">
      <c r="A331" s="18" t="s">
        <v>33</v>
      </c>
      <c r="B331" s="19">
        <f>MAX(B299:B329)</f>
        <v>0</v>
      </c>
      <c r="C331" s="19">
        <f>MAX(C299:C329)</f>
        <v>0</v>
      </c>
      <c r="D331" s="19">
        <f t="shared" ref="D331:L331" si="107">MAX(D299:D329)</f>
        <v>0</v>
      </c>
      <c r="E331" s="19">
        <f t="shared" si="107"/>
        <v>0</v>
      </c>
      <c r="F331" s="19">
        <f t="shared" si="107"/>
        <v>0</v>
      </c>
      <c r="G331" s="19">
        <f t="shared" si="107"/>
        <v>0</v>
      </c>
      <c r="H331" s="198">
        <f t="shared" si="107"/>
        <v>0</v>
      </c>
      <c r="I331" s="19">
        <f t="shared" si="107"/>
        <v>0</v>
      </c>
      <c r="J331" s="19">
        <f t="shared" si="107"/>
        <v>0</v>
      </c>
      <c r="K331" s="19">
        <f t="shared" si="107"/>
        <v>0</v>
      </c>
      <c r="L331" s="31">
        <f t="shared" si="107"/>
        <v>0</v>
      </c>
      <c r="M331" s="22"/>
      <c r="N331" s="19">
        <f>MAX(N299:N329)</f>
        <v>0</v>
      </c>
      <c r="O331" s="19">
        <f>MAX(O299:O329)</f>
        <v>0</v>
      </c>
      <c r="P331" s="19">
        <f t="shared" ref="P331:X331" si="108">MAX(P299:P329)</f>
        <v>0</v>
      </c>
      <c r="Q331" s="19">
        <f t="shared" si="108"/>
        <v>0</v>
      </c>
      <c r="R331" s="19">
        <f t="shared" si="108"/>
        <v>0</v>
      </c>
      <c r="S331" s="19">
        <f t="shared" si="108"/>
        <v>0</v>
      </c>
      <c r="T331" s="198">
        <f t="shared" si="108"/>
        <v>0</v>
      </c>
      <c r="U331" s="19">
        <f t="shared" si="108"/>
        <v>0</v>
      </c>
      <c r="V331" s="19">
        <f t="shared" si="108"/>
        <v>0</v>
      </c>
      <c r="W331" s="19">
        <f t="shared" si="108"/>
        <v>0</v>
      </c>
      <c r="X331" s="31">
        <f t="shared" si="108"/>
        <v>0</v>
      </c>
      <c r="Z331" s="41">
        <f t="shared" ref="Z331:AH331" si="109">MAX(Z299:Z329)</f>
        <v>0</v>
      </c>
      <c r="AA331" s="19">
        <f t="shared" si="109"/>
        <v>0</v>
      </c>
      <c r="AB331" s="19">
        <f t="shared" si="109"/>
        <v>0</v>
      </c>
      <c r="AC331" s="19">
        <f t="shared" si="109"/>
        <v>0</v>
      </c>
      <c r="AD331" s="198">
        <f t="shared" si="109"/>
        <v>0</v>
      </c>
      <c r="AE331" s="19">
        <f t="shared" si="109"/>
        <v>0</v>
      </c>
      <c r="AF331" s="19">
        <f t="shared" si="109"/>
        <v>0</v>
      </c>
      <c r="AG331" s="19">
        <f t="shared" si="109"/>
        <v>0</v>
      </c>
      <c r="AH331" s="31">
        <f t="shared" si="109"/>
        <v>0</v>
      </c>
    </row>
    <row r="332" spans="1:34">
      <c r="A332" s="18" t="s">
        <v>36</v>
      </c>
      <c r="B332" s="19" t="e">
        <f t="shared" ref="B332:L332" si="110">AVERAGE(B299:B329)</f>
        <v>#DIV/0!</v>
      </c>
      <c r="C332" s="19" t="e">
        <f t="shared" si="110"/>
        <v>#DIV/0!</v>
      </c>
      <c r="D332" s="19" t="e">
        <f t="shared" si="110"/>
        <v>#DIV/0!</v>
      </c>
      <c r="E332" s="19" t="e">
        <f t="shared" si="110"/>
        <v>#DIV/0!</v>
      </c>
      <c r="F332" s="19" t="e">
        <f t="shared" si="110"/>
        <v>#DIV/0!</v>
      </c>
      <c r="G332" s="19" t="e">
        <f t="shared" si="110"/>
        <v>#DIV/0!</v>
      </c>
      <c r="H332" s="198" t="e">
        <f t="shared" si="110"/>
        <v>#DIV/0!</v>
      </c>
      <c r="I332" s="19" t="e">
        <f t="shared" si="110"/>
        <v>#DIV/0!</v>
      </c>
      <c r="J332" s="19" t="e">
        <f t="shared" si="110"/>
        <v>#DIV/0!</v>
      </c>
      <c r="K332" s="19" t="e">
        <f t="shared" si="110"/>
        <v>#DIV/0!</v>
      </c>
      <c r="L332" s="31" t="e">
        <f t="shared" si="110"/>
        <v>#DIV/0!</v>
      </c>
      <c r="M332" s="22"/>
      <c r="N332" s="19" t="e">
        <f t="shared" ref="N332:X332" si="111">AVERAGE(N299:N329)</f>
        <v>#DIV/0!</v>
      </c>
      <c r="O332" s="19" t="e">
        <f t="shared" si="111"/>
        <v>#DIV/0!</v>
      </c>
      <c r="P332" s="19" t="e">
        <f t="shared" si="111"/>
        <v>#DIV/0!</v>
      </c>
      <c r="Q332" s="19" t="e">
        <f t="shared" si="111"/>
        <v>#DIV/0!</v>
      </c>
      <c r="R332" s="19" t="e">
        <f t="shared" si="111"/>
        <v>#DIV/0!</v>
      </c>
      <c r="S332" s="19" t="e">
        <f t="shared" si="111"/>
        <v>#DIV/0!</v>
      </c>
      <c r="T332" s="198" t="e">
        <f t="shared" si="111"/>
        <v>#DIV/0!</v>
      </c>
      <c r="U332" s="19" t="e">
        <f t="shared" si="111"/>
        <v>#DIV/0!</v>
      </c>
      <c r="V332" s="19" t="e">
        <f t="shared" si="111"/>
        <v>#DIV/0!</v>
      </c>
      <c r="W332" s="19" t="e">
        <f t="shared" si="111"/>
        <v>#DIV/0!</v>
      </c>
      <c r="X332" s="31" t="e">
        <f t="shared" si="111"/>
        <v>#DIV/0!</v>
      </c>
      <c r="Z332" s="41" t="e">
        <f>AVERAGE(Z299:Z329)</f>
        <v>#DIV/0!</v>
      </c>
      <c r="AA332" s="19" t="e">
        <f t="shared" ref="AA332:AH332" si="112">AVERAGE(AA299:AA329)</f>
        <v>#DIV/0!</v>
      </c>
      <c r="AB332" s="19" t="e">
        <f t="shared" si="112"/>
        <v>#DIV/0!</v>
      </c>
      <c r="AC332" s="19" t="e">
        <f t="shared" si="112"/>
        <v>#DIV/0!</v>
      </c>
      <c r="AD332" s="198" t="e">
        <f t="shared" si="112"/>
        <v>#DIV/0!</v>
      </c>
      <c r="AE332" s="19" t="e">
        <f t="shared" si="112"/>
        <v>#DIV/0!</v>
      </c>
      <c r="AF332" s="19" t="e">
        <f t="shared" si="112"/>
        <v>#DIV/0!</v>
      </c>
      <c r="AG332" s="19" t="e">
        <f t="shared" si="112"/>
        <v>#DIV/0!</v>
      </c>
      <c r="AH332" s="31" t="e">
        <f t="shared" si="112"/>
        <v>#DIV/0!</v>
      </c>
    </row>
    <row r="333" spans="1:34" ht="15.75" thickBot="1">
      <c r="A333" s="20" t="s">
        <v>130</v>
      </c>
      <c r="B333" s="21" t="e">
        <f>STDEV(B299:B329)</f>
        <v>#DIV/0!</v>
      </c>
      <c r="C333" s="21" t="e">
        <f t="shared" ref="C333:L333" si="113">STDEV(C299:C329)</f>
        <v>#DIV/0!</v>
      </c>
      <c r="D333" s="21" t="e">
        <f t="shared" si="113"/>
        <v>#DIV/0!</v>
      </c>
      <c r="E333" s="21" t="e">
        <f t="shared" si="113"/>
        <v>#DIV/0!</v>
      </c>
      <c r="F333" s="21" t="e">
        <f t="shared" si="113"/>
        <v>#DIV/0!</v>
      </c>
      <c r="G333" s="21" t="e">
        <f t="shared" si="113"/>
        <v>#DIV/0!</v>
      </c>
      <c r="H333" s="199" t="e">
        <f t="shared" si="113"/>
        <v>#DIV/0!</v>
      </c>
      <c r="I333" s="21" t="e">
        <f t="shared" si="113"/>
        <v>#DIV/0!</v>
      </c>
      <c r="J333" s="21" t="e">
        <f t="shared" si="113"/>
        <v>#DIV/0!</v>
      </c>
      <c r="K333" s="21" t="e">
        <f t="shared" si="113"/>
        <v>#DIV/0!</v>
      </c>
      <c r="L333" s="32" t="e">
        <f t="shared" si="113"/>
        <v>#DIV/0!</v>
      </c>
      <c r="M333" s="22"/>
      <c r="N333" s="21" t="e">
        <f>STDEV(N299:N329)</f>
        <v>#DIV/0!</v>
      </c>
      <c r="O333" s="21" t="e">
        <f t="shared" ref="O333:X333" si="114">STDEV(O299:O329)</f>
        <v>#DIV/0!</v>
      </c>
      <c r="P333" s="21" t="e">
        <f t="shared" si="114"/>
        <v>#DIV/0!</v>
      </c>
      <c r="Q333" s="21" t="e">
        <f t="shared" si="114"/>
        <v>#DIV/0!</v>
      </c>
      <c r="R333" s="21" t="e">
        <f t="shared" si="114"/>
        <v>#DIV/0!</v>
      </c>
      <c r="S333" s="21" t="e">
        <f t="shared" si="114"/>
        <v>#DIV/0!</v>
      </c>
      <c r="T333" s="199" t="e">
        <f t="shared" si="114"/>
        <v>#DIV/0!</v>
      </c>
      <c r="U333" s="21" t="e">
        <f t="shared" si="114"/>
        <v>#DIV/0!</v>
      </c>
      <c r="V333" s="21" t="e">
        <f t="shared" si="114"/>
        <v>#DIV/0!</v>
      </c>
      <c r="W333" s="21" t="e">
        <f t="shared" si="114"/>
        <v>#DIV/0!</v>
      </c>
      <c r="X333" s="32" t="e">
        <f t="shared" si="114"/>
        <v>#DIV/0!</v>
      </c>
      <c r="Z333" s="42" t="e">
        <f>STDEV(Z299:Z329)</f>
        <v>#DIV/0!</v>
      </c>
      <c r="AA333" s="21" t="e">
        <f t="shared" ref="AA333:AH333" si="115">STDEV(AA299:AA329)</f>
        <v>#DIV/0!</v>
      </c>
      <c r="AB333" s="21" t="e">
        <f t="shared" si="115"/>
        <v>#DIV/0!</v>
      </c>
      <c r="AC333" s="21" t="e">
        <f t="shared" si="115"/>
        <v>#DIV/0!</v>
      </c>
      <c r="AD333" s="199" t="e">
        <f t="shared" si="115"/>
        <v>#DIV/0!</v>
      </c>
      <c r="AE333" s="21" t="e">
        <f t="shared" si="115"/>
        <v>#DIV/0!</v>
      </c>
      <c r="AF333" s="21" t="e">
        <f t="shared" si="115"/>
        <v>#DIV/0!</v>
      </c>
      <c r="AG333" s="21" t="e">
        <f t="shared" si="115"/>
        <v>#DIV/0!</v>
      </c>
      <c r="AH333" s="32" t="e">
        <f t="shared" si="115"/>
        <v>#DIV/0!</v>
      </c>
    </row>
    <row r="334" spans="1:34" ht="15.75" thickBot="1"/>
    <row r="335" spans="1:34" ht="15.75" thickBot="1">
      <c r="A335" s="1"/>
      <c r="B335" s="338" t="s">
        <v>0</v>
      </c>
      <c r="C335" s="339"/>
      <c r="D335" s="339"/>
      <c r="E335" s="339"/>
      <c r="F335" s="339"/>
      <c r="G335" s="339"/>
      <c r="H335" s="339"/>
      <c r="I335" s="339"/>
      <c r="J335" s="339"/>
      <c r="K335" s="339"/>
      <c r="L335" s="339"/>
      <c r="M335" s="339"/>
      <c r="N335" s="339"/>
      <c r="O335" s="339"/>
      <c r="P335" s="339"/>
      <c r="Q335" s="339"/>
      <c r="R335" s="339"/>
      <c r="S335" s="339"/>
      <c r="T335" s="339"/>
      <c r="U335" s="339"/>
      <c r="V335" s="339"/>
      <c r="W335" s="339"/>
      <c r="X335" s="339"/>
      <c r="Y335" s="339"/>
      <c r="Z335" s="339"/>
      <c r="AA335" s="339"/>
      <c r="AB335" s="339"/>
      <c r="AC335" s="339"/>
      <c r="AD335" s="340"/>
      <c r="AE335" s="340"/>
      <c r="AF335" s="340"/>
      <c r="AG335" s="340"/>
      <c r="AH335" s="340"/>
    </row>
    <row r="336" spans="1:34" ht="15.75" thickBot="1">
      <c r="A336" s="1"/>
      <c r="B336" s="338" t="s">
        <v>131</v>
      </c>
      <c r="C336" s="339"/>
      <c r="D336" s="339"/>
      <c r="E336" s="339"/>
      <c r="F336" s="339"/>
      <c r="G336" s="339"/>
      <c r="H336" s="339"/>
      <c r="I336" s="339"/>
      <c r="J336" s="339"/>
      <c r="K336" s="339"/>
      <c r="L336" s="339"/>
      <c r="M336" s="339"/>
      <c r="N336" s="339"/>
      <c r="O336" s="339"/>
      <c r="P336" s="339"/>
      <c r="Q336" s="339"/>
      <c r="R336" s="339"/>
      <c r="S336" s="339"/>
      <c r="T336" s="339"/>
      <c r="U336" s="339"/>
      <c r="V336" s="339"/>
      <c r="W336" s="339"/>
      <c r="X336" s="339"/>
      <c r="Y336" s="339"/>
      <c r="Z336" s="339"/>
      <c r="AA336" s="339"/>
      <c r="AB336" s="339"/>
      <c r="AC336" s="339"/>
      <c r="AD336" s="4"/>
      <c r="AE336" s="43" t="s">
        <v>107</v>
      </c>
      <c r="AF336" s="341">
        <v>46235</v>
      </c>
      <c r="AG336" s="342"/>
      <c r="AH336" s="343"/>
    </row>
    <row r="337" spans="1:34">
      <c r="A337" s="344"/>
      <c r="B337" s="346" t="s">
        <v>132</v>
      </c>
      <c r="C337" s="347"/>
      <c r="D337" s="347"/>
      <c r="E337" s="347"/>
      <c r="F337" s="347"/>
      <c r="G337" s="347"/>
      <c r="H337" s="347"/>
      <c r="I337" s="347"/>
      <c r="J337" s="347"/>
      <c r="K337" s="348"/>
      <c r="L337" s="349"/>
      <c r="M337" s="22"/>
      <c r="N337" s="350" t="s">
        <v>133</v>
      </c>
      <c r="O337" s="347"/>
      <c r="P337" s="347"/>
      <c r="Q337" s="347"/>
      <c r="R337" s="347"/>
      <c r="S337" s="347"/>
      <c r="T337" s="347"/>
      <c r="U337" s="347"/>
      <c r="V337" s="347"/>
      <c r="W337" s="348"/>
      <c r="X337" s="349"/>
      <c r="Y337" s="22"/>
      <c r="Z337" s="346" t="s">
        <v>134</v>
      </c>
      <c r="AA337" s="347"/>
      <c r="AB337" s="347"/>
      <c r="AC337" s="347"/>
      <c r="AD337" s="347"/>
      <c r="AE337" s="347"/>
      <c r="AF337" s="347"/>
      <c r="AG337" s="348"/>
      <c r="AH337" s="349"/>
    </row>
    <row r="338" spans="1:34" ht="25.5">
      <c r="A338" s="345"/>
      <c r="B338" s="351" t="s">
        <v>135</v>
      </c>
      <c r="C338" s="353" t="s">
        <v>136</v>
      </c>
      <c r="D338" s="64" t="s">
        <v>137</v>
      </c>
      <c r="E338" s="64" t="s">
        <v>138</v>
      </c>
      <c r="F338" s="64" t="s">
        <v>139</v>
      </c>
      <c r="G338" s="64" t="s">
        <v>140</v>
      </c>
      <c r="H338" s="5" t="s">
        <v>141</v>
      </c>
      <c r="I338" s="5" t="s">
        <v>142</v>
      </c>
      <c r="J338" s="5" t="s">
        <v>143</v>
      </c>
      <c r="K338" s="181" t="s">
        <v>81</v>
      </c>
      <c r="L338" s="23" t="s">
        <v>144</v>
      </c>
      <c r="M338" s="22"/>
      <c r="N338" s="355" t="s">
        <v>135</v>
      </c>
      <c r="O338" s="357" t="s">
        <v>136</v>
      </c>
      <c r="P338" s="5" t="s">
        <v>137</v>
      </c>
      <c r="Q338" s="5" t="s">
        <v>138</v>
      </c>
      <c r="R338" s="5" t="s">
        <v>139</v>
      </c>
      <c r="S338" s="5" t="s">
        <v>140</v>
      </c>
      <c r="T338" s="5" t="s">
        <v>141</v>
      </c>
      <c r="U338" s="5" t="s">
        <v>142</v>
      </c>
      <c r="V338" s="5" t="s">
        <v>143</v>
      </c>
      <c r="W338" s="181" t="s">
        <v>81</v>
      </c>
      <c r="X338" s="23" t="s">
        <v>144</v>
      </c>
      <c r="Y338" s="22"/>
      <c r="Z338" s="33" t="s">
        <v>137</v>
      </c>
      <c r="AA338" s="5" t="s">
        <v>138</v>
      </c>
      <c r="AB338" s="5" t="s">
        <v>139</v>
      </c>
      <c r="AC338" s="5" t="s">
        <v>140</v>
      </c>
      <c r="AD338" s="5" t="s">
        <v>141</v>
      </c>
      <c r="AE338" s="5" t="s">
        <v>142</v>
      </c>
      <c r="AF338" s="5" t="s">
        <v>143</v>
      </c>
      <c r="AG338" s="181" t="s">
        <v>81</v>
      </c>
      <c r="AH338" s="23" t="s">
        <v>144</v>
      </c>
    </row>
    <row r="339" spans="1:34" ht="25.5">
      <c r="A339" s="6" t="s">
        <v>145</v>
      </c>
      <c r="B339" s="352"/>
      <c r="C339" s="354"/>
      <c r="D339" s="64" t="s">
        <v>128</v>
      </c>
      <c r="E339" s="64" t="s">
        <v>128</v>
      </c>
      <c r="F339" s="64" t="s">
        <v>128</v>
      </c>
      <c r="G339" s="64" t="s">
        <v>128</v>
      </c>
      <c r="H339" s="5" t="s">
        <v>125</v>
      </c>
      <c r="I339" s="5" t="s">
        <v>146</v>
      </c>
      <c r="J339" s="5" t="s">
        <v>127</v>
      </c>
      <c r="K339" s="181" t="s">
        <v>53</v>
      </c>
      <c r="L339" s="23" t="s">
        <v>53</v>
      </c>
      <c r="M339" s="22"/>
      <c r="N339" s="356"/>
      <c r="O339" s="358"/>
      <c r="P339" s="5" t="s">
        <v>128</v>
      </c>
      <c r="Q339" s="5" t="s">
        <v>128</v>
      </c>
      <c r="R339" s="5" t="s">
        <v>128</v>
      </c>
      <c r="S339" s="5" t="s">
        <v>128</v>
      </c>
      <c r="T339" s="5" t="s">
        <v>125</v>
      </c>
      <c r="U339" s="5" t="s">
        <v>146</v>
      </c>
      <c r="V339" s="5" t="s">
        <v>127</v>
      </c>
      <c r="W339" s="181" t="s">
        <v>53</v>
      </c>
      <c r="X339" s="23" t="s">
        <v>53</v>
      </c>
      <c r="Y339" s="22"/>
      <c r="Z339" s="33" t="s">
        <v>128</v>
      </c>
      <c r="AA339" s="5" t="s">
        <v>128</v>
      </c>
      <c r="AB339" s="5" t="s">
        <v>128</v>
      </c>
      <c r="AC339" s="5" t="s">
        <v>128</v>
      </c>
      <c r="AD339" s="5" t="s">
        <v>125</v>
      </c>
      <c r="AE339" s="5" t="s">
        <v>146</v>
      </c>
      <c r="AF339" s="5" t="s">
        <v>127</v>
      </c>
      <c r="AG339" s="181" t="s">
        <v>53</v>
      </c>
      <c r="AH339" s="23" t="s">
        <v>53</v>
      </c>
    </row>
    <row r="340" spans="1:34" ht="26.25" thickBot="1">
      <c r="A340" s="7" t="s">
        <v>147</v>
      </c>
      <c r="B340" s="65" t="s">
        <v>148</v>
      </c>
      <c r="C340" s="66" t="s">
        <v>149</v>
      </c>
      <c r="D340" s="66" t="s">
        <v>150</v>
      </c>
      <c r="E340" s="66" t="s">
        <v>151</v>
      </c>
      <c r="F340" s="66" t="s">
        <v>152</v>
      </c>
      <c r="G340" s="66" t="s">
        <v>153</v>
      </c>
      <c r="H340" s="9" t="s">
        <v>154</v>
      </c>
      <c r="I340" s="24" t="s">
        <v>155</v>
      </c>
      <c r="J340" s="24" t="s">
        <v>156</v>
      </c>
      <c r="K340" s="24" t="s">
        <v>179</v>
      </c>
      <c r="L340" s="25" t="s">
        <v>157</v>
      </c>
      <c r="M340" s="22"/>
      <c r="N340" s="8" t="s">
        <v>148</v>
      </c>
      <c r="O340" s="9" t="s">
        <v>149</v>
      </c>
      <c r="P340" s="9" t="s">
        <v>150</v>
      </c>
      <c r="Q340" s="9" t="s">
        <v>151</v>
      </c>
      <c r="R340" s="9" t="s">
        <v>152</v>
      </c>
      <c r="S340" s="9" t="s">
        <v>153</v>
      </c>
      <c r="T340" s="9" t="s">
        <v>154</v>
      </c>
      <c r="U340" s="24" t="s">
        <v>155</v>
      </c>
      <c r="V340" s="24" t="s">
        <v>156</v>
      </c>
      <c r="W340" s="24" t="s">
        <v>179</v>
      </c>
      <c r="X340" s="25" t="s">
        <v>157</v>
      </c>
      <c r="Y340" s="22"/>
      <c r="Z340" s="8" t="s">
        <v>150</v>
      </c>
      <c r="AA340" s="9" t="s">
        <v>158</v>
      </c>
      <c r="AB340" s="9" t="s">
        <v>152</v>
      </c>
      <c r="AC340" s="9" t="s">
        <v>159</v>
      </c>
      <c r="AD340" s="9" t="s">
        <v>154</v>
      </c>
      <c r="AE340" s="9" t="s">
        <v>155</v>
      </c>
      <c r="AF340" s="9" t="s">
        <v>156</v>
      </c>
      <c r="AG340" s="24" t="s">
        <v>179</v>
      </c>
      <c r="AH340" s="23" t="s">
        <v>157</v>
      </c>
    </row>
    <row r="341" spans="1:34">
      <c r="A341" s="10">
        <f>AF336+0</f>
        <v>46235</v>
      </c>
      <c r="B341" s="67"/>
      <c r="C341" s="68"/>
      <c r="D341" s="68"/>
      <c r="E341" s="68"/>
      <c r="F341" s="68"/>
      <c r="G341" s="68"/>
      <c r="H341" s="69"/>
      <c r="I341" s="69"/>
      <c r="J341" s="69"/>
      <c r="K341" s="191"/>
      <c r="L341" s="73"/>
      <c r="M341" s="74"/>
      <c r="N341" s="75"/>
      <c r="O341" s="76"/>
      <c r="P341" s="76"/>
      <c r="Q341" s="76"/>
      <c r="R341" s="76"/>
      <c r="S341" s="76"/>
      <c r="T341" s="76"/>
      <c r="U341" s="76"/>
      <c r="V341" s="76"/>
      <c r="W341" s="191"/>
      <c r="X341" s="76"/>
      <c r="Y341" s="74"/>
      <c r="Z341" s="81"/>
      <c r="AA341" s="76"/>
      <c r="AB341" s="76"/>
      <c r="AC341" s="76"/>
      <c r="AD341" s="85"/>
      <c r="AE341" s="76"/>
      <c r="AF341" s="76"/>
      <c r="AG341" s="194"/>
      <c r="AH341" s="86"/>
    </row>
    <row r="342" spans="1:34">
      <c r="A342" s="14">
        <f t="shared" ref="A342:A370" si="116">A341+1</f>
        <v>46236</v>
      </c>
      <c r="B342" s="67"/>
      <c r="C342" s="70"/>
      <c r="D342" s="70"/>
      <c r="E342" s="70"/>
      <c r="F342" s="70"/>
      <c r="G342" s="70"/>
      <c r="H342" s="71"/>
      <c r="I342" s="71"/>
      <c r="J342" s="70"/>
      <c r="K342" s="192"/>
      <c r="L342" s="77"/>
      <c r="M342" s="74"/>
      <c r="N342" s="78"/>
      <c r="O342" s="70"/>
      <c r="P342" s="70"/>
      <c r="Q342" s="70"/>
      <c r="R342" s="70"/>
      <c r="S342" s="70"/>
      <c r="T342" s="70"/>
      <c r="U342" s="70"/>
      <c r="V342" s="70"/>
      <c r="W342" s="192"/>
      <c r="X342" s="70"/>
      <c r="Y342" s="74"/>
      <c r="Z342" s="67"/>
      <c r="AA342" s="70"/>
      <c r="AB342" s="70"/>
      <c r="AC342" s="70"/>
      <c r="AD342" s="82"/>
      <c r="AE342" s="70"/>
      <c r="AF342" s="70"/>
      <c r="AG342" s="192"/>
      <c r="AH342" s="87"/>
    </row>
    <row r="343" spans="1:34">
      <c r="A343" s="14">
        <f t="shared" si="116"/>
        <v>46237</v>
      </c>
      <c r="B343" s="67"/>
      <c r="C343" s="70"/>
      <c r="D343" s="70"/>
      <c r="E343" s="70"/>
      <c r="F343" s="70"/>
      <c r="G343" s="70"/>
      <c r="H343" s="71"/>
      <c r="I343" s="70"/>
      <c r="J343" s="70"/>
      <c r="K343" s="192"/>
      <c r="L343" s="77"/>
      <c r="M343" s="74"/>
      <c r="N343" s="70"/>
      <c r="O343" s="70"/>
      <c r="P343" s="70"/>
      <c r="Q343" s="70"/>
      <c r="R343" s="70"/>
      <c r="S343" s="70"/>
      <c r="T343" s="82"/>
      <c r="U343" s="70"/>
      <c r="V343" s="70"/>
      <c r="W343" s="192"/>
      <c r="X343" s="83"/>
      <c r="Y343" s="74"/>
      <c r="Z343" s="67"/>
      <c r="AA343" s="70"/>
      <c r="AB343" s="70"/>
      <c r="AC343" s="70"/>
      <c r="AD343" s="82"/>
      <c r="AE343" s="70"/>
      <c r="AF343" s="70"/>
      <c r="AG343" s="192"/>
      <c r="AH343" s="87"/>
    </row>
    <row r="344" spans="1:34">
      <c r="A344" s="14">
        <f t="shared" si="116"/>
        <v>46238</v>
      </c>
      <c r="B344" s="67"/>
      <c r="C344" s="70"/>
      <c r="D344" s="70"/>
      <c r="E344" s="70"/>
      <c r="F344" s="70"/>
      <c r="G344" s="70"/>
      <c r="H344" s="71"/>
      <c r="I344" s="71"/>
      <c r="J344" s="70"/>
      <c r="K344" s="192"/>
      <c r="L344" s="77"/>
      <c r="M344" s="74"/>
      <c r="N344" s="78"/>
      <c r="O344" s="70"/>
      <c r="P344" s="70"/>
      <c r="Q344" s="70"/>
      <c r="R344" s="70"/>
      <c r="S344" s="70"/>
      <c r="T344" s="82"/>
      <c r="U344" s="70"/>
      <c r="V344" s="70"/>
      <c r="W344" s="192"/>
      <c r="X344" s="83"/>
      <c r="Y344" s="74"/>
      <c r="Z344" s="67"/>
      <c r="AA344" s="70"/>
      <c r="AB344" s="70"/>
      <c r="AC344" s="70"/>
      <c r="AD344" s="82"/>
      <c r="AE344" s="70"/>
      <c r="AF344" s="70"/>
      <c r="AG344" s="192"/>
      <c r="AH344" s="87"/>
    </row>
    <row r="345" spans="1:34">
      <c r="A345" s="14">
        <f t="shared" si="116"/>
        <v>46239</v>
      </c>
      <c r="B345" s="67"/>
      <c r="C345" s="70"/>
      <c r="D345" s="70"/>
      <c r="E345" s="70"/>
      <c r="F345" s="70"/>
      <c r="G345" s="70"/>
      <c r="H345" s="71"/>
      <c r="I345" s="71"/>
      <c r="J345" s="70"/>
      <c r="K345" s="192"/>
      <c r="L345" s="77"/>
      <c r="M345" s="74"/>
      <c r="N345" s="78"/>
      <c r="O345" s="70"/>
      <c r="P345" s="70"/>
      <c r="Q345" s="70"/>
      <c r="R345" s="70"/>
      <c r="S345" s="70"/>
      <c r="T345" s="82"/>
      <c r="U345" s="70"/>
      <c r="V345" s="70"/>
      <c r="W345" s="192"/>
      <c r="X345" s="84"/>
      <c r="Y345" s="74"/>
      <c r="Z345" s="67"/>
      <c r="AA345" s="70"/>
      <c r="AB345" s="70"/>
      <c r="AC345" s="70"/>
      <c r="AD345" s="82"/>
      <c r="AE345" s="70"/>
      <c r="AF345" s="70"/>
      <c r="AG345" s="192"/>
      <c r="AH345" s="88"/>
    </row>
    <row r="346" spans="1:34">
      <c r="A346" s="14">
        <f t="shared" si="116"/>
        <v>46240</v>
      </c>
      <c r="B346" s="67"/>
      <c r="C346" s="70"/>
      <c r="D346" s="70"/>
      <c r="E346" s="70"/>
      <c r="F346" s="70"/>
      <c r="G346" s="70"/>
      <c r="H346" s="71"/>
      <c r="I346" s="71"/>
      <c r="J346" s="70"/>
      <c r="K346" s="192"/>
      <c r="L346" s="77"/>
      <c r="M346" s="74"/>
      <c r="N346" s="78"/>
      <c r="O346" s="70"/>
      <c r="P346" s="70"/>
      <c r="Q346" s="70"/>
      <c r="R346" s="70"/>
      <c r="S346" s="70"/>
      <c r="T346" s="82"/>
      <c r="U346" s="70"/>
      <c r="V346" s="70"/>
      <c r="W346" s="192"/>
      <c r="X346" s="84"/>
      <c r="Y346" s="74"/>
      <c r="Z346" s="67"/>
      <c r="AA346" s="70"/>
      <c r="AB346" s="70"/>
      <c r="AC346" s="70"/>
      <c r="AD346" s="82"/>
      <c r="AE346" s="70"/>
      <c r="AF346" s="70"/>
      <c r="AG346" s="192"/>
      <c r="AH346" s="88"/>
    </row>
    <row r="347" spans="1:34">
      <c r="A347" s="14">
        <f t="shared" si="116"/>
        <v>46241</v>
      </c>
      <c r="B347" s="67"/>
      <c r="C347" s="70"/>
      <c r="D347" s="70"/>
      <c r="E347" s="70"/>
      <c r="F347" s="70"/>
      <c r="G347" s="70"/>
      <c r="H347" s="71"/>
      <c r="I347" s="71"/>
      <c r="J347" s="70"/>
      <c r="K347" s="192"/>
      <c r="L347" s="77"/>
      <c r="M347" s="74"/>
      <c r="N347" s="78"/>
      <c r="O347" s="79"/>
      <c r="P347" s="70"/>
      <c r="Q347" s="70"/>
      <c r="R347" s="70"/>
      <c r="S347" s="70"/>
      <c r="T347" s="82"/>
      <c r="U347" s="70"/>
      <c r="V347" s="70"/>
      <c r="W347" s="192"/>
      <c r="X347" s="84"/>
      <c r="Y347" s="74"/>
      <c r="Z347" s="67"/>
      <c r="AA347" s="70"/>
      <c r="AB347" s="70"/>
      <c r="AC347" s="70"/>
      <c r="AD347" s="82"/>
      <c r="AE347" s="70"/>
      <c r="AF347" s="70"/>
      <c r="AG347" s="192"/>
      <c r="AH347" s="88"/>
    </row>
    <row r="348" spans="1:34">
      <c r="A348" s="14">
        <f t="shared" si="116"/>
        <v>46242</v>
      </c>
      <c r="B348" s="67"/>
      <c r="C348" s="70"/>
      <c r="D348" s="70"/>
      <c r="E348" s="70"/>
      <c r="F348" s="70"/>
      <c r="G348" s="70"/>
      <c r="H348" s="71"/>
      <c r="I348" s="71"/>
      <c r="J348" s="70"/>
      <c r="K348" s="192"/>
      <c r="L348" s="77"/>
      <c r="M348" s="74"/>
      <c r="N348" s="78"/>
      <c r="O348" s="70"/>
      <c r="P348" s="70"/>
      <c r="Q348" s="70"/>
      <c r="R348" s="70"/>
      <c r="S348" s="70"/>
      <c r="T348" s="82"/>
      <c r="U348" s="70"/>
      <c r="V348" s="70"/>
      <c r="W348" s="192"/>
      <c r="X348" s="83"/>
      <c r="Y348" s="74"/>
      <c r="Z348" s="67"/>
      <c r="AA348" s="70"/>
      <c r="AB348" s="70"/>
      <c r="AC348" s="70"/>
      <c r="AD348" s="82"/>
      <c r="AE348" s="70"/>
      <c r="AF348" s="70"/>
      <c r="AG348" s="192"/>
      <c r="AH348" s="87"/>
    </row>
    <row r="349" spans="1:34">
      <c r="A349" s="14">
        <f t="shared" si="116"/>
        <v>46243</v>
      </c>
      <c r="B349" s="67"/>
      <c r="C349" s="70"/>
      <c r="D349" s="70"/>
      <c r="E349" s="70"/>
      <c r="F349" s="70"/>
      <c r="G349" s="70"/>
      <c r="H349" s="71"/>
      <c r="I349" s="71"/>
      <c r="J349" s="70"/>
      <c r="K349" s="192"/>
      <c r="L349" s="77"/>
      <c r="M349" s="74"/>
      <c r="N349" s="78"/>
      <c r="O349" s="70"/>
      <c r="P349" s="70"/>
      <c r="Q349" s="70"/>
      <c r="R349" s="70"/>
      <c r="S349" s="70"/>
      <c r="T349" s="82"/>
      <c r="U349" s="70"/>
      <c r="V349" s="70"/>
      <c r="W349" s="192"/>
      <c r="X349" s="83"/>
      <c r="Y349" s="74"/>
      <c r="Z349" s="67"/>
      <c r="AA349" s="70"/>
      <c r="AB349" s="70"/>
      <c r="AC349" s="70"/>
      <c r="AD349" s="82"/>
      <c r="AE349" s="70"/>
      <c r="AF349" s="70"/>
      <c r="AG349" s="192"/>
      <c r="AH349" s="87"/>
    </row>
    <row r="350" spans="1:34">
      <c r="A350" s="14">
        <f t="shared" si="116"/>
        <v>46244</v>
      </c>
      <c r="B350" s="67"/>
      <c r="C350" s="70"/>
      <c r="D350" s="70"/>
      <c r="E350" s="70"/>
      <c r="F350" s="70"/>
      <c r="G350" s="70"/>
      <c r="H350" s="71"/>
      <c r="I350" s="71"/>
      <c r="J350" s="70"/>
      <c r="K350" s="192"/>
      <c r="L350" s="77"/>
      <c r="M350" s="74"/>
      <c r="N350" s="78"/>
      <c r="O350" s="70"/>
      <c r="P350" s="70"/>
      <c r="Q350" s="70"/>
      <c r="R350" s="70"/>
      <c r="S350" s="70"/>
      <c r="T350" s="82"/>
      <c r="U350" s="70"/>
      <c r="V350" s="70"/>
      <c r="W350" s="192"/>
      <c r="X350" s="83"/>
      <c r="Y350" s="74"/>
      <c r="Z350" s="67"/>
      <c r="AA350" s="70"/>
      <c r="AB350" s="70"/>
      <c r="AC350" s="70"/>
      <c r="AD350" s="82"/>
      <c r="AE350" s="70"/>
      <c r="AF350" s="70"/>
      <c r="AG350" s="192"/>
      <c r="AH350" s="87"/>
    </row>
    <row r="351" spans="1:34">
      <c r="A351" s="14">
        <f t="shared" si="116"/>
        <v>46245</v>
      </c>
      <c r="B351" s="38"/>
      <c r="C351" s="13"/>
      <c r="D351" s="13"/>
      <c r="E351" s="13"/>
      <c r="F351" s="13"/>
      <c r="G351" s="13"/>
      <c r="H351" s="12"/>
      <c r="I351" s="12"/>
      <c r="J351" s="13"/>
      <c r="K351" s="184"/>
      <c r="L351" s="26"/>
      <c r="M351" s="22"/>
      <c r="N351" s="29"/>
      <c r="O351" s="13"/>
      <c r="P351" s="13"/>
      <c r="Q351" s="13"/>
      <c r="R351" s="13"/>
      <c r="S351" s="13"/>
      <c r="T351" s="36"/>
      <c r="U351" s="13"/>
      <c r="V351" s="13"/>
      <c r="W351" s="184"/>
      <c r="X351" s="37"/>
      <c r="Y351" s="22"/>
      <c r="Z351" s="38"/>
      <c r="AA351" s="13"/>
      <c r="AB351" s="13"/>
      <c r="AC351" s="13"/>
      <c r="AD351" s="36"/>
      <c r="AE351" s="13"/>
      <c r="AF351" s="13"/>
      <c r="AG351" s="184"/>
      <c r="AH351" s="45"/>
    </row>
    <row r="352" spans="1:34">
      <c r="A352" s="14">
        <f t="shared" si="116"/>
        <v>46246</v>
      </c>
      <c r="B352" s="38"/>
      <c r="C352" s="13"/>
      <c r="D352" s="13"/>
      <c r="E352" s="13"/>
      <c r="F352" s="13"/>
      <c r="G352" s="13"/>
      <c r="H352" s="12"/>
      <c r="I352" s="12"/>
      <c r="J352" s="13"/>
      <c r="K352" s="184"/>
      <c r="L352" s="26"/>
      <c r="M352" s="22"/>
      <c r="N352" s="29"/>
      <c r="O352" s="13"/>
      <c r="P352" s="13"/>
      <c r="Q352" s="13"/>
      <c r="R352" s="13"/>
      <c r="S352" s="13"/>
      <c r="T352" s="36"/>
      <c r="U352" s="13"/>
      <c r="V352" s="13"/>
      <c r="W352" s="184"/>
      <c r="X352" s="37"/>
      <c r="Y352" s="22"/>
      <c r="Z352" s="38"/>
      <c r="AA352" s="13"/>
      <c r="AB352" s="13"/>
      <c r="AC352" s="13"/>
      <c r="AD352" s="36"/>
      <c r="AE352" s="13"/>
      <c r="AF352" s="13"/>
      <c r="AG352" s="184"/>
      <c r="AH352" s="45"/>
    </row>
    <row r="353" spans="1:34">
      <c r="A353" s="14">
        <f t="shared" si="116"/>
        <v>46247</v>
      </c>
      <c r="B353" s="38"/>
      <c r="C353" s="13"/>
      <c r="D353" s="13"/>
      <c r="E353" s="13"/>
      <c r="F353" s="13"/>
      <c r="G353" s="13"/>
      <c r="H353" s="12"/>
      <c r="I353" s="12"/>
      <c r="J353" s="13"/>
      <c r="K353" s="184"/>
      <c r="L353" s="26"/>
      <c r="M353" s="22"/>
      <c r="N353" s="29"/>
      <c r="O353" s="13"/>
      <c r="P353" s="13"/>
      <c r="Q353" s="13"/>
      <c r="R353" s="13"/>
      <c r="S353" s="13"/>
      <c r="T353" s="36"/>
      <c r="U353" s="13"/>
      <c r="V353" s="13"/>
      <c r="W353" s="184"/>
      <c r="X353" s="37"/>
      <c r="Y353" s="22"/>
      <c r="Z353" s="38"/>
      <c r="AA353" s="13"/>
      <c r="AB353" s="13"/>
      <c r="AC353" s="13"/>
      <c r="AD353" s="36"/>
      <c r="AE353" s="13"/>
      <c r="AF353" s="13"/>
      <c r="AG353" s="184"/>
      <c r="AH353" s="45"/>
    </row>
    <row r="354" spans="1:34">
      <c r="A354" s="14">
        <f t="shared" si="116"/>
        <v>46248</v>
      </c>
      <c r="B354" s="38"/>
      <c r="C354" s="13"/>
      <c r="D354" s="13"/>
      <c r="E354" s="13"/>
      <c r="F354" s="13"/>
      <c r="G354" s="13"/>
      <c r="H354" s="72"/>
      <c r="I354" s="80"/>
      <c r="J354" s="13"/>
      <c r="K354" s="184"/>
      <c r="L354" s="26"/>
      <c r="M354" s="22"/>
      <c r="N354" s="29"/>
      <c r="O354" s="13"/>
      <c r="P354" s="13"/>
      <c r="Q354" s="13"/>
      <c r="R354" s="13"/>
      <c r="S354" s="13"/>
      <c r="T354" s="36"/>
      <c r="U354" s="13"/>
      <c r="V354" s="13"/>
      <c r="W354" s="184"/>
      <c r="X354" s="37"/>
      <c r="Y354" s="22"/>
      <c r="Z354" s="38"/>
      <c r="AA354" s="13"/>
      <c r="AB354" s="13"/>
      <c r="AC354" s="13"/>
      <c r="AD354" s="36"/>
      <c r="AE354" s="13"/>
      <c r="AF354" s="13"/>
      <c r="AG354" s="184"/>
      <c r="AH354" s="37"/>
    </row>
    <row r="355" spans="1:34">
      <c r="A355" s="14">
        <f t="shared" si="116"/>
        <v>46249</v>
      </c>
      <c r="B355" s="38"/>
      <c r="C355" s="13"/>
      <c r="D355" s="13"/>
      <c r="E355" s="13"/>
      <c r="F355" s="13"/>
      <c r="G355" s="13"/>
      <c r="H355" s="72"/>
      <c r="I355" s="80"/>
      <c r="J355" s="13"/>
      <c r="K355" s="184"/>
      <c r="L355" s="26"/>
      <c r="M355" s="22"/>
      <c r="N355" s="29"/>
      <c r="O355" s="13"/>
      <c r="P355" s="13"/>
      <c r="Q355" s="13"/>
      <c r="R355" s="13"/>
      <c r="S355" s="13"/>
      <c r="T355" s="36"/>
      <c r="U355" s="13"/>
      <c r="V355" s="13"/>
      <c r="W355" s="184"/>
      <c r="X355" s="37"/>
      <c r="Y355" s="22"/>
      <c r="Z355" s="38"/>
      <c r="AA355" s="13"/>
      <c r="AB355" s="13"/>
      <c r="AC355" s="13"/>
      <c r="AD355" s="36"/>
      <c r="AE355" s="13"/>
      <c r="AF355" s="13"/>
      <c r="AG355" s="184"/>
      <c r="AH355" s="37"/>
    </row>
    <row r="356" spans="1:34">
      <c r="A356" s="14">
        <f t="shared" si="116"/>
        <v>46250</v>
      </c>
      <c r="B356" s="38"/>
      <c r="C356" s="13"/>
      <c r="D356" s="13"/>
      <c r="E356" s="13"/>
      <c r="F356" s="13"/>
      <c r="G356" s="13"/>
      <c r="H356" s="12"/>
      <c r="I356" s="12"/>
      <c r="J356" s="13"/>
      <c r="K356" s="184"/>
      <c r="L356" s="26"/>
      <c r="M356" s="22"/>
      <c r="N356" s="29"/>
      <c r="O356" s="13"/>
      <c r="P356" s="13"/>
      <c r="Q356" s="13"/>
      <c r="R356" s="13"/>
      <c r="S356" s="13"/>
      <c r="T356" s="36"/>
      <c r="U356" s="13"/>
      <c r="V356" s="13"/>
      <c r="W356" s="184"/>
      <c r="X356" s="37"/>
      <c r="Y356" s="22"/>
      <c r="Z356" s="38"/>
      <c r="AA356" s="13"/>
      <c r="AB356" s="13"/>
      <c r="AC356" s="13"/>
      <c r="AD356" s="36"/>
      <c r="AE356" s="13"/>
      <c r="AF356" s="13"/>
      <c r="AG356" s="184"/>
      <c r="AH356" s="37"/>
    </row>
    <row r="357" spans="1:34">
      <c r="A357" s="14">
        <f t="shared" si="116"/>
        <v>46251</v>
      </c>
      <c r="B357" s="38"/>
      <c r="C357" s="13"/>
      <c r="D357" s="13"/>
      <c r="E357" s="13"/>
      <c r="F357" s="13"/>
      <c r="G357" s="13"/>
      <c r="H357" s="12"/>
      <c r="I357" s="12"/>
      <c r="J357" s="13"/>
      <c r="K357" s="184"/>
      <c r="L357" s="26"/>
      <c r="M357" s="22"/>
      <c r="N357" s="29"/>
      <c r="O357" s="13"/>
      <c r="P357" s="13"/>
      <c r="Q357" s="13"/>
      <c r="R357" s="13"/>
      <c r="S357" s="13"/>
      <c r="T357" s="36"/>
      <c r="U357" s="13"/>
      <c r="V357" s="13"/>
      <c r="W357" s="184"/>
      <c r="X357" s="37"/>
      <c r="Y357" s="22"/>
      <c r="Z357" s="38"/>
      <c r="AA357" s="13"/>
      <c r="AB357" s="13"/>
      <c r="AC357" s="13"/>
      <c r="AD357" s="36"/>
      <c r="AE357" s="13"/>
      <c r="AF357" s="13"/>
      <c r="AG357" s="184"/>
      <c r="AH357" s="37"/>
    </row>
    <row r="358" spans="1:34">
      <c r="A358" s="14">
        <f t="shared" si="116"/>
        <v>46252</v>
      </c>
      <c r="B358" s="38"/>
      <c r="C358" s="13"/>
      <c r="D358" s="13"/>
      <c r="E358" s="13"/>
      <c r="F358" s="13"/>
      <c r="G358" s="13"/>
      <c r="H358" s="12"/>
      <c r="I358" s="12"/>
      <c r="J358" s="13"/>
      <c r="K358" s="184"/>
      <c r="L358" s="26"/>
      <c r="M358" s="22"/>
      <c r="N358" s="29"/>
      <c r="O358" s="13"/>
      <c r="P358" s="13"/>
      <c r="Q358" s="13"/>
      <c r="R358" s="13"/>
      <c r="S358" s="13"/>
      <c r="T358" s="36"/>
      <c r="U358" s="13"/>
      <c r="V358" s="13"/>
      <c r="W358" s="184"/>
      <c r="X358" s="37"/>
      <c r="Y358" s="22"/>
      <c r="Z358" s="38"/>
      <c r="AA358" s="13"/>
      <c r="AB358" s="13"/>
      <c r="AC358" s="13"/>
      <c r="AD358" s="36"/>
      <c r="AE358" s="13"/>
      <c r="AF358" s="13"/>
      <c r="AG358" s="184"/>
      <c r="AH358" s="37"/>
    </row>
    <row r="359" spans="1:34">
      <c r="A359" s="14">
        <f t="shared" si="116"/>
        <v>46253</v>
      </c>
      <c r="B359" s="38"/>
      <c r="C359" s="13"/>
      <c r="D359" s="13"/>
      <c r="E359" s="13"/>
      <c r="F359" s="13"/>
      <c r="G359" s="13"/>
      <c r="H359" s="12"/>
      <c r="I359" s="12"/>
      <c r="J359" s="13"/>
      <c r="K359" s="184"/>
      <c r="L359" s="37"/>
      <c r="M359" s="22"/>
      <c r="N359" s="29"/>
      <c r="O359" s="13"/>
      <c r="P359" s="13"/>
      <c r="Q359" s="13"/>
      <c r="R359" s="13"/>
      <c r="S359" s="13"/>
      <c r="T359" s="36"/>
      <c r="U359" s="13"/>
      <c r="V359" s="13"/>
      <c r="W359" s="184"/>
      <c r="X359" s="37"/>
      <c r="Y359" s="22"/>
      <c r="Z359" s="38"/>
      <c r="AA359" s="13"/>
      <c r="AB359" s="13"/>
      <c r="AC359" s="13"/>
      <c r="AD359" s="36"/>
      <c r="AE359" s="13"/>
      <c r="AF359" s="13"/>
      <c r="AG359" s="184"/>
      <c r="AH359" s="37"/>
    </row>
    <row r="360" spans="1:34">
      <c r="A360" s="14">
        <f t="shared" si="116"/>
        <v>46254</v>
      </c>
      <c r="B360" s="38"/>
      <c r="C360" s="13"/>
      <c r="D360" s="13"/>
      <c r="E360" s="13"/>
      <c r="F360" s="13"/>
      <c r="G360" s="13"/>
      <c r="H360" s="12"/>
      <c r="I360" s="13"/>
      <c r="J360" s="13"/>
      <c r="K360" s="184"/>
      <c r="L360" s="26"/>
      <c r="M360" s="22"/>
      <c r="N360" s="29"/>
      <c r="O360" s="13"/>
      <c r="P360" s="13"/>
      <c r="Q360" s="13"/>
      <c r="R360" s="13"/>
      <c r="S360" s="13"/>
      <c r="T360" s="36"/>
      <c r="U360" s="13"/>
      <c r="V360" s="13"/>
      <c r="W360" s="184"/>
      <c r="X360" s="37"/>
      <c r="Y360" s="22"/>
      <c r="Z360" s="38"/>
      <c r="AA360" s="13"/>
      <c r="AB360" s="13"/>
      <c r="AC360" s="13"/>
      <c r="AD360" s="36"/>
      <c r="AE360" s="13"/>
      <c r="AF360" s="13"/>
      <c r="AG360" s="184"/>
      <c r="AH360" s="37"/>
    </row>
    <row r="361" spans="1:34">
      <c r="A361" s="14">
        <f t="shared" si="116"/>
        <v>46255</v>
      </c>
      <c r="B361" s="38"/>
      <c r="C361" s="13"/>
      <c r="D361" s="13"/>
      <c r="E361" s="13"/>
      <c r="F361" s="13"/>
      <c r="G361" s="13"/>
      <c r="H361" s="36"/>
      <c r="I361" s="12"/>
      <c r="J361" s="13"/>
      <c r="K361" s="184"/>
      <c r="L361" s="37"/>
      <c r="M361" s="22"/>
      <c r="N361" s="29"/>
      <c r="O361" s="13"/>
      <c r="P361" s="13"/>
      <c r="Q361" s="13"/>
      <c r="R361" s="13"/>
      <c r="S361" s="13"/>
      <c r="T361" s="36"/>
      <c r="U361" s="13"/>
      <c r="V361" s="13"/>
      <c r="W361" s="184"/>
      <c r="X361" s="37"/>
      <c r="Y361" s="22"/>
      <c r="Z361" s="38"/>
      <c r="AA361" s="13"/>
      <c r="AB361" s="13"/>
      <c r="AC361" s="13"/>
      <c r="AD361" s="36"/>
      <c r="AE361" s="12"/>
      <c r="AF361" s="13"/>
      <c r="AG361" s="184"/>
      <c r="AH361" s="37"/>
    </row>
    <row r="362" spans="1:34">
      <c r="A362" s="14">
        <f t="shared" si="116"/>
        <v>46256</v>
      </c>
      <c r="B362" s="38"/>
      <c r="C362" s="13"/>
      <c r="D362" s="13"/>
      <c r="E362" s="13"/>
      <c r="F362" s="13"/>
      <c r="G362" s="13"/>
      <c r="H362" s="12"/>
      <c r="I362" s="13"/>
      <c r="J362" s="13"/>
      <c r="K362" s="184"/>
      <c r="L362" s="26"/>
      <c r="M362" s="22"/>
      <c r="N362" s="29"/>
      <c r="O362" s="13"/>
      <c r="P362" s="13"/>
      <c r="Q362" s="13"/>
      <c r="R362" s="13"/>
      <c r="S362" s="13"/>
      <c r="T362" s="36"/>
      <c r="U362" s="13"/>
      <c r="V362" s="13"/>
      <c r="W362" s="184"/>
      <c r="X362" s="37"/>
      <c r="Y362" s="22"/>
      <c r="Z362" s="38"/>
      <c r="AA362" s="13"/>
      <c r="AB362" s="13"/>
      <c r="AC362" s="13"/>
      <c r="AD362" s="36"/>
      <c r="AE362" s="13"/>
      <c r="AF362" s="13"/>
      <c r="AG362" s="184"/>
      <c r="AH362" s="37"/>
    </row>
    <row r="363" spans="1:34">
      <c r="A363" s="14">
        <f t="shared" si="116"/>
        <v>46257</v>
      </c>
      <c r="B363" s="29"/>
      <c r="C363" s="13"/>
      <c r="D363" s="13"/>
      <c r="E363" s="13"/>
      <c r="F363" s="13"/>
      <c r="G363" s="13"/>
      <c r="H363" s="13"/>
      <c r="I363" s="13"/>
      <c r="J363" s="13"/>
      <c r="K363" s="184"/>
      <c r="L363" s="37"/>
      <c r="M363" s="22"/>
      <c r="N363" s="29"/>
      <c r="O363" s="13"/>
      <c r="P363" s="13"/>
      <c r="Q363" s="13"/>
      <c r="R363" s="13"/>
      <c r="S363" s="13"/>
      <c r="T363" s="36"/>
      <c r="U363" s="13"/>
      <c r="V363" s="13"/>
      <c r="W363" s="184"/>
      <c r="X363" s="37"/>
      <c r="Y363" s="22"/>
      <c r="Z363" s="38"/>
      <c r="AA363" s="13"/>
      <c r="AB363" s="13"/>
      <c r="AC363" s="13"/>
      <c r="AD363" s="36"/>
      <c r="AE363" s="13"/>
      <c r="AF363" s="13"/>
      <c r="AG363" s="184"/>
      <c r="AH363" s="37"/>
    </row>
    <row r="364" spans="1:34">
      <c r="A364" s="14">
        <f t="shared" si="116"/>
        <v>46258</v>
      </c>
      <c r="B364" s="29"/>
      <c r="C364" s="13"/>
      <c r="D364" s="13"/>
      <c r="E364" s="13"/>
      <c r="F364" s="13"/>
      <c r="G364" s="13"/>
      <c r="H364" s="13"/>
      <c r="I364" s="13"/>
      <c r="J364" s="13"/>
      <c r="K364" s="184"/>
      <c r="L364" s="37"/>
      <c r="M364" s="22"/>
      <c r="N364" s="29"/>
      <c r="O364" s="13"/>
      <c r="P364" s="13"/>
      <c r="Q364" s="13"/>
      <c r="R364" s="13"/>
      <c r="S364" s="13"/>
      <c r="T364" s="36"/>
      <c r="U364" s="13"/>
      <c r="V364" s="13"/>
      <c r="W364" s="184"/>
      <c r="X364" s="37"/>
      <c r="Y364" s="22"/>
      <c r="Z364" s="38"/>
      <c r="AA364" s="13"/>
      <c r="AB364" s="13"/>
      <c r="AC364" s="13"/>
      <c r="AD364" s="36"/>
      <c r="AE364" s="13"/>
      <c r="AF364" s="13"/>
      <c r="AG364" s="184"/>
      <c r="AH364" s="37"/>
    </row>
    <row r="365" spans="1:34">
      <c r="A365" s="14">
        <f t="shared" si="116"/>
        <v>46259</v>
      </c>
      <c r="B365" s="29"/>
      <c r="C365" s="13"/>
      <c r="D365" s="13"/>
      <c r="E365" s="13"/>
      <c r="F365" s="13"/>
      <c r="G365" s="13"/>
      <c r="H365" s="13"/>
      <c r="I365" s="13"/>
      <c r="J365" s="13"/>
      <c r="K365" s="184"/>
      <c r="L365" s="37"/>
      <c r="M365" s="22"/>
      <c r="N365" s="29"/>
      <c r="O365" s="13"/>
      <c r="P365" s="13"/>
      <c r="Q365" s="13"/>
      <c r="R365" s="13"/>
      <c r="S365" s="13"/>
      <c r="T365" s="36"/>
      <c r="U365" s="13"/>
      <c r="V365" s="13"/>
      <c r="W365" s="184"/>
      <c r="X365" s="37"/>
      <c r="Y365" s="22"/>
      <c r="Z365" s="38"/>
      <c r="AA365" s="13"/>
      <c r="AB365" s="13"/>
      <c r="AC365" s="13"/>
      <c r="AD365" s="36"/>
      <c r="AE365" s="13"/>
      <c r="AF365" s="13"/>
      <c r="AG365" s="184"/>
      <c r="AH365" s="37"/>
    </row>
    <row r="366" spans="1:34">
      <c r="A366" s="14">
        <f t="shared" si="116"/>
        <v>46260</v>
      </c>
      <c r="B366" s="29"/>
      <c r="C366" s="13"/>
      <c r="D366" s="13"/>
      <c r="E366" s="13"/>
      <c r="F366" s="13"/>
      <c r="G366" s="13"/>
      <c r="H366" s="13"/>
      <c r="I366" s="13"/>
      <c r="J366" s="13"/>
      <c r="K366" s="184"/>
      <c r="L366" s="37"/>
      <c r="M366" s="22"/>
      <c r="N366" s="29"/>
      <c r="O366" s="13"/>
      <c r="P366" s="13"/>
      <c r="Q366" s="13"/>
      <c r="R366" s="13"/>
      <c r="S366" s="13"/>
      <c r="T366" s="36"/>
      <c r="U366" s="13"/>
      <c r="V366" s="13"/>
      <c r="W366" s="184"/>
      <c r="X366" s="51"/>
      <c r="Y366" s="22"/>
      <c r="Z366" s="38"/>
      <c r="AA366" s="13"/>
      <c r="AB366" s="13"/>
      <c r="AC366" s="13"/>
      <c r="AD366" s="36"/>
      <c r="AE366" s="13"/>
      <c r="AF366" s="13"/>
      <c r="AG366" s="184"/>
      <c r="AH366" s="51"/>
    </row>
    <row r="367" spans="1:34">
      <c r="A367" s="14">
        <f t="shared" si="116"/>
        <v>46261</v>
      </c>
      <c r="B367" s="29"/>
      <c r="C367" s="13"/>
      <c r="D367" s="13"/>
      <c r="E367" s="13"/>
      <c r="F367" s="13"/>
      <c r="G367" s="13"/>
      <c r="H367" s="13"/>
      <c r="I367" s="13"/>
      <c r="J367" s="13"/>
      <c r="K367" s="184"/>
      <c r="L367" s="37"/>
      <c r="M367" s="22"/>
      <c r="N367" s="29"/>
      <c r="O367" s="13"/>
      <c r="P367" s="13"/>
      <c r="Q367" s="13"/>
      <c r="R367" s="13"/>
      <c r="S367" s="13"/>
      <c r="T367" s="36"/>
      <c r="U367" s="13"/>
      <c r="V367" s="13"/>
      <c r="W367" s="184"/>
      <c r="X367" s="37"/>
      <c r="Y367" s="22"/>
      <c r="Z367" s="38"/>
      <c r="AA367" s="13"/>
      <c r="AB367" s="13"/>
      <c r="AC367" s="13"/>
      <c r="AD367" s="36"/>
      <c r="AE367" s="13"/>
      <c r="AF367" s="13"/>
      <c r="AG367" s="184"/>
      <c r="AH367" s="37"/>
    </row>
    <row r="368" spans="1:34">
      <c r="A368" s="14">
        <f t="shared" si="116"/>
        <v>46262</v>
      </c>
      <c r="B368" s="29"/>
      <c r="C368" s="13"/>
      <c r="D368" s="13"/>
      <c r="E368" s="13"/>
      <c r="F368" s="13"/>
      <c r="G368" s="13"/>
      <c r="H368" s="13"/>
      <c r="I368" s="13"/>
      <c r="J368" s="13"/>
      <c r="K368" s="184"/>
      <c r="L368" s="37"/>
      <c r="M368" s="22"/>
      <c r="N368" s="29"/>
      <c r="O368" s="13"/>
      <c r="P368" s="13"/>
      <c r="Q368" s="13"/>
      <c r="R368" s="13"/>
      <c r="S368" s="13"/>
      <c r="T368" s="36"/>
      <c r="U368" s="13"/>
      <c r="V368" s="13"/>
      <c r="W368" s="184"/>
      <c r="X368" s="37"/>
      <c r="Y368" s="22"/>
      <c r="Z368" s="38"/>
      <c r="AA368" s="13"/>
      <c r="AB368" s="13"/>
      <c r="AC368" s="13"/>
      <c r="AD368" s="36"/>
      <c r="AE368" s="13"/>
      <c r="AF368" s="13"/>
      <c r="AG368" s="184"/>
      <c r="AH368" s="37"/>
    </row>
    <row r="369" spans="1:34">
      <c r="A369" s="14">
        <f t="shared" si="116"/>
        <v>46263</v>
      </c>
      <c r="B369" s="29"/>
      <c r="C369" s="13"/>
      <c r="D369" s="13"/>
      <c r="E369" s="13"/>
      <c r="F369" s="13"/>
      <c r="G369" s="13"/>
      <c r="H369" s="13"/>
      <c r="I369" s="13"/>
      <c r="J369" s="13"/>
      <c r="K369" s="184"/>
      <c r="L369" s="37"/>
      <c r="M369" s="22"/>
      <c r="N369" s="29"/>
      <c r="O369" s="13"/>
      <c r="P369" s="13"/>
      <c r="Q369" s="13"/>
      <c r="R369" s="13"/>
      <c r="S369" s="13"/>
      <c r="T369" s="36"/>
      <c r="U369" s="13"/>
      <c r="V369" s="13"/>
      <c r="W369" s="184"/>
      <c r="X369" s="37"/>
      <c r="Y369" s="22"/>
      <c r="Z369" s="38"/>
      <c r="AA369" s="13"/>
      <c r="AB369" s="13"/>
      <c r="AC369" s="13"/>
      <c r="AD369" s="36"/>
      <c r="AE369" s="13"/>
      <c r="AF369" s="13"/>
      <c r="AG369" s="184"/>
      <c r="AH369" s="37"/>
    </row>
    <row r="370" spans="1:34">
      <c r="A370" s="14">
        <f t="shared" si="116"/>
        <v>46264</v>
      </c>
      <c r="B370" s="29"/>
      <c r="C370" s="13"/>
      <c r="D370" s="13"/>
      <c r="E370" s="13"/>
      <c r="F370" s="13"/>
      <c r="G370" s="13"/>
      <c r="H370" s="13"/>
      <c r="I370" s="13"/>
      <c r="J370" s="13"/>
      <c r="K370" s="184"/>
      <c r="L370" s="37"/>
      <c r="M370" s="22"/>
      <c r="N370" s="29"/>
      <c r="O370" s="13"/>
      <c r="P370" s="47"/>
      <c r="Q370" s="47"/>
      <c r="R370" s="47"/>
      <c r="S370" s="47"/>
      <c r="T370" s="52"/>
      <c r="U370" s="47"/>
      <c r="V370" s="53"/>
      <c r="W370" s="184"/>
      <c r="X370" s="48"/>
      <c r="Y370" s="22"/>
      <c r="Z370" s="38"/>
      <c r="AA370" s="13"/>
      <c r="AB370" s="47"/>
      <c r="AC370" s="47"/>
      <c r="AD370" s="52"/>
      <c r="AE370" s="13"/>
      <c r="AF370" s="53"/>
      <c r="AG370" s="53"/>
      <c r="AH370" s="37"/>
    </row>
    <row r="371" spans="1:34" ht="15.75" thickBot="1">
      <c r="A371" s="15"/>
      <c r="B371" s="29"/>
      <c r="C371" s="13"/>
      <c r="D371" s="13"/>
      <c r="E371" s="13"/>
      <c r="F371" s="13"/>
      <c r="G371" s="13"/>
      <c r="H371" s="13"/>
      <c r="I371" s="13"/>
      <c r="J371" s="13"/>
      <c r="K371" s="184"/>
      <c r="L371" s="37"/>
      <c r="M371" s="22"/>
      <c r="N371" s="56"/>
      <c r="O371" s="47"/>
      <c r="P371" s="47"/>
      <c r="Q371" s="47"/>
      <c r="R371" s="47"/>
      <c r="S371" s="47"/>
      <c r="T371" s="52"/>
      <c r="U371" s="47"/>
      <c r="V371" s="47"/>
      <c r="W371" s="184"/>
      <c r="X371" s="48"/>
      <c r="Y371" s="22"/>
      <c r="Z371" s="39"/>
      <c r="AA371" s="47"/>
      <c r="AB371" s="47"/>
      <c r="AC371" s="47"/>
      <c r="AD371" s="47"/>
      <c r="AE371" s="47"/>
      <c r="AF371" s="47"/>
      <c r="AG371" s="53"/>
      <c r="AH371" s="48"/>
    </row>
    <row r="372" spans="1:34">
      <c r="A372" s="16" t="s">
        <v>31</v>
      </c>
      <c r="B372" s="17">
        <f>MIN(B341:B371)</f>
        <v>0</v>
      </c>
      <c r="C372" s="17">
        <f>MIN(C341:C371)</f>
        <v>0</v>
      </c>
      <c r="D372" s="17">
        <f t="shared" ref="D372:L372" si="117">MIN(D341:D371)</f>
        <v>0</v>
      </c>
      <c r="E372" s="17">
        <f t="shared" si="117"/>
        <v>0</v>
      </c>
      <c r="F372" s="17">
        <f t="shared" si="117"/>
        <v>0</v>
      </c>
      <c r="G372" s="17">
        <f t="shared" si="117"/>
        <v>0</v>
      </c>
      <c r="H372" s="197">
        <f t="shared" si="117"/>
        <v>0</v>
      </c>
      <c r="I372" s="17">
        <f t="shared" si="117"/>
        <v>0</v>
      </c>
      <c r="J372" s="17">
        <f t="shared" si="117"/>
        <v>0</v>
      </c>
      <c r="K372" s="17">
        <f t="shared" si="117"/>
        <v>0</v>
      </c>
      <c r="L372" s="30">
        <f t="shared" si="117"/>
        <v>0</v>
      </c>
      <c r="M372" s="22"/>
      <c r="N372" s="17">
        <f>MIN(N341:N371)</f>
        <v>0</v>
      </c>
      <c r="O372" s="17">
        <f>MIN(O341:O371)</f>
        <v>0</v>
      </c>
      <c r="P372" s="17">
        <f t="shared" ref="P372:X372" si="118">MIN(P341:P371)</f>
        <v>0</v>
      </c>
      <c r="Q372" s="17">
        <f t="shared" si="118"/>
        <v>0</v>
      </c>
      <c r="R372" s="17">
        <f t="shared" si="118"/>
        <v>0</v>
      </c>
      <c r="S372" s="17">
        <f t="shared" si="118"/>
        <v>0</v>
      </c>
      <c r="T372" s="197">
        <f t="shared" si="118"/>
        <v>0</v>
      </c>
      <c r="U372" s="17">
        <f t="shared" si="118"/>
        <v>0</v>
      </c>
      <c r="V372" s="17">
        <f t="shared" si="118"/>
        <v>0</v>
      </c>
      <c r="W372" s="17">
        <f t="shared" si="118"/>
        <v>0</v>
      </c>
      <c r="X372" s="30">
        <f t="shared" si="118"/>
        <v>0</v>
      </c>
      <c r="Z372" s="40">
        <f t="shared" ref="Z372:AH372" si="119">MIN(Z341:Z371)</f>
        <v>0</v>
      </c>
      <c r="AA372" s="17">
        <f t="shared" si="119"/>
        <v>0</v>
      </c>
      <c r="AB372" s="17">
        <f t="shared" si="119"/>
        <v>0</v>
      </c>
      <c r="AC372" s="17">
        <f t="shared" si="119"/>
        <v>0</v>
      </c>
      <c r="AD372" s="197">
        <f t="shared" si="119"/>
        <v>0</v>
      </c>
      <c r="AE372" s="17">
        <f t="shared" si="119"/>
        <v>0</v>
      </c>
      <c r="AF372" s="17">
        <f t="shared" si="119"/>
        <v>0</v>
      </c>
      <c r="AG372" s="17">
        <f t="shared" si="119"/>
        <v>0</v>
      </c>
      <c r="AH372" s="30">
        <f t="shared" si="119"/>
        <v>0</v>
      </c>
    </row>
    <row r="373" spans="1:34">
      <c r="A373" s="18" t="s">
        <v>33</v>
      </c>
      <c r="B373" s="19">
        <f>MAX(B341:B371)</f>
        <v>0</v>
      </c>
      <c r="C373" s="19">
        <f>MAX(C341:C371)</f>
        <v>0</v>
      </c>
      <c r="D373" s="19">
        <f t="shared" ref="D373:L373" si="120">MAX(D341:D371)</f>
        <v>0</v>
      </c>
      <c r="E373" s="19">
        <f t="shared" si="120"/>
        <v>0</v>
      </c>
      <c r="F373" s="19">
        <f t="shared" si="120"/>
        <v>0</v>
      </c>
      <c r="G373" s="19">
        <f t="shared" si="120"/>
        <v>0</v>
      </c>
      <c r="H373" s="198">
        <f t="shared" si="120"/>
        <v>0</v>
      </c>
      <c r="I373" s="19">
        <f t="shared" si="120"/>
        <v>0</v>
      </c>
      <c r="J373" s="19">
        <f t="shared" si="120"/>
        <v>0</v>
      </c>
      <c r="K373" s="19">
        <f t="shared" si="120"/>
        <v>0</v>
      </c>
      <c r="L373" s="31">
        <f t="shared" si="120"/>
        <v>0</v>
      </c>
      <c r="M373" s="22"/>
      <c r="N373" s="19">
        <f>MAX(N341:N371)</f>
        <v>0</v>
      </c>
      <c r="O373" s="19">
        <f>MAX(O341:O371)</f>
        <v>0</v>
      </c>
      <c r="P373" s="19">
        <f t="shared" ref="P373:X373" si="121">MAX(P341:P371)</f>
        <v>0</v>
      </c>
      <c r="Q373" s="19">
        <f t="shared" si="121"/>
        <v>0</v>
      </c>
      <c r="R373" s="19">
        <f t="shared" si="121"/>
        <v>0</v>
      </c>
      <c r="S373" s="19">
        <f t="shared" si="121"/>
        <v>0</v>
      </c>
      <c r="T373" s="198">
        <f t="shared" si="121"/>
        <v>0</v>
      </c>
      <c r="U373" s="19">
        <f t="shared" si="121"/>
        <v>0</v>
      </c>
      <c r="V373" s="19">
        <f t="shared" si="121"/>
        <v>0</v>
      </c>
      <c r="W373" s="19">
        <f t="shared" si="121"/>
        <v>0</v>
      </c>
      <c r="X373" s="31">
        <f t="shared" si="121"/>
        <v>0</v>
      </c>
      <c r="Z373" s="41">
        <f t="shared" ref="Z373:AH373" si="122">MAX(Z341:Z371)</f>
        <v>0</v>
      </c>
      <c r="AA373" s="19">
        <f t="shared" si="122"/>
        <v>0</v>
      </c>
      <c r="AB373" s="19">
        <f t="shared" si="122"/>
        <v>0</v>
      </c>
      <c r="AC373" s="19">
        <f t="shared" si="122"/>
        <v>0</v>
      </c>
      <c r="AD373" s="198">
        <f t="shared" si="122"/>
        <v>0</v>
      </c>
      <c r="AE373" s="19">
        <f t="shared" si="122"/>
        <v>0</v>
      </c>
      <c r="AF373" s="19">
        <f t="shared" si="122"/>
        <v>0</v>
      </c>
      <c r="AG373" s="19">
        <f t="shared" si="122"/>
        <v>0</v>
      </c>
      <c r="AH373" s="31">
        <f t="shared" si="122"/>
        <v>0</v>
      </c>
    </row>
    <row r="374" spans="1:34">
      <c r="A374" s="18" t="s">
        <v>36</v>
      </c>
      <c r="B374" s="19" t="e">
        <f t="shared" ref="B374:L374" si="123">AVERAGE(B341:B371)</f>
        <v>#DIV/0!</v>
      </c>
      <c r="C374" s="19" t="e">
        <f t="shared" si="123"/>
        <v>#DIV/0!</v>
      </c>
      <c r="D374" s="19" t="e">
        <f t="shared" si="123"/>
        <v>#DIV/0!</v>
      </c>
      <c r="E374" s="19" t="e">
        <f t="shared" si="123"/>
        <v>#DIV/0!</v>
      </c>
      <c r="F374" s="19" t="e">
        <f t="shared" si="123"/>
        <v>#DIV/0!</v>
      </c>
      <c r="G374" s="19" t="e">
        <f t="shared" si="123"/>
        <v>#DIV/0!</v>
      </c>
      <c r="H374" s="198" t="e">
        <f t="shared" si="123"/>
        <v>#DIV/0!</v>
      </c>
      <c r="I374" s="19" t="e">
        <f t="shared" si="123"/>
        <v>#DIV/0!</v>
      </c>
      <c r="J374" s="19" t="e">
        <f t="shared" si="123"/>
        <v>#DIV/0!</v>
      </c>
      <c r="K374" s="19" t="e">
        <f t="shared" si="123"/>
        <v>#DIV/0!</v>
      </c>
      <c r="L374" s="31" t="e">
        <f t="shared" si="123"/>
        <v>#DIV/0!</v>
      </c>
      <c r="M374" s="22"/>
      <c r="N374" s="19" t="e">
        <f t="shared" ref="N374:X374" si="124">AVERAGE(N341:N371)</f>
        <v>#DIV/0!</v>
      </c>
      <c r="O374" s="19" t="e">
        <f t="shared" si="124"/>
        <v>#DIV/0!</v>
      </c>
      <c r="P374" s="19" t="e">
        <f t="shared" si="124"/>
        <v>#DIV/0!</v>
      </c>
      <c r="Q374" s="19" t="e">
        <f t="shared" si="124"/>
        <v>#DIV/0!</v>
      </c>
      <c r="R374" s="19" t="e">
        <f t="shared" si="124"/>
        <v>#DIV/0!</v>
      </c>
      <c r="S374" s="19" t="e">
        <f t="shared" si="124"/>
        <v>#DIV/0!</v>
      </c>
      <c r="T374" s="198" t="e">
        <f t="shared" si="124"/>
        <v>#DIV/0!</v>
      </c>
      <c r="U374" s="19" t="e">
        <f t="shared" si="124"/>
        <v>#DIV/0!</v>
      </c>
      <c r="V374" s="19" t="e">
        <f t="shared" si="124"/>
        <v>#DIV/0!</v>
      </c>
      <c r="W374" s="19" t="e">
        <f t="shared" si="124"/>
        <v>#DIV/0!</v>
      </c>
      <c r="X374" s="31" t="e">
        <f t="shared" si="124"/>
        <v>#DIV/0!</v>
      </c>
      <c r="Z374" s="41" t="e">
        <f>AVERAGE(Z341:Z371)</f>
        <v>#DIV/0!</v>
      </c>
      <c r="AA374" s="19" t="e">
        <f t="shared" ref="AA374:AH374" si="125">AVERAGE(AA341:AA371)</f>
        <v>#DIV/0!</v>
      </c>
      <c r="AB374" s="19" t="e">
        <f t="shared" si="125"/>
        <v>#DIV/0!</v>
      </c>
      <c r="AC374" s="19" t="e">
        <f t="shared" si="125"/>
        <v>#DIV/0!</v>
      </c>
      <c r="AD374" s="198" t="e">
        <f t="shared" si="125"/>
        <v>#DIV/0!</v>
      </c>
      <c r="AE374" s="19" t="e">
        <f t="shared" si="125"/>
        <v>#DIV/0!</v>
      </c>
      <c r="AF374" s="19" t="e">
        <f t="shared" si="125"/>
        <v>#DIV/0!</v>
      </c>
      <c r="AG374" s="19" t="e">
        <f t="shared" si="125"/>
        <v>#DIV/0!</v>
      </c>
      <c r="AH374" s="31" t="e">
        <f t="shared" si="125"/>
        <v>#DIV/0!</v>
      </c>
    </row>
    <row r="375" spans="1:34" ht="15.75" thickBot="1">
      <c r="A375" s="20" t="s">
        <v>130</v>
      </c>
      <c r="B375" s="21" t="e">
        <f>STDEV(B341:B371)</f>
        <v>#DIV/0!</v>
      </c>
      <c r="C375" s="21" t="e">
        <f t="shared" ref="C375:L375" si="126">STDEV(C341:C371)</f>
        <v>#DIV/0!</v>
      </c>
      <c r="D375" s="21" t="e">
        <f t="shared" si="126"/>
        <v>#DIV/0!</v>
      </c>
      <c r="E375" s="21" t="e">
        <f t="shared" si="126"/>
        <v>#DIV/0!</v>
      </c>
      <c r="F375" s="21" t="e">
        <f t="shared" si="126"/>
        <v>#DIV/0!</v>
      </c>
      <c r="G375" s="21" t="e">
        <f t="shared" si="126"/>
        <v>#DIV/0!</v>
      </c>
      <c r="H375" s="199" t="e">
        <f t="shared" si="126"/>
        <v>#DIV/0!</v>
      </c>
      <c r="I375" s="21" t="e">
        <f t="shared" si="126"/>
        <v>#DIV/0!</v>
      </c>
      <c r="J375" s="21" t="e">
        <f t="shared" si="126"/>
        <v>#DIV/0!</v>
      </c>
      <c r="K375" s="21" t="e">
        <f t="shared" si="126"/>
        <v>#DIV/0!</v>
      </c>
      <c r="L375" s="32" t="e">
        <f t="shared" si="126"/>
        <v>#DIV/0!</v>
      </c>
      <c r="M375" s="22"/>
      <c r="N375" s="21" t="e">
        <f>STDEV(N341:N371)</f>
        <v>#DIV/0!</v>
      </c>
      <c r="O375" s="21" t="e">
        <f t="shared" ref="O375:X375" si="127">STDEV(O341:O371)</f>
        <v>#DIV/0!</v>
      </c>
      <c r="P375" s="21" t="e">
        <f t="shared" si="127"/>
        <v>#DIV/0!</v>
      </c>
      <c r="Q375" s="21" t="e">
        <f t="shared" si="127"/>
        <v>#DIV/0!</v>
      </c>
      <c r="R375" s="21" t="e">
        <f t="shared" si="127"/>
        <v>#DIV/0!</v>
      </c>
      <c r="S375" s="21" t="e">
        <f t="shared" si="127"/>
        <v>#DIV/0!</v>
      </c>
      <c r="T375" s="199" t="e">
        <f t="shared" si="127"/>
        <v>#DIV/0!</v>
      </c>
      <c r="U375" s="21" t="e">
        <f t="shared" si="127"/>
        <v>#DIV/0!</v>
      </c>
      <c r="V375" s="21" t="e">
        <f t="shared" si="127"/>
        <v>#DIV/0!</v>
      </c>
      <c r="W375" s="21" t="e">
        <f t="shared" si="127"/>
        <v>#DIV/0!</v>
      </c>
      <c r="X375" s="32" t="e">
        <f t="shared" si="127"/>
        <v>#DIV/0!</v>
      </c>
      <c r="Z375" s="42" t="e">
        <f>STDEV(Z341:Z371)</f>
        <v>#DIV/0!</v>
      </c>
      <c r="AA375" s="21" t="e">
        <f t="shared" ref="AA375:AH375" si="128">STDEV(AA341:AA371)</f>
        <v>#DIV/0!</v>
      </c>
      <c r="AB375" s="21" t="e">
        <f t="shared" si="128"/>
        <v>#DIV/0!</v>
      </c>
      <c r="AC375" s="21" t="e">
        <f t="shared" si="128"/>
        <v>#DIV/0!</v>
      </c>
      <c r="AD375" s="199" t="e">
        <f t="shared" si="128"/>
        <v>#DIV/0!</v>
      </c>
      <c r="AE375" s="21" t="e">
        <f t="shared" si="128"/>
        <v>#DIV/0!</v>
      </c>
      <c r="AF375" s="21" t="e">
        <f t="shared" si="128"/>
        <v>#DIV/0!</v>
      </c>
      <c r="AG375" s="21" t="e">
        <f t="shared" si="128"/>
        <v>#DIV/0!</v>
      </c>
      <c r="AH375" s="32" t="e">
        <f t="shared" si="128"/>
        <v>#DIV/0!</v>
      </c>
    </row>
    <row r="376" spans="1:34" ht="15.75" thickBot="1"/>
    <row r="377" spans="1:34" ht="15.75" thickBot="1">
      <c r="A377" s="1"/>
      <c r="B377" s="338" t="s">
        <v>0</v>
      </c>
      <c r="C377" s="339"/>
      <c r="D377" s="339"/>
      <c r="E377" s="339"/>
      <c r="F377" s="339"/>
      <c r="G377" s="339"/>
      <c r="H377" s="339"/>
      <c r="I377" s="339"/>
      <c r="J377" s="339"/>
      <c r="K377" s="339"/>
      <c r="L377" s="339"/>
      <c r="M377" s="339"/>
      <c r="N377" s="339"/>
      <c r="O377" s="339"/>
      <c r="P377" s="339"/>
      <c r="Q377" s="339"/>
      <c r="R377" s="339"/>
      <c r="S377" s="339"/>
      <c r="T377" s="339"/>
      <c r="U377" s="339"/>
      <c r="V377" s="339"/>
      <c r="W377" s="339"/>
      <c r="X377" s="339"/>
      <c r="Y377" s="339"/>
      <c r="Z377" s="339"/>
      <c r="AA377" s="339"/>
      <c r="AB377" s="339"/>
      <c r="AC377" s="339"/>
      <c r="AD377" s="340"/>
      <c r="AE377" s="340"/>
      <c r="AF377" s="340"/>
      <c r="AG377" s="340"/>
      <c r="AH377" s="340"/>
    </row>
    <row r="378" spans="1:34" ht="15.75" thickBot="1">
      <c r="A378" s="1"/>
      <c r="B378" s="338" t="s">
        <v>131</v>
      </c>
      <c r="C378" s="339"/>
      <c r="D378" s="339"/>
      <c r="E378" s="339"/>
      <c r="F378" s="339"/>
      <c r="G378" s="339"/>
      <c r="H378" s="339"/>
      <c r="I378" s="339"/>
      <c r="J378" s="339"/>
      <c r="K378" s="339"/>
      <c r="L378" s="339"/>
      <c r="M378" s="339"/>
      <c r="N378" s="339"/>
      <c r="O378" s="339"/>
      <c r="P378" s="339"/>
      <c r="Q378" s="339"/>
      <c r="R378" s="339"/>
      <c r="S378" s="339"/>
      <c r="T378" s="339"/>
      <c r="U378" s="339"/>
      <c r="V378" s="339"/>
      <c r="W378" s="339"/>
      <c r="X378" s="339"/>
      <c r="Y378" s="339"/>
      <c r="Z378" s="339"/>
      <c r="AA378" s="339"/>
      <c r="AB378" s="339"/>
      <c r="AC378" s="339"/>
      <c r="AD378" s="4"/>
      <c r="AE378" s="43" t="s">
        <v>107</v>
      </c>
      <c r="AF378" s="341">
        <v>46266</v>
      </c>
      <c r="AG378" s="342"/>
      <c r="AH378" s="343"/>
    </row>
    <row r="379" spans="1:34">
      <c r="A379" s="344"/>
      <c r="B379" s="346" t="s">
        <v>132</v>
      </c>
      <c r="C379" s="347"/>
      <c r="D379" s="347"/>
      <c r="E379" s="347"/>
      <c r="F379" s="347"/>
      <c r="G379" s="347"/>
      <c r="H379" s="347"/>
      <c r="I379" s="347"/>
      <c r="J379" s="347"/>
      <c r="K379" s="348"/>
      <c r="L379" s="349"/>
      <c r="M379" s="22"/>
      <c r="N379" s="350" t="s">
        <v>133</v>
      </c>
      <c r="O379" s="347"/>
      <c r="P379" s="347"/>
      <c r="Q379" s="347"/>
      <c r="R379" s="347"/>
      <c r="S379" s="347"/>
      <c r="T379" s="347"/>
      <c r="U379" s="347"/>
      <c r="V379" s="347"/>
      <c r="W379" s="348"/>
      <c r="X379" s="349"/>
      <c r="Y379" s="22"/>
      <c r="Z379" s="346" t="s">
        <v>134</v>
      </c>
      <c r="AA379" s="347"/>
      <c r="AB379" s="347"/>
      <c r="AC379" s="347"/>
      <c r="AD379" s="347"/>
      <c r="AE379" s="347"/>
      <c r="AF379" s="347"/>
      <c r="AG379" s="348"/>
      <c r="AH379" s="349"/>
    </row>
    <row r="380" spans="1:34" ht="25.5">
      <c r="A380" s="345"/>
      <c r="B380" s="351" t="s">
        <v>135</v>
      </c>
      <c r="C380" s="353" t="s">
        <v>136</v>
      </c>
      <c r="D380" s="64" t="s">
        <v>137</v>
      </c>
      <c r="E380" s="64" t="s">
        <v>138</v>
      </c>
      <c r="F380" s="64" t="s">
        <v>139</v>
      </c>
      <c r="G380" s="64" t="s">
        <v>140</v>
      </c>
      <c r="H380" s="5" t="s">
        <v>141</v>
      </c>
      <c r="I380" s="5" t="s">
        <v>142</v>
      </c>
      <c r="J380" s="5" t="s">
        <v>143</v>
      </c>
      <c r="K380" s="181" t="s">
        <v>81</v>
      </c>
      <c r="L380" s="23" t="s">
        <v>144</v>
      </c>
      <c r="M380" s="22"/>
      <c r="N380" s="355" t="s">
        <v>135</v>
      </c>
      <c r="O380" s="357" t="s">
        <v>136</v>
      </c>
      <c r="P380" s="5" t="s">
        <v>137</v>
      </c>
      <c r="Q380" s="5" t="s">
        <v>138</v>
      </c>
      <c r="R380" s="5" t="s">
        <v>139</v>
      </c>
      <c r="S380" s="5" t="s">
        <v>140</v>
      </c>
      <c r="T380" s="5" t="s">
        <v>141</v>
      </c>
      <c r="U380" s="5" t="s">
        <v>142</v>
      </c>
      <c r="V380" s="5" t="s">
        <v>143</v>
      </c>
      <c r="W380" s="181" t="s">
        <v>81</v>
      </c>
      <c r="X380" s="23" t="s">
        <v>144</v>
      </c>
      <c r="Y380" s="22"/>
      <c r="Z380" s="33" t="s">
        <v>137</v>
      </c>
      <c r="AA380" s="5" t="s">
        <v>138</v>
      </c>
      <c r="AB380" s="5" t="s">
        <v>139</v>
      </c>
      <c r="AC380" s="5" t="s">
        <v>140</v>
      </c>
      <c r="AD380" s="5" t="s">
        <v>141</v>
      </c>
      <c r="AE380" s="5" t="s">
        <v>142</v>
      </c>
      <c r="AF380" s="5" t="s">
        <v>143</v>
      </c>
      <c r="AG380" s="181" t="s">
        <v>81</v>
      </c>
      <c r="AH380" s="23" t="s">
        <v>144</v>
      </c>
    </row>
    <row r="381" spans="1:34" ht="25.5">
      <c r="A381" s="6" t="s">
        <v>145</v>
      </c>
      <c r="B381" s="352"/>
      <c r="C381" s="354"/>
      <c r="D381" s="64" t="s">
        <v>128</v>
      </c>
      <c r="E381" s="64" t="s">
        <v>128</v>
      </c>
      <c r="F381" s="64" t="s">
        <v>128</v>
      </c>
      <c r="G381" s="64" t="s">
        <v>128</v>
      </c>
      <c r="H381" s="5" t="s">
        <v>125</v>
      </c>
      <c r="I381" s="5" t="s">
        <v>146</v>
      </c>
      <c r="J381" s="5" t="s">
        <v>127</v>
      </c>
      <c r="K381" s="181" t="s">
        <v>53</v>
      </c>
      <c r="L381" s="23" t="s">
        <v>53</v>
      </c>
      <c r="M381" s="22"/>
      <c r="N381" s="356"/>
      <c r="O381" s="358"/>
      <c r="P381" s="5" t="s">
        <v>128</v>
      </c>
      <c r="Q381" s="5" t="s">
        <v>128</v>
      </c>
      <c r="R381" s="5" t="s">
        <v>128</v>
      </c>
      <c r="S381" s="5" t="s">
        <v>128</v>
      </c>
      <c r="T381" s="5" t="s">
        <v>125</v>
      </c>
      <c r="U381" s="5" t="s">
        <v>146</v>
      </c>
      <c r="V381" s="5" t="s">
        <v>127</v>
      </c>
      <c r="W381" s="181" t="s">
        <v>53</v>
      </c>
      <c r="X381" s="23" t="s">
        <v>53</v>
      </c>
      <c r="Y381" s="22"/>
      <c r="Z381" s="33" t="s">
        <v>128</v>
      </c>
      <c r="AA381" s="5" t="s">
        <v>128</v>
      </c>
      <c r="AB381" s="5" t="s">
        <v>128</v>
      </c>
      <c r="AC381" s="5" t="s">
        <v>128</v>
      </c>
      <c r="AD381" s="5" t="s">
        <v>125</v>
      </c>
      <c r="AE381" s="5" t="s">
        <v>146</v>
      </c>
      <c r="AF381" s="5" t="s">
        <v>127</v>
      </c>
      <c r="AG381" s="181" t="s">
        <v>53</v>
      </c>
      <c r="AH381" s="23" t="s">
        <v>53</v>
      </c>
    </row>
    <row r="382" spans="1:34" ht="26.25" thickBot="1">
      <c r="A382" s="7" t="s">
        <v>147</v>
      </c>
      <c r="B382" s="65" t="s">
        <v>148</v>
      </c>
      <c r="C382" s="66" t="s">
        <v>149</v>
      </c>
      <c r="D382" s="66" t="s">
        <v>150</v>
      </c>
      <c r="E382" s="66" t="s">
        <v>151</v>
      </c>
      <c r="F382" s="66" t="s">
        <v>152</v>
      </c>
      <c r="G382" s="66" t="s">
        <v>153</v>
      </c>
      <c r="H382" s="9" t="s">
        <v>154</v>
      </c>
      <c r="I382" s="24" t="s">
        <v>155</v>
      </c>
      <c r="J382" s="24" t="s">
        <v>156</v>
      </c>
      <c r="K382" s="24" t="s">
        <v>179</v>
      </c>
      <c r="L382" s="25" t="s">
        <v>157</v>
      </c>
      <c r="M382" s="22"/>
      <c r="N382" s="8" t="s">
        <v>148</v>
      </c>
      <c r="O382" s="9" t="s">
        <v>149</v>
      </c>
      <c r="P382" s="9" t="s">
        <v>150</v>
      </c>
      <c r="Q382" s="9" t="s">
        <v>151</v>
      </c>
      <c r="R382" s="9" t="s">
        <v>152</v>
      </c>
      <c r="S382" s="9" t="s">
        <v>153</v>
      </c>
      <c r="T382" s="9" t="s">
        <v>154</v>
      </c>
      <c r="U382" s="24" t="s">
        <v>155</v>
      </c>
      <c r="V382" s="24" t="s">
        <v>156</v>
      </c>
      <c r="W382" s="24" t="s">
        <v>179</v>
      </c>
      <c r="X382" s="25" t="s">
        <v>157</v>
      </c>
      <c r="Y382" s="22"/>
      <c r="Z382" s="8" t="s">
        <v>150</v>
      </c>
      <c r="AA382" s="9" t="s">
        <v>158</v>
      </c>
      <c r="AB382" s="9" t="s">
        <v>152</v>
      </c>
      <c r="AC382" s="9" t="s">
        <v>159</v>
      </c>
      <c r="AD382" s="9" t="s">
        <v>154</v>
      </c>
      <c r="AE382" s="9" t="s">
        <v>155</v>
      </c>
      <c r="AF382" s="9" t="s">
        <v>156</v>
      </c>
      <c r="AG382" s="24" t="s">
        <v>179</v>
      </c>
      <c r="AH382" s="23" t="s">
        <v>157</v>
      </c>
    </row>
    <row r="383" spans="1:34">
      <c r="A383" s="10">
        <f>AF378+0</f>
        <v>46266</v>
      </c>
      <c r="B383" s="67"/>
      <c r="C383" s="68"/>
      <c r="D383" s="68"/>
      <c r="E383" s="68"/>
      <c r="F383" s="68"/>
      <c r="G383" s="68"/>
      <c r="H383" s="69"/>
      <c r="I383" s="69"/>
      <c r="J383" s="69"/>
      <c r="K383" s="191"/>
      <c r="L383" s="73"/>
      <c r="M383" s="74"/>
      <c r="N383" s="75"/>
      <c r="O383" s="76"/>
      <c r="P383" s="76"/>
      <c r="Q383" s="76"/>
      <c r="R383" s="76"/>
      <c r="S383" s="76"/>
      <c r="T383" s="76"/>
      <c r="U383" s="76"/>
      <c r="V383" s="76"/>
      <c r="W383" s="191"/>
      <c r="X383" s="76"/>
      <c r="Y383" s="74"/>
      <c r="Z383" s="81"/>
      <c r="AA383" s="76"/>
      <c r="AB383" s="76"/>
      <c r="AC383" s="76"/>
      <c r="AD383" s="85"/>
      <c r="AE383" s="76"/>
      <c r="AF383" s="76"/>
      <c r="AG383" s="194"/>
      <c r="AH383" s="86"/>
    </row>
    <row r="384" spans="1:34">
      <c r="A384" s="14">
        <f t="shared" ref="A384:A412" si="129">A383+1</f>
        <v>46267</v>
      </c>
      <c r="B384" s="67"/>
      <c r="C384" s="70"/>
      <c r="D384" s="70"/>
      <c r="E384" s="70"/>
      <c r="F384" s="70"/>
      <c r="G384" s="70"/>
      <c r="H384" s="71"/>
      <c r="I384" s="71"/>
      <c r="J384" s="70"/>
      <c r="K384" s="192"/>
      <c r="L384" s="77"/>
      <c r="M384" s="74"/>
      <c r="N384" s="78"/>
      <c r="O384" s="70"/>
      <c r="P384" s="70"/>
      <c r="Q384" s="70"/>
      <c r="R384" s="70"/>
      <c r="S384" s="70"/>
      <c r="T384" s="70"/>
      <c r="U384" s="70"/>
      <c r="V384" s="70"/>
      <c r="W384" s="192"/>
      <c r="X384" s="70"/>
      <c r="Y384" s="74"/>
      <c r="Z384" s="67"/>
      <c r="AA384" s="70"/>
      <c r="AB384" s="70"/>
      <c r="AC384" s="70"/>
      <c r="AD384" s="82"/>
      <c r="AE384" s="70"/>
      <c r="AF384" s="70"/>
      <c r="AG384" s="192"/>
      <c r="AH384" s="87"/>
    </row>
    <row r="385" spans="1:34">
      <c r="A385" s="14">
        <f t="shared" si="129"/>
        <v>46268</v>
      </c>
      <c r="B385" s="67"/>
      <c r="C385" s="70"/>
      <c r="D385" s="70"/>
      <c r="E385" s="70"/>
      <c r="F385" s="70"/>
      <c r="G385" s="70"/>
      <c r="H385" s="71"/>
      <c r="I385" s="70"/>
      <c r="J385" s="70"/>
      <c r="K385" s="192"/>
      <c r="L385" s="77"/>
      <c r="M385" s="74"/>
      <c r="N385" s="70"/>
      <c r="O385" s="70"/>
      <c r="P385" s="70"/>
      <c r="Q385" s="70"/>
      <c r="R385" s="70"/>
      <c r="S385" s="70"/>
      <c r="T385" s="82"/>
      <c r="U385" s="70"/>
      <c r="V385" s="70"/>
      <c r="W385" s="192"/>
      <c r="X385" s="83"/>
      <c r="Y385" s="74"/>
      <c r="Z385" s="67"/>
      <c r="AA385" s="70"/>
      <c r="AB385" s="70"/>
      <c r="AC385" s="70"/>
      <c r="AD385" s="82"/>
      <c r="AE385" s="70"/>
      <c r="AF385" s="70"/>
      <c r="AG385" s="192"/>
      <c r="AH385" s="87"/>
    </row>
    <row r="386" spans="1:34">
      <c r="A386" s="14">
        <f t="shared" si="129"/>
        <v>46269</v>
      </c>
      <c r="B386" s="67"/>
      <c r="C386" s="70"/>
      <c r="D386" s="70"/>
      <c r="E386" s="70"/>
      <c r="F386" s="70"/>
      <c r="G386" s="70"/>
      <c r="H386" s="71"/>
      <c r="I386" s="71"/>
      <c r="J386" s="70"/>
      <c r="K386" s="192"/>
      <c r="L386" s="77"/>
      <c r="M386" s="74"/>
      <c r="N386" s="78"/>
      <c r="O386" s="70"/>
      <c r="P386" s="70"/>
      <c r="Q386" s="70"/>
      <c r="R386" s="70"/>
      <c r="S386" s="70"/>
      <c r="T386" s="82"/>
      <c r="U386" s="70"/>
      <c r="V386" s="70"/>
      <c r="W386" s="192"/>
      <c r="X386" s="83"/>
      <c r="Y386" s="74"/>
      <c r="Z386" s="67"/>
      <c r="AA386" s="70"/>
      <c r="AB386" s="70"/>
      <c r="AC386" s="70"/>
      <c r="AD386" s="82"/>
      <c r="AE386" s="70"/>
      <c r="AF386" s="70"/>
      <c r="AG386" s="192"/>
      <c r="AH386" s="87"/>
    </row>
    <row r="387" spans="1:34">
      <c r="A387" s="14">
        <f t="shared" si="129"/>
        <v>46270</v>
      </c>
      <c r="B387" s="67"/>
      <c r="C387" s="70"/>
      <c r="D387" s="70"/>
      <c r="E387" s="70"/>
      <c r="F387" s="70"/>
      <c r="G387" s="70"/>
      <c r="H387" s="71"/>
      <c r="I387" s="71"/>
      <c r="J387" s="70"/>
      <c r="K387" s="192"/>
      <c r="L387" s="77"/>
      <c r="M387" s="74"/>
      <c r="N387" s="78"/>
      <c r="O387" s="70"/>
      <c r="P387" s="70"/>
      <c r="Q387" s="70"/>
      <c r="R387" s="70"/>
      <c r="S387" s="70"/>
      <c r="T387" s="82"/>
      <c r="U387" s="70"/>
      <c r="V387" s="70"/>
      <c r="W387" s="192"/>
      <c r="X387" s="84"/>
      <c r="Y387" s="74"/>
      <c r="Z387" s="67"/>
      <c r="AA387" s="70"/>
      <c r="AB387" s="70"/>
      <c r="AC387" s="70"/>
      <c r="AD387" s="82"/>
      <c r="AE387" s="70"/>
      <c r="AF387" s="70"/>
      <c r="AG387" s="192"/>
      <c r="AH387" s="88"/>
    </row>
    <row r="388" spans="1:34">
      <c r="A388" s="14">
        <f t="shared" si="129"/>
        <v>46271</v>
      </c>
      <c r="B388" s="67"/>
      <c r="C388" s="70"/>
      <c r="D388" s="70"/>
      <c r="E388" s="70"/>
      <c r="F388" s="70"/>
      <c r="G388" s="70"/>
      <c r="H388" s="71"/>
      <c r="I388" s="71"/>
      <c r="J388" s="70"/>
      <c r="K388" s="192"/>
      <c r="L388" s="77"/>
      <c r="M388" s="74"/>
      <c r="N388" s="78"/>
      <c r="O388" s="70"/>
      <c r="P388" s="70"/>
      <c r="Q388" s="70"/>
      <c r="R388" s="70"/>
      <c r="S388" s="70"/>
      <c r="T388" s="82"/>
      <c r="U388" s="70"/>
      <c r="V388" s="70"/>
      <c r="W388" s="192"/>
      <c r="X388" s="84"/>
      <c r="Y388" s="74"/>
      <c r="Z388" s="67"/>
      <c r="AA388" s="70"/>
      <c r="AB388" s="70"/>
      <c r="AC388" s="70"/>
      <c r="AD388" s="82"/>
      <c r="AE388" s="70"/>
      <c r="AF388" s="70"/>
      <c r="AG388" s="192"/>
      <c r="AH388" s="88"/>
    </row>
    <row r="389" spans="1:34">
      <c r="A389" s="14">
        <f t="shared" si="129"/>
        <v>46272</v>
      </c>
      <c r="B389" s="67"/>
      <c r="C389" s="70"/>
      <c r="D389" s="70"/>
      <c r="E389" s="70"/>
      <c r="F389" s="70"/>
      <c r="G389" s="70"/>
      <c r="H389" s="71"/>
      <c r="I389" s="71"/>
      <c r="J389" s="70"/>
      <c r="K389" s="192"/>
      <c r="L389" s="77"/>
      <c r="M389" s="74"/>
      <c r="N389" s="78"/>
      <c r="O389" s="79"/>
      <c r="P389" s="70"/>
      <c r="Q389" s="70"/>
      <c r="R389" s="70"/>
      <c r="S389" s="70"/>
      <c r="T389" s="82"/>
      <c r="U389" s="70"/>
      <c r="V389" s="70"/>
      <c r="W389" s="192"/>
      <c r="X389" s="84"/>
      <c r="Y389" s="74"/>
      <c r="Z389" s="67"/>
      <c r="AA389" s="70"/>
      <c r="AB389" s="70"/>
      <c r="AC389" s="70"/>
      <c r="AD389" s="82"/>
      <c r="AE389" s="70"/>
      <c r="AF389" s="70"/>
      <c r="AG389" s="192"/>
      <c r="AH389" s="88"/>
    </row>
    <row r="390" spans="1:34">
      <c r="A390" s="14">
        <f t="shared" si="129"/>
        <v>46273</v>
      </c>
      <c r="B390" s="67"/>
      <c r="C390" s="70"/>
      <c r="D390" s="70"/>
      <c r="E390" s="70"/>
      <c r="F390" s="70"/>
      <c r="G390" s="70"/>
      <c r="H390" s="71"/>
      <c r="I390" s="71"/>
      <c r="J390" s="70"/>
      <c r="K390" s="192"/>
      <c r="L390" s="77"/>
      <c r="M390" s="74"/>
      <c r="N390" s="78"/>
      <c r="O390" s="70"/>
      <c r="P390" s="70"/>
      <c r="Q390" s="70"/>
      <c r="R390" s="70"/>
      <c r="S390" s="70"/>
      <c r="T390" s="82"/>
      <c r="U390" s="70"/>
      <c r="V390" s="70"/>
      <c r="W390" s="192"/>
      <c r="X390" s="83"/>
      <c r="Y390" s="74"/>
      <c r="Z390" s="67"/>
      <c r="AA390" s="70"/>
      <c r="AB390" s="70"/>
      <c r="AC390" s="70"/>
      <c r="AD390" s="82"/>
      <c r="AE390" s="70"/>
      <c r="AF390" s="70"/>
      <c r="AG390" s="192"/>
      <c r="AH390" s="87"/>
    </row>
    <row r="391" spans="1:34">
      <c r="A391" s="14">
        <f t="shared" si="129"/>
        <v>46274</v>
      </c>
      <c r="B391" s="67"/>
      <c r="C391" s="70"/>
      <c r="D391" s="70"/>
      <c r="E391" s="70"/>
      <c r="F391" s="70"/>
      <c r="G391" s="70"/>
      <c r="H391" s="71"/>
      <c r="I391" s="71"/>
      <c r="J391" s="70"/>
      <c r="K391" s="192"/>
      <c r="L391" s="77"/>
      <c r="M391" s="74"/>
      <c r="N391" s="78"/>
      <c r="O391" s="70"/>
      <c r="P391" s="70"/>
      <c r="Q391" s="70"/>
      <c r="R391" s="70"/>
      <c r="S391" s="70"/>
      <c r="T391" s="82"/>
      <c r="U391" s="70"/>
      <c r="V391" s="70"/>
      <c r="W391" s="192"/>
      <c r="X391" s="83"/>
      <c r="Y391" s="74"/>
      <c r="Z391" s="67"/>
      <c r="AA391" s="70"/>
      <c r="AB391" s="70"/>
      <c r="AC391" s="70"/>
      <c r="AD391" s="82"/>
      <c r="AE391" s="70"/>
      <c r="AF391" s="70"/>
      <c r="AG391" s="192"/>
      <c r="AH391" s="87"/>
    </row>
    <row r="392" spans="1:34">
      <c r="A392" s="14">
        <f t="shared" si="129"/>
        <v>46275</v>
      </c>
      <c r="B392" s="67"/>
      <c r="C392" s="70"/>
      <c r="D392" s="70"/>
      <c r="E392" s="70"/>
      <c r="F392" s="70"/>
      <c r="G392" s="70"/>
      <c r="H392" s="71"/>
      <c r="I392" s="71"/>
      <c r="J392" s="70"/>
      <c r="K392" s="192"/>
      <c r="L392" s="77"/>
      <c r="M392" s="74"/>
      <c r="N392" s="78"/>
      <c r="O392" s="70"/>
      <c r="P392" s="70"/>
      <c r="Q392" s="70"/>
      <c r="R392" s="70"/>
      <c r="S392" s="70"/>
      <c r="T392" s="82"/>
      <c r="U392" s="70"/>
      <c r="V392" s="70"/>
      <c r="W392" s="192"/>
      <c r="X392" s="83"/>
      <c r="Y392" s="74"/>
      <c r="Z392" s="67"/>
      <c r="AA392" s="70"/>
      <c r="AB392" s="70"/>
      <c r="AC392" s="70"/>
      <c r="AD392" s="82"/>
      <c r="AE392" s="70"/>
      <c r="AF392" s="70"/>
      <c r="AG392" s="192"/>
      <c r="AH392" s="87"/>
    </row>
    <row r="393" spans="1:34">
      <c r="A393" s="14">
        <f t="shared" si="129"/>
        <v>46276</v>
      </c>
      <c r="B393" s="38"/>
      <c r="C393" s="13"/>
      <c r="D393" s="13"/>
      <c r="E393" s="13"/>
      <c r="F393" s="13"/>
      <c r="G393" s="13"/>
      <c r="H393" s="12"/>
      <c r="I393" s="12"/>
      <c r="J393" s="13"/>
      <c r="K393" s="184"/>
      <c r="L393" s="26"/>
      <c r="M393" s="22"/>
      <c r="N393" s="29"/>
      <c r="O393" s="13"/>
      <c r="P393" s="13"/>
      <c r="Q393" s="13"/>
      <c r="R393" s="13"/>
      <c r="S393" s="13"/>
      <c r="T393" s="36"/>
      <c r="U393" s="13"/>
      <c r="V393" s="13"/>
      <c r="W393" s="184"/>
      <c r="X393" s="37"/>
      <c r="Y393" s="22"/>
      <c r="Z393" s="38"/>
      <c r="AA393" s="13"/>
      <c r="AB393" s="13"/>
      <c r="AC393" s="13"/>
      <c r="AD393" s="36"/>
      <c r="AE393" s="13"/>
      <c r="AF393" s="13"/>
      <c r="AG393" s="184"/>
      <c r="AH393" s="45"/>
    </row>
    <row r="394" spans="1:34">
      <c r="A394" s="14">
        <f t="shared" si="129"/>
        <v>46277</v>
      </c>
      <c r="B394" s="38"/>
      <c r="C394" s="13"/>
      <c r="D394" s="13"/>
      <c r="E394" s="13"/>
      <c r="F394" s="13"/>
      <c r="G394" s="13"/>
      <c r="H394" s="12"/>
      <c r="I394" s="12"/>
      <c r="J394" s="13"/>
      <c r="K394" s="184"/>
      <c r="L394" s="26"/>
      <c r="M394" s="22"/>
      <c r="N394" s="29"/>
      <c r="O394" s="13"/>
      <c r="P394" s="13"/>
      <c r="Q394" s="13"/>
      <c r="R394" s="13"/>
      <c r="S394" s="13"/>
      <c r="T394" s="36"/>
      <c r="U394" s="13"/>
      <c r="V394" s="13"/>
      <c r="W394" s="184"/>
      <c r="X394" s="37"/>
      <c r="Y394" s="22"/>
      <c r="Z394" s="38"/>
      <c r="AA394" s="13"/>
      <c r="AB394" s="13"/>
      <c r="AC394" s="13"/>
      <c r="AD394" s="36"/>
      <c r="AE394" s="13"/>
      <c r="AF394" s="13"/>
      <c r="AG394" s="184"/>
      <c r="AH394" s="45"/>
    </row>
    <row r="395" spans="1:34">
      <c r="A395" s="14">
        <f t="shared" si="129"/>
        <v>46278</v>
      </c>
      <c r="B395" s="38"/>
      <c r="C395" s="13"/>
      <c r="D395" s="13"/>
      <c r="E395" s="13"/>
      <c r="F395" s="13"/>
      <c r="G395" s="13"/>
      <c r="H395" s="12"/>
      <c r="I395" s="12"/>
      <c r="J395" s="13"/>
      <c r="K395" s="184"/>
      <c r="L395" s="26"/>
      <c r="M395" s="22"/>
      <c r="N395" s="29"/>
      <c r="O395" s="13"/>
      <c r="P395" s="13"/>
      <c r="Q395" s="13"/>
      <c r="R395" s="13"/>
      <c r="S395" s="13"/>
      <c r="T395" s="36"/>
      <c r="U395" s="13"/>
      <c r="V395" s="13"/>
      <c r="W395" s="184"/>
      <c r="X395" s="37"/>
      <c r="Y395" s="22"/>
      <c r="Z395" s="38"/>
      <c r="AA395" s="13"/>
      <c r="AB395" s="13"/>
      <c r="AC395" s="13"/>
      <c r="AD395" s="36"/>
      <c r="AE395" s="13"/>
      <c r="AF395" s="13"/>
      <c r="AG395" s="184"/>
      <c r="AH395" s="45"/>
    </row>
    <row r="396" spans="1:34">
      <c r="A396" s="14">
        <f t="shared" si="129"/>
        <v>46279</v>
      </c>
      <c r="B396" s="38"/>
      <c r="C396" s="13"/>
      <c r="D396" s="13"/>
      <c r="E396" s="13"/>
      <c r="F396" s="13"/>
      <c r="G396" s="13"/>
      <c r="H396" s="72"/>
      <c r="I396" s="80"/>
      <c r="J396" s="13"/>
      <c r="K396" s="184"/>
      <c r="L396" s="26"/>
      <c r="M396" s="22"/>
      <c r="N396" s="29"/>
      <c r="O396" s="13"/>
      <c r="P396" s="13"/>
      <c r="Q396" s="13"/>
      <c r="R396" s="13"/>
      <c r="S396" s="13"/>
      <c r="T396" s="36"/>
      <c r="U396" s="13"/>
      <c r="V396" s="13"/>
      <c r="W396" s="184"/>
      <c r="X396" s="37"/>
      <c r="Y396" s="22"/>
      <c r="Z396" s="38"/>
      <c r="AA396" s="13"/>
      <c r="AB396" s="13"/>
      <c r="AC396" s="13"/>
      <c r="AD396" s="36"/>
      <c r="AE396" s="13"/>
      <c r="AF396" s="13"/>
      <c r="AG396" s="184"/>
      <c r="AH396" s="37"/>
    </row>
    <row r="397" spans="1:34">
      <c r="A397" s="14">
        <f t="shared" si="129"/>
        <v>46280</v>
      </c>
      <c r="B397" s="38"/>
      <c r="C397" s="13"/>
      <c r="D397" s="13"/>
      <c r="E397" s="13"/>
      <c r="F397" s="13"/>
      <c r="G397" s="13"/>
      <c r="H397" s="72"/>
      <c r="I397" s="80"/>
      <c r="J397" s="13"/>
      <c r="K397" s="184"/>
      <c r="L397" s="26"/>
      <c r="M397" s="22"/>
      <c r="N397" s="29"/>
      <c r="O397" s="13"/>
      <c r="P397" s="13"/>
      <c r="Q397" s="13"/>
      <c r="R397" s="13"/>
      <c r="S397" s="13"/>
      <c r="T397" s="36"/>
      <c r="U397" s="13"/>
      <c r="V397" s="13"/>
      <c r="W397" s="184"/>
      <c r="X397" s="37"/>
      <c r="Y397" s="22"/>
      <c r="Z397" s="38"/>
      <c r="AA397" s="13"/>
      <c r="AB397" s="13"/>
      <c r="AC397" s="13"/>
      <c r="AD397" s="36"/>
      <c r="AE397" s="13"/>
      <c r="AF397" s="13"/>
      <c r="AG397" s="184"/>
      <c r="AH397" s="37"/>
    </row>
    <row r="398" spans="1:34">
      <c r="A398" s="14">
        <f t="shared" si="129"/>
        <v>46281</v>
      </c>
      <c r="B398" s="38"/>
      <c r="C398" s="13"/>
      <c r="D398" s="13"/>
      <c r="E398" s="13"/>
      <c r="F398" s="13"/>
      <c r="G398" s="13"/>
      <c r="H398" s="12"/>
      <c r="I398" s="12"/>
      <c r="J398" s="13"/>
      <c r="K398" s="184"/>
      <c r="L398" s="26"/>
      <c r="M398" s="22"/>
      <c r="N398" s="29"/>
      <c r="O398" s="13"/>
      <c r="P398" s="13"/>
      <c r="Q398" s="13"/>
      <c r="R398" s="13"/>
      <c r="S398" s="13"/>
      <c r="T398" s="36"/>
      <c r="U398" s="13"/>
      <c r="V398" s="13"/>
      <c r="W398" s="184"/>
      <c r="X398" s="37"/>
      <c r="Y398" s="22"/>
      <c r="Z398" s="38"/>
      <c r="AA398" s="13"/>
      <c r="AB398" s="13"/>
      <c r="AC398" s="13"/>
      <c r="AD398" s="36"/>
      <c r="AE398" s="13"/>
      <c r="AF398" s="13"/>
      <c r="AG398" s="184"/>
      <c r="AH398" s="37"/>
    </row>
    <row r="399" spans="1:34">
      <c r="A399" s="14">
        <f t="shared" si="129"/>
        <v>46282</v>
      </c>
      <c r="B399" s="38"/>
      <c r="C399" s="13"/>
      <c r="D399" s="13"/>
      <c r="E399" s="13"/>
      <c r="F399" s="13"/>
      <c r="G399" s="13"/>
      <c r="H399" s="12"/>
      <c r="I399" s="12"/>
      <c r="J399" s="13"/>
      <c r="K399" s="184"/>
      <c r="L399" s="26"/>
      <c r="M399" s="22"/>
      <c r="N399" s="29"/>
      <c r="O399" s="13"/>
      <c r="P399" s="13"/>
      <c r="Q399" s="13"/>
      <c r="R399" s="13"/>
      <c r="S399" s="13"/>
      <c r="T399" s="36"/>
      <c r="U399" s="13"/>
      <c r="V399" s="13"/>
      <c r="W399" s="184"/>
      <c r="X399" s="37"/>
      <c r="Y399" s="22"/>
      <c r="Z399" s="38"/>
      <c r="AA399" s="13"/>
      <c r="AB399" s="13"/>
      <c r="AC399" s="13"/>
      <c r="AD399" s="36"/>
      <c r="AE399" s="13"/>
      <c r="AF399" s="13"/>
      <c r="AG399" s="184"/>
      <c r="AH399" s="37"/>
    </row>
    <row r="400" spans="1:34">
      <c r="A400" s="14">
        <f t="shared" si="129"/>
        <v>46283</v>
      </c>
      <c r="B400" s="38"/>
      <c r="C400" s="13"/>
      <c r="D400" s="13"/>
      <c r="E400" s="13"/>
      <c r="F400" s="13"/>
      <c r="G400" s="13"/>
      <c r="H400" s="12"/>
      <c r="I400" s="12"/>
      <c r="J400" s="13"/>
      <c r="K400" s="184"/>
      <c r="L400" s="26"/>
      <c r="M400" s="22"/>
      <c r="N400" s="29"/>
      <c r="O400" s="13"/>
      <c r="P400" s="13"/>
      <c r="Q400" s="13"/>
      <c r="R400" s="13"/>
      <c r="S400" s="13"/>
      <c r="T400" s="36"/>
      <c r="U400" s="13"/>
      <c r="V400" s="13"/>
      <c r="W400" s="184"/>
      <c r="X400" s="37"/>
      <c r="Y400" s="22"/>
      <c r="Z400" s="38"/>
      <c r="AA400" s="13"/>
      <c r="AB400" s="13"/>
      <c r="AC400" s="13"/>
      <c r="AD400" s="36"/>
      <c r="AE400" s="13"/>
      <c r="AF400" s="13"/>
      <c r="AG400" s="184"/>
      <c r="AH400" s="37"/>
    </row>
    <row r="401" spans="1:34">
      <c r="A401" s="14">
        <f t="shared" si="129"/>
        <v>46284</v>
      </c>
      <c r="B401" s="38"/>
      <c r="C401" s="13"/>
      <c r="D401" s="13"/>
      <c r="E401" s="13"/>
      <c r="F401" s="13"/>
      <c r="G401" s="13"/>
      <c r="H401" s="12"/>
      <c r="I401" s="12"/>
      <c r="J401" s="13"/>
      <c r="K401" s="184"/>
      <c r="L401" s="37"/>
      <c r="M401" s="22"/>
      <c r="N401" s="29"/>
      <c r="O401" s="13"/>
      <c r="P401" s="13"/>
      <c r="Q401" s="13"/>
      <c r="R401" s="13"/>
      <c r="S401" s="13"/>
      <c r="T401" s="36"/>
      <c r="U401" s="13"/>
      <c r="V401" s="13"/>
      <c r="W401" s="184"/>
      <c r="X401" s="37"/>
      <c r="Y401" s="22"/>
      <c r="Z401" s="38"/>
      <c r="AA401" s="13"/>
      <c r="AB401" s="13"/>
      <c r="AC401" s="13"/>
      <c r="AD401" s="36"/>
      <c r="AE401" s="13"/>
      <c r="AF401" s="13"/>
      <c r="AG401" s="184"/>
      <c r="AH401" s="37"/>
    </row>
    <row r="402" spans="1:34">
      <c r="A402" s="14">
        <f t="shared" si="129"/>
        <v>46285</v>
      </c>
      <c r="B402" s="38"/>
      <c r="C402" s="13"/>
      <c r="D402" s="13"/>
      <c r="E402" s="13"/>
      <c r="F402" s="13"/>
      <c r="G402" s="13"/>
      <c r="H402" s="12"/>
      <c r="I402" s="13"/>
      <c r="J402" s="13"/>
      <c r="K402" s="184"/>
      <c r="L402" s="26"/>
      <c r="M402" s="22"/>
      <c r="N402" s="29"/>
      <c r="O402" s="13"/>
      <c r="P402" s="13"/>
      <c r="Q402" s="13"/>
      <c r="R402" s="13"/>
      <c r="S402" s="13"/>
      <c r="T402" s="36"/>
      <c r="U402" s="13"/>
      <c r="V402" s="13"/>
      <c r="W402" s="184"/>
      <c r="X402" s="37"/>
      <c r="Y402" s="22"/>
      <c r="Z402" s="38"/>
      <c r="AA402" s="13"/>
      <c r="AB402" s="13"/>
      <c r="AC402" s="13"/>
      <c r="AD402" s="36"/>
      <c r="AE402" s="13"/>
      <c r="AF402" s="13"/>
      <c r="AG402" s="184"/>
      <c r="AH402" s="37"/>
    </row>
    <row r="403" spans="1:34">
      <c r="A403" s="14">
        <f t="shared" si="129"/>
        <v>46286</v>
      </c>
      <c r="B403" s="38"/>
      <c r="C403" s="13"/>
      <c r="D403" s="13"/>
      <c r="E403" s="13"/>
      <c r="F403" s="13"/>
      <c r="G403" s="13"/>
      <c r="H403" s="36"/>
      <c r="I403" s="12"/>
      <c r="J403" s="13"/>
      <c r="K403" s="184"/>
      <c r="L403" s="37"/>
      <c r="M403" s="22"/>
      <c r="N403" s="29"/>
      <c r="O403" s="13"/>
      <c r="P403" s="13"/>
      <c r="Q403" s="13"/>
      <c r="R403" s="13"/>
      <c r="S403" s="13"/>
      <c r="T403" s="36"/>
      <c r="U403" s="13"/>
      <c r="V403" s="13"/>
      <c r="W403" s="184"/>
      <c r="X403" s="37"/>
      <c r="Y403" s="22"/>
      <c r="Z403" s="38"/>
      <c r="AA403" s="13"/>
      <c r="AB403" s="13"/>
      <c r="AC403" s="13"/>
      <c r="AD403" s="36"/>
      <c r="AE403" s="12"/>
      <c r="AF403" s="13"/>
      <c r="AG403" s="184"/>
      <c r="AH403" s="37"/>
    </row>
    <row r="404" spans="1:34">
      <c r="A404" s="14">
        <f t="shared" si="129"/>
        <v>46287</v>
      </c>
      <c r="B404" s="38"/>
      <c r="C404" s="13"/>
      <c r="D404" s="13"/>
      <c r="E404" s="13"/>
      <c r="F404" s="13"/>
      <c r="G404" s="13"/>
      <c r="H404" s="12"/>
      <c r="I404" s="13"/>
      <c r="J404" s="13"/>
      <c r="K404" s="184"/>
      <c r="L404" s="26"/>
      <c r="M404" s="22"/>
      <c r="N404" s="29"/>
      <c r="O404" s="13"/>
      <c r="P404" s="13"/>
      <c r="Q404" s="13"/>
      <c r="R404" s="13"/>
      <c r="S404" s="13"/>
      <c r="T404" s="36"/>
      <c r="U404" s="13"/>
      <c r="V404" s="13"/>
      <c r="W404" s="184"/>
      <c r="X404" s="37"/>
      <c r="Y404" s="22"/>
      <c r="Z404" s="38"/>
      <c r="AA404" s="13"/>
      <c r="AB404" s="13"/>
      <c r="AC404" s="13"/>
      <c r="AD404" s="36"/>
      <c r="AE404" s="13"/>
      <c r="AF404" s="13"/>
      <c r="AG404" s="184"/>
      <c r="AH404" s="37"/>
    </row>
    <row r="405" spans="1:34">
      <c r="A405" s="14">
        <f t="shared" si="129"/>
        <v>46288</v>
      </c>
      <c r="B405" s="29"/>
      <c r="C405" s="13"/>
      <c r="D405" s="13"/>
      <c r="E405" s="13"/>
      <c r="F405" s="13"/>
      <c r="G405" s="13"/>
      <c r="H405" s="13"/>
      <c r="I405" s="13"/>
      <c r="J405" s="13"/>
      <c r="K405" s="184"/>
      <c r="L405" s="37"/>
      <c r="M405" s="22"/>
      <c r="N405" s="29"/>
      <c r="O405" s="13"/>
      <c r="P405" s="13"/>
      <c r="Q405" s="13"/>
      <c r="R405" s="13"/>
      <c r="S405" s="13"/>
      <c r="T405" s="36"/>
      <c r="U405" s="13"/>
      <c r="V405" s="13"/>
      <c r="W405" s="184"/>
      <c r="X405" s="37"/>
      <c r="Y405" s="22"/>
      <c r="Z405" s="38"/>
      <c r="AA405" s="13"/>
      <c r="AB405" s="13"/>
      <c r="AC405" s="13"/>
      <c r="AD405" s="36"/>
      <c r="AE405" s="13"/>
      <c r="AF405" s="13"/>
      <c r="AG405" s="184"/>
      <c r="AH405" s="37"/>
    </row>
    <row r="406" spans="1:34">
      <c r="A406" s="14">
        <f t="shared" si="129"/>
        <v>46289</v>
      </c>
      <c r="B406" s="29"/>
      <c r="C406" s="13"/>
      <c r="D406" s="13"/>
      <c r="E406" s="13"/>
      <c r="F406" s="13"/>
      <c r="G406" s="13"/>
      <c r="H406" s="13"/>
      <c r="I406" s="13"/>
      <c r="J406" s="13"/>
      <c r="K406" s="184"/>
      <c r="L406" s="37"/>
      <c r="M406" s="22"/>
      <c r="N406" s="29"/>
      <c r="O406" s="13"/>
      <c r="P406" s="13"/>
      <c r="Q406" s="13"/>
      <c r="R406" s="13"/>
      <c r="S406" s="13"/>
      <c r="T406" s="36"/>
      <c r="U406" s="13"/>
      <c r="V406" s="13"/>
      <c r="W406" s="184"/>
      <c r="X406" s="37"/>
      <c r="Y406" s="22"/>
      <c r="Z406" s="38"/>
      <c r="AA406" s="13"/>
      <c r="AB406" s="13"/>
      <c r="AC406" s="13"/>
      <c r="AD406" s="36"/>
      <c r="AE406" s="13"/>
      <c r="AF406" s="13"/>
      <c r="AG406" s="184"/>
      <c r="AH406" s="37"/>
    </row>
    <row r="407" spans="1:34">
      <c r="A407" s="14">
        <f t="shared" si="129"/>
        <v>46290</v>
      </c>
      <c r="B407" s="29"/>
      <c r="C407" s="13"/>
      <c r="D407" s="13"/>
      <c r="E407" s="13"/>
      <c r="F407" s="13"/>
      <c r="G407" s="13"/>
      <c r="H407" s="13"/>
      <c r="I407" s="13"/>
      <c r="J407" s="13"/>
      <c r="K407" s="184"/>
      <c r="L407" s="37"/>
      <c r="M407" s="22"/>
      <c r="N407" s="29"/>
      <c r="O407" s="13"/>
      <c r="P407" s="13"/>
      <c r="Q407" s="13"/>
      <c r="R407" s="13"/>
      <c r="S407" s="13"/>
      <c r="T407" s="36"/>
      <c r="U407" s="13"/>
      <c r="V407" s="13"/>
      <c r="W407" s="184"/>
      <c r="X407" s="37"/>
      <c r="Y407" s="22"/>
      <c r="Z407" s="38"/>
      <c r="AA407" s="13"/>
      <c r="AB407" s="13"/>
      <c r="AC407" s="13"/>
      <c r="AD407" s="36"/>
      <c r="AE407" s="13"/>
      <c r="AF407" s="13"/>
      <c r="AG407" s="184"/>
      <c r="AH407" s="37"/>
    </row>
    <row r="408" spans="1:34">
      <c r="A408" s="14">
        <f t="shared" si="129"/>
        <v>46291</v>
      </c>
      <c r="B408" s="29"/>
      <c r="C408" s="13"/>
      <c r="D408" s="13"/>
      <c r="E408" s="13"/>
      <c r="F408" s="13"/>
      <c r="G408" s="13"/>
      <c r="H408" s="13"/>
      <c r="I408" s="13"/>
      <c r="J408" s="13"/>
      <c r="K408" s="184"/>
      <c r="L408" s="37"/>
      <c r="M408" s="22"/>
      <c r="N408" s="29"/>
      <c r="O408" s="13"/>
      <c r="P408" s="13"/>
      <c r="Q408" s="13"/>
      <c r="R408" s="13"/>
      <c r="S408" s="13"/>
      <c r="T408" s="36"/>
      <c r="U408" s="13"/>
      <c r="V408" s="13"/>
      <c r="W408" s="184"/>
      <c r="X408" s="51"/>
      <c r="Y408" s="22"/>
      <c r="Z408" s="38"/>
      <c r="AA408" s="13"/>
      <c r="AB408" s="13"/>
      <c r="AC408" s="13"/>
      <c r="AD408" s="36"/>
      <c r="AE408" s="13"/>
      <c r="AF408" s="13"/>
      <c r="AG408" s="184"/>
      <c r="AH408" s="51"/>
    </row>
    <row r="409" spans="1:34">
      <c r="A409" s="14">
        <f t="shared" si="129"/>
        <v>46292</v>
      </c>
      <c r="B409" s="29"/>
      <c r="C409" s="13"/>
      <c r="D409" s="13"/>
      <c r="E409" s="13"/>
      <c r="F409" s="13"/>
      <c r="G409" s="13"/>
      <c r="H409" s="13"/>
      <c r="I409" s="13"/>
      <c r="J409" s="13"/>
      <c r="K409" s="184"/>
      <c r="L409" s="37"/>
      <c r="M409" s="22"/>
      <c r="N409" s="29"/>
      <c r="O409" s="13"/>
      <c r="P409" s="13"/>
      <c r="Q409" s="13"/>
      <c r="R409" s="13"/>
      <c r="S409" s="13"/>
      <c r="T409" s="36"/>
      <c r="U409" s="13"/>
      <c r="V409" s="13"/>
      <c r="W409" s="184"/>
      <c r="X409" s="37"/>
      <c r="Y409" s="22"/>
      <c r="Z409" s="38"/>
      <c r="AA409" s="13"/>
      <c r="AB409" s="13"/>
      <c r="AC409" s="13"/>
      <c r="AD409" s="36"/>
      <c r="AE409" s="13"/>
      <c r="AF409" s="13"/>
      <c r="AG409" s="184"/>
      <c r="AH409" s="37"/>
    </row>
    <row r="410" spans="1:34">
      <c r="A410" s="14">
        <f t="shared" si="129"/>
        <v>46293</v>
      </c>
      <c r="B410" s="29"/>
      <c r="C410" s="13"/>
      <c r="D410" s="13"/>
      <c r="E410" s="13"/>
      <c r="F410" s="13"/>
      <c r="G410" s="13"/>
      <c r="H410" s="13"/>
      <c r="I410" s="13"/>
      <c r="J410" s="13"/>
      <c r="K410" s="184"/>
      <c r="L410" s="37"/>
      <c r="M410" s="22"/>
      <c r="N410" s="29"/>
      <c r="O410" s="13"/>
      <c r="P410" s="13"/>
      <c r="Q410" s="13"/>
      <c r="R410" s="13"/>
      <c r="S410" s="13"/>
      <c r="T410" s="36"/>
      <c r="U410" s="13"/>
      <c r="V410" s="13"/>
      <c r="W410" s="184"/>
      <c r="X410" s="37"/>
      <c r="Y410" s="22"/>
      <c r="Z410" s="38"/>
      <c r="AA410" s="13"/>
      <c r="AB410" s="13"/>
      <c r="AC410" s="13"/>
      <c r="AD410" s="36"/>
      <c r="AE410" s="13"/>
      <c r="AF410" s="13"/>
      <c r="AG410" s="184"/>
      <c r="AH410" s="37"/>
    </row>
    <row r="411" spans="1:34">
      <c r="A411" s="14">
        <f t="shared" si="129"/>
        <v>46294</v>
      </c>
      <c r="B411" s="29"/>
      <c r="C411" s="13"/>
      <c r="D411" s="13"/>
      <c r="E411" s="13"/>
      <c r="F411" s="13"/>
      <c r="G411" s="13"/>
      <c r="H411" s="13"/>
      <c r="I411" s="13"/>
      <c r="J411" s="13"/>
      <c r="K411" s="184"/>
      <c r="L411" s="37"/>
      <c r="M411" s="22"/>
      <c r="N411" s="29"/>
      <c r="O411" s="13"/>
      <c r="P411" s="13"/>
      <c r="Q411" s="13"/>
      <c r="R411" s="13"/>
      <c r="S411" s="13"/>
      <c r="T411" s="36"/>
      <c r="U411" s="13"/>
      <c r="V411" s="13"/>
      <c r="W411" s="184"/>
      <c r="X411" s="37"/>
      <c r="Y411" s="22"/>
      <c r="Z411" s="38"/>
      <c r="AA411" s="13"/>
      <c r="AB411" s="13"/>
      <c r="AC411" s="13"/>
      <c r="AD411" s="36"/>
      <c r="AE411" s="13"/>
      <c r="AF411" s="13"/>
      <c r="AG411" s="184"/>
      <c r="AH411" s="37"/>
    </row>
    <row r="412" spans="1:34">
      <c r="A412" s="14">
        <f t="shared" si="129"/>
        <v>46295</v>
      </c>
      <c r="B412" s="29"/>
      <c r="C412" s="13"/>
      <c r="D412" s="13"/>
      <c r="E412" s="13"/>
      <c r="F412" s="13"/>
      <c r="G412" s="13"/>
      <c r="H412" s="13"/>
      <c r="I412" s="13"/>
      <c r="J412" s="13"/>
      <c r="K412" s="184"/>
      <c r="L412" s="37"/>
      <c r="M412" s="22"/>
      <c r="N412" s="29"/>
      <c r="O412" s="13"/>
      <c r="P412" s="47"/>
      <c r="Q412" s="47"/>
      <c r="R412" s="47"/>
      <c r="S412" s="47"/>
      <c r="T412" s="52"/>
      <c r="U412" s="47"/>
      <c r="V412" s="53"/>
      <c r="W412" s="184"/>
      <c r="X412" s="48"/>
      <c r="Y412" s="22"/>
      <c r="Z412" s="38"/>
      <c r="AA412" s="13"/>
      <c r="AB412" s="47"/>
      <c r="AC412" s="47"/>
      <c r="AD412" s="52"/>
      <c r="AE412" s="13"/>
      <c r="AF412" s="53"/>
      <c r="AG412" s="53"/>
      <c r="AH412" s="37"/>
    </row>
    <row r="413" spans="1:34" ht="15.75" thickBot="1">
      <c r="A413" s="15"/>
      <c r="B413" s="29"/>
      <c r="C413" s="13"/>
      <c r="D413" s="13"/>
      <c r="E413" s="13"/>
      <c r="F413" s="13"/>
      <c r="G413" s="13"/>
      <c r="H413" s="13"/>
      <c r="I413" s="13"/>
      <c r="J413" s="13"/>
      <c r="K413" s="184"/>
      <c r="L413" s="37"/>
      <c r="M413" s="22"/>
      <c r="N413" s="56"/>
      <c r="O413" s="47"/>
      <c r="P413" s="47"/>
      <c r="Q413" s="47"/>
      <c r="R413" s="47"/>
      <c r="S413" s="47"/>
      <c r="T413" s="52"/>
      <c r="U413" s="47"/>
      <c r="V413" s="47"/>
      <c r="W413" s="184"/>
      <c r="X413" s="48"/>
      <c r="Y413" s="22"/>
      <c r="Z413" s="39"/>
      <c r="AA413" s="47"/>
      <c r="AB413" s="47"/>
      <c r="AC413" s="47"/>
      <c r="AD413" s="47"/>
      <c r="AE413" s="47"/>
      <c r="AF413" s="47"/>
      <c r="AG413" s="53"/>
      <c r="AH413" s="48"/>
    </row>
    <row r="414" spans="1:34">
      <c r="A414" s="16" t="s">
        <v>31</v>
      </c>
      <c r="B414" s="17">
        <f>MIN(B383:B413)</f>
        <v>0</v>
      </c>
      <c r="C414" s="17">
        <f>MIN(C383:C413)</f>
        <v>0</v>
      </c>
      <c r="D414" s="17">
        <f t="shared" ref="D414:L414" si="130">MIN(D383:D413)</f>
        <v>0</v>
      </c>
      <c r="E414" s="17">
        <f t="shared" si="130"/>
        <v>0</v>
      </c>
      <c r="F414" s="17">
        <f t="shared" si="130"/>
        <v>0</v>
      </c>
      <c r="G414" s="17">
        <f t="shared" si="130"/>
        <v>0</v>
      </c>
      <c r="H414" s="197">
        <f t="shared" si="130"/>
        <v>0</v>
      </c>
      <c r="I414" s="17">
        <f t="shared" si="130"/>
        <v>0</v>
      </c>
      <c r="J414" s="17">
        <f t="shared" si="130"/>
        <v>0</v>
      </c>
      <c r="K414" s="17">
        <f t="shared" si="130"/>
        <v>0</v>
      </c>
      <c r="L414" s="30">
        <f t="shared" si="130"/>
        <v>0</v>
      </c>
      <c r="M414" s="22"/>
      <c r="N414" s="17">
        <f>MIN(N383:N413)</f>
        <v>0</v>
      </c>
      <c r="O414" s="17">
        <f>MIN(O383:O413)</f>
        <v>0</v>
      </c>
      <c r="P414" s="17">
        <f t="shared" ref="P414:X414" si="131">MIN(P383:P413)</f>
        <v>0</v>
      </c>
      <c r="Q414" s="17">
        <f t="shared" si="131"/>
        <v>0</v>
      </c>
      <c r="R414" s="17">
        <f t="shared" si="131"/>
        <v>0</v>
      </c>
      <c r="S414" s="17">
        <f t="shared" si="131"/>
        <v>0</v>
      </c>
      <c r="T414" s="197">
        <f t="shared" si="131"/>
        <v>0</v>
      </c>
      <c r="U414" s="17">
        <f t="shared" si="131"/>
        <v>0</v>
      </c>
      <c r="V414" s="17">
        <f t="shared" si="131"/>
        <v>0</v>
      </c>
      <c r="W414" s="17">
        <f t="shared" si="131"/>
        <v>0</v>
      </c>
      <c r="X414" s="30">
        <f t="shared" si="131"/>
        <v>0</v>
      </c>
      <c r="Z414" s="40">
        <f t="shared" ref="Z414:AH414" si="132">MIN(Z383:Z413)</f>
        <v>0</v>
      </c>
      <c r="AA414" s="17">
        <f t="shared" si="132"/>
        <v>0</v>
      </c>
      <c r="AB414" s="17">
        <f t="shared" si="132"/>
        <v>0</v>
      </c>
      <c r="AC414" s="17">
        <f t="shared" si="132"/>
        <v>0</v>
      </c>
      <c r="AD414" s="197">
        <f t="shared" si="132"/>
        <v>0</v>
      </c>
      <c r="AE414" s="17">
        <f t="shared" si="132"/>
        <v>0</v>
      </c>
      <c r="AF414" s="17">
        <f t="shared" si="132"/>
        <v>0</v>
      </c>
      <c r="AG414" s="17">
        <f t="shared" si="132"/>
        <v>0</v>
      </c>
      <c r="AH414" s="30">
        <f t="shared" si="132"/>
        <v>0</v>
      </c>
    </row>
    <row r="415" spans="1:34">
      <c r="A415" s="18" t="s">
        <v>33</v>
      </c>
      <c r="B415" s="19">
        <f>MAX(B383:B413)</f>
        <v>0</v>
      </c>
      <c r="C415" s="19">
        <f>MAX(C383:C413)</f>
        <v>0</v>
      </c>
      <c r="D415" s="19">
        <f t="shared" ref="D415:L415" si="133">MAX(D383:D413)</f>
        <v>0</v>
      </c>
      <c r="E415" s="19">
        <f t="shared" si="133"/>
        <v>0</v>
      </c>
      <c r="F415" s="19">
        <f t="shared" si="133"/>
        <v>0</v>
      </c>
      <c r="G415" s="19">
        <f t="shared" si="133"/>
        <v>0</v>
      </c>
      <c r="H415" s="198">
        <f t="shared" si="133"/>
        <v>0</v>
      </c>
      <c r="I415" s="19">
        <f t="shared" si="133"/>
        <v>0</v>
      </c>
      <c r="J415" s="19">
        <f t="shared" si="133"/>
        <v>0</v>
      </c>
      <c r="K415" s="19">
        <f t="shared" si="133"/>
        <v>0</v>
      </c>
      <c r="L415" s="31">
        <f t="shared" si="133"/>
        <v>0</v>
      </c>
      <c r="M415" s="22"/>
      <c r="N415" s="19">
        <f>MAX(N383:N413)</f>
        <v>0</v>
      </c>
      <c r="O415" s="19">
        <f>MAX(O383:O413)</f>
        <v>0</v>
      </c>
      <c r="P415" s="19">
        <f t="shared" ref="P415:X415" si="134">MAX(P383:P413)</f>
        <v>0</v>
      </c>
      <c r="Q415" s="19">
        <f t="shared" si="134"/>
        <v>0</v>
      </c>
      <c r="R415" s="19">
        <f t="shared" si="134"/>
        <v>0</v>
      </c>
      <c r="S415" s="19">
        <f t="shared" si="134"/>
        <v>0</v>
      </c>
      <c r="T415" s="198">
        <f t="shared" si="134"/>
        <v>0</v>
      </c>
      <c r="U415" s="19">
        <f t="shared" si="134"/>
        <v>0</v>
      </c>
      <c r="V415" s="19">
        <f t="shared" si="134"/>
        <v>0</v>
      </c>
      <c r="W415" s="19">
        <f t="shared" si="134"/>
        <v>0</v>
      </c>
      <c r="X415" s="31">
        <f t="shared" si="134"/>
        <v>0</v>
      </c>
      <c r="Z415" s="41">
        <f t="shared" ref="Z415:AH415" si="135">MAX(Z383:Z413)</f>
        <v>0</v>
      </c>
      <c r="AA415" s="19">
        <f t="shared" si="135"/>
        <v>0</v>
      </c>
      <c r="AB415" s="19">
        <f t="shared" si="135"/>
        <v>0</v>
      </c>
      <c r="AC415" s="19">
        <f t="shared" si="135"/>
        <v>0</v>
      </c>
      <c r="AD415" s="198">
        <f t="shared" si="135"/>
        <v>0</v>
      </c>
      <c r="AE415" s="19">
        <f t="shared" si="135"/>
        <v>0</v>
      </c>
      <c r="AF415" s="19">
        <f t="shared" si="135"/>
        <v>0</v>
      </c>
      <c r="AG415" s="19">
        <f t="shared" si="135"/>
        <v>0</v>
      </c>
      <c r="AH415" s="31">
        <f t="shared" si="135"/>
        <v>0</v>
      </c>
    </row>
    <row r="416" spans="1:34">
      <c r="A416" s="18" t="s">
        <v>36</v>
      </c>
      <c r="B416" s="19" t="e">
        <f t="shared" ref="B416:L416" si="136">AVERAGE(B383:B413)</f>
        <v>#DIV/0!</v>
      </c>
      <c r="C416" s="19" t="e">
        <f t="shared" si="136"/>
        <v>#DIV/0!</v>
      </c>
      <c r="D416" s="19" t="e">
        <f t="shared" si="136"/>
        <v>#DIV/0!</v>
      </c>
      <c r="E416" s="19" t="e">
        <f t="shared" si="136"/>
        <v>#DIV/0!</v>
      </c>
      <c r="F416" s="19" t="e">
        <f t="shared" si="136"/>
        <v>#DIV/0!</v>
      </c>
      <c r="G416" s="19" t="e">
        <f t="shared" si="136"/>
        <v>#DIV/0!</v>
      </c>
      <c r="H416" s="198" t="e">
        <f t="shared" si="136"/>
        <v>#DIV/0!</v>
      </c>
      <c r="I416" s="19" t="e">
        <f t="shared" si="136"/>
        <v>#DIV/0!</v>
      </c>
      <c r="J416" s="19" t="e">
        <f t="shared" si="136"/>
        <v>#DIV/0!</v>
      </c>
      <c r="K416" s="19" t="e">
        <f t="shared" si="136"/>
        <v>#DIV/0!</v>
      </c>
      <c r="L416" s="31" t="e">
        <f t="shared" si="136"/>
        <v>#DIV/0!</v>
      </c>
      <c r="M416" s="22"/>
      <c r="N416" s="19" t="e">
        <f t="shared" ref="N416:X416" si="137">AVERAGE(N383:N413)</f>
        <v>#DIV/0!</v>
      </c>
      <c r="O416" s="19" t="e">
        <f t="shared" si="137"/>
        <v>#DIV/0!</v>
      </c>
      <c r="P416" s="19" t="e">
        <f t="shared" si="137"/>
        <v>#DIV/0!</v>
      </c>
      <c r="Q416" s="19" t="e">
        <f t="shared" si="137"/>
        <v>#DIV/0!</v>
      </c>
      <c r="R416" s="19" t="e">
        <f t="shared" si="137"/>
        <v>#DIV/0!</v>
      </c>
      <c r="S416" s="19" t="e">
        <f t="shared" si="137"/>
        <v>#DIV/0!</v>
      </c>
      <c r="T416" s="198" t="e">
        <f t="shared" si="137"/>
        <v>#DIV/0!</v>
      </c>
      <c r="U416" s="19" t="e">
        <f t="shared" si="137"/>
        <v>#DIV/0!</v>
      </c>
      <c r="V416" s="19" t="e">
        <f t="shared" si="137"/>
        <v>#DIV/0!</v>
      </c>
      <c r="W416" s="19" t="e">
        <f t="shared" si="137"/>
        <v>#DIV/0!</v>
      </c>
      <c r="X416" s="31" t="e">
        <f t="shared" si="137"/>
        <v>#DIV/0!</v>
      </c>
      <c r="Z416" s="41" t="e">
        <f>AVERAGE(Z383:Z413)</f>
        <v>#DIV/0!</v>
      </c>
      <c r="AA416" s="19" t="e">
        <f t="shared" ref="AA416:AH416" si="138">AVERAGE(AA383:AA413)</f>
        <v>#DIV/0!</v>
      </c>
      <c r="AB416" s="19" t="e">
        <f t="shared" si="138"/>
        <v>#DIV/0!</v>
      </c>
      <c r="AC416" s="19" t="e">
        <f t="shared" si="138"/>
        <v>#DIV/0!</v>
      </c>
      <c r="AD416" s="198" t="e">
        <f t="shared" si="138"/>
        <v>#DIV/0!</v>
      </c>
      <c r="AE416" s="19" t="e">
        <f t="shared" si="138"/>
        <v>#DIV/0!</v>
      </c>
      <c r="AF416" s="19" t="e">
        <f t="shared" si="138"/>
        <v>#DIV/0!</v>
      </c>
      <c r="AG416" s="19" t="e">
        <f t="shared" si="138"/>
        <v>#DIV/0!</v>
      </c>
      <c r="AH416" s="31" t="e">
        <f t="shared" si="138"/>
        <v>#DIV/0!</v>
      </c>
    </row>
    <row r="417" spans="1:34" ht="15.75" thickBot="1">
      <c r="A417" s="20" t="s">
        <v>130</v>
      </c>
      <c r="B417" s="21" t="e">
        <f>STDEV(B383:B413)</f>
        <v>#DIV/0!</v>
      </c>
      <c r="C417" s="21" t="e">
        <f t="shared" ref="C417:L417" si="139">STDEV(C383:C413)</f>
        <v>#DIV/0!</v>
      </c>
      <c r="D417" s="21" t="e">
        <f t="shared" si="139"/>
        <v>#DIV/0!</v>
      </c>
      <c r="E417" s="21" t="e">
        <f t="shared" si="139"/>
        <v>#DIV/0!</v>
      </c>
      <c r="F417" s="21" t="e">
        <f t="shared" si="139"/>
        <v>#DIV/0!</v>
      </c>
      <c r="G417" s="21" t="e">
        <f t="shared" si="139"/>
        <v>#DIV/0!</v>
      </c>
      <c r="H417" s="199" t="e">
        <f t="shared" si="139"/>
        <v>#DIV/0!</v>
      </c>
      <c r="I417" s="21" t="e">
        <f t="shared" si="139"/>
        <v>#DIV/0!</v>
      </c>
      <c r="J417" s="21" t="e">
        <f t="shared" si="139"/>
        <v>#DIV/0!</v>
      </c>
      <c r="K417" s="21" t="e">
        <f t="shared" si="139"/>
        <v>#DIV/0!</v>
      </c>
      <c r="L417" s="32" t="e">
        <f t="shared" si="139"/>
        <v>#DIV/0!</v>
      </c>
      <c r="M417" s="22"/>
      <c r="N417" s="21" t="e">
        <f>STDEV(N383:N413)</f>
        <v>#DIV/0!</v>
      </c>
      <c r="O417" s="21" t="e">
        <f t="shared" ref="O417:X417" si="140">STDEV(O383:O413)</f>
        <v>#DIV/0!</v>
      </c>
      <c r="P417" s="21" t="e">
        <f t="shared" si="140"/>
        <v>#DIV/0!</v>
      </c>
      <c r="Q417" s="21" t="e">
        <f t="shared" si="140"/>
        <v>#DIV/0!</v>
      </c>
      <c r="R417" s="21" t="e">
        <f t="shared" si="140"/>
        <v>#DIV/0!</v>
      </c>
      <c r="S417" s="21" t="e">
        <f t="shared" si="140"/>
        <v>#DIV/0!</v>
      </c>
      <c r="T417" s="199" t="e">
        <f t="shared" si="140"/>
        <v>#DIV/0!</v>
      </c>
      <c r="U417" s="21" t="e">
        <f t="shared" si="140"/>
        <v>#DIV/0!</v>
      </c>
      <c r="V417" s="21" t="e">
        <f t="shared" si="140"/>
        <v>#DIV/0!</v>
      </c>
      <c r="W417" s="21" t="e">
        <f t="shared" si="140"/>
        <v>#DIV/0!</v>
      </c>
      <c r="X417" s="32" t="e">
        <f t="shared" si="140"/>
        <v>#DIV/0!</v>
      </c>
      <c r="Z417" s="42" t="e">
        <f>STDEV(Z383:Z413)</f>
        <v>#DIV/0!</v>
      </c>
      <c r="AA417" s="21" t="e">
        <f t="shared" ref="AA417:AH417" si="141">STDEV(AA383:AA413)</f>
        <v>#DIV/0!</v>
      </c>
      <c r="AB417" s="21" t="e">
        <f t="shared" si="141"/>
        <v>#DIV/0!</v>
      </c>
      <c r="AC417" s="21" t="e">
        <f t="shared" si="141"/>
        <v>#DIV/0!</v>
      </c>
      <c r="AD417" s="199" t="e">
        <f t="shared" si="141"/>
        <v>#DIV/0!</v>
      </c>
      <c r="AE417" s="21" t="e">
        <f t="shared" si="141"/>
        <v>#DIV/0!</v>
      </c>
      <c r="AF417" s="21" t="e">
        <f t="shared" si="141"/>
        <v>#DIV/0!</v>
      </c>
      <c r="AG417" s="21" t="e">
        <f t="shared" si="141"/>
        <v>#DIV/0!</v>
      </c>
      <c r="AH417" s="32" t="e">
        <f t="shared" si="141"/>
        <v>#DIV/0!</v>
      </c>
    </row>
    <row r="418" spans="1:34" ht="15.75" thickBot="1"/>
    <row r="419" spans="1:34" ht="15.75" thickBot="1">
      <c r="A419" s="1"/>
      <c r="B419" s="338" t="s">
        <v>0</v>
      </c>
      <c r="C419" s="339"/>
      <c r="D419" s="339"/>
      <c r="E419" s="339"/>
      <c r="F419" s="339"/>
      <c r="G419" s="339"/>
      <c r="H419" s="339"/>
      <c r="I419" s="339"/>
      <c r="J419" s="339"/>
      <c r="K419" s="339"/>
      <c r="L419" s="339"/>
      <c r="M419" s="339"/>
      <c r="N419" s="339"/>
      <c r="O419" s="339"/>
      <c r="P419" s="339"/>
      <c r="Q419" s="339"/>
      <c r="R419" s="339"/>
      <c r="S419" s="339"/>
      <c r="T419" s="339"/>
      <c r="U419" s="339"/>
      <c r="V419" s="339"/>
      <c r="W419" s="339"/>
      <c r="X419" s="339"/>
      <c r="Y419" s="339"/>
      <c r="Z419" s="339"/>
      <c r="AA419" s="339"/>
      <c r="AB419" s="339"/>
      <c r="AC419" s="339"/>
      <c r="AD419" s="340"/>
      <c r="AE419" s="340"/>
      <c r="AF419" s="340"/>
      <c r="AG419" s="340"/>
      <c r="AH419" s="340"/>
    </row>
    <row r="420" spans="1:34" ht="15.75" thickBot="1">
      <c r="A420" s="1"/>
      <c r="B420" s="338" t="s">
        <v>131</v>
      </c>
      <c r="C420" s="339"/>
      <c r="D420" s="339"/>
      <c r="E420" s="339"/>
      <c r="F420" s="339"/>
      <c r="G420" s="339"/>
      <c r="H420" s="339"/>
      <c r="I420" s="339"/>
      <c r="J420" s="339"/>
      <c r="K420" s="339"/>
      <c r="L420" s="339"/>
      <c r="M420" s="339"/>
      <c r="N420" s="339"/>
      <c r="O420" s="339"/>
      <c r="P420" s="339"/>
      <c r="Q420" s="339"/>
      <c r="R420" s="339"/>
      <c r="S420" s="339"/>
      <c r="T420" s="339"/>
      <c r="U420" s="339"/>
      <c r="V420" s="339"/>
      <c r="W420" s="339"/>
      <c r="X420" s="339"/>
      <c r="Y420" s="339"/>
      <c r="Z420" s="339"/>
      <c r="AA420" s="339"/>
      <c r="AB420" s="339"/>
      <c r="AC420" s="339"/>
      <c r="AD420" s="4"/>
      <c r="AE420" s="43" t="s">
        <v>107</v>
      </c>
      <c r="AF420" s="341">
        <v>46296</v>
      </c>
      <c r="AG420" s="342"/>
      <c r="AH420" s="343"/>
    </row>
    <row r="421" spans="1:34">
      <c r="A421" s="344"/>
      <c r="B421" s="346" t="s">
        <v>132</v>
      </c>
      <c r="C421" s="347"/>
      <c r="D421" s="347"/>
      <c r="E421" s="347"/>
      <c r="F421" s="347"/>
      <c r="G421" s="347"/>
      <c r="H421" s="347"/>
      <c r="I421" s="347"/>
      <c r="J421" s="347"/>
      <c r="K421" s="348"/>
      <c r="L421" s="349"/>
      <c r="M421" s="22"/>
      <c r="N421" s="350" t="s">
        <v>133</v>
      </c>
      <c r="O421" s="347"/>
      <c r="P421" s="347"/>
      <c r="Q421" s="347"/>
      <c r="R421" s="347"/>
      <c r="S421" s="347"/>
      <c r="T421" s="347"/>
      <c r="U421" s="347"/>
      <c r="V421" s="347"/>
      <c r="W421" s="348"/>
      <c r="X421" s="349"/>
      <c r="Y421" s="22"/>
      <c r="Z421" s="346" t="s">
        <v>134</v>
      </c>
      <c r="AA421" s="347"/>
      <c r="AB421" s="347"/>
      <c r="AC421" s="347"/>
      <c r="AD421" s="347"/>
      <c r="AE421" s="347"/>
      <c r="AF421" s="347"/>
      <c r="AG421" s="348"/>
      <c r="AH421" s="349"/>
    </row>
    <row r="422" spans="1:34" ht="25.5">
      <c r="A422" s="345"/>
      <c r="B422" s="351" t="s">
        <v>135</v>
      </c>
      <c r="C422" s="353" t="s">
        <v>136</v>
      </c>
      <c r="D422" s="64" t="s">
        <v>137</v>
      </c>
      <c r="E422" s="64" t="s">
        <v>138</v>
      </c>
      <c r="F422" s="64" t="s">
        <v>139</v>
      </c>
      <c r="G422" s="64" t="s">
        <v>140</v>
      </c>
      <c r="H422" s="5" t="s">
        <v>141</v>
      </c>
      <c r="I422" s="5" t="s">
        <v>142</v>
      </c>
      <c r="J422" s="5" t="s">
        <v>143</v>
      </c>
      <c r="K422" s="181" t="s">
        <v>81</v>
      </c>
      <c r="L422" s="23" t="s">
        <v>144</v>
      </c>
      <c r="M422" s="22"/>
      <c r="N422" s="355" t="s">
        <v>135</v>
      </c>
      <c r="O422" s="357" t="s">
        <v>136</v>
      </c>
      <c r="P422" s="5" t="s">
        <v>137</v>
      </c>
      <c r="Q422" s="5" t="s">
        <v>138</v>
      </c>
      <c r="R422" s="5" t="s">
        <v>139</v>
      </c>
      <c r="S422" s="5" t="s">
        <v>140</v>
      </c>
      <c r="T422" s="5" t="s">
        <v>141</v>
      </c>
      <c r="U422" s="5" t="s">
        <v>142</v>
      </c>
      <c r="V422" s="5" t="s">
        <v>143</v>
      </c>
      <c r="W422" s="181" t="s">
        <v>81</v>
      </c>
      <c r="X422" s="23" t="s">
        <v>144</v>
      </c>
      <c r="Y422" s="22"/>
      <c r="Z422" s="33" t="s">
        <v>137</v>
      </c>
      <c r="AA422" s="5" t="s">
        <v>138</v>
      </c>
      <c r="AB422" s="5" t="s">
        <v>139</v>
      </c>
      <c r="AC422" s="5" t="s">
        <v>140</v>
      </c>
      <c r="AD422" s="5" t="s">
        <v>141</v>
      </c>
      <c r="AE422" s="5" t="s">
        <v>142</v>
      </c>
      <c r="AF422" s="5" t="s">
        <v>143</v>
      </c>
      <c r="AG422" s="181" t="s">
        <v>81</v>
      </c>
      <c r="AH422" s="23" t="s">
        <v>144</v>
      </c>
    </row>
    <row r="423" spans="1:34" ht="25.5">
      <c r="A423" s="6" t="s">
        <v>145</v>
      </c>
      <c r="B423" s="352"/>
      <c r="C423" s="354"/>
      <c r="D423" s="64" t="s">
        <v>128</v>
      </c>
      <c r="E423" s="64" t="s">
        <v>128</v>
      </c>
      <c r="F423" s="64" t="s">
        <v>128</v>
      </c>
      <c r="G423" s="64" t="s">
        <v>128</v>
      </c>
      <c r="H423" s="5" t="s">
        <v>125</v>
      </c>
      <c r="I423" s="5" t="s">
        <v>146</v>
      </c>
      <c r="J423" s="5" t="s">
        <v>127</v>
      </c>
      <c r="K423" s="181" t="s">
        <v>53</v>
      </c>
      <c r="L423" s="23" t="s">
        <v>53</v>
      </c>
      <c r="M423" s="22"/>
      <c r="N423" s="356"/>
      <c r="O423" s="358"/>
      <c r="P423" s="5" t="s">
        <v>128</v>
      </c>
      <c r="Q423" s="5" t="s">
        <v>128</v>
      </c>
      <c r="R423" s="5" t="s">
        <v>128</v>
      </c>
      <c r="S423" s="5" t="s">
        <v>128</v>
      </c>
      <c r="T423" s="5" t="s">
        <v>125</v>
      </c>
      <c r="U423" s="5" t="s">
        <v>146</v>
      </c>
      <c r="V423" s="5" t="s">
        <v>127</v>
      </c>
      <c r="W423" s="181" t="s">
        <v>53</v>
      </c>
      <c r="X423" s="23" t="s">
        <v>53</v>
      </c>
      <c r="Y423" s="22"/>
      <c r="Z423" s="33" t="s">
        <v>128</v>
      </c>
      <c r="AA423" s="5" t="s">
        <v>128</v>
      </c>
      <c r="AB423" s="5" t="s">
        <v>128</v>
      </c>
      <c r="AC423" s="5" t="s">
        <v>128</v>
      </c>
      <c r="AD423" s="5" t="s">
        <v>125</v>
      </c>
      <c r="AE423" s="5" t="s">
        <v>146</v>
      </c>
      <c r="AF423" s="5" t="s">
        <v>127</v>
      </c>
      <c r="AG423" s="181" t="s">
        <v>53</v>
      </c>
      <c r="AH423" s="23" t="s">
        <v>53</v>
      </c>
    </row>
    <row r="424" spans="1:34" ht="26.25" thickBot="1">
      <c r="A424" s="7" t="s">
        <v>147</v>
      </c>
      <c r="B424" s="65" t="s">
        <v>148</v>
      </c>
      <c r="C424" s="66" t="s">
        <v>149</v>
      </c>
      <c r="D424" s="66" t="s">
        <v>150</v>
      </c>
      <c r="E424" s="66" t="s">
        <v>151</v>
      </c>
      <c r="F424" s="66" t="s">
        <v>152</v>
      </c>
      <c r="G424" s="66" t="s">
        <v>153</v>
      </c>
      <c r="H424" s="9" t="s">
        <v>154</v>
      </c>
      <c r="I424" s="24" t="s">
        <v>155</v>
      </c>
      <c r="J424" s="24" t="s">
        <v>156</v>
      </c>
      <c r="K424" s="24" t="s">
        <v>179</v>
      </c>
      <c r="L424" s="25" t="s">
        <v>157</v>
      </c>
      <c r="M424" s="22"/>
      <c r="N424" s="8" t="s">
        <v>148</v>
      </c>
      <c r="O424" s="9" t="s">
        <v>149</v>
      </c>
      <c r="P424" s="9" t="s">
        <v>150</v>
      </c>
      <c r="Q424" s="9" t="s">
        <v>151</v>
      </c>
      <c r="R424" s="9" t="s">
        <v>152</v>
      </c>
      <c r="S424" s="9" t="s">
        <v>153</v>
      </c>
      <c r="T424" s="9" t="s">
        <v>154</v>
      </c>
      <c r="U424" s="24" t="s">
        <v>155</v>
      </c>
      <c r="V424" s="24" t="s">
        <v>156</v>
      </c>
      <c r="W424" s="24" t="s">
        <v>179</v>
      </c>
      <c r="X424" s="25" t="s">
        <v>157</v>
      </c>
      <c r="Y424" s="22"/>
      <c r="Z424" s="8" t="s">
        <v>150</v>
      </c>
      <c r="AA424" s="9" t="s">
        <v>158</v>
      </c>
      <c r="AB424" s="9" t="s">
        <v>152</v>
      </c>
      <c r="AC424" s="9" t="s">
        <v>159</v>
      </c>
      <c r="AD424" s="9" t="s">
        <v>154</v>
      </c>
      <c r="AE424" s="9" t="s">
        <v>155</v>
      </c>
      <c r="AF424" s="9" t="s">
        <v>156</v>
      </c>
      <c r="AG424" s="24" t="s">
        <v>179</v>
      </c>
      <c r="AH424" s="23" t="s">
        <v>157</v>
      </c>
    </row>
    <row r="425" spans="1:34">
      <c r="A425" s="10">
        <f>AF420+0</f>
        <v>46296</v>
      </c>
      <c r="B425" s="67"/>
      <c r="C425" s="68"/>
      <c r="D425" s="68"/>
      <c r="E425" s="68"/>
      <c r="F425" s="68"/>
      <c r="G425" s="68"/>
      <c r="H425" s="69"/>
      <c r="I425" s="69"/>
      <c r="J425" s="69"/>
      <c r="K425" s="191"/>
      <c r="L425" s="73"/>
      <c r="M425" s="74"/>
      <c r="N425" s="75"/>
      <c r="O425" s="76"/>
      <c r="P425" s="76"/>
      <c r="Q425" s="76"/>
      <c r="R425" s="76"/>
      <c r="S425" s="76"/>
      <c r="T425" s="76"/>
      <c r="U425" s="76"/>
      <c r="V425" s="76"/>
      <c r="W425" s="191"/>
      <c r="X425" s="76"/>
      <c r="Y425" s="74"/>
      <c r="Z425" s="81"/>
      <c r="AA425" s="76"/>
      <c r="AB425" s="76"/>
      <c r="AC425" s="76"/>
      <c r="AD425" s="85"/>
      <c r="AE425" s="76"/>
      <c r="AF425" s="76"/>
      <c r="AG425" s="194"/>
      <c r="AH425" s="86"/>
    </row>
    <row r="426" spans="1:34">
      <c r="A426" s="14">
        <f t="shared" ref="A426:A454" si="142">A425+1</f>
        <v>46297</v>
      </c>
      <c r="B426" s="67"/>
      <c r="C426" s="70"/>
      <c r="D426" s="70"/>
      <c r="E426" s="70"/>
      <c r="F426" s="70"/>
      <c r="G426" s="70"/>
      <c r="H426" s="71"/>
      <c r="I426" s="71"/>
      <c r="J426" s="70"/>
      <c r="K426" s="192"/>
      <c r="L426" s="77"/>
      <c r="M426" s="74"/>
      <c r="N426" s="78"/>
      <c r="O426" s="70"/>
      <c r="P426" s="70"/>
      <c r="Q426" s="70"/>
      <c r="R426" s="70"/>
      <c r="S426" s="70"/>
      <c r="T426" s="70"/>
      <c r="U426" s="70"/>
      <c r="V426" s="70"/>
      <c r="W426" s="192"/>
      <c r="X426" s="70"/>
      <c r="Y426" s="74"/>
      <c r="Z426" s="67"/>
      <c r="AA426" s="70"/>
      <c r="AB426" s="70"/>
      <c r="AC426" s="70"/>
      <c r="AD426" s="82"/>
      <c r="AE426" s="70"/>
      <c r="AF426" s="70"/>
      <c r="AG426" s="192"/>
      <c r="AH426" s="87"/>
    </row>
    <row r="427" spans="1:34">
      <c r="A427" s="14">
        <f t="shared" si="142"/>
        <v>46298</v>
      </c>
      <c r="B427" s="67"/>
      <c r="C427" s="70"/>
      <c r="D427" s="70"/>
      <c r="E427" s="70"/>
      <c r="F427" s="70"/>
      <c r="G427" s="70"/>
      <c r="H427" s="71"/>
      <c r="I427" s="70"/>
      <c r="J427" s="70"/>
      <c r="K427" s="192"/>
      <c r="L427" s="77"/>
      <c r="M427" s="74"/>
      <c r="N427" s="70"/>
      <c r="O427" s="70"/>
      <c r="P427" s="70"/>
      <c r="Q427" s="70"/>
      <c r="R427" s="70"/>
      <c r="S427" s="70"/>
      <c r="T427" s="82"/>
      <c r="U427" s="70"/>
      <c r="V427" s="70"/>
      <c r="W427" s="192"/>
      <c r="X427" s="83"/>
      <c r="Y427" s="74"/>
      <c r="Z427" s="67"/>
      <c r="AA427" s="70"/>
      <c r="AB427" s="70"/>
      <c r="AC427" s="70"/>
      <c r="AD427" s="82"/>
      <c r="AE427" s="70"/>
      <c r="AF427" s="70"/>
      <c r="AG427" s="192"/>
      <c r="AH427" s="87"/>
    </row>
    <row r="428" spans="1:34">
      <c r="A428" s="14">
        <f t="shared" si="142"/>
        <v>46299</v>
      </c>
      <c r="B428" s="67"/>
      <c r="C428" s="70"/>
      <c r="D428" s="70"/>
      <c r="E428" s="70"/>
      <c r="F428" s="70"/>
      <c r="G428" s="70"/>
      <c r="H428" s="71"/>
      <c r="I428" s="71"/>
      <c r="J428" s="70"/>
      <c r="K428" s="192"/>
      <c r="L428" s="77"/>
      <c r="M428" s="74"/>
      <c r="N428" s="78"/>
      <c r="O428" s="70"/>
      <c r="P428" s="70"/>
      <c r="Q428" s="70"/>
      <c r="R428" s="70"/>
      <c r="S428" s="70"/>
      <c r="T428" s="82"/>
      <c r="U428" s="70"/>
      <c r="V428" s="70"/>
      <c r="W428" s="192"/>
      <c r="X428" s="83"/>
      <c r="Y428" s="74"/>
      <c r="Z428" s="67"/>
      <c r="AA428" s="70"/>
      <c r="AB428" s="70"/>
      <c r="AC428" s="70"/>
      <c r="AD428" s="82"/>
      <c r="AE428" s="70"/>
      <c r="AF428" s="70"/>
      <c r="AG428" s="192"/>
      <c r="AH428" s="87"/>
    </row>
    <row r="429" spans="1:34">
      <c r="A429" s="14">
        <f t="shared" si="142"/>
        <v>46300</v>
      </c>
      <c r="B429" s="67"/>
      <c r="C429" s="70"/>
      <c r="D429" s="70"/>
      <c r="E429" s="70"/>
      <c r="F429" s="70"/>
      <c r="G429" s="70"/>
      <c r="H429" s="71"/>
      <c r="I429" s="71"/>
      <c r="J429" s="70"/>
      <c r="K429" s="192"/>
      <c r="L429" s="77"/>
      <c r="M429" s="74"/>
      <c r="N429" s="78"/>
      <c r="O429" s="70"/>
      <c r="P429" s="70"/>
      <c r="Q429" s="70"/>
      <c r="R429" s="70"/>
      <c r="S429" s="70"/>
      <c r="T429" s="82"/>
      <c r="U429" s="70"/>
      <c r="V429" s="70"/>
      <c r="W429" s="192"/>
      <c r="X429" s="84"/>
      <c r="Y429" s="74"/>
      <c r="Z429" s="67"/>
      <c r="AA429" s="70"/>
      <c r="AB429" s="70"/>
      <c r="AC429" s="70"/>
      <c r="AD429" s="82"/>
      <c r="AE429" s="70"/>
      <c r="AF429" s="70"/>
      <c r="AG429" s="192"/>
      <c r="AH429" s="88"/>
    </row>
    <row r="430" spans="1:34">
      <c r="A430" s="14">
        <f t="shared" si="142"/>
        <v>46301</v>
      </c>
      <c r="B430" s="67"/>
      <c r="C430" s="70"/>
      <c r="D430" s="70"/>
      <c r="E430" s="70"/>
      <c r="F430" s="70"/>
      <c r="G430" s="70"/>
      <c r="H430" s="71"/>
      <c r="I430" s="71"/>
      <c r="J430" s="70"/>
      <c r="K430" s="192"/>
      <c r="L430" s="77"/>
      <c r="M430" s="74"/>
      <c r="N430" s="78"/>
      <c r="O430" s="70"/>
      <c r="P430" s="70"/>
      <c r="Q430" s="70"/>
      <c r="R430" s="70"/>
      <c r="S430" s="70"/>
      <c r="T430" s="82"/>
      <c r="U430" s="70"/>
      <c r="V430" s="70"/>
      <c r="W430" s="192"/>
      <c r="X430" s="84"/>
      <c r="Y430" s="74"/>
      <c r="Z430" s="67"/>
      <c r="AA430" s="70"/>
      <c r="AB430" s="70"/>
      <c r="AC430" s="70"/>
      <c r="AD430" s="82"/>
      <c r="AE430" s="70"/>
      <c r="AF430" s="70"/>
      <c r="AG430" s="192"/>
      <c r="AH430" s="88"/>
    </row>
    <row r="431" spans="1:34">
      <c r="A431" s="14">
        <f t="shared" si="142"/>
        <v>46302</v>
      </c>
      <c r="B431" s="67"/>
      <c r="C431" s="70"/>
      <c r="D431" s="70"/>
      <c r="E431" s="70"/>
      <c r="F431" s="70"/>
      <c r="G431" s="70"/>
      <c r="H431" s="71"/>
      <c r="I431" s="71"/>
      <c r="J431" s="70"/>
      <c r="K431" s="192"/>
      <c r="L431" s="77"/>
      <c r="M431" s="74"/>
      <c r="N431" s="78"/>
      <c r="O431" s="79"/>
      <c r="P431" s="70"/>
      <c r="Q431" s="70"/>
      <c r="R431" s="70"/>
      <c r="S431" s="70"/>
      <c r="T431" s="82"/>
      <c r="U431" s="70"/>
      <c r="V431" s="70"/>
      <c r="W431" s="192"/>
      <c r="X431" s="84"/>
      <c r="Y431" s="74"/>
      <c r="Z431" s="67"/>
      <c r="AA431" s="70"/>
      <c r="AB431" s="70"/>
      <c r="AC431" s="70"/>
      <c r="AD431" s="82"/>
      <c r="AE431" s="70"/>
      <c r="AF431" s="70"/>
      <c r="AG431" s="192"/>
      <c r="AH431" s="88"/>
    </row>
    <row r="432" spans="1:34">
      <c r="A432" s="14">
        <f t="shared" si="142"/>
        <v>46303</v>
      </c>
      <c r="B432" s="67"/>
      <c r="C432" s="70"/>
      <c r="D432" s="70"/>
      <c r="E432" s="70"/>
      <c r="F432" s="70"/>
      <c r="G432" s="70"/>
      <c r="H432" s="71"/>
      <c r="I432" s="71"/>
      <c r="J432" s="70"/>
      <c r="K432" s="192"/>
      <c r="L432" s="77"/>
      <c r="M432" s="74"/>
      <c r="N432" s="78"/>
      <c r="O432" s="70"/>
      <c r="P432" s="70"/>
      <c r="Q432" s="70"/>
      <c r="R432" s="70"/>
      <c r="S432" s="70"/>
      <c r="T432" s="82"/>
      <c r="U432" s="70"/>
      <c r="V432" s="70"/>
      <c r="W432" s="192"/>
      <c r="X432" s="83"/>
      <c r="Y432" s="74"/>
      <c r="Z432" s="67"/>
      <c r="AA432" s="70"/>
      <c r="AB432" s="70"/>
      <c r="AC432" s="70"/>
      <c r="AD432" s="82"/>
      <c r="AE432" s="70"/>
      <c r="AF432" s="70"/>
      <c r="AG432" s="192"/>
      <c r="AH432" s="87"/>
    </row>
    <row r="433" spans="1:34">
      <c r="A433" s="14">
        <f t="shared" si="142"/>
        <v>46304</v>
      </c>
      <c r="B433" s="67"/>
      <c r="C433" s="70"/>
      <c r="D433" s="70"/>
      <c r="E433" s="70"/>
      <c r="F433" s="70"/>
      <c r="G433" s="70"/>
      <c r="H433" s="71"/>
      <c r="I433" s="71"/>
      <c r="J433" s="70"/>
      <c r="K433" s="192"/>
      <c r="L433" s="77"/>
      <c r="M433" s="74"/>
      <c r="N433" s="78"/>
      <c r="O433" s="70"/>
      <c r="P433" s="70"/>
      <c r="Q433" s="70"/>
      <c r="R433" s="70"/>
      <c r="S433" s="70"/>
      <c r="T433" s="82"/>
      <c r="U433" s="70"/>
      <c r="V433" s="70"/>
      <c r="W433" s="192"/>
      <c r="X433" s="83"/>
      <c r="Y433" s="74"/>
      <c r="Z433" s="67"/>
      <c r="AA433" s="70"/>
      <c r="AB433" s="70"/>
      <c r="AC433" s="70"/>
      <c r="AD433" s="82"/>
      <c r="AE433" s="70"/>
      <c r="AF433" s="70"/>
      <c r="AG433" s="192"/>
      <c r="AH433" s="87"/>
    </row>
    <row r="434" spans="1:34">
      <c r="A434" s="14">
        <f t="shared" si="142"/>
        <v>46305</v>
      </c>
      <c r="B434" s="67"/>
      <c r="C434" s="70"/>
      <c r="D434" s="70"/>
      <c r="E434" s="70"/>
      <c r="F434" s="70"/>
      <c r="G434" s="70"/>
      <c r="H434" s="71"/>
      <c r="I434" s="71"/>
      <c r="J434" s="70"/>
      <c r="K434" s="192"/>
      <c r="L434" s="77"/>
      <c r="M434" s="74"/>
      <c r="N434" s="78"/>
      <c r="O434" s="70"/>
      <c r="P434" s="70"/>
      <c r="Q434" s="70"/>
      <c r="R434" s="70"/>
      <c r="S434" s="70"/>
      <c r="T434" s="82"/>
      <c r="U434" s="70"/>
      <c r="V434" s="70"/>
      <c r="W434" s="192"/>
      <c r="X434" s="83"/>
      <c r="Y434" s="74"/>
      <c r="Z434" s="67"/>
      <c r="AA434" s="70"/>
      <c r="AB434" s="70"/>
      <c r="AC434" s="70"/>
      <c r="AD434" s="82"/>
      <c r="AE434" s="70"/>
      <c r="AF434" s="70"/>
      <c r="AG434" s="192"/>
      <c r="AH434" s="87"/>
    </row>
    <row r="435" spans="1:34">
      <c r="A435" s="14">
        <f t="shared" si="142"/>
        <v>46306</v>
      </c>
      <c r="B435" s="38"/>
      <c r="C435" s="13"/>
      <c r="D435" s="13"/>
      <c r="E435" s="13"/>
      <c r="F435" s="13"/>
      <c r="G435" s="13"/>
      <c r="H435" s="12"/>
      <c r="I435" s="12"/>
      <c r="J435" s="13"/>
      <c r="K435" s="184"/>
      <c r="L435" s="26"/>
      <c r="M435" s="22"/>
      <c r="N435" s="29"/>
      <c r="O435" s="13"/>
      <c r="P435" s="13"/>
      <c r="Q435" s="13"/>
      <c r="R435" s="13"/>
      <c r="S435" s="13"/>
      <c r="T435" s="36"/>
      <c r="U435" s="13"/>
      <c r="V435" s="13"/>
      <c r="W435" s="184"/>
      <c r="X435" s="37"/>
      <c r="Y435" s="22"/>
      <c r="Z435" s="38"/>
      <c r="AA435" s="13"/>
      <c r="AB435" s="13"/>
      <c r="AC435" s="13"/>
      <c r="AD435" s="36"/>
      <c r="AE435" s="13"/>
      <c r="AF435" s="13"/>
      <c r="AG435" s="184"/>
      <c r="AH435" s="45"/>
    </row>
    <row r="436" spans="1:34">
      <c r="A436" s="14">
        <f t="shared" si="142"/>
        <v>46307</v>
      </c>
      <c r="B436" s="38"/>
      <c r="C436" s="13"/>
      <c r="D436" s="13"/>
      <c r="E436" s="13"/>
      <c r="F436" s="13"/>
      <c r="G436" s="13"/>
      <c r="H436" s="12"/>
      <c r="I436" s="12"/>
      <c r="J436" s="13"/>
      <c r="K436" s="184"/>
      <c r="L436" s="26"/>
      <c r="M436" s="22"/>
      <c r="N436" s="29"/>
      <c r="O436" s="13"/>
      <c r="P436" s="13"/>
      <c r="Q436" s="13"/>
      <c r="R436" s="13"/>
      <c r="S436" s="13"/>
      <c r="T436" s="36"/>
      <c r="U436" s="13"/>
      <c r="V436" s="13"/>
      <c r="W436" s="184"/>
      <c r="X436" s="37"/>
      <c r="Y436" s="22"/>
      <c r="Z436" s="38"/>
      <c r="AA436" s="13"/>
      <c r="AB436" s="13"/>
      <c r="AC436" s="13"/>
      <c r="AD436" s="36"/>
      <c r="AE436" s="13"/>
      <c r="AF436" s="13"/>
      <c r="AG436" s="184"/>
      <c r="AH436" s="45"/>
    </row>
    <row r="437" spans="1:34">
      <c r="A437" s="14">
        <f t="shared" si="142"/>
        <v>46308</v>
      </c>
      <c r="B437" s="38"/>
      <c r="C437" s="13"/>
      <c r="D437" s="13"/>
      <c r="E437" s="13"/>
      <c r="F437" s="13"/>
      <c r="G437" s="13"/>
      <c r="H437" s="12"/>
      <c r="I437" s="12"/>
      <c r="J437" s="13"/>
      <c r="K437" s="184"/>
      <c r="L437" s="26"/>
      <c r="M437" s="22"/>
      <c r="N437" s="29"/>
      <c r="O437" s="13"/>
      <c r="P437" s="13"/>
      <c r="Q437" s="13"/>
      <c r="R437" s="13"/>
      <c r="S437" s="13"/>
      <c r="T437" s="36"/>
      <c r="U437" s="13"/>
      <c r="V437" s="13"/>
      <c r="W437" s="184"/>
      <c r="X437" s="37"/>
      <c r="Y437" s="22"/>
      <c r="Z437" s="38"/>
      <c r="AA437" s="13"/>
      <c r="AB437" s="13"/>
      <c r="AC437" s="13"/>
      <c r="AD437" s="36"/>
      <c r="AE437" s="13"/>
      <c r="AF437" s="13"/>
      <c r="AG437" s="184"/>
      <c r="AH437" s="45"/>
    </row>
    <row r="438" spans="1:34">
      <c r="A438" s="14">
        <f t="shared" si="142"/>
        <v>46309</v>
      </c>
      <c r="B438" s="38"/>
      <c r="C438" s="13"/>
      <c r="D438" s="13"/>
      <c r="E438" s="13"/>
      <c r="F438" s="13"/>
      <c r="G438" s="13"/>
      <c r="H438" s="72"/>
      <c r="I438" s="80"/>
      <c r="J438" s="13"/>
      <c r="K438" s="184"/>
      <c r="L438" s="26"/>
      <c r="M438" s="22"/>
      <c r="N438" s="29"/>
      <c r="O438" s="13"/>
      <c r="P438" s="13"/>
      <c r="Q438" s="13"/>
      <c r="R438" s="13"/>
      <c r="S438" s="13"/>
      <c r="T438" s="36"/>
      <c r="U438" s="13"/>
      <c r="V438" s="13"/>
      <c r="W438" s="184"/>
      <c r="X438" s="37"/>
      <c r="Y438" s="22"/>
      <c r="Z438" s="38"/>
      <c r="AA438" s="13"/>
      <c r="AB438" s="13"/>
      <c r="AC438" s="13"/>
      <c r="AD438" s="36"/>
      <c r="AE438" s="13"/>
      <c r="AF438" s="13"/>
      <c r="AG438" s="184"/>
      <c r="AH438" s="37"/>
    </row>
    <row r="439" spans="1:34">
      <c r="A439" s="14">
        <f t="shared" si="142"/>
        <v>46310</v>
      </c>
      <c r="B439" s="38"/>
      <c r="C439" s="13"/>
      <c r="D439" s="13"/>
      <c r="E439" s="13"/>
      <c r="F439" s="13"/>
      <c r="G439" s="13"/>
      <c r="H439" s="72"/>
      <c r="I439" s="80"/>
      <c r="J439" s="13"/>
      <c r="K439" s="184"/>
      <c r="L439" s="26"/>
      <c r="M439" s="22"/>
      <c r="N439" s="29"/>
      <c r="O439" s="13"/>
      <c r="P439" s="13"/>
      <c r="Q439" s="13"/>
      <c r="R439" s="13"/>
      <c r="S439" s="13"/>
      <c r="T439" s="36"/>
      <c r="U439" s="13"/>
      <c r="V439" s="13"/>
      <c r="W439" s="184"/>
      <c r="X439" s="37"/>
      <c r="Y439" s="22"/>
      <c r="Z439" s="38"/>
      <c r="AA439" s="13"/>
      <c r="AB439" s="13"/>
      <c r="AC439" s="13"/>
      <c r="AD439" s="36"/>
      <c r="AE439" s="13"/>
      <c r="AF439" s="13"/>
      <c r="AG439" s="184"/>
      <c r="AH439" s="37"/>
    </row>
    <row r="440" spans="1:34">
      <c r="A440" s="14">
        <f t="shared" si="142"/>
        <v>46311</v>
      </c>
      <c r="B440" s="38"/>
      <c r="C440" s="13"/>
      <c r="D440" s="13"/>
      <c r="E440" s="13"/>
      <c r="F440" s="13"/>
      <c r="G440" s="13"/>
      <c r="H440" s="12"/>
      <c r="I440" s="12"/>
      <c r="J440" s="13"/>
      <c r="K440" s="184"/>
      <c r="L440" s="26"/>
      <c r="M440" s="22"/>
      <c r="N440" s="29"/>
      <c r="O440" s="13"/>
      <c r="P440" s="13"/>
      <c r="Q440" s="13"/>
      <c r="R440" s="13"/>
      <c r="S440" s="13"/>
      <c r="T440" s="36"/>
      <c r="U440" s="13"/>
      <c r="V440" s="13"/>
      <c r="W440" s="184"/>
      <c r="X440" s="37"/>
      <c r="Y440" s="22"/>
      <c r="Z440" s="38"/>
      <c r="AA440" s="13"/>
      <c r="AB440" s="13"/>
      <c r="AC440" s="13"/>
      <c r="AD440" s="36"/>
      <c r="AE440" s="13"/>
      <c r="AF440" s="13"/>
      <c r="AG440" s="184"/>
      <c r="AH440" s="37"/>
    </row>
    <row r="441" spans="1:34">
      <c r="A441" s="14">
        <f t="shared" si="142"/>
        <v>46312</v>
      </c>
      <c r="B441" s="38"/>
      <c r="C441" s="13"/>
      <c r="D441" s="13"/>
      <c r="E441" s="13"/>
      <c r="F441" s="13"/>
      <c r="G441" s="13"/>
      <c r="H441" s="12"/>
      <c r="I441" s="12"/>
      <c r="J441" s="13"/>
      <c r="K441" s="184"/>
      <c r="L441" s="26"/>
      <c r="M441" s="22"/>
      <c r="N441" s="29"/>
      <c r="O441" s="13"/>
      <c r="P441" s="13"/>
      <c r="Q441" s="13"/>
      <c r="R441" s="13"/>
      <c r="S441" s="13"/>
      <c r="T441" s="36"/>
      <c r="U441" s="13"/>
      <c r="V441" s="13"/>
      <c r="W441" s="184"/>
      <c r="X441" s="37"/>
      <c r="Y441" s="22"/>
      <c r="Z441" s="38"/>
      <c r="AA441" s="13"/>
      <c r="AB441" s="13"/>
      <c r="AC441" s="13"/>
      <c r="AD441" s="36"/>
      <c r="AE441" s="13"/>
      <c r="AF441" s="13"/>
      <c r="AG441" s="184"/>
      <c r="AH441" s="37"/>
    </row>
    <row r="442" spans="1:34">
      <c r="A442" s="14">
        <f t="shared" si="142"/>
        <v>46313</v>
      </c>
      <c r="B442" s="38"/>
      <c r="C442" s="13"/>
      <c r="D442" s="13"/>
      <c r="E442" s="13"/>
      <c r="F442" s="13"/>
      <c r="G442" s="13"/>
      <c r="H442" s="12"/>
      <c r="I442" s="12"/>
      <c r="J442" s="13"/>
      <c r="K442" s="184"/>
      <c r="L442" s="26"/>
      <c r="M442" s="22"/>
      <c r="N442" s="29"/>
      <c r="O442" s="13"/>
      <c r="P442" s="13"/>
      <c r="Q442" s="13"/>
      <c r="R442" s="13"/>
      <c r="S442" s="13"/>
      <c r="T442" s="36"/>
      <c r="U442" s="13"/>
      <c r="V442" s="13"/>
      <c r="W442" s="184"/>
      <c r="X442" s="37"/>
      <c r="Y442" s="22"/>
      <c r="Z442" s="38"/>
      <c r="AA442" s="13"/>
      <c r="AB442" s="13"/>
      <c r="AC442" s="13"/>
      <c r="AD442" s="36"/>
      <c r="AE442" s="13"/>
      <c r="AF442" s="13"/>
      <c r="AG442" s="184"/>
      <c r="AH442" s="37"/>
    </row>
    <row r="443" spans="1:34">
      <c r="A443" s="14">
        <f t="shared" si="142"/>
        <v>46314</v>
      </c>
      <c r="B443" s="38"/>
      <c r="C443" s="13"/>
      <c r="D443" s="13"/>
      <c r="E443" s="13"/>
      <c r="F443" s="13"/>
      <c r="G443" s="13"/>
      <c r="H443" s="12"/>
      <c r="I443" s="12"/>
      <c r="J443" s="13"/>
      <c r="K443" s="184"/>
      <c r="L443" s="37"/>
      <c r="M443" s="22"/>
      <c r="N443" s="29"/>
      <c r="O443" s="13"/>
      <c r="P443" s="13"/>
      <c r="Q443" s="13"/>
      <c r="R443" s="13"/>
      <c r="S443" s="13"/>
      <c r="T443" s="36"/>
      <c r="U443" s="13"/>
      <c r="V443" s="13"/>
      <c r="W443" s="184"/>
      <c r="X443" s="37"/>
      <c r="Y443" s="22"/>
      <c r="Z443" s="38"/>
      <c r="AA443" s="13"/>
      <c r="AB443" s="13"/>
      <c r="AC443" s="13"/>
      <c r="AD443" s="36"/>
      <c r="AE443" s="13"/>
      <c r="AF443" s="13"/>
      <c r="AG443" s="184"/>
      <c r="AH443" s="37"/>
    </row>
    <row r="444" spans="1:34">
      <c r="A444" s="14">
        <f t="shared" si="142"/>
        <v>46315</v>
      </c>
      <c r="B444" s="38"/>
      <c r="C444" s="13"/>
      <c r="D444" s="13"/>
      <c r="E444" s="13"/>
      <c r="F444" s="13"/>
      <c r="G444" s="13"/>
      <c r="H444" s="12"/>
      <c r="I444" s="13"/>
      <c r="J444" s="13"/>
      <c r="K444" s="184"/>
      <c r="L444" s="26"/>
      <c r="M444" s="22"/>
      <c r="N444" s="29"/>
      <c r="O444" s="13"/>
      <c r="P444" s="13"/>
      <c r="Q444" s="13"/>
      <c r="R444" s="13"/>
      <c r="S444" s="13"/>
      <c r="T444" s="36"/>
      <c r="U444" s="13"/>
      <c r="V444" s="13"/>
      <c r="W444" s="184"/>
      <c r="X444" s="37"/>
      <c r="Y444" s="22"/>
      <c r="Z444" s="38"/>
      <c r="AA444" s="13"/>
      <c r="AB444" s="13"/>
      <c r="AC444" s="13"/>
      <c r="AD444" s="36"/>
      <c r="AE444" s="13"/>
      <c r="AF444" s="13"/>
      <c r="AG444" s="184"/>
      <c r="AH444" s="37"/>
    </row>
    <row r="445" spans="1:34">
      <c r="A445" s="14">
        <f t="shared" si="142"/>
        <v>46316</v>
      </c>
      <c r="B445" s="38"/>
      <c r="C445" s="13"/>
      <c r="D445" s="13"/>
      <c r="E445" s="13"/>
      <c r="F445" s="13"/>
      <c r="G445" s="13"/>
      <c r="H445" s="36"/>
      <c r="I445" s="12"/>
      <c r="J445" s="13"/>
      <c r="K445" s="184"/>
      <c r="L445" s="37"/>
      <c r="M445" s="22"/>
      <c r="N445" s="29"/>
      <c r="O445" s="13"/>
      <c r="P445" s="13"/>
      <c r="Q445" s="13"/>
      <c r="R445" s="13"/>
      <c r="S445" s="13"/>
      <c r="T445" s="36"/>
      <c r="U445" s="13"/>
      <c r="V445" s="13"/>
      <c r="W445" s="184"/>
      <c r="X445" s="37"/>
      <c r="Y445" s="22"/>
      <c r="Z445" s="38"/>
      <c r="AA445" s="13"/>
      <c r="AB445" s="13"/>
      <c r="AC445" s="13"/>
      <c r="AD445" s="36"/>
      <c r="AE445" s="12"/>
      <c r="AF445" s="13"/>
      <c r="AG445" s="184"/>
      <c r="AH445" s="37"/>
    </row>
    <row r="446" spans="1:34">
      <c r="A446" s="14">
        <f t="shared" si="142"/>
        <v>46317</v>
      </c>
      <c r="B446" s="38"/>
      <c r="C446" s="13"/>
      <c r="D446" s="13"/>
      <c r="E446" s="13"/>
      <c r="F446" s="13"/>
      <c r="G446" s="13"/>
      <c r="H446" s="12"/>
      <c r="I446" s="13"/>
      <c r="J446" s="13"/>
      <c r="K446" s="184"/>
      <c r="L446" s="26"/>
      <c r="M446" s="22"/>
      <c r="N446" s="29"/>
      <c r="O446" s="13"/>
      <c r="P446" s="13"/>
      <c r="Q446" s="13"/>
      <c r="R446" s="13"/>
      <c r="S446" s="13"/>
      <c r="T446" s="36"/>
      <c r="U446" s="13"/>
      <c r="V446" s="13"/>
      <c r="W446" s="184"/>
      <c r="X446" s="37"/>
      <c r="Y446" s="22"/>
      <c r="Z446" s="38"/>
      <c r="AA446" s="13"/>
      <c r="AB446" s="13"/>
      <c r="AC446" s="13"/>
      <c r="AD446" s="36"/>
      <c r="AE446" s="13"/>
      <c r="AF446" s="13"/>
      <c r="AG446" s="184"/>
      <c r="AH446" s="37"/>
    </row>
    <row r="447" spans="1:34">
      <c r="A447" s="14">
        <f t="shared" si="142"/>
        <v>46318</v>
      </c>
      <c r="B447" s="29"/>
      <c r="C447" s="13"/>
      <c r="D447" s="13"/>
      <c r="E447" s="13"/>
      <c r="F447" s="13"/>
      <c r="G447" s="13"/>
      <c r="H447" s="13"/>
      <c r="I447" s="13"/>
      <c r="J447" s="13"/>
      <c r="K447" s="184"/>
      <c r="L447" s="37"/>
      <c r="M447" s="22"/>
      <c r="N447" s="29"/>
      <c r="O447" s="13"/>
      <c r="P447" s="13"/>
      <c r="Q447" s="13"/>
      <c r="R447" s="13"/>
      <c r="S447" s="13"/>
      <c r="T447" s="36"/>
      <c r="U447" s="13"/>
      <c r="V447" s="13"/>
      <c r="W447" s="184"/>
      <c r="X447" s="37"/>
      <c r="Y447" s="22"/>
      <c r="Z447" s="38"/>
      <c r="AA447" s="13"/>
      <c r="AB447" s="13"/>
      <c r="AC447" s="13"/>
      <c r="AD447" s="36"/>
      <c r="AE447" s="13"/>
      <c r="AF447" s="13"/>
      <c r="AG447" s="184"/>
      <c r="AH447" s="37"/>
    </row>
    <row r="448" spans="1:34">
      <c r="A448" s="14">
        <f t="shared" si="142"/>
        <v>46319</v>
      </c>
      <c r="B448" s="29"/>
      <c r="C448" s="13"/>
      <c r="D448" s="13"/>
      <c r="E448" s="13"/>
      <c r="F448" s="13"/>
      <c r="G448" s="13"/>
      <c r="H448" s="13"/>
      <c r="I448" s="13"/>
      <c r="J448" s="13"/>
      <c r="K448" s="184"/>
      <c r="L448" s="37"/>
      <c r="M448" s="22"/>
      <c r="N448" s="29"/>
      <c r="O448" s="13"/>
      <c r="P448" s="13"/>
      <c r="Q448" s="13"/>
      <c r="R448" s="13"/>
      <c r="S448" s="13"/>
      <c r="T448" s="36"/>
      <c r="U448" s="13"/>
      <c r="V448" s="13"/>
      <c r="W448" s="184"/>
      <c r="X448" s="37"/>
      <c r="Y448" s="22"/>
      <c r="Z448" s="38"/>
      <c r="AA448" s="13"/>
      <c r="AB448" s="13"/>
      <c r="AC448" s="13"/>
      <c r="AD448" s="36"/>
      <c r="AE448" s="13"/>
      <c r="AF448" s="13"/>
      <c r="AG448" s="184"/>
      <c r="AH448" s="37"/>
    </row>
    <row r="449" spans="1:34">
      <c r="A449" s="14">
        <f t="shared" si="142"/>
        <v>46320</v>
      </c>
      <c r="B449" s="29"/>
      <c r="C449" s="13"/>
      <c r="D449" s="13"/>
      <c r="E449" s="13"/>
      <c r="F449" s="13"/>
      <c r="G449" s="13"/>
      <c r="H449" s="13"/>
      <c r="I449" s="13"/>
      <c r="J449" s="13"/>
      <c r="K449" s="184"/>
      <c r="L449" s="37"/>
      <c r="M449" s="22"/>
      <c r="N449" s="29"/>
      <c r="O449" s="13"/>
      <c r="P449" s="13"/>
      <c r="Q449" s="13"/>
      <c r="R449" s="13"/>
      <c r="S449" s="13"/>
      <c r="T449" s="36"/>
      <c r="U449" s="13"/>
      <c r="V449" s="13"/>
      <c r="W449" s="184"/>
      <c r="X449" s="37"/>
      <c r="Y449" s="22"/>
      <c r="Z449" s="38"/>
      <c r="AA449" s="13"/>
      <c r="AB449" s="13"/>
      <c r="AC449" s="13"/>
      <c r="AD449" s="36"/>
      <c r="AE449" s="13"/>
      <c r="AF449" s="13"/>
      <c r="AG449" s="184"/>
      <c r="AH449" s="37"/>
    </row>
    <row r="450" spans="1:34">
      <c r="A450" s="14">
        <f t="shared" si="142"/>
        <v>46321</v>
      </c>
      <c r="B450" s="29"/>
      <c r="C450" s="13"/>
      <c r="D450" s="13"/>
      <c r="E450" s="13"/>
      <c r="F450" s="13"/>
      <c r="G450" s="13"/>
      <c r="H450" s="13"/>
      <c r="I450" s="13"/>
      <c r="J450" s="13"/>
      <c r="K450" s="184"/>
      <c r="L450" s="37"/>
      <c r="M450" s="22"/>
      <c r="N450" s="29"/>
      <c r="O450" s="13"/>
      <c r="P450" s="13"/>
      <c r="Q450" s="13"/>
      <c r="R450" s="13"/>
      <c r="S450" s="13"/>
      <c r="T450" s="36"/>
      <c r="U450" s="13"/>
      <c r="V450" s="13"/>
      <c r="W450" s="184"/>
      <c r="X450" s="51"/>
      <c r="Y450" s="22"/>
      <c r="Z450" s="38"/>
      <c r="AA450" s="13"/>
      <c r="AB450" s="13"/>
      <c r="AC450" s="13"/>
      <c r="AD450" s="36"/>
      <c r="AE450" s="13"/>
      <c r="AF450" s="13"/>
      <c r="AG450" s="184"/>
      <c r="AH450" s="51"/>
    </row>
    <row r="451" spans="1:34">
      <c r="A451" s="14">
        <f t="shared" si="142"/>
        <v>46322</v>
      </c>
      <c r="B451" s="29"/>
      <c r="C451" s="13"/>
      <c r="D451" s="13"/>
      <c r="E451" s="13"/>
      <c r="F451" s="13"/>
      <c r="G451" s="13"/>
      <c r="H451" s="13"/>
      <c r="I451" s="13"/>
      <c r="J451" s="13"/>
      <c r="K451" s="184"/>
      <c r="L451" s="37"/>
      <c r="M451" s="22"/>
      <c r="N451" s="29"/>
      <c r="O451" s="13"/>
      <c r="P451" s="13"/>
      <c r="Q451" s="13"/>
      <c r="R451" s="13"/>
      <c r="S451" s="13"/>
      <c r="T451" s="36"/>
      <c r="U451" s="13"/>
      <c r="V451" s="13"/>
      <c r="W451" s="184"/>
      <c r="X451" s="37"/>
      <c r="Y451" s="22"/>
      <c r="Z451" s="38"/>
      <c r="AA451" s="13"/>
      <c r="AB451" s="13"/>
      <c r="AC451" s="13"/>
      <c r="AD451" s="36"/>
      <c r="AE451" s="13"/>
      <c r="AF451" s="13"/>
      <c r="AG451" s="184"/>
      <c r="AH451" s="37"/>
    </row>
    <row r="452" spans="1:34">
      <c r="A452" s="14">
        <f t="shared" si="142"/>
        <v>46323</v>
      </c>
      <c r="B452" s="29"/>
      <c r="C452" s="13"/>
      <c r="D452" s="13"/>
      <c r="E452" s="13"/>
      <c r="F452" s="13"/>
      <c r="G452" s="13"/>
      <c r="H452" s="13"/>
      <c r="I452" s="13"/>
      <c r="J452" s="13"/>
      <c r="K452" s="184"/>
      <c r="L452" s="37"/>
      <c r="M452" s="22"/>
      <c r="N452" s="29"/>
      <c r="O452" s="13"/>
      <c r="P452" s="13"/>
      <c r="Q452" s="13"/>
      <c r="R452" s="13"/>
      <c r="S452" s="13"/>
      <c r="T452" s="36"/>
      <c r="U452" s="13"/>
      <c r="V452" s="13"/>
      <c r="W452" s="184"/>
      <c r="X452" s="37"/>
      <c r="Y452" s="22"/>
      <c r="Z452" s="38"/>
      <c r="AA452" s="13"/>
      <c r="AB452" s="13"/>
      <c r="AC452" s="13"/>
      <c r="AD452" s="36"/>
      <c r="AE452" s="13"/>
      <c r="AF452" s="13"/>
      <c r="AG452" s="184"/>
      <c r="AH452" s="37"/>
    </row>
    <row r="453" spans="1:34">
      <c r="A453" s="14">
        <f t="shared" si="142"/>
        <v>46324</v>
      </c>
      <c r="B453" s="29"/>
      <c r="C453" s="13"/>
      <c r="D453" s="13"/>
      <c r="E453" s="13"/>
      <c r="F453" s="13"/>
      <c r="G453" s="13"/>
      <c r="H453" s="13"/>
      <c r="I453" s="13"/>
      <c r="J453" s="13"/>
      <c r="K453" s="184"/>
      <c r="L453" s="37"/>
      <c r="M453" s="22"/>
      <c r="N453" s="29"/>
      <c r="O453" s="13"/>
      <c r="P453" s="13"/>
      <c r="Q453" s="13"/>
      <c r="R453" s="13"/>
      <c r="S453" s="13"/>
      <c r="T453" s="36"/>
      <c r="U453" s="13"/>
      <c r="V453" s="13"/>
      <c r="W453" s="184"/>
      <c r="X453" s="37"/>
      <c r="Y453" s="22"/>
      <c r="Z453" s="38"/>
      <c r="AA453" s="13"/>
      <c r="AB453" s="13"/>
      <c r="AC453" s="13"/>
      <c r="AD453" s="36"/>
      <c r="AE453" s="13"/>
      <c r="AF453" s="13"/>
      <c r="AG453" s="184"/>
      <c r="AH453" s="37"/>
    </row>
    <row r="454" spans="1:34">
      <c r="A454" s="14">
        <f t="shared" si="142"/>
        <v>46325</v>
      </c>
      <c r="B454" s="29"/>
      <c r="C454" s="13"/>
      <c r="D454" s="13"/>
      <c r="E454" s="13"/>
      <c r="F454" s="13"/>
      <c r="G454" s="13"/>
      <c r="H454" s="13"/>
      <c r="I454" s="13"/>
      <c r="J454" s="13"/>
      <c r="K454" s="184"/>
      <c r="L454" s="37"/>
      <c r="M454" s="22"/>
      <c r="N454" s="29"/>
      <c r="O454" s="13"/>
      <c r="P454" s="47"/>
      <c r="Q454" s="47"/>
      <c r="R454" s="47"/>
      <c r="S454" s="47"/>
      <c r="T454" s="52"/>
      <c r="U454" s="47"/>
      <c r="V454" s="53"/>
      <c r="W454" s="184"/>
      <c r="X454" s="48"/>
      <c r="Y454" s="22"/>
      <c r="Z454" s="38"/>
      <c r="AA454" s="13"/>
      <c r="AB454" s="47"/>
      <c r="AC454" s="47"/>
      <c r="AD454" s="52"/>
      <c r="AE454" s="13"/>
      <c r="AF454" s="53"/>
      <c r="AG454" s="53"/>
      <c r="AH454" s="37"/>
    </row>
    <row r="455" spans="1:34" ht="15.75" thickBot="1">
      <c r="A455" s="15"/>
      <c r="B455" s="29"/>
      <c r="C455" s="13"/>
      <c r="D455" s="13"/>
      <c r="E455" s="13"/>
      <c r="F455" s="13"/>
      <c r="G455" s="13"/>
      <c r="H455" s="13"/>
      <c r="I455" s="13"/>
      <c r="J455" s="13"/>
      <c r="K455" s="184"/>
      <c r="L455" s="37"/>
      <c r="M455" s="22"/>
      <c r="N455" s="56"/>
      <c r="O455" s="47"/>
      <c r="P455" s="47"/>
      <c r="Q455" s="47"/>
      <c r="R455" s="47"/>
      <c r="S455" s="47"/>
      <c r="T455" s="52"/>
      <c r="U455" s="47"/>
      <c r="V455" s="47"/>
      <c r="W455" s="184"/>
      <c r="X455" s="48"/>
      <c r="Y455" s="22"/>
      <c r="Z455" s="39"/>
      <c r="AA455" s="47"/>
      <c r="AB455" s="47"/>
      <c r="AC455" s="47"/>
      <c r="AD455" s="47"/>
      <c r="AE455" s="47"/>
      <c r="AF455" s="47"/>
      <c r="AG455" s="53"/>
      <c r="AH455" s="48"/>
    </row>
    <row r="456" spans="1:34">
      <c r="A456" s="16" t="s">
        <v>31</v>
      </c>
      <c r="B456" s="17">
        <f>MIN(B425:B455)</f>
        <v>0</v>
      </c>
      <c r="C456" s="17">
        <f>MIN(C425:C455)</f>
        <v>0</v>
      </c>
      <c r="D456" s="17">
        <f t="shared" ref="D456:L456" si="143">MIN(D425:D455)</f>
        <v>0</v>
      </c>
      <c r="E456" s="17">
        <f t="shared" si="143"/>
        <v>0</v>
      </c>
      <c r="F456" s="17">
        <f t="shared" si="143"/>
        <v>0</v>
      </c>
      <c r="G456" s="17">
        <f t="shared" si="143"/>
        <v>0</v>
      </c>
      <c r="H456" s="197">
        <f t="shared" si="143"/>
        <v>0</v>
      </c>
      <c r="I456" s="17">
        <f t="shared" si="143"/>
        <v>0</v>
      </c>
      <c r="J456" s="17">
        <f t="shared" si="143"/>
        <v>0</v>
      </c>
      <c r="K456" s="17">
        <f t="shared" si="143"/>
        <v>0</v>
      </c>
      <c r="L456" s="30">
        <f t="shared" si="143"/>
        <v>0</v>
      </c>
      <c r="M456" s="22"/>
      <c r="N456" s="17">
        <f>MIN(N425:N455)</f>
        <v>0</v>
      </c>
      <c r="O456" s="17">
        <f>MIN(O425:O455)</f>
        <v>0</v>
      </c>
      <c r="P456" s="17">
        <f t="shared" ref="P456:X456" si="144">MIN(P425:P455)</f>
        <v>0</v>
      </c>
      <c r="Q456" s="17">
        <f t="shared" si="144"/>
        <v>0</v>
      </c>
      <c r="R456" s="17">
        <f t="shared" si="144"/>
        <v>0</v>
      </c>
      <c r="S456" s="17">
        <f t="shared" si="144"/>
        <v>0</v>
      </c>
      <c r="T456" s="197">
        <f t="shared" si="144"/>
        <v>0</v>
      </c>
      <c r="U456" s="17">
        <f t="shared" si="144"/>
        <v>0</v>
      </c>
      <c r="V456" s="17">
        <f t="shared" si="144"/>
        <v>0</v>
      </c>
      <c r="W456" s="17">
        <f t="shared" si="144"/>
        <v>0</v>
      </c>
      <c r="X456" s="30">
        <f t="shared" si="144"/>
        <v>0</v>
      </c>
      <c r="Z456" s="40">
        <f t="shared" ref="Z456:AH456" si="145">MIN(Z425:Z455)</f>
        <v>0</v>
      </c>
      <c r="AA456" s="17">
        <f t="shared" si="145"/>
        <v>0</v>
      </c>
      <c r="AB456" s="17">
        <f t="shared" si="145"/>
        <v>0</v>
      </c>
      <c r="AC456" s="17">
        <f t="shared" si="145"/>
        <v>0</v>
      </c>
      <c r="AD456" s="197">
        <f t="shared" si="145"/>
        <v>0</v>
      </c>
      <c r="AE456" s="17">
        <f t="shared" si="145"/>
        <v>0</v>
      </c>
      <c r="AF456" s="17">
        <f t="shared" si="145"/>
        <v>0</v>
      </c>
      <c r="AG456" s="17">
        <f t="shared" si="145"/>
        <v>0</v>
      </c>
      <c r="AH456" s="30">
        <f t="shared" si="145"/>
        <v>0</v>
      </c>
    </row>
    <row r="457" spans="1:34">
      <c r="A457" s="18" t="s">
        <v>33</v>
      </c>
      <c r="B457" s="19">
        <f>MAX(B425:B455)</f>
        <v>0</v>
      </c>
      <c r="C457" s="19">
        <f>MAX(C425:C455)</f>
        <v>0</v>
      </c>
      <c r="D457" s="19">
        <f t="shared" ref="D457:L457" si="146">MAX(D425:D455)</f>
        <v>0</v>
      </c>
      <c r="E457" s="19">
        <f t="shared" si="146"/>
        <v>0</v>
      </c>
      <c r="F457" s="19">
        <f t="shared" si="146"/>
        <v>0</v>
      </c>
      <c r="G457" s="19">
        <f t="shared" si="146"/>
        <v>0</v>
      </c>
      <c r="H457" s="198">
        <f t="shared" si="146"/>
        <v>0</v>
      </c>
      <c r="I457" s="19">
        <f t="shared" si="146"/>
        <v>0</v>
      </c>
      <c r="J457" s="19">
        <f t="shared" si="146"/>
        <v>0</v>
      </c>
      <c r="K457" s="19">
        <f t="shared" si="146"/>
        <v>0</v>
      </c>
      <c r="L457" s="31">
        <f t="shared" si="146"/>
        <v>0</v>
      </c>
      <c r="M457" s="22"/>
      <c r="N457" s="19">
        <f>MAX(N425:N455)</f>
        <v>0</v>
      </c>
      <c r="O457" s="19">
        <f>MAX(O425:O455)</f>
        <v>0</v>
      </c>
      <c r="P457" s="19">
        <f t="shared" ref="P457:X457" si="147">MAX(P425:P455)</f>
        <v>0</v>
      </c>
      <c r="Q457" s="19">
        <f t="shared" si="147"/>
        <v>0</v>
      </c>
      <c r="R457" s="19">
        <f t="shared" si="147"/>
        <v>0</v>
      </c>
      <c r="S457" s="19">
        <f t="shared" si="147"/>
        <v>0</v>
      </c>
      <c r="T457" s="198">
        <f t="shared" si="147"/>
        <v>0</v>
      </c>
      <c r="U457" s="19">
        <f t="shared" si="147"/>
        <v>0</v>
      </c>
      <c r="V457" s="19">
        <f t="shared" si="147"/>
        <v>0</v>
      </c>
      <c r="W457" s="19">
        <f t="shared" si="147"/>
        <v>0</v>
      </c>
      <c r="X457" s="31">
        <f t="shared" si="147"/>
        <v>0</v>
      </c>
      <c r="Z457" s="41">
        <f t="shared" ref="Z457:AH457" si="148">MAX(Z425:Z455)</f>
        <v>0</v>
      </c>
      <c r="AA457" s="19">
        <f t="shared" si="148"/>
        <v>0</v>
      </c>
      <c r="AB457" s="19">
        <f t="shared" si="148"/>
        <v>0</v>
      </c>
      <c r="AC457" s="19">
        <f t="shared" si="148"/>
        <v>0</v>
      </c>
      <c r="AD457" s="198">
        <f t="shared" si="148"/>
        <v>0</v>
      </c>
      <c r="AE457" s="19">
        <f t="shared" si="148"/>
        <v>0</v>
      </c>
      <c r="AF457" s="19">
        <f t="shared" si="148"/>
        <v>0</v>
      </c>
      <c r="AG457" s="19">
        <f t="shared" si="148"/>
        <v>0</v>
      </c>
      <c r="AH457" s="31">
        <f t="shared" si="148"/>
        <v>0</v>
      </c>
    </row>
    <row r="458" spans="1:34">
      <c r="A458" s="18" t="s">
        <v>36</v>
      </c>
      <c r="B458" s="19" t="e">
        <f t="shared" ref="B458:L458" si="149">AVERAGE(B425:B455)</f>
        <v>#DIV/0!</v>
      </c>
      <c r="C458" s="19" t="e">
        <f t="shared" si="149"/>
        <v>#DIV/0!</v>
      </c>
      <c r="D458" s="19" t="e">
        <f t="shared" si="149"/>
        <v>#DIV/0!</v>
      </c>
      <c r="E458" s="19" t="e">
        <f t="shared" si="149"/>
        <v>#DIV/0!</v>
      </c>
      <c r="F458" s="19" t="e">
        <f t="shared" si="149"/>
        <v>#DIV/0!</v>
      </c>
      <c r="G458" s="19" t="e">
        <f t="shared" si="149"/>
        <v>#DIV/0!</v>
      </c>
      <c r="H458" s="198" t="e">
        <f t="shared" si="149"/>
        <v>#DIV/0!</v>
      </c>
      <c r="I458" s="19" t="e">
        <f t="shared" si="149"/>
        <v>#DIV/0!</v>
      </c>
      <c r="J458" s="19" t="e">
        <f t="shared" si="149"/>
        <v>#DIV/0!</v>
      </c>
      <c r="K458" s="19" t="e">
        <f t="shared" si="149"/>
        <v>#DIV/0!</v>
      </c>
      <c r="L458" s="31" t="e">
        <f t="shared" si="149"/>
        <v>#DIV/0!</v>
      </c>
      <c r="M458" s="22"/>
      <c r="N458" s="19" t="e">
        <f t="shared" ref="N458:X458" si="150">AVERAGE(N425:N455)</f>
        <v>#DIV/0!</v>
      </c>
      <c r="O458" s="19" t="e">
        <f t="shared" si="150"/>
        <v>#DIV/0!</v>
      </c>
      <c r="P458" s="19" t="e">
        <f t="shared" si="150"/>
        <v>#DIV/0!</v>
      </c>
      <c r="Q458" s="19" t="e">
        <f t="shared" si="150"/>
        <v>#DIV/0!</v>
      </c>
      <c r="R458" s="19" t="e">
        <f t="shared" si="150"/>
        <v>#DIV/0!</v>
      </c>
      <c r="S458" s="19" t="e">
        <f t="shared" si="150"/>
        <v>#DIV/0!</v>
      </c>
      <c r="T458" s="198" t="e">
        <f t="shared" si="150"/>
        <v>#DIV/0!</v>
      </c>
      <c r="U458" s="19" t="e">
        <f t="shared" si="150"/>
        <v>#DIV/0!</v>
      </c>
      <c r="V458" s="19" t="e">
        <f t="shared" si="150"/>
        <v>#DIV/0!</v>
      </c>
      <c r="W458" s="19" t="e">
        <f t="shared" si="150"/>
        <v>#DIV/0!</v>
      </c>
      <c r="X458" s="31" t="e">
        <f t="shared" si="150"/>
        <v>#DIV/0!</v>
      </c>
      <c r="Z458" s="41" t="e">
        <f>AVERAGE(Z425:Z455)</f>
        <v>#DIV/0!</v>
      </c>
      <c r="AA458" s="19" t="e">
        <f t="shared" ref="AA458:AH458" si="151">AVERAGE(AA425:AA455)</f>
        <v>#DIV/0!</v>
      </c>
      <c r="AB458" s="19" t="e">
        <f t="shared" si="151"/>
        <v>#DIV/0!</v>
      </c>
      <c r="AC458" s="19" t="e">
        <f t="shared" si="151"/>
        <v>#DIV/0!</v>
      </c>
      <c r="AD458" s="198" t="e">
        <f t="shared" si="151"/>
        <v>#DIV/0!</v>
      </c>
      <c r="AE458" s="19" t="e">
        <f t="shared" si="151"/>
        <v>#DIV/0!</v>
      </c>
      <c r="AF458" s="19" t="e">
        <f t="shared" si="151"/>
        <v>#DIV/0!</v>
      </c>
      <c r="AG458" s="19" t="e">
        <f t="shared" si="151"/>
        <v>#DIV/0!</v>
      </c>
      <c r="AH458" s="31" t="e">
        <f t="shared" si="151"/>
        <v>#DIV/0!</v>
      </c>
    </row>
    <row r="459" spans="1:34" ht="15.75" thickBot="1">
      <c r="A459" s="20" t="s">
        <v>130</v>
      </c>
      <c r="B459" s="21" t="e">
        <f>STDEV(B425:B455)</f>
        <v>#DIV/0!</v>
      </c>
      <c r="C459" s="21" t="e">
        <f t="shared" ref="C459:L459" si="152">STDEV(C425:C455)</f>
        <v>#DIV/0!</v>
      </c>
      <c r="D459" s="21" t="e">
        <f t="shared" si="152"/>
        <v>#DIV/0!</v>
      </c>
      <c r="E459" s="21" t="e">
        <f t="shared" si="152"/>
        <v>#DIV/0!</v>
      </c>
      <c r="F459" s="21" t="e">
        <f t="shared" si="152"/>
        <v>#DIV/0!</v>
      </c>
      <c r="G459" s="21" t="e">
        <f t="shared" si="152"/>
        <v>#DIV/0!</v>
      </c>
      <c r="H459" s="199" t="e">
        <f t="shared" si="152"/>
        <v>#DIV/0!</v>
      </c>
      <c r="I459" s="21" t="e">
        <f t="shared" si="152"/>
        <v>#DIV/0!</v>
      </c>
      <c r="J459" s="21" t="e">
        <f t="shared" si="152"/>
        <v>#DIV/0!</v>
      </c>
      <c r="K459" s="21" t="e">
        <f t="shared" si="152"/>
        <v>#DIV/0!</v>
      </c>
      <c r="L459" s="32" t="e">
        <f t="shared" si="152"/>
        <v>#DIV/0!</v>
      </c>
      <c r="M459" s="22"/>
      <c r="N459" s="21" t="e">
        <f>STDEV(N425:N455)</f>
        <v>#DIV/0!</v>
      </c>
      <c r="O459" s="21" t="e">
        <f t="shared" ref="O459:X459" si="153">STDEV(O425:O455)</f>
        <v>#DIV/0!</v>
      </c>
      <c r="P459" s="21" t="e">
        <f t="shared" si="153"/>
        <v>#DIV/0!</v>
      </c>
      <c r="Q459" s="21" t="e">
        <f t="shared" si="153"/>
        <v>#DIV/0!</v>
      </c>
      <c r="R459" s="21" t="e">
        <f t="shared" si="153"/>
        <v>#DIV/0!</v>
      </c>
      <c r="S459" s="21" t="e">
        <f t="shared" si="153"/>
        <v>#DIV/0!</v>
      </c>
      <c r="T459" s="199" t="e">
        <f t="shared" si="153"/>
        <v>#DIV/0!</v>
      </c>
      <c r="U459" s="21" t="e">
        <f t="shared" si="153"/>
        <v>#DIV/0!</v>
      </c>
      <c r="V459" s="21" t="e">
        <f t="shared" si="153"/>
        <v>#DIV/0!</v>
      </c>
      <c r="W459" s="21" t="e">
        <f t="shared" si="153"/>
        <v>#DIV/0!</v>
      </c>
      <c r="X459" s="32" t="e">
        <f t="shared" si="153"/>
        <v>#DIV/0!</v>
      </c>
      <c r="Z459" s="42" t="e">
        <f>STDEV(Z425:Z455)</f>
        <v>#DIV/0!</v>
      </c>
      <c r="AA459" s="21" t="e">
        <f t="shared" ref="AA459:AH459" si="154">STDEV(AA425:AA455)</f>
        <v>#DIV/0!</v>
      </c>
      <c r="AB459" s="21" t="e">
        <f t="shared" si="154"/>
        <v>#DIV/0!</v>
      </c>
      <c r="AC459" s="21" t="e">
        <f t="shared" si="154"/>
        <v>#DIV/0!</v>
      </c>
      <c r="AD459" s="199" t="e">
        <f t="shared" si="154"/>
        <v>#DIV/0!</v>
      </c>
      <c r="AE459" s="21" t="e">
        <f t="shared" si="154"/>
        <v>#DIV/0!</v>
      </c>
      <c r="AF459" s="21" t="e">
        <f t="shared" si="154"/>
        <v>#DIV/0!</v>
      </c>
      <c r="AG459" s="21" t="e">
        <f t="shared" si="154"/>
        <v>#DIV/0!</v>
      </c>
      <c r="AH459" s="32" t="e">
        <f t="shared" si="154"/>
        <v>#DIV/0!</v>
      </c>
    </row>
    <row r="460" spans="1:34" ht="15.75" thickBot="1"/>
    <row r="461" spans="1:34" ht="15.75" thickBot="1">
      <c r="A461" s="1"/>
      <c r="B461" s="338" t="s">
        <v>0</v>
      </c>
      <c r="C461" s="339"/>
      <c r="D461" s="339"/>
      <c r="E461" s="339"/>
      <c r="F461" s="339"/>
      <c r="G461" s="339"/>
      <c r="H461" s="339"/>
      <c r="I461" s="339"/>
      <c r="J461" s="339"/>
      <c r="K461" s="339"/>
      <c r="L461" s="339"/>
      <c r="M461" s="339"/>
      <c r="N461" s="339"/>
      <c r="O461" s="339"/>
      <c r="P461" s="339"/>
      <c r="Q461" s="339"/>
      <c r="R461" s="339"/>
      <c r="S461" s="339"/>
      <c r="T461" s="339"/>
      <c r="U461" s="339"/>
      <c r="V461" s="339"/>
      <c r="W461" s="339"/>
      <c r="X461" s="339"/>
      <c r="Y461" s="339"/>
      <c r="Z461" s="339"/>
      <c r="AA461" s="339"/>
      <c r="AB461" s="339"/>
      <c r="AC461" s="339"/>
      <c r="AD461" s="340"/>
      <c r="AE461" s="340"/>
      <c r="AF461" s="340"/>
      <c r="AG461" s="340"/>
      <c r="AH461" s="340"/>
    </row>
    <row r="462" spans="1:34" ht="15.75" thickBot="1">
      <c r="A462" s="1"/>
      <c r="B462" s="338" t="s">
        <v>131</v>
      </c>
      <c r="C462" s="339"/>
      <c r="D462" s="339"/>
      <c r="E462" s="339"/>
      <c r="F462" s="339"/>
      <c r="G462" s="339"/>
      <c r="H462" s="339"/>
      <c r="I462" s="339"/>
      <c r="J462" s="339"/>
      <c r="K462" s="339"/>
      <c r="L462" s="339"/>
      <c r="M462" s="339"/>
      <c r="N462" s="339"/>
      <c r="O462" s="339"/>
      <c r="P462" s="339"/>
      <c r="Q462" s="339"/>
      <c r="R462" s="339"/>
      <c r="S462" s="339"/>
      <c r="T462" s="339"/>
      <c r="U462" s="339"/>
      <c r="V462" s="339"/>
      <c r="W462" s="339"/>
      <c r="X462" s="339"/>
      <c r="Y462" s="339"/>
      <c r="Z462" s="339"/>
      <c r="AA462" s="339"/>
      <c r="AB462" s="339"/>
      <c r="AC462" s="339"/>
      <c r="AD462" s="4"/>
      <c r="AE462" s="43" t="s">
        <v>107</v>
      </c>
      <c r="AF462" s="341">
        <v>46327</v>
      </c>
      <c r="AG462" s="342"/>
      <c r="AH462" s="343"/>
    </row>
    <row r="463" spans="1:34">
      <c r="A463" s="344"/>
      <c r="B463" s="346" t="s">
        <v>132</v>
      </c>
      <c r="C463" s="347"/>
      <c r="D463" s="347"/>
      <c r="E463" s="347"/>
      <c r="F463" s="347"/>
      <c r="G463" s="347"/>
      <c r="H463" s="347"/>
      <c r="I463" s="347"/>
      <c r="J463" s="347"/>
      <c r="K463" s="348"/>
      <c r="L463" s="349"/>
      <c r="M463" s="22"/>
      <c r="N463" s="350" t="s">
        <v>133</v>
      </c>
      <c r="O463" s="347"/>
      <c r="P463" s="347"/>
      <c r="Q463" s="347"/>
      <c r="R463" s="347"/>
      <c r="S463" s="347"/>
      <c r="T463" s="347"/>
      <c r="U463" s="347"/>
      <c r="V463" s="347"/>
      <c r="W463" s="348"/>
      <c r="X463" s="349"/>
      <c r="Y463" s="22"/>
      <c r="Z463" s="346" t="s">
        <v>134</v>
      </c>
      <c r="AA463" s="347"/>
      <c r="AB463" s="347"/>
      <c r="AC463" s="347"/>
      <c r="AD463" s="347"/>
      <c r="AE463" s="347"/>
      <c r="AF463" s="347"/>
      <c r="AG463" s="348"/>
      <c r="AH463" s="349"/>
    </row>
    <row r="464" spans="1:34" ht="25.5">
      <c r="A464" s="345"/>
      <c r="B464" s="351" t="s">
        <v>135</v>
      </c>
      <c r="C464" s="353" t="s">
        <v>136</v>
      </c>
      <c r="D464" s="64" t="s">
        <v>137</v>
      </c>
      <c r="E464" s="64" t="s">
        <v>138</v>
      </c>
      <c r="F464" s="64" t="s">
        <v>139</v>
      </c>
      <c r="G464" s="64" t="s">
        <v>140</v>
      </c>
      <c r="H464" s="5" t="s">
        <v>141</v>
      </c>
      <c r="I464" s="5" t="s">
        <v>142</v>
      </c>
      <c r="J464" s="5" t="s">
        <v>143</v>
      </c>
      <c r="K464" s="181" t="s">
        <v>81</v>
      </c>
      <c r="L464" s="23" t="s">
        <v>144</v>
      </c>
      <c r="M464" s="22"/>
      <c r="N464" s="355" t="s">
        <v>135</v>
      </c>
      <c r="O464" s="357" t="s">
        <v>136</v>
      </c>
      <c r="P464" s="5" t="s">
        <v>137</v>
      </c>
      <c r="Q464" s="5" t="s">
        <v>138</v>
      </c>
      <c r="R464" s="5" t="s">
        <v>139</v>
      </c>
      <c r="S464" s="5" t="s">
        <v>140</v>
      </c>
      <c r="T464" s="5" t="s">
        <v>141</v>
      </c>
      <c r="U464" s="5" t="s">
        <v>142</v>
      </c>
      <c r="V464" s="5" t="s">
        <v>143</v>
      </c>
      <c r="W464" s="181" t="s">
        <v>81</v>
      </c>
      <c r="X464" s="23" t="s">
        <v>144</v>
      </c>
      <c r="Y464" s="22"/>
      <c r="Z464" s="33" t="s">
        <v>137</v>
      </c>
      <c r="AA464" s="5" t="s">
        <v>138</v>
      </c>
      <c r="AB464" s="5" t="s">
        <v>139</v>
      </c>
      <c r="AC464" s="5" t="s">
        <v>140</v>
      </c>
      <c r="AD464" s="5" t="s">
        <v>141</v>
      </c>
      <c r="AE464" s="5" t="s">
        <v>142</v>
      </c>
      <c r="AF464" s="5" t="s">
        <v>143</v>
      </c>
      <c r="AG464" s="181" t="s">
        <v>81</v>
      </c>
      <c r="AH464" s="23" t="s">
        <v>144</v>
      </c>
    </row>
    <row r="465" spans="1:34" ht="25.5">
      <c r="A465" s="6" t="s">
        <v>145</v>
      </c>
      <c r="B465" s="352"/>
      <c r="C465" s="354"/>
      <c r="D465" s="64" t="s">
        <v>128</v>
      </c>
      <c r="E465" s="64" t="s">
        <v>128</v>
      </c>
      <c r="F465" s="64" t="s">
        <v>128</v>
      </c>
      <c r="G465" s="64" t="s">
        <v>128</v>
      </c>
      <c r="H465" s="5" t="s">
        <v>125</v>
      </c>
      <c r="I465" s="5" t="s">
        <v>146</v>
      </c>
      <c r="J465" s="5" t="s">
        <v>127</v>
      </c>
      <c r="K465" s="181" t="s">
        <v>53</v>
      </c>
      <c r="L465" s="23" t="s">
        <v>53</v>
      </c>
      <c r="M465" s="22"/>
      <c r="N465" s="356"/>
      <c r="O465" s="358"/>
      <c r="P465" s="5" t="s">
        <v>128</v>
      </c>
      <c r="Q465" s="5" t="s">
        <v>128</v>
      </c>
      <c r="R465" s="5" t="s">
        <v>128</v>
      </c>
      <c r="S465" s="5" t="s">
        <v>128</v>
      </c>
      <c r="T465" s="5" t="s">
        <v>125</v>
      </c>
      <c r="U465" s="5" t="s">
        <v>146</v>
      </c>
      <c r="V465" s="5" t="s">
        <v>127</v>
      </c>
      <c r="W465" s="181" t="s">
        <v>53</v>
      </c>
      <c r="X465" s="23" t="s">
        <v>53</v>
      </c>
      <c r="Y465" s="22"/>
      <c r="Z465" s="33" t="s">
        <v>128</v>
      </c>
      <c r="AA465" s="5" t="s">
        <v>128</v>
      </c>
      <c r="AB465" s="5" t="s">
        <v>128</v>
      </c>
      <c r="AC465" s="5" t="s">
        <v>128</v>
      </c>
      <c r="AD465" s="5" t="s">
        <v>125</v>
      </c>
      <c r="AE465" s="5" t="s">
        <v>146</v>
      </c>
      <c r="AF465" s="5" t="s">
        <v>127</v>
      </c>
      <c r="AG465" s="181" t="s">
        <v>53</v>
      </c>
      <c r="AH465" s="23" t="s">
        <v>53</v>
      </c>
    </row>
    <row r="466" spans="1:34" ht="26.25" thickBot="1">
      <c r="A466" s="7" t="s">
        <v>147</v>
      </c>
      <c r="B466" s="65" t="s">
        <v>148</v>
      </c>
      <c r="C466" s="66" t="s">
        <v>149</v>
      </c>
      <c r="D466" s="66" t="s">
        <v>150</v>
      </c>
      <c r="E466" s="66" t="s">
        <v>151</v>
      </c>
      <c r="F466" s="66" t="s">
        <v>152</v>
      </c>
      <c r="G466" s="66" t="s">
        <v>153</v>
      </c>
      <c r="H466" s="9" t="s">
        <v>154</v>
      </c>
      <c r="I466" s="24" t="s">
        <v>155</v>
      </c>
      <c r="J466" s="24" t="s">
        <v>156</v>
      </c>
      <c r="K466" s="24" t="s">
        <v>179</v>
      </c>
      <c r="L466" s="25" t="s">
        <v>157</v>
      </c>
      <c r="M466" s="22"/>
      <c r="N466" s="8" t="s">
        <v>148</v>
      </c>
      <c r="O466" s="9" t="s">
        <v>149</v>
      </c>
      <c r="P466" s="9" t="s">
        <v>150</v>
      </c>
      <c r="Q466" s="9" t="s">
        <v>151</v>
      </c>
      <c r="R466" s="9" t="s">
        <v>152</v>
      </c>
      <c r="S466" s="9" t="s">
        <v>153</v>
      </c>
      <c r="T466" s="9" t="s">
        <v>154</v>
      </c>
      <c r="U466" s="24" t="s">
        <v>155</v>
      </c>
      <c r="V466" s="24" t="s">
        <v>156</v>
      </c>
      <c r="W466" s="24" t="s">
        <v>179</v>
      </c>
      <c r="X466" s="25" t="s">
        <v>157</v>
      </c>
      <c r="Y466" s="22"/>
      <c r="Z466" s="8" t="s">
        <v>150</v>
      </c>
      <c r="AA466" s="9" t="s">
        <v>158</v>
      </c>
      <c r="AB466" s="9" t="s">
        <v>152</v>
      </c>
      <c r="AC466" s="9" t="s">
        <v>159</v>
      </c>
      <c r="AD466" s="9" t="s">
        <v>154</v>
      </c>
      <c r="AE466" s="9" t="s">
        <v>155</v>
      </c>
      <c r="AF466" s="9" t="s">
        <v>156</v>
      </c>
      <c r="AG466" s="24" t="s">
        <v>179</v>
      </c>
      <c r="AH466" s="23" t="s">
        <v>157</v>
      </c>
    </row>
    <row r="467" spans="1:34">
      <c r="A467" s="10">
        <f>AF462+0</f>
        <v>46327</v>
      </c>
      <c r="B467" s="67"/>
      <c r="C467" s="68"/>
      <c r="D467" s="68"/>
      <c r="E467" s="68"/>
      <c r="F467" s="68"/>
      <c r="G467" s="68"/>
      <c r="H467" s="69"/>
      <c r="I467" s="69"/>
      <c r="J467" s="69"/>
      <c r="K467" s="191"/>
      <c r="L467" s="73"/>
      <c r="M467" s="74"/>
      <c r="N467" s="75"/>
      <c r="O467" s="76"/>
      <c r="P467" s="76"/>
      <c r="Q467" s="76"/>
      <c r="R467" s="76"/>
      <c r="S467" s="76"/>
      <c r="T467" s="76"/>
      <c r="U467" s="76"/>
      <c r="V467" s="76"/>
      <c r="W467" s="191"/>
      <c r="X467" s="76"/>
      <c r="Y467" s="74"/>
      <c r="Z467" s="81"/>
      <c r="AA467" s="76"/>
      <c r="AB467" s="76"/>
      <c r="AC467" s="76"/>
      <c r="AD467" s="85"/>
      <c r="AE467" s="76"/>
      <c r="AF467" s="76"/>
      <c r="AG467" s="194"/>
      <c r="AH467" s="86"/>
    </row>
    <row r="468" spans="1:34">
      <c r="A468" s="14">
        <f t="shared" ref="A468:A496" si="155">A467+1</f>
        <v>46328</v>
      </c>
      <c r="B468" s="67"/>
      <c r="C468" s="70"/>
      <c r="D468" s="70"/>
      <c r="E468" s="70"/>
      <c r="F468" s="70"/>
      <c r="G468" s="70"/>
      <c r="H468" s="71"/>
      <c r="I468" s="71"/>
      <c r="J468" s="70"/>
      <c r="K468" s="192"/>
      <c r="L468" s="77"/>
      <c r="M468" s="74"/>
      <c r="N468" s="78"/>
      <c r="O468" s="70"/>
      <c r="P468" s="70"/>
      <c r="Q468" s="70"/>
      <c r="R468" s="70"/>
      <c r="S468" s="70"/>
      <c r="T468" s="70"/>
      <c r="U468" s="70"/>
      <c r="V468" s="70"/>
      <c r="W468" s="192"/>
      <c r="X468" s="70"/>
      <c r="Y468" s="74"/>
      <c r="Z468" s="67"/>
      <c r="AA468" s="70"/>
      <c r="AB468" s="70"/>
      <c r="AC468" s="70"/>
      <c r="AD468" s="82"/>
      <c r="AE468" s="70"/>
      <c r="AF468" s="70"/>
      <c r="AG468" s="192"/>
      <c r="AH468" s="87"/>
    </row>
    <row r="469" spans="1:34">
      <c r="A469" s="14">
        <f t="shared" si="155"/>
        <v>46329</v>
      </c>
      <c r="B469" s="67"/>
      <c r="C469" s="70"/>
      <c r="D469" s="70"/>
      <c r="E469" s="70"/>
      <c r="F469" s="70"/>
      <c r="G469" s="70"/>
      <c r="H469" s="71"/>
      <c r="I469" s="70"/>
      <c r="J469" s="70"/>
      <c r="K469" s="192"/>
      <c r="L469" s="77"/>
      <c r="M469" s="74"/>
      <c r="N469" s="70"/>
      <c r="O469" s="70"/>
      <c r="P469" s="70"/>
      <c r="Q469" s="70"/>
      <c r="R469" s="70"/>
      <c r="S469" s="70"/>
      <c r="T469" s="82"/>
      <c r="U469" s="70"/>
      <c r="V469" s="70"/>
      <c r="W469" s="192"/>
      <c r="X469" s="83"/>
      <c r="Y469" s="74"/>
      <c r="Z469" s="67"/>
      <c r="AA469" s="70"/>
      <c r="AB469" s="70"/>
      <c r="AC469" s="70"/>
      <c r="AD469" s="82"/>
      <c r="AE469" s="70"/>
      <c r="AF469" s="70"/>
      <c r="AG469" s="192"/>
      <c r="AH469" s="87"/>
    </row>
    <row r="470" spans="1:34">
      <c r="A470" s="14">
        <f t="shared" si="155"/>
        <v>46330</v>
      </c>
      <c r="B470" s="67"/>
      <c r="C470" s="70"/>
      <c r="D470" s="70"/>
      <c r="E470" s="70"/>
      <c r="F470" s="70"/>
      <c r="G470" s="70"/>
      <c r="H470" s="71"/>
      <c r="I470" s="71"/>
      <c r="J470" s="70"/>
      <c r="K470" s="192"/>
      <c r="L470" s="77"/>
      <c r="M470" s="74"/>
      <c r="N470" s="78"/>
      <c r="O470" s="70"/>
      <c r="P470" s="70"/>
      <c r="Q470" s="70"/>
      <c r="R470" s="70"/>
      <c r="S470" s="70"/>
      <c r="T470" s="82"/>
      <c r="U470" s="70"/>
      <c r="V470" s="70"/>
      <c r="W470" s="192"/>
      <c r="X470" s="83"/>
      <c r="Y470" s="74"/>
      <c r="Z470" s="67"/>
      <c r="AA470" s="70"/>
      <c r="AB470" s="70"/>
      <c r="AC470" s="70"/>
      <c r="AD470" s="82"/>
      <c r="AE470" s="70"/>
      <c r="AF470" s="70"/>
      <c r="AG470" s="192"/>
      <c r="AH470" s="87"/>
    </row>
    <row r="471" spans="1:34">
      <c r="A471" s="14">
        <f t="shared" si="155"/>
        <v>46331</v>
      </c>
      <c r="B471" s="67"/>
      <c r="C471" s="70"/>
      <c r="D471" s="70"/>
      <c r="E471" s="70"/>
      <c r="F471" s="70"/>
      <c r="G471" s="70"/>
      <c r="H471" s="71"/>
      <c r="I471" s="71"/>
      <c r="J471" s="70"/>
      <c r="K471" s="192"/>
      <c r="L471" s="77"/>
      <c r="M471" s="74"/>
      <c r="N471" s="78"/>
      <c r="O471" s="70"/>
      <c r="P471" s="70"/>
      <c r="Q471" s="70"/>
      <c r="R471" s="70"/>
      <c r="S471" s="70"/>
      <c r="T471" s="82"/>
      <c r="U471" s="70"/>
      <c r="V471" s="70"/>
      <c r="W471" s="192"/>
      <c r="X471" s="84"/>
      <c r="Y471" s="74"/>
      <c r="Z471" s="67"/>
      <c r="AA471" s="70"/>
      <c r="AB471" s="70"/>
      <c r="AC471" s="70"/>
      <c r="AD471" s="82"/>
      <c r="AE471" s="70"/>
      <c r="AF471" s="70"/>
      <c r="AG471" s="192"/>
      <c r="AH471" s="88"/>
    </row>
    <row r="472" spans="1:34">
      <c r="A472" s="14">
        <f t="shared" si="155"/>
        <v>46332</v>
      </c>
      <c r="B472" s="67"/>
      <c r="C472" s="70"/>
      <c r="D472" s="70"/>
      <c r="E472" s="70"/>
      <c r="F472" s="70"/>
      <c r="G472" s="70"/>
      <c r="H472" s="71"/>
      <c r="I472" s="71"/>
      <c r="J472" s="70"/>
      <c r="K472" s="192"/>
      <c r="L472" s="77"/>
      <c r="M472" s="74"/>
      <c r="N472" s="78"/>
      <c r="O472" s="70"/>
      <c r="P472" s="70"/>
      <c r="Q472" s="70"/>
      <c r="R472" s="70"/>
      <c r="S472" s="70"/>
      <c r="T472" s="82"/>
      <c r="U472" s="70"/>
      <c r="V472" s="70"/>
      <c r="W472" s="192"/>
      <c r="X472" s="84"/>
      <c r="Y472" s="74"/>
      <c r="Z472" s="67"/>
      <c r="AA472" s="70"/>
      <c r="AB472" s="70"/>
      <c r="AC472" s="70"/>
      <c r="AD472" s="82"/>
      <c r="AE472" s="70"/>
      <c r="AF472" s="70"/>
      <c r="AG472" s="192"/>
      <c r="AH472" s="88"/>
    </row>
    <row r="473" spans="1:34">
      <c r="A473" s="14">
        <f t="shared" si="155"/>
        <v>46333</v>
      </c>
      <c r="B473" s="67"/>
      <c r="C473" s="70"/>
      <c r="D473" s="70"/>
      <c r="E473" s="70"/>
      <c r="F473" s="70"/>
      <c r="G473" s="70"/>
      <c r="H473" s="71"/>
      <c r="I473" s="71"/>
      <c r="J473" s="70"/>
      <c r="K473" s="192"/>
      <c r="L473" s="77"/>
      <c r="M473" s="74"/>
      <c r="N473" s="78"/>
      <c r="O473" s="79"/>
      <c r="P473" s="70"/>
      <c r="Q473" s="70"/>
      <c r="R473" s="70"/>
      <c r="S473" s="70"/>
      <c r="T473" s="82"/>
      <c r="U473" s="70"/>
      <c r="V473" s="70"/>
      <c r="W473" s="192"/>
      <c r="X473" s="84"/>
      <c r="Y473" s="74"/>
      <c r="Z473" s="67"/>
      <c r="AA473" s="70"/>
      <c r="AB473" s="70"/>
      <c r="AC473" s="70"/>
      <c r="AD473" s="82"/>
      <c r="AE473" s="70"/>
      <c r="AF473" s="70"/>
      <c r="AG473" s="192"/>
      <c r="AH473" s="88"/>
    </row>
    <row r="474" spans="1:34">
      <c r="A474" s="14">
        <f t="shared" si="155"/>
        <v>46334</v>
      </c>
      <c r="B474" s="67"/>
      <c r="C474" s="70"/>
      <c r="D474" s="70"/>
      <c r="E474" s="70"/>
      <c r="F474" s="70"/>
      <c r="G474" s="70"/>
      <c r="H474" s="71"/>
      <c r="I474" s="71"/>
      <c r="J474" s="70"/>
      <c r="K474" s="192"/>
      <c r="L474" s="77"/>
      <c r="M474" s="74"/>
      <c r="N474" s="78"/>
      <c r="O474" s="70"/>
      <c r="P474" s="70"/>
      <c r="Q474" s="70"/>
      <c r="R474" s="70"/>
      <c r="S474" s="70"/>
      <c r="T474" s="82"/>
      <c r="U474" s="70"/>
      <c r="V474" s="70"/>
      <c r="W474" s="192"/>
      <c r="X474" s="83"/>
      <c r="Y474" s="74"/>
      <c r="Z474" s="67"/>
      <c r="AA474" s="70"/>
      <c r="AB474" s="70"/>
      <c r="AC474" s="70"/>
      <c r="AD474" s="82"/>
      <c r="AE474" s="70"/>
      <c r="AF474" s="70"/>
      <c r="AG474" s="192"/>
      <c r="AH474" s="87"/>
    </row>
    <row r="475" spans="1:34">
      <c r="A475" s="14">
        <f t="shared" si="155"/>
        <v>46335</v>
      </c>
      <c r="B475" s="67"/>
      <c r="C475" s="70"/>
      <c r="D475" s="70"/>
      <c r="E475" s="70"/>
      <c r="F475" s="70"/>
      <c r="G475" s="70"/>
      <c r="H475" s="71"/>
      <c r="I475" s="71"/>
      <c r="J475" s="70"/>
      <c r="K475" s="192"/>
      <c r="L475" s="77"/>
      <c r="M475" s="74"/>
      <c r="N475" s="78"/>
      <c r="O475" s="70"/>
      <c r="P475" s="70"/>
      <c r="Q475" s="70"/>
      <c r="R475" s="70"/>
      <c r="S475" s="70"/>
      <c r="T475" s="82"/>
      <c r="U475" s="70"/>
      <c r="V475" s="70"/>
      <c r="W475" s="192"/>
      <c r="X475" s="83"/>
      <c r="Y475" s="74"/>
      <c r="Z475" s="67"/>
      <c r="AA475" s="70"/>
      <c r="AB475" s="70"/>
      <c r="AC475" s="70"/>
      <c r="AD475" s="82"/>
      <c r="AE475" s="70"/>
      <c r="AF475" s="70"/>
      <c r="AG475" s="192"/>
      <c r="AH475" s="87"/>
    </row>
    <row r="476" spans="1:34">
      <c r="A476" s="14">
        <f t="shared" si="155"/>
        <v>46336</v>
      </c>
      <c r="B476" s="67"/>
      <c r="C476" s="70"/>
      <c r="D476" s="70"/>
      <c r="E476" s="70"/>
      <c r="F476" s="70"/>
      <c r="G476" s="70"/>
      <c r="H476" s="71"/>
      <c r="I476" s="71"/>
      <c r="J476" s="70"/>
      <c r="K476" s="192"/>
      <c r="L476" s="77"/>
      <c r="M476" s="74"/>
      <c r="N476" s="78"/>
      <c r="O476" s="70"/>
      <c r="P476" s="70"/>
      <c r="Q476" s="70"/>
      <c r="R476" s="70"/>
      <c r="S476" s="70"/>
      <c r="T476" s="82"/>
      <c r="U476" s="70"/>
      <c r="V476" s="70"/>
      <c r="W476" s="192"/>
      <c r="X476" s="83"/>
      <c r="Y476" s="74"/>
      <c r="Z476" s="67"/>
      <c r="AA476" s="70"/>
      <c r="AB476" s="70"/>
      <c r="AC476" s="70"/>
      <c r="AD476" s="82"/>
      <c r="AE476" s="70"/>
      <c r="AF476" s="70"/>
      <c r="AG476" s="192"/>
      <c r="AH476" s="87"/>
    </row>
    <row r="477" spans="1:34">
      <c r="A477" s="14">
        <f t="shared" si="155"/>
        <v>46337</v>
      </c>
      <c r="B477" s="38"/>
      <c r="C477" s="13"/>
      <c r="D477" s="13"/>
      <c r="E477" s="13"/>
      <c r="F477" s="13"/>
      <c r="G477" s="13"/>
      <c r="H477" s="12"/>
      <c r="I477" s="12"/>
      <c r="J477" s="13"/>
      <c r="K477" s="184"/>
      <c r="L477" s="26"/>
      <c r="M477" s="22"/>
      <c r="N477" s="29"/>
      <c r="O477" s="13"/>
      <c r="P477" s="13"/>
      <c r="Q477" s="13"/>
      <c r="R477" s="13"/>
      <c r="S477" s="13"/>
      <c r="T477" s="36"/>
      <c r="U477" s="13"/>
      <c r="V477" s="13"/>
      <c r="W477" s="184"/>
      <c r="X477" s="37"/>
      <c r="Y477" s="22"/>
      <c r="Z477" s="38"/>
      <c r="AA477" s="13"/>
      <c r="AB477" s="13"/>
      <c r="AC477" s="13"/>
      <c r="AD477" s="36"/>
      <c r="AE477" s="13"/>
      <c r="AF477" s="13"/>
      <c r="AG477" s="184"/>
      <c r="AH477" s="45"/>
    </row>
    <row r="478" spans="1:34">
      <c r="A478" s="14">
        <f t="shared" si="155"/>
        <v>46338</v>
      </c>
      <c r="B478" s="38"/>
      <c r="C478" s="13"/>
      <c r="D478" s="13"/>
      <c r="E478" s="13"/>
      <c r="F478" s="13"/>
      <c r="G478" s="13"/>
      <c r="H478" s="12"/>
      <c r="I478" s="12"/>
      <c r="J478" s="13"/>
      <c r="K478" s="184"/>
      <c r="L478" s="26"/>
      <c r="M478" s="22"/>
      <c r="N478" s="29"/>
      <c r="O478" s="13"/>
      <c r="P478" s="13"/>
      <c r="Q478" s="13"/>
      <c r="R478" s="13"/>
      <c r="S478" s="13"/>
      <c r="T478" s="36"/>
      <c r="U478" s="13"/>
      <c r="V478" s="13"/>
      <c r="W478" s="184"/>
      <c r="X478" s="37"/>
      <c r="Y478" s="22"/>
      <c r="Z478" s="38"/>
      <c r="AA478" s="13"/>
      <c r="AB478" s="13"/>
      <c r="AC478" s="13"/>
      <c r="AD478" s="36"/>
      <c r="AE478" s="13"/>
      <c r="AF478" s="13"/>
      <c r="AG478" s="184"/>
      <c r="AH478" s="45"/>
    </row>
    <row r="479" spans="1:34">
      <c r="A479" s="14">
        <f t="shared" si="155"/>
        <v>46339</v>
      </c>
      <c r="B479" s="38"/>
      <c r="C479" s="13"/>
      <c r="D479" s="13"/>
      <c r="E479" s="13"/>
      <c r="F479" s="13"/>
      <c r="G479" s="13"/>
      <c r="H479" s="12"/>
      <c r="I479" s="12"/>
      <c r="J479" s="13"/>
      <c r="K479" s="184"/>
      <c r="L479" s="26"/>
      <c r="M479" s="22"/>
      <c r="N479" s="29"/>
      <c r="O479" s="13"/>
      <c r="P479" s="13"/>
      <c r="Q479" s="13"/>
      <c r="R479" s="13"/>
      <c r="S479" s="13"/>
      <c r="T479" s="36"/>
      <c r="U479" s="13"/>
      <c r="V479" s="13"/>
      <c r="W479" s="184"/>
      <c r="X479" s="37"/>
      <c r="Y479" s="22"/>
      <c r="Z479" s="38"/>
      <c r="AA479" s="13"/>
      <c r="AB479" s="13"/>
      <c r="AC479" s="13"/>
      <c r="AD479" s="36"/>
      <c r="AE479" s="13"/>
      <c r="AF479" s="13"/>
      <c r="AG479" s="184"/>
      <c r="AH479" s="45"/>
    </row>
    <row r="480" spans="1:34">
      <c r="A480" s="14">
        <f t="shared" si="155"/>
        <v>46340</v>
      </c>
      <c r="B480" s="38"/>
      <c r="C480" s="13"/>
      <c r="D480" s="13"/>
      <c r="E480" s="13"/>
      <c r="F480" s="13"/>
      <c r="G480" s="13"/>
      <c r="H480" s="72"/>
      <c r="I480" s="80"/>
      <c r="J480" s="13"/>
      <c r="K480" s="184"/>
      <c r="L480" s="26"/>
      <c r="M480" s="22"/>
      <c r="N480" s="29"/>
      <c r="O480" s="13"/>
      <c r="P480" s="13"/>
      <c r="Q480" s="13"/>
      <c r="R480" s="13"/>
      <c r="S480" s="13"/>
      <c r="T480" s="36"/>
      <c r="U480" s="13"/>
      <c r="V480" s="13"/>
      <c r="W480" s="184"/>
      <c r="X480" s="37"/>
      <c r="Y480" s="22"/>
      <c r="Z480" s="38"/>
      <c r="AA480" s="13"/>
      <c r="AB480" s="13"/>
      <c r="AC480" s="13"/>
      <c r="AD480" s="36"/>
      <c r="AE480" s="13"/>
      <c r="AF480" s="13"/>
      <c r="AG480" s="184"/>
      <c r="AH480" s="37"/>
    </row>
    <row r="481" spans="1:34">
      <c r="A481" s="14">
        <f t="shared" si="155"/>
        <v>46341</v>
      </c>
      <c r="B481" s="38"/>
      <c r="C481" s="13"/>
      <c r="D481" s="13"/>
      <c r="E481" s="13"/>
      <c r="F481" s="13"/>
      <c r="G481" s="13"/>
      <c r="H481" s="72"/>
      <c r="I481" s="80"/>
      <c r="J481" s="13"/>
      <c r="K481" s="184"/>
      <c r="L481" s="26"/>
      <c r="M481" s="22"/>
      <c r="N481" s="29"/>
      <c r="O481" s="13"/>
      <c r="P481" s="13"/>
      <c r="Q481" s="13"/>
      <c r="R481" s="13"/>
      <c r="S481" s="13"/>
      <c r="T481" s="36"/>
      <c r="U481" s="13"/>
      <c r="V481" s="13"/>
      <c r="W481" s="184"/>
      <c r="X481" s="37"/>
      <c r="Y481" s="22"/>
      <c r="Z481" s="38"/>
      <c r="AA481" s="13"/>
      <c r="AB481" s="13"/>
      <c r="AC481" s="13"/>
      <c r="AD481" s="36"/>
      <c r="AE481" s="13"/>
      <c r="AF481" s="13"/>
      <c r="AG481" s="184"/>
      <c r="AH481" s="37"/>
    </row>
    <row r="482" spans="1:34">
      <c r="A482" s="14">
        <f t="shared" si="155"/>
        <v>46342</v>
      </c>
      <c r="B482" s="38"/>
      <c r="C482" s="13"/>
      <c r="D482" s="13"/>
      <c r="E482" s="13"/>
      <c r="F482" s="13"/>
      <c r="G482" s="13"/>
      <c r="H482" s="12"/>
      <c r="I482" s="12"/>
      <c r="J482" s="13"/>
      <c r="K482" s="184"/>
      <c r="L482" s="26"/>
      <c r="M482" s="22"/>
      <c r="N482" s="29"/>
      <c r="O482" s="13"/>
      <c r="P482" s="13"/>
      <c r="Q482" s="13"/>
      <c r="R482" s="13"/>
      <c r="S482" s="13"/>
      <c r="T482" s="36"/>
      <c r="U482" s="13"/>
      <c r="V482" s="13"/>
      <c r="W482" s="184"/>
      <c r="X482" s="37"/>
      <c r="Y482" s="22"/>
      <c r="Z482" s="38"/>
      <c r="AA482" s="13"/>
      <c r="AB482" s="13"/>
      <c r="AC482" s="13"/>
      <c r="AD482" s="36"/>
      <c r="AE482" s="13"/>
      <c r="AF482" s="13"/>
      <c r="AG482" s="184"/>
      <c r="AH482" s="37"/>
    </row>
    <row r="483" spans="1:34">
      <c r="A483" s="14">
        <f t="shared" si="155"/>
        <v>46343</v>
      </c>
      <c r="B483" s="38"/>
      <c r="C483" s="13"/>
      <c r="D483" s="13"/>
      <c r="E483" s="13"/>
      <c r="F483" s="13"/>
      <c r="G483" s="13"/>
      <c r="H483" s="12"/>
      <c r="I483" s="12"/>
      <c r="J483" s="13"/>
      <c r="K483" s="184"/>
      <c r="L483" s="26"/>
      <c r="M483" s="22"/>
      <c r="N483" s="29"/>
      <c r="O483" s="13"/>
      <c r="P483" s="13"/>
      <c r="Q483" s="13"/>
      <c r="R483" s="13"/>
      <c r="S483" s="13"/>
      <c r="T483" s="36"/>
      <c r="U483" s="13"/>
      <c r="V483" s="13"/>
      <c r="W483" s="184"/>
      <c r="X483" s="37"/>
      <c r="Y483" s="22"/>
      <c r="Z483" s="38"/>
      <c r="AA483" s="13"/>
      <c r="AB483" s="13"/>
      <c r="AC483" s="13"/>
      <c r="AD483" s="36"/>
      <c r="AE483" s="13"/>
      <c r="AF483" s="13"/>
      <c r="AG483" s="184"/>
      <c r="AH483" s="37"/>
    </row>
    <row r="484" spans="1:34">
      <c r="A484" s="14">
        <f t="shared" si="155"/>
        <v>46344</v>
      </c>
      <c r="B484" s="38"/>
      <c r="C484" s="13"/>
      <c r="D484" s="13"/>
      <c r="E484" s="13"/>
      <c r="F484" s="13"/>
      <c r="G484" s="13"/>
      <c r="H484" s="12"/>
      <c r="I484" s="12"/>
      <c r="J484" s="13"/>
      <c r="K484" s="184"/>
      <c r="L484" s="26"/>
      <c r="M484" s="22"/>
      <c r="N484" s="29"/>
      <c r="O484" s="13"/>
      <c r="P484" s="13"/>
      <c r="Q484" s="13"/>
      <c r="R484" s="13"/>
      <c r="S484" s="13"/>
      <c r="T484" s="36"/>
      <c r="U484" s="13"/>
      <c r="V484" s="13"/>
      <c r="W484" s="184"/>
      <c r="X484" s="37"/>
      <c r="Y484" s="22"/>
      <c r="Z484" s="38"/>
      <c r="AA484" s="13"/>
      <c r="AB484" s="13"/>
      <c r="AC484" s="13"/>
      <c r="AD484" s="36"/>
      <c r="AE484" s="13"/>
      <c r="AF484" s="13"/>
      <c r="AG484" s="184"/>
      <c r="AH484" s="37"/>
    </row>
    <row r="485" spans="1:34">
      <c r="A485" s="14">
        <f t="shared" si="155"/>
        <v>46345</v>
      </c>
      <c r="B485" s="38"/>
      <c r="C485" s="13"/>
      <c r="D485" s="13"/>
      <c r="E485" s="13"/>
      <c r="F485" s="13"/>
      <c r="G485" s="13"/>
      <c r="H485" s="12"/>
      <c r="I485" s="12"/>
      <c r="J485" s="13"/>
      <c r="K485" s="184"/>
      <c r="L485" s="37"/>
      <c r="M485" s="22"/>
      <c r="N485" s="29"/>
      <c r="O485" s="13"/>
      <c r="P485" s="13"/>
      <c r="Q485" s="13"/>
      <c r="R485" s="13"/>
      <c r="S485" s="13"/>
      <c r="T485" s="36"/>
      <c r="U485" s="13"/>
      <c r="V485" s="13"/>
      <c r="W485" s="184"/>
      <c r="X485" s="37"/>
      <c r="Y485" s="22"/>
      <c r="Z485" s="38"/>
      <c r="AA485" s="13"/>
      <c r="AB485" s="13"/>
      <c r="AC485" s="13"/>
      <c r="AD485" s="36"/>
      <c r="AE485" s="13"/>
      <c r="AF485" s="13"/>
      <c r="AG485" s="184"/>
      <c r="AH485" s="37"/>
    </row>
    <row r="486" spans="1:34">
      <c r="A486" s="14">
        <f t="shared" si="155"/>
        <v>46346</v>
      </c>
      <c r="B486" s="38"/>
      <c r="C486" s="13"/>
      <c r="D486" s="13"/>
      <c r="E486" s="13"/>
      <c r="F486" s="13"/>
      <c r="G486" s="13"/>
      <c r="H486" s="12"/>
      <c r="I486" s="13"/>
      <c r="J486" s="13"/>
      <c r="K486" s="184"/>
      <c r="L486" s="26"/>
      <c r="M486" s="22"/>
      <c r="N486" s="29"/>
      <c r="O486" s="13"/>
      <c r="P486" s="13"/>
      <c r="Q486" s="13"/>
      <c r="R486" s="13"/>
      <c r="S486" s="13"/>
      <c r="T486" s="36"/>
      <c r="U486" s="13"/>
      <c r="V486" s="13"/>
      <c r="W486" s="184"/>
      <c r="X486" s="37"/>
      <c r="Y486" s="22"/>
      <c r="Z486" s="38"/>
      <c r="AA486" s="13"/>
      <c r="AB486" s="13"/>
      <c r="AC486" s="13"/>
      <c r="AD486" s="36"/>
      <c r="AE486" s="13"/>
      <c r="AF486" s="13"/>
      <c r="AG486" s="184"/>
      <c r="AH486" s="37"/>
    </row>
    <row r="487" spans="1:34">
      <c r="A487" s="14">
        <f t="shared" si="155"/>
        <v>46347</v>
      </c>
      <c r="B487" s="38"/>
      <c r="C487" s="13"/>
      <c r="D487" s="13"/>
      <c r="E487" s="13"/>
      <c r="F487" s="13"/>
      <c r="G487" s="13"/>
      <c r="H487" s="36"/>
      <c r="I487" s="12"/>
      <c r="J487" s="13"/>
      <c r="K487" s="184"/>
      <c r="L487" s="37"/>
      <c r="M487" s="22"/>
      <c r="N487" s="29"/>
      <c r="O487" s="13"/>
      <c r="P487" s="13"/>
      <c r="Q487" s="13"/>
      <c r="R487" s="13"/>
      <c r="S487" s="13"/>
      <c r="T487" s="36"/>
      <c r="U487" s="13"/>
      <c r="V487" s="13"/>
      <c r="W487" s="184"/>
      <c r="X487" s="37"/>
      <c r="Y487" s="22"/>
      <c r="Z487" s="38"/>
      <c r="AA487" s="13"/>
      <c r="AB487" s="13"/>
      <c r="AC487" s="13"/>
      <c r="AD487" s="36"/>
      <c r="AE487" s="12"/>
      <c r="AF487" s="13"/>
      <c r="AG487" s="184"/>
      <c r="AH487" s="37"/>
    </row>
    <row r="488" spans="1:34">
      <c r="A488" s="14">
        <f t="shared" si="155"/>
        <v>46348</v>
      </c>
      <c r="B488" s="38"/>
      <c r="C488" s="13"/>
      <c r="D488" s="13"/>
      <c r="E488" s="13"/>
      <c r="F488" s="13"/>
      <c r="G488" s="13"/>
      <c r="H488" s="12"/>
      <c r="I488" s="13"/>
      <c r="J488" s="13"/>
      <c r="K488" s="184"/>
      <c r="L488" s="26"/>
      <c r="M488" s="22"/>
      <c r="N488" s="29"/>
      <c r="O488" s="13"/>
      <c r="P488" s="13"/>
      <c r="Q488" s="13"/>
      <c r="R488" s="13"/>
      <c r="S488" s="13"/>
      <c r="T488" s="36"/>
      <c r="U488" s="13"/>
      <c r="V488" s="13"/>
      <c r="W488" s="184"/>
      <c r="X488" s="37"/>
      <c r="Y488" s="22"/>
      <c r="Z488" s="38"/>
      <c r="AA488" s="13"/>
      <c r="AB488" s="13"/>
      <c r="AC488" s="13"/>
      <c r="AD488" s="36"/>
      <c r="AE488" s="13"/>
      <c r="AF488" s="13"/>
      <c r="AG488" s="184"/>
      <c r="AH488" s="37"/>
    </row>
    <row r="489" spans="1:34">
      <c r="A489" s="14">
        <f t="shared" si="155"/>
        <v>46349</v>
      </c>
      <c r="B489" s="29"/>
      <c r="C489" s="13"/>
      <c r="D489" s="13"/>
      <c r="E489" s="13"/>
      <c r="F489" s="13"/>
      <c r="G489" s="13"/>
      <c r="H489" s="13"/>
      <c r="I489" s="13"/>
      <c r="J489" s="13"/>
      <c r="K489" s="184"/>
      <c r="L489" s="37"/>
      <c r="M489" s="22"/>
      <c r="N489" s="29"/>
      <c r="O489" s="13"/>
      <c r="P489" s="13"/>
      <c r="Q489" s="13"/>
      <c r="R489" s="13"/>
      <c r="S489" s="13"/>
      <c r="T489" s="36"/>
      <c r="U489" s="13"/>
      <c r="V489" s="13"/>
      <c r="W489" s="184"/>
      <c r="X489" s="37"/>
      <c r="Y489" s="22"/>
      <c r="Z489" s="38"/>
      <c r="AA489" s="13"/>
      <c r="AB489" s="13"/>
      <c r="AC489" s="13"/>
      <c r="AD489" s="36"/>
      <c r="AE489" s="13"/>
      <c r="AF489" s="13"/>
      <c r="AG489" s="184"/>
      <c r="AH489" s="37"/>
    </row>
    <row r="490" spans="1:34">
      <c r="A490" s="14">
        <f t="shared" si="155"/>
        <v>46350</v>
      </c>
      <c r="B490" s="29"/>
      <c r="C490" s="13"/>
      <c r="D490" s="13"/>
      <c r="E490" s="13"/>
      <c r="F490" s="13"/>
      <c r="G490" s="13"/>
      <c r="H490" s="13"/>
      <c r="I490" s="13"/>
      <c r="J490" s="13"/>
      <c r="K490" s="184"/>
      <c r="L490" s="37"/>
      <c r="M490" s="22"/>
      <c r="N490" s="29"/>
      <c r="O490" s="13"/>
      <c r="P490" s="13"/>
      <c r="Q490" s="13"/>
      <c r="R490" s="13"/>
      <c r="S490" s="13"/>
      <c r="T490" s="36"/>
      <c r="U490" s="13"/>
      <c r="V490" s="13"/>
      <c r="W490" s="184"/>
      <c r="X490" s="37"/>
      <c r="Y490" s="22"/>
      <c r="Z490" s="38"/>
      <c r="AA490" s="13"/>
      <c r="AB490" s="13"/>
      <c r="AC490" s="13"/>
      <c r="AD490" s="36"/>
      <c r="AE490" s="13"/>
      <c r="AF490" s="13"/>
      <c r="AG490" s="184"/>
      <c r="AH490" s="37"/>
    </row>
    <row r="491" spans="1:34">
      <c r="A491" s="14">
        <f t="shared" si="155"/>
        <v>46351</v>
      </c>
      <c r="B491" s="29"/>
      <c r="C491" s="13"/>
      <c r="D491" s="13"/>
      <c r="E491" s="13"/>
      <c r="F491" s="13"/>
      <c r="G491" s="13"/>
      <c r="H491" s="13"/>
      <c r="I491" s="13"/>
      <c r="J491" s="13"/>
      <c r="K491" s="184"/>
      <c r="L491" s="37"/>
      <c r="M491" s="22"/>
      <c r="N491" s="29"/>
      <c r="O491" s="13"/>
      <c r="P491" s="13"/>
      <c r="Q491" s="13"/>
      <c r="R491" s="13"/>
      <c r="S491" s="13"/>
      <c r="T491" s="36"/>
      <c r="U491" s="13"/>
      <c r="V491" s="13"/>
      <c r="W491" s="184"/>
      <c r="X491" s="37"/>
      <c r="Y491" s="22"/>
      <c r="Z491" s="38"/>
      <c r="AA491" s="13"/>
      <c r="AB491" s="13"/>
      <c r="AC491" s="13"/>
      <c r="AD491" s="36"/>
      <c r="AE491" s="13"/>
      <c r="AF491" s="13"/>
      <c r="AG491" s="184"/>
      <c r="AH491" s="37"/>
    </row>
    <row r="492" spans="1:34">
      <c r="A492" s="14">
        <f t="shared" si="155"/>
        <v>46352</v>
      </c>
      <c r="B492" s="29"/>
      <c r="C492" s="13"/>
      <c r="D492" s="13"/>
      <c r="E492" s="13"/>
      <c r="F492" s="13"/>
      <c r="G492" s="13"/>
      <c r="H492" s="13"/>
      <c r="I492" s="13"/>
      <c r="J492" s="13"/>
      <c r="K492" s="184"/>
      <c r="L492" s="37"/>
      <c r="M492" s="22"/>
      <c r="N492" s="29"/>
      <c r="O492" s="13"/>
      <c r="P492" s="13"/>
      <c r="Q492" s="13"/>
      <c r="R492" s="13"/>
      <c r="S492" s="13"/>
      <c r="T492" s="36"/>
      <c r="U492" s="13"/>
      <c r="V492" s="13"/>
      <c r="W492" s="184"/>
      <c r="X492" s="51"/>
      <c r="Y492" s="22"/>
      <c r="Z492" s="38"/>
      <c r="AA492" s="13"/>
      <c r="AB492" s="13"/>
      <c r="AC492" s="13"/>
      <c r="AD492" s="36"/>
      <c r="AE492" s="13"/>
      <c r="AF492" s="13"/>
      <c r="AG492" s="184"/>
      <c r="AH492" s="51"/>
    </row>
    <row r="493" spans="1:34">
      <c r="A493" s="14">
        <f t="shared" si="155"/>
        <v>46353</v>
      </c>
      <c r="B493" s="29"/>
      <c r="C493" s="13"/>
      <c r="D493" s="13"/>
      <c r="E493" s="13"/>
      <c r="F493" s="13"/>
      <c r="G493" s="13"/>
      <c r="H493" s="13"/>
      <c r="I493" s="13"/>
      <c r="J493" s="13"/>
      <c r="K493" s="184"/>
      <c r="L493" s="37"/>
      <c r="M493" s="22"/>
      <c r="N493" s="29"/>
      <c r="O493" s="13"/>
      <c r="P493" s="13"/>
      <c r="Q493" s="13"/>
      <c r="R493" s="13"/>
      <c r="S493" s="13"/>
      <c r="T493" s="36"/>
      <c r="U493" s="13"/>
      <c r="V493" s="13"/>
      <c r="W493" s="184"/>
      <c r="X493" s="37"/>
      <c r="Y493" s="22"/>
      <c r="Z493" s="38"/>
      <c r="AA493" s="13"/>
      <c r="AB493" s="13"/>
      <c r="AC493" s="13"/>
      <c r="AD493" s="36"/>
      <c r="AE493" s="13"/>
      <c r="AF493" s="13"/>
      <c r="AG493" s="184"/>
      <c r="AH493" s="37"/>
    </row>
    <row r="494" spans="1:34">
      <c r="A494" s="14">
        <f t="shared" si="155"/>
        <v>46354</v>
      </c>
      <c r="B494" s="29"/>
      <c r="C494" s="13"/>
      <c r="D494" s="13"/>
      <c r="E494" s="13"/>
      <c r="F494" s="13"/>
      <c r="G494" s="13"/>
      <c r="H494" s="13"/>
      <c r="I494" s="13"/>
      <c r="J494" s="13"/>
      <c r="K494" s="184"/>
      <c r="L494" s="37"/>
      <c r="M494" s="22"/>
      <c r="N494" s="29"/>
      <c r="O494" s="13"/>
      <c r="P494" s="13"/>
      <c r="Q494" s="13"/>
      <c r="R494" s="13"/>
      <c r="S494" s="13"/>
      <c r="T494" s="36"/>
      <c r="U494" s="13"/>
      <c r="V494" s="13"/>
      <c r="W494" s="184"/>
      <c r="X494" s="37"/>
      <c r="Y494" s="22"/>
      <c r="Z494" s="38"/>
      <c r="AA494" s="13"/>
      <c r="AB494" s="13"/>
      <c r="AC494" s="13"/>
      <c r="AD494" s="36"/>
      <c r="AE494" s="13"/>
      <c r="AF494" s="13"/>
      <c r="AG494" s="184"/>
      <c r="AH494" s="37"/>
    </row>
    <row r="495" spans="1:34">
      <c r="A495" s="14">
        <f t="shared" si="155"/>
        <v>46355</v>
      </c>
      <c r="B495" s="29"/>
      <c r="C495" s="13"/>
      <c r="D495" s="13"/>
      <c r="E495" s="13"/>
      <c r="F495" s="13"/>
      <c r="G495" s="13"/>
      <c r="H495" s="13"/>
      <c r="I495" s="13"/>
      <c r="J495" s="13"/>
      <c r="K495" s="184"/>
      <c r="L495" s="37"/>
      <c r="M495" s="22"/>
      <c r="N495" s="29"/>
      <c r="O495" s="13"/>
      <c r="P495" s="13"/>
      <c r="Q495" s="13"/>
      <c r="R495" s="13"/>
      <c r="S495" s="13"/>
      <c r="T495" s="36"/>
      <c r="U495" s="13"/>
      <c r="V495" s="13"/>
      <c r="W495" s="184"/>
      <c r="X495" s="37"/>
      <c r="Y495" s="22"/>
      <c r="Z495" s="38"/>
      <c r="AA495" s="13"/>
      <c r="AB495" s="13"/>
      <c r="AC495" s="13"/>
      <c r="AD495" s="36"/>
      <c r="AE495" s="13"/>
      <c r="AF495" s="13"/>
      <c r="AG495" s="184"/>
      <c r="AH495" s="37"/>
    </row>
    <row r="496" spans="1:34">
      <c r="A496" s="14">
        <f t="shared" si="155"/>
        <v>46356</v>
      </c>
      <c r="B496" s="29"/>
      <c r="C496" s="13"/>
      <c r="D496" s="13"/>
      <c r="E496" s="13"/>
      <c r="F496" s="13"/>
      <c r="G496" s="13"/>
      <c r="H496" s="13"/>
      <c r="I496" s="13"/>
      <c r="J496" s="13"/>
      <c r="K496" s="184"/>
      <c r="L496" s="37"/>
      <c r="M496" s="22"/>
      <c r="N496" s="29"/>
      <c r="O496" s="13"/>
      <c r="P496" s="47"/>
      <c r="Q496" s="47"/>
      <c r="R496" s="47"/>
      <c r="S496" s="47"/>
      <c r="T496" s="52"/>
      <c r="U496" s="47"/>
      <c r="V496" s="53"/>
      <c r="W496" s="184"/>
      <c r="X496" s="48"/>
      <c r="Y496" s="22"/>
      <c r="Z496" s="38"/>
      <c r="AA496" s="13"/>
      <c r="AB496" s="47"/>
      <c r="AC496" s="47"/>
      <c r="AD496" s="52"/>
      <c r="AE496" s="13"/>
      <c r="AF496" s="53"/>
      <c r="AG496" s="53"/>
      <c r="AH496" s="37"/>
    </row>
    <row r="497" spans="1:34" ht="15.75" thickBot="1">
      <c r="A497" s="15"/>
      <c r="B497" s="29"/>
      <c r="C497" s="13"/>
      <c r="D497" s="13"/>
      <c r="E497" s="13"/>
      <c r="F497" s="13"/>
      <c r="G497" s="13"/>
      <c r="H497" s="13"/>
      <c r="I497" s="13"/>
      <c r="J497" s="13"/>
      <c r="K497" s="184"/>
      <c r="L497" s="37"/>
      <c r="M497" s="22"/>
      <c r="N497" s="56"/>
      <c r="O497" s="47"/>
      <c r="P497" s="47"/>
      <c r="Q497" s="47"/>
      <c r="R497" s="47"/>
      <c r="S497" s="47"/>
      <c r="T497" s="52"/>
      <c r="U497" s="47"/>
      <c r="V497" s="47"/>
      <c r="W497" s="184"/>
      <c r="X497" s="48"/>
      <c r="Y497" s="22"/>
      <c r="Z497" s="39"/>
      <c r="AA497" s="47"/>
      <c r="AB497" s="47"/>
      <c r="AC497" s="47"/>
      <c r="AD497" s="47"/>
      <c r="AE497" s="47"/>
      <c r="AF497" s="47"/>
      <c r="AG497" s="53"/>
      <c r="AH497" s="48"/>
    </row>
    <row r="498" spans="1:34">
      <c r="A498" s="16" t="s">
        <v>31</v>
      </c>
      <c r="B498" s="17">
        <f>MIN(B467:B497)</f>
        <v>0</v>
      </c>
      <c r="C498" s="17">
        <f>MIN(C467:C497)</f>
        <v>0</v>
      </c>
      <c r="D498" s="17">
        <f t="shared" ref="D498:L498" si="156">MIN(D467:D497)</f>
        <v>0</v>
      </c>
      <c r="E498" s="17">
        <f t="shared" si="156"/>
        <v>0</v>
      </c>
      <c r="F498" s="17">
        <f t="shared" si="156"/>
        <v>0</v>
      </c>
      <c r="G498" s="17">
        <f t="shared" si="156"/>
        <v>0</v>
      </c>
      <c r="H498" s="197">
        <f t="shared" si="156"/>
        <v>0</v>
      </c>
      <c r="I498" s="17">
        <f t="shared" si="156"/>
        <v>0</v>
      </c>
      <c r="J498" s="17">
        <f t="shared" si="156"/>
        <v>0</v>
      </c>
      <c r="K498" s="17">
        <f t="shared" si="156"/>
        <v>0</v>
      </c>
      <c r="L498" s="30">
        <f t="shared" si="156"/>
        <v>0</v>
      </c>
      <c r="M498" s="22"/>
      <c r="N498" s="17">
        <f>MIN(N467:N497)</f>
        <v>0</v>
      </c>
      <c r="O498" s="17">
        <f>MIN(O467:O497)</f>
        <v>0</v>
      </c>
      <c r="P498" s="17">
        <f t="shared" ref="P498:X498" si="157">MIN(P467:P497)</f>
        <v>0</v>
      </c>
      <c r="Q498" s="17">
        <f t="shared" si="157"/>
        <v>0</v>
      </c>
      <c r="R498" s="17">
        <f t="shared" si="157"/>
        <v>0</v>
      </c>
      <c r="S498" s="17">
        <f t="shared" si="157"/>
        <v>0</v>
      </c>
      <c r="T498" s="197">
        <f t="shared" si="157"/>
        <v>0</v>
      </c>
      <c r="U498" s="17">
        <f t="shared" si="157"/>
        <v>0</v>
      </c>
      <c r="V498" s="17">
        <f t="shared" si="157"/>
        <v>0</v>
      </c>
      <c r="W498" s="17">
        <f t="shared" si="157"/>
        <v>0</v>
      </c>
      <c r="X498" s="30">
        <f t="shared" si="157"/>
        <v>0</v>
      </c>
      <c r="Z498" s="40">
        <f t="shared" ref="Z498:AH498" si="158">MIN(Z467:Z497)</f>
        <v>0</v>
      </c>
      <c r="AA498" s="17">
        <f t="shared" si="158"/>
        <v>0</v>
      </c>
      <c r="AB498" s="17">
        <f t="shared" si="158"/>
        <v>0</v>
      </c>
      <c r="AC498" s="17">
        <f t="shared" si="158"/>
        <v>0</v>
      </c>
      <c r="AD498" s="197">
        <f t="shared" si="158"/>
        <v>0</v>
      </c>
      <c r="AE498" s="17">
        <f t="shared" si="158"/>
        <v>0</v>
      </c>
      <c r="AF498" s="17">
        <f t="shared" si="158"/>
        <v>0</v>
      </c>
      <c r="AG498" s="17">
        <f t="shared" si="158"/>
        <v>0</v>
      </c>
      <c r="AH498" s="30">
        <f t="shared" si="158"/>
        <v>0</v>
      </c>
    </row>
    <row r="499" spans="1:34">
      <c r="A499" s="18" t="s">
        <v>33</v>
      </c>
      <c r="B499" s="19">
        <f>MAX(B467:B497)</f>
        <v>0</v>
      </c>
      <c r="C499" s="19">
        <f>MAX(C467:C497)</f>
        <v>0</v>
      </c>
      <c r="D499" s="19">
        <f t="shared" ref="D499:L499" si="159">MAX(D467:D497)</f>
        <v>0</v>
      </c>
      <c r="E499" s="19">
        <f t="shared" si="159"/>
        <v>0</v>
      </c>
      <c r="F499" s="19">
        <f t="shared" si="159"/>
        <v>0</v>
      </c>
      <c r="G499" s="19">
        <f t="shared" si="159"/>
        <v>0</v>
      </c>
      <c r="H499" s="198">
        <f t="shared" si="159"/>
        <v>0</v>
      </c>
      <c r="I499" s="19">
        <f t="shared" si="159"/>
        <v>0</v>
      </c>
      <c r="J499" s="19">
        <f t="shared" si="159"/>
        <v>0</v>
      </c>
      <c r="K499" s="19">
        <f t="shared" si="159"/>
        <v>0</v>
      </c>
      <c r="L499" s="31">
        <f t="shared" si="159"/>
        <v>0</v>
      </c>
      <c r="M499" s="22"/>
      <c r="N499" s="19">
        <f>MAX(N467:N497)</f>
        <v>0</v>
      </c>
      <c r="O499" s="19">
        <f>MAX(O467:O497)</f>
        <v>0</v>
      </c>
      <c r="P499" s="19">
        <f t="shared" ref="P499:X499" si="160">MAX(P467:P497)</f>
        <v>0</v>
      </c>
      <c r="Q499" s="19">
        <f t="shared" si="160"/>
        <v>0</v>
      </c>
      <c r="R499" s="19">
        <f t="shared" si="160"/>
        <v>0</v>
      </c>
      <c r="S499" s="19">
        <f t="shared" si="160"/>
        <v>0</v>
      </c>
      <c r="T499" s="198">
        <f t="shared" si="160"/>
        <v>0</v>
      </c>
      <c r="U499" s="19">
        <f t="shared" si="160"/>
        <v>0</v>
      </c>
      <c r="V499" s="19">
        <f t="shared" si="160"/>
        <v>0</v>
      </c>
      <c r="W499" s="19">
        <f t="shared" si="160"/>
        <v>0</v>
      </c>
      <c r="X499" s="31">
        <f t="shared" si="160"/>
        <v>0</v>
      </c>
      <c r="Z499" s="41">
        <f t="shared" ref="Z499:AH499" si="161">MAX(Z467:Z497)</f>
        <v>0</v>
      </c>
      <c r="AA499" s="19">
        <f t="shared" si="161"/>
        <v>0</v>
      </c>
      <c r="AB499" s="19">
        <f t="shared" si="161"/>
        <v>0</v>
      </c>
      <c r="AC499" s="19">
        <f t="shared" si="161"/>
        <v>0</v>
      </c>
      <c r="AD499" s="198">
        <f t="shared" si="161"/>
        <v>0</v>
      </c>
      <c r="AE499" s="19">
        <f t="shared" si="161"/>
        <v>0</v>
      </c>
      <c r="AF499" s="19">
        <f t="shared" si="161"/>
        <v>0</v>
      </c>
      <c r="AG499" s="19">
        <f t="shared" si="161"/>
        <v>0</v>
      </c>
      <c r="AH499" s="31">
        <f t="shared" si="161"/>
        <v>0</v>
      </c>
    </row>
    <row r="500" spans="1:34">
      <c r="A500" s="18" t="s">
        <v>36</v>
      </c>
      <c r="B500" s="19" t="e">
        <f t="shared" ref="B500:L500" si="162">AVERAGE(B467:B497)</f>
        <v>#DIV/0!</v>
      </c>
      <c r="C500" s="19" t="e">
        <f t="shared" si="162"/>
        <v>#DIV/0!</v>
      </c>
      <c r="D500" s="19" t="e">
        <f t="shared" si="162"/>
        <v>#DIV/0!</v>
      </c>
      <c r="E500" s="19" t="e">
        <f t="shared" si="162"/>
        <v>#DIV/0!</v>
      </c>
      <c r="F500" s="19" t="e">
        <f t="shared" si="162"/>
        <v>#DIV/0!</v>
      </c>
      <c r="G500" s="19" t="e">
        <f t="shared" si="162"/>
        <v>#DIV/0!</v>
      </c>
      <c r="H500" s="198" t="e">
        <f t="shared" si="162"/>
        <v>#DIV/0!</v>
      </c>
      <c r="I500" s="19" t="e">
        <f t="shared" si="162"/>
        <v>#DIV/0!</v>
      </c>
      <c r="J500" s="19" t="e">
        <f t="shared" si="162"/>
        <v>#DIV/0!</v>
      </c>
      <c r="K500" s="19" t="e">
        <f t="shared" si="162"/>
        <v>#DIV/0!</v>
      </c>
      <c r="L500" s="31" t="e">
        <f t="shared" si="162"/>
        <v>#DIV/0!</v>
      </c>
      <c r="M500" s="22"/>
      <c r="N500" s="19" t="e">
        <f t="shared" ref="N500:X500" si="163">AVERAGE(N467:N497)</f>
        <v>#DIV/0!</v>
      </c>
      <c r="O500" s="19" t="e">
        <f t="shared" si="163"/>
        <v>#DIV/0!</v>
      </c>
      <c r="P500" s="19" t="e">
        <f t="shared" si="163"/>
        <v>#DIV/0!</v>
      </c>
      <c r="Q500" s="19" t="e">
        <f t="shared" si="163"/>
        <v>#DIV/0!</v>
      </c>
      <c r="R500" s="19" t="e">
        <f t="shared" si="163"/>
        <v>#DIV/0!</v>
      </c>
      <c r="S500" s="19" t="e">
        <f t="shared" si="163"/>
        <v>#DIV/0!</v>
      </c>
      <c r="T500" s="198" t="e">
        <f t="shared" si="163"/>
        <v>#DIV/0!</v>
      </c>
      <c r="U500" s="19" t="e">
        <f t="shared" si="163"/>
        <v>#DIV/0!</v>
      </c>
      <c r="V500" s="19" t="e">
        <f t="shared" si="163"/>
        <v>#DIV/0!</v>
      </c>
      <c r="W500" s="19" t="e">
        <f t="shared" si="163"/>
        <v>#DIV/0!</v>
      </c>
      <c r="X500" s="31" t="e">
        <f t="shared" si="163"/>
        <v>#DIV/0!</v>
      </c>
      <c r="Z500" s="41" t="e">
        <f>AVERAGE(Z467:Z497)</f>
        <v>#DIV/0!</v>
      </c>
      <c r="AA500" s="19" t="e">
        <f t="shared" ref="AA500:AH500" si="164">AVERAGE(AA467:AA497)</f>
        <v>#DIV/0!</v>
      </c>
      <c r="AB500" s="19" t="e">
        <f t="shared" si="164"/>
        <v>#DIV/0!</v>
      </c>
      <c r="AC500" s="19" t="e">
        <f t="shared" si="164"/>
        <v>#DIV/0!</v>
      </c>
      <c r="AD500" s="198" t="e">
        <f t="shared" si="164"/>
        <v>#DIV/0!</v>
      </c>
      <c r="AE500" s="19" t="e">
        <f t="shared" si="164"/>
        <v>#DIV/0!</v>
      </c>
      <c r="AF500" s="19" t="e">
        <f t="shared" si="164"/>
        <v>#DIV/0!</v>
      </c>
      <c r="AG500" s="19" t="e">
        <f t="shared" si="164"/>
        <v>#DIV/0!</v>
      </c>
      <c r="AH500" s="31" t="e">
        <f t="shared" si="164"/>
        <v>#DIV/0!</v>
      </c>
    </row>
    <row r="501" spans="1:34" ht="15.75" thickBot="1">
      <c r="A501" s="20" t="s">
        <v>130</v>
      </c>
      <c r="B501" s="21" t="e">
        <f>STDEV(B467:B497)</f>
        <v>#DIV/0!</v>
      </c>
      <c r="C501" s="21" t="e">
        <f t="shared" ref="C501:L501" si="165">STDEV(C467:C497)</f>
        <v>#DIV/0!</v>
      </c>
      <c r="D501" s="21" t="e">
        <f t="shared" si="165"/>
        <v>#DIV/0!</v>
      </c>
      <c r="E501" s="21" t="e">
        <f t="shared" si="165"/>
        <v>#DIV/0!</v>
      </c>
      <c r="F501" s="21" t="e">
        <f t="shared" si="165"/>
        <v>#DIV/0!</v>
      </c>
      <c r="G501" s="21" t="e">
        <f t="shared" si="165"/>
        <v>#DIV/0!</v>
      </c>
      <c r="H501" s="199" t="e">
        <f t="shared" si="165"/>
        <v>#DIV/0!</v>
      </c>
      <c r="I501" s="21" t="e">
        <f t="shared" si="165"/>
        <v>#DIV/0!</v>
      </c>
      <c r="J501" s="21" t="e">
        <f t="shared" si="165"/>
        <v>#DIV/0!</v>
      </c>
      <c r="K501" s="21" t="e">
        <f t="shared" si="165"/>
        <v>#DIV/0!</v>
      </c>
      <c r="L501" s="32" t="e">
        <f t="shared" si="165"/>
        <v>#DIV/0!</v>
      </c>
      <c r="M501" s="22"/>
      <c r="N501" s="21" t="e">
        <f>STDEV(N467:N497)</f>
        <v>#DIV/0!</v>
      </c>
      <c r="O501" s="21" t="e">
        <f t="shared" ref="O501:X501" si="166">STDEV(O467:O497)</f>
        <v>#DIV/0!</v>
      </c>
      <c r="P501" s="21" t="e">
        <f t="shared" si="166"/>
        <v>#DIV/0!</v>
      </c>
      <c r="Q501" s="21" t="e">
        <f t="shared" si="166"/>
        <v>#DIV/0!</v>
      </c>
      <c r="R501" s="21" t="e">
        <f t="shared" si="166"/>
        <v>#DIV/0!</v>
      </c>
      <c r="S501" s="21" t="e">
        <f t="shared" si="166"/>
        <v>#DIV/0!</v>
      </c>
      <c r="T501" s="199" t="e">
        <f t="shared" si="166"/>
        <v>#DIV/0!</v>
      </c>
      <c r="U501" s="21" t="e">
        <f t="shared" si="166"/>
        <v>#DIV/0!</v>
      </c>
      <c r="V501" s="21" t="e">
        <f t="shared" si="166"/>
        <v>#DIV/0!</v>
      </c>
      <c r="W501" s="21" t="e">
        <f t="shared" si="166"/>
        <v>#DIV/0!</v>
      </c>
      <c r="X501" s="32" t="e">
        <f t="shared" si="166"/>
        <v>#DIV/0!</v>
      </c>
      <c r="Z501" s="42" t="e">
        <f>STDEV(Z467:Z497)</f>
        <v>#DIV/0!</v>
      </c>
      <c r="AA501" s="21" t="e">
        <f t="shared" ref="AA501:AH501" si="167">STDEV(AA467:AA497)</f>
        <v>#DIV/0!</v>
      </c>
      <c r="AB501" s="21" t="e">
        <f t="shared" si="167"/>
        <v>#DIV/0!</v>
      </c>
      <c r="AC501" s="21" t="e">
        <f t="shared" si="167"/>
        <v>#DIV/0!</v>
      </c>
      <c r="AD501" s="199" t="e">
        <f t="shared" si="167"/>
        <v>#DIV/0!</v>
      </c>
      <c r="AE501" s="21" t="e">
        <f t="shared" si="167"/>
        <v>#DIV/0!</v>
      </c>
      <c r="AF501" s="21" t="e">
        <f t="shared" si="167"/>
        <v>#DIV/0!</v>
      </c>
      <c r="AG501" s="21" t="e">
        <f t="shared" si="167"/>
        <v>#DIV/0!</v>
      </c>
      <c r="AH501" s="32" t="e">
        <f t="shared" si="167"/>
        <v>#DIV/0!</v>
      </c>
    </row>
    <row r="502" spans="1:34" ht="15.75" thickBot="1"/>
    <row r="503" spans="1:34" ht="15.75" thickBot="1">
      <c r="A503" s="1"/>
      <c r="B503" s="338" t="s">
        <v>0</v>
      </c>
      <c r="C503" s="339"/>
      <c r="D503" s="339"/>
      <c r="E503" s="339"/>
      <c r="F503" s="339"/>
      <c r="G503" s="339"/>
      <c r="H503" s="339"/>
      <c r="I503" s="339"/>
      <c r="J503" s="339"/>
      <c r="K503" s="339"/>
      <c r="L503" s="339"/>
      <c r="M503" s="339"/>
      <c r="N503" s="339"/>
      <c r="O503" s="339"/>
      <c r="P503" s="339"/>
      <c r="Q503" s="339"/>
      <c r="R503" s="339"/>
      <c r="S503" s="339"/>
      <c r="T503" s="339"/>
      <c r="U503" s="339"/>
      <c r="V503" s="339"/>
      <c r="W503" s="339"/>
      <c r="X503" s="339"/>
      <c r="Y503" s="339"/>
      <c r="Z503" s="339"/>
      <c r="AA503" s="339"/>
      <c r="AB503" s="339"/>
      <c r="AC503" s="339"/>
      <c r="AD503" s="340"/>
      <c r="AE503" s="340"/>
      <c r="AF503" s="340"/>
      <c r="AG503" s="340"/>
      <c r="AH503" s="340"/>
    </row>
    <row r="504" spans="1:34" ht="15.75" thickBot="1">
      <c r="A504" s="1"/>
      <c r="B504" s="338" t="s">
        <v>131</v>
      </c>
      <c r="C504" s="339"/>
      <c r="D504" s="339"/>
      <c r="E504" s="339"/>
      <c r="F504" s="339"/>
      <c r="G504" s="339"/>
      <c r="H504" s="339"/>
      <c r="I504" s="339"/>
      <c r="J504" s="339"/>
      <c r="K504" s="339"/>
      <c r="L504" s="339"/>
      <c r="M504" s="339"/>
      <c r="N504" s="339"/>
      <c r="O504" s="339"/>
      <c r="P504" s="339"/>
      <c r="Q504" s="339"/>
      <c r="R504" s="339"/>
      <c r="S504" s="339"/>
      <c r="T504" s="339"/>
      <c r="U504" s="339"/>
      <c r="V504" s="339"/>
      <c r="W504" s="339"/>
      <c r="X504" s="339"/>
      <c r="Y504" s="339"/>
      <c r="Z504" s="339"/>
      <c r="AA504" s="339"/>
      <c r="AB504" s="339"/>
      <c r="AC504" s="339"/>
      <c r="AD504" s="4"/>
      <c r="AE504" s="43" t="s">
        <v>107</v>
      </c>
      <c r="AF504" s="341">
        <v>46357</v>
      </c>
      <c r="AG504" s="342"/>
      <c r="AH504" s="343"/>
    </row>
    <row r="505" spans="1:34">
      <c r="A505" s="344"/>
      <c r="B505" s="346" t="s">
        <v>132</v>
      </c>
      <c r="C505" s="347"/>
      <c r="D505" s="347"/>
      <c r="E505" s="347"/>
      <c r="F505" s="347"/>
      <c r="G505" s="347"/>
      <c r="H505" s="347"/>
      <c r="I505" s="347"/>
      <c r="J505" s="347"/>
      <c r="K505" s="348"/>
      <c r="L505" s="349"/>
      <c r="M505" s="22"/>
      <c r="N505" s="350" t="s">
        <v>133</v>
      </c>
      <c r="O505" s="347"/>
      <c r="P505" s="347"/>
      <c r="Q505" s="347"/>
      <c r="R505" s="347"/>
      <c r="S505" s="347"/>
      <c r="T505" s="347"/>
      <c r="U505" s="347"/>
      <c r="V505" s="347"/>
      <c r="W505" s="348"/>
      <c r="X505" s="349"/>
      <c r="Y505" s="22"/>
      <c r="Z505" s="346" t="s">
        <v>134</v>
      </c>
      <c r="AA505" s="347"/>
      <c r="AB505" s="347"/>
      <c r="AC505" s="347"/>
      <c r="AD505" s="347"/>
      <c r="AE505" s="347"/>
      <c r="AF505" s="347"/>
      <c r="AG505" s="348"/>
      <c r="AH505" s="349"/>
    </row>
    <row r="506" spans="1:34" ht="25.5">
      <c r="A506" s="345"/>
      <c r="B506" s="351" t="s">
        <v>135</v>
      </c>
      <c r="C506" s="353" t="s">
        <v>136</v>
      </c>
      <c r="D506" s="64" t="s">
        <v>137</v>
      </c>
      <c r="E506" s="64" t="s">
        <v>138</v>
      </c>
      <c r="F506" s="64" t="s">
        <v>139</v>
      </c>
      <c r="G506" s="64" t="s">
        <v>140</v>
      </c>
      <c r="H506" s="5" t="s">
        <v>141</v>
      </c>
      <c r="I506" s="5" t="s">
        <v>142</v>
      </c>
      <c r="J506" s="5" t="s">
        <v>143</v>
      </c>
      <c r="K506" s="181" t="s">
        <v>81</v>
      </c>
      <c r="L506" s="23" t="s">
        <v>144</v>
      </c>
      <c r="M506" s="22"/>
      <c r="N506" s="355" t="s">
        <v>135</v>
      </c>
      <c r="O506" s="357" t="s">
        <v>136</v>
      </c>
      <c r="P506" s="5" t="s">
        <v>137</v>
      </c>
      <c r="Q506" s="5" t="s">
        <v>138</v>
      </c>
      <c r="R506" s="5" t="s">
        <v>139</v>
      </c>
      <c r="S506" s="5" t="s">
        <v>140</v>
      </c>
      <c r="T506" s="5" t="s">
        <v>141</v>
      </c>
      <c r="U506" s="5" t="s">
        <v>142</v>
      </c>
      <c r="V506" s="5" t="s">
        <v>143</v>
      </c>
      <c r="W506" s="181" t="s">
        <v>81</v>
      </c>
      <c r="X506" s="23" t="s">
        <v>144</v>
      </c>
      <c r="Y506" s="22"/>
      <c r="Z506" s="33" t="s">
        <v>137</v>
      </c>
      <c r="AA506" s="5" t="s">
        <v>138</v>
      </c>
      <c r="AB506" s="5" t="s">
        <v>139</v>
      </c>
      <c r="AC506" s="5" t="s">
        <v>140</v>
      </c>
      <c r="AD506" s="5" t="s">
        <v>141</v>
      </c>
      <c r="AE506" s="5" t="s">
        <v>142</v>
      </c>
      <c r="AF506" s="5" t="s">
        <v>143</v>
      </c>
      <c r="AG506" s="181" t="s">
        <v>81</v>
      </c>
      <c r="AH506" s="23" t="s">
        <v>144</v>
      </c>
    </row>
    <row r="507" spans="1:34" ht="25.5">
      <c r="A507" s="6" t="s">
        <v>145</v>
      </c>
      <c r="B507" s="352"/>
      <c r="C507" s="354"/>
      <c r="D507" s="64" t="s">
        <v>128</v>
      </c>
      <c r="E507" s="64" t="s">
        <v>128</v>
      </c>
      <c r="F507" s="64" t="s">
        <v>128</v>
      </c>
      <c r="G507" s="64" t="s">
        <v>128</v>
      </c>
      <c r="H507" s="5" t="s">
        <v>125</v>
      </c>
      <c r="I507" s="5" t="s">
        <v>146</v>
      </c>
      <c r="J507" s="5" t="s">
        <v>127</v>
      </c>
      <c r="K507" s="181" t="s">
        <v>53</v>
      </c>
      <c r="L507" s="23" t="s">
        <v>53</v>
      </c>
      <c r="M507" s="22"/>
      <c r="N507" s="356"/>
      <c r="O507" s="358"/>
      <c r="P507" s="5" t="s">
        <v>128</v>
      </c>
      <c r="Q507" s="5" t="s">
        <v>128</v>
      </c>
      <c r="R507" s="5" t="s">
        <v>128</v>
      </c>
      <c r="S507" s="5" t="s">
        <v>128</v>
      </c>
      <c r="T507" s="5" t="s">
        <v>125</v>
      </c>
      <c r="U507" s="5" t="s">
        <v>146</v>
      </c>
      <c r="V507" s="5" t="s">
        <v>127</v>
      </c>
      <c r="W507" s="181" t="s">
        <v>53</v>
      </c>
      <c r="X507" s="23" t="s">
        <v>53</v>
      </c>
      <c r="Y507" s="22"/>
      <c r="Z507" s="33" t="s">
        <v>128</v>
      </c>
      <c r="AA507" s="5" t="s">
        <v>128</v>
      </c>
      <c r="AB507" s="5" t="s">
        <v>128</v>
      </c>
      <c r="AC507" s="5" t="s">
        <v>128</v>
      </c>
      <c r="AD507" s="5" t="s">
        <v>125</v>
      </c>
      <c r="AE507" s="5" t="s">
        <v>146</v>
      </c>
      <c r="AF507" s="5" t="s">
        <v>127</v>
      </c>
      <c r="AG507" s="181" t="s">
        <v>53</v>
      </c>
      <c r="AH507" s="23" t="s">
        <v>53</v>
      </c>
    </row>
    <row r="508" spans="1:34" ht="26.25" thickBot="1">
      <c r="A508" s="7" t="s">
        <v>147</v>
      </c>
      <c r="B508" s="65" t="s">
        <v>148</v>
      </c>
      <c r="C508" s="66" t="s">
        <v>149</v>
      </c>
      <c r="D508" s="66" t="s">
        <v>150</v>
      </c>
      <c r="E508" s="66" t="s">
        <v>151</v>
      </c>
      <c r="F508" s="66" t="s">
        <v>152</v>
      </c>
      <c r="G508" s="66" t="s">
        <v>153</v>
      </c>
      <c r="H508" s="9" t="s">
        <v>154</v>
      </c>
      <c r="I508" s="24" t="s">
        <v>155</v>
      </c>
      <c r="J508" s="24" t="s">
        <v>156</v>
      </c>
      <c r="K508" s="24" t="s">
        <v>179</v>
      </c>
      <c r="L508" s="25" t="s">
        <v>157</v>
      </c>
      <c r="M508" s="22"/>
      <c r="N508" s="8" t="s">
        <v>148</v>
      </c>
      <c r="O508" s="9" t="s">
        <v>149</v>
      </c>
      <c r="P508" s="9" t="s">
        <v>150</v>
      </c>
      <c r="Q508" s="9" t="s">
        <v>151</v>
      </c>
      <c r="R508" s="9" t="s">
        <v>152</v>
      </c>
      <c r="S508" s="9" t="s">
        <v>153</v>
      </c>
      <c r="T508" s="9" t="s">
        <v>154</v>
      </c>
      <c r="U508" s="24" t="s">
        <v>155</v>
      </c>
      <c r="V508" s="24" t="s">
        <v>156</v>
      </c>
      <c r="W508" s="24" t="s">
        <v>179</v>
      </c>
      <c r="X508" s="25" t="s">
        <v>157</v>
      </c>
      <c r="Y508" s="22"/>
      <c r="Z508" s="8" t="s">
        <v>150</v>
      </c>
      <c r="AA508" s="9" t="s">
        <v>158</v>
      </c>
      <c r="AB508" s="9" t="s">
        <v>152</v>
      </c>
      <c r="AC508" s="9" t="s">
        <v>159</v>
      </c>
      <c r="AD508" s="9" t="s">
        <v>154</v>
      </c>
      <c r="AE508" s="9" t="s">
        <v>155</v>
      </c>
      <c r="AF508" s="9" t="s">
        <v>156</v>
      </c>
      <c r="AG508" s="24" t="s">
        <v>179</v>
      </c>
      <c r="AH508" s="23" t="s">
        <v>157</v>
      </c>
    </row>
    <row r="509" spans="1:34">
      <c r="A509" s="10">
        <f>AF504+0</f>
        <v>46357</v>
      </c>
      <c r="B509" s="67"/>
      <c r="C509" s="68"/>
      <c r="D509" s="68"/>
      <c r="E509" s="68"/>
      <c r="F509" s="68"/>
      <c r="G509" s="68"/>
      <c r="H509" s="69"/>
      <c r="I509" s="69"/>
      <c r="J509" s="69"/>
      <c r="K509" s="191"/>
      <c r="L509" s="73"/>
      <c r="M509" s="74"/>
      <c r="N509" s="75"/>
      <c r="O509" s="76"/>
      <c r="P509" s="76"/>
      <c r="Q509" s="76"/>
      <c r="R509" s="76"/>
      <c r="S509" s="76"/>
      <c r="T509" s="76"/>
      <c r="U509" s="76"/>
      <c r="V509" s="76"/>
      <c r="W509" s="191"/>
      <c r="X509" s="76"/>
      <c r="Y509" s="74"/>
      <c r="Z509" s="81"/>
      <c r="AA509" s="76"/>
      <c r="AB509" s="76"/>
      <c r="AC509" s="76"/>
      <c r="AD509" s="85"/>
      <c r="AE509" s="76"/>
      <c r="AF509" s="76"/>
      <c r="AG509" s="194"/>
      <c r="AH509" s="86"/>
    </row>
    <row r="510" spans="1:34">
      <c r="A510" s="14">
        <f t="shared" ref="A510:A538" si="168">A509+1</f>
        <v>46358</v>
      </c>
      <c r="B510" s="67"/>
      <c r="C510" s="70"/>
      <c r="D510" s="70"/>
      <c r="E510" s="70"/>
      <c r="F510" s="70"/>
      <c r="G510" s="70"/>
      <c r="H510" s="71"/>
      <c r="I510" s="71"/>
      <c r="J510" s="70"/>
      <c r="K510" s="192"/>
      <c r="L510" s="77"/>
      <c r="M510" s="74"/>
      <c r="N510" s="78"/>
      <c r="O510" s="70"/>
      <c r="P510" s="70"/>
      <c r="Q510" s="70"/>
      <c r="R510" s="70"/>
      <c r="S510" s="70"/>
      <c r="T510" s="70"/>
      <c r="U510" s="70"/>
      <c r="V510" s="70"/>
      <c r="W510" s="192"/>
      <c r="X510" s="70"/>
      <c r="Y510" s="74"/>
      <c r="Z510" s="67"/>
      <c r="AA510" s="70"/>
      <c r="AB510" s="70"/>
      <c r="AC510" s="70"/>
      <c r="AD510" s="82"/>
      <c r="AE510" s="70"/>
      <c r="AF510" s="70"/>
      <c r="AG510" s="192"/>
      <c r="AH510" s="87"/>
    </row>
    <row r="511" spans="1:34">
      <c r="A511" s="14">
        <f t="shared" si="168"/>
        <v>46359</v>
      </c>
      <c r="B511" s="67"/>
      <c r="C511" s="70"/>
      <c r="D511" s="70"/>
      <c r="E511" s="70"/>
      <c r="F511" s="70"/>
      <c r="G511" s="70"/>
      <c r="H511" s="71"/>
      <c r="I511" s="70"/>
      <c r="J511" s="70"/>
      <c r="K511" s="192"/>
      <c r="L511" s="77"/>
      <c r="M511" s="74"/>
      <c r="N511" s="70"/>
      <c r="O511" s="70"/>
      <c r="P511" s="70"/>
      <c r="Q511" s="70"/>
      <c r="R511" s="70"/>
      <c r="S511" s="70"/>
      <c r="T511" s="82"/>
      <c r="U511" s="70"/>
      <c r="V511" s="70"/>
      <c r="W511" s="192"/>
      <c r="X511" s="83"/>
      <c r="Y511" s="74"/>
      <c r="Z511" s="67"/>
      <c r="AA511" s="70"/>
      <c r="AB511" s="70"/>
      <c r="AC511" s="70"/>
      <c r="AD511" s="82"/>
      <c r="AE511" s="70"/>
      <c r="AF511" s="70"/>
      <c r="AG511" s="192"/>
      <c r="AH511" s="87"/>
    </row>
    <row r="512" spans="1:34">
      <c r="A512" s="14">
        <f t="shared" si="168"/>
        <v>46360</v>
      </c>
      <c r="B512" s="67"/>
      <c r="C512" s="70"/>
      <c r="D512" s="70"/>
      <c r="E512" s="70"/>
      <c r="F512" s="70"/>
      <c r="G512" s="70"/>
      <c r="H512" s="71"/>
      <c r="I512" s="71"/>
      <c r="J512" s="70"/>
      <c r="K512" s="192"/>
      <c r="L512" s="77"/>
      <c r="M512" s="74"/>
      <c r="N512" s="78"/>
      <c r="O512" s="70"/>
      <c r="P512" s="70"/>
      <c r="Q512" s="70"/>
      <c r="R512" s="70"/>
      <c r="S512" s="70"/>
      <c r="T512" s="82"/>
      <c r="U512" s="70"/>
      <c r="V512" s="70"/>
      <c r="W512" s="192"/>
      <c r="X512" s="83"/>
      <c r="Y512" s="74"/>
      <c r="Z512" s="67"/>
      <c r="AA512" s="70"/>
      <c r="AB512" s="70"/>
      <c r="AC512" s="70"/>
      <c r="AD512" s="82"/>
      <c r="AE512" s="70"/>
      <c r="AF512" s="70"/>
      <c r="AG512" s="192"/>
      <c r="AH512" s="87"/>
    </row>
    <row r="513" spans="1:34">
      <c r="A513" s="14">
        <f t="shared" si="168"/>
        <v>46361</v>
      </c>
      <c r="B513" s="67"/>
      <c r="C513" s="70"/>
      <c r="D513" s="70"/>
      <c r="E513" s="70"/>
      <c r="F513" s="70"/>
      <c r="G513" s="70"/>
      <c r="H513" s="71"/>
      <c r="I513" s="71"/>
      <c r="J513" s="70"/>
      <c r="K513" s="192"/>
      <c r="L513" s="77"/>
      <c r="M513" s="74"/>
      <c r="N513" s="78"/>
      <c r="O513" s="70"/>
      <c r="P513" s="70"/>
      <c r="Q513" s="70"/>
      <c r="R513" s="70"/>
      <c r="S513" s="70"/>
      <c r="T513" s="82"/>
      <c r="U513" s="70"/>
      <c r="V513" s="70"/>
      <c r="W513" s="192"/>
      <c r="X513" s="84"/>
      <c r="Y513" s="74"/>
      <c r="Z513" s="67"/>
      <c r="AA513" s="70"/>
      <c r="AB513" s="70"/>
      <c r="AC513" s="70"/>
      <c r="AD513" s="82"/>
      <c r="AE513" s="70"/>
      <c r="AF513" s="70"/>
      <c r="AG513" s="192"/>
      <c r="AH513" s="88"/>
    </row>
    <row r="514" spans="1:34">
      <c r="A514" s="14">
        <f t="shared" si="168"/>
        <v>46362</v>
      </c>
      <c r="B514" s="67"/>
      <c r="C514" s="70"/>
      <c r="D514" s="70"/>
      <c r="E514" s="70"/>
      <c r="F514" s="70"/>
      <c r="G514" s="70"/>
      <c r="H514" s="71"/>
      <c r="I514" s="71"/>
      <c r="J514" s="70"/>
      <c r="K514" s="192"/>
      <c r="L514" s="77"/>
      <c r="M514" s="74"/>
      <c r="N514" s="78"/>
      <c r="O514" s="70"/>
      <c r="P514" s="70"/>
      <c r="Q514" s="70"/>
      <c r="R514" s="70"/>
      <c r="S514" s="70"/>
      <c r="T514" s="82"/>
      <c r="U514" s="70"/>
      <c r="V514" s="70"/>
      <c r="W514" s="192"/>
      <c r="X514" s="84"/>
      <c r="Y514" s="74"/>
      <c r="Z514" s="67"/>
      <c r="AA514" s="70"/>
      <c r="AB514" s="70"/>
      <c r="AC514" s="70"/>
      <c r="AD514" s="82"/>
      <c r="AE514" s="70"/>
      <c r="AF514" s="70"/>
      <c r="AG514" s="192"/>
      <c r="AH514" s="88"/>
    </row>
    <row r="515" spans="1:34">
      <c r="A515" s="14">
        <f t="shared" si="168"/>
        <v>46363</v>
      </c>
      <c r="B515" s="67"/>
      <c r="C515" s="70"/>
      <c r="D515" s="70"/>
      <c r="E515" s="70"/>
      <c r="F515" s="70"/>
      <c r="G515" s="70"/>
      <c r="H515" s="71"/>
      <c r="I515" s="71"/>
      <c r="J515" s="70"/>
      <c r="K515" s="192"/>
      <c r="L515" s="77"/>
      <c r="M515" s="74"/>
      <c r="N515" s="78"/>
      <c r="O515" s="79"/>
      <c r="P515" s="70"/>
      <c r="Q515" s="70"/>
      <c r="R515" s="70"/>
      <c r="S515" s="70"/>
      <c r="T515" s="82"/>
      <c r="U515" s="70"/>
      <c r="V515" s="70"/>
      <c r="W515" s="192"/>
      <c r="X515" s="84"/>
      <c r="Y515" s="74"/>
      <c r="Z515" s="67"/>
      <c r="AA515" s="70"/>
      <c r="AB515" s="70"/>
      <c r="AC515" s="70"/>
      <c r="AD515" s="82"/>
      <c r="AE515" s="70"/>
      <c r="AF515" s="70"/>
      <c r="AG515" s="192"/>
      <c r="AH515" s="88"/>
    </row>
    <row r="516" spans="1:34">
      <c r="A516" s="14">
        <f t="shared" si="168"/>
        <v>46364</v>
      </c>
      <c r="B516" s="67"/>
      <c r="C516" s="70"/>
      <c r="D516" s="70"/>
      <c r="E516" s="70"/>
      <c r="F516" s="70"/>
      <c r="G516" s="70"/>
      <c r="H516" s="71"/>
      <c r="I516" s="71"/>
      <c r="J516" s="70"/>
      <c r="K516" s="192"/>
      <c r="L516" s="77"/>
      <c r="M516" s="74"/>
      <c r="N516" s="78"/>
      <c r="O516" s="70"/>
      <c r="P516" s="70"/>
      <c r="Q516" s="70"/>
      <c r="R516" s="70"/>
      <c r="S516" s="70"/>
      <c r="T516" s="82"/>
      <c r="U516" s="70"/>
      <c r="V516" s="70"/>
      <c r="W516" s="192"/>
      <c r="X516" s="83"/>
      <c r="Y516" s="74"/>
      <c r="Z516" s="67"/>
      <c r="AA516" s="70"/>
      <c r="AB516" s="70"/>
      <c r="AC516" s="70"/>
      <c r="AD516" s="82"/>
      <c r="AE516" s="70"/>
      <c r="AF516" s="70"/>
      <c r="AG516" s="192"/>
      <c r="AH516" s="87"/>
    </row>
    <row r="517" spans="1:34">
      <c r="A517" s="14">
        <f t="shared" si="168"/>
        <v>46365</v>
      </c>
      <c r="B517" s="67"/>
      <c r="C517" s="70"/>
      <c r="D517" s="70"/>
      <c r="E517" s="70"/>
      <c r="F517" s="70"/>
      <c r="G517" s="70"/>
      <c r="H517" s="71"/>
      <c r="I517" s="71"/>
      <c r="J517" s="70"/>
      <c r="K517" s="192"/>
      <c r="L517" s="77"/>
      <c r="M517" s="74"/>
      <c r="N517" s="78"/>
      <c r="O517" s="70"/>
      <c r="P517" s="70"/>
      <c r="Q517" s="70"/>
      <c r="R517" s="70"/>
      <c r="S517" s="70"/>
      <c r="T517" s="82"/>
      <c r="U517" s="70"/>
      <c r="V517" s="70"/>
      <c r="W517" s="192"/>
      <c r="X517" s="83"/>
      <c r="Y517" s="74"/>
      <c r="Z517" s="67"/>
      <c r="AA517" s="70"/>
      <c r="AB517" s="70"/>
      <c r="AC517" s="70"/>
      <c r="AD517" s="82"/>
      <c r="AE517" s="70"/>
      <c r="AF517" s="70"/>
      <c r="AG517" s="192"/>
      <c r="AH517" s="87"/>
    </row>
    <row r="518" spans="1:34">
      <c r="A518" s="14">
        <f t="shared" si="168"/>
        <v>46366</v>
      </c>
      <c r="B518" s="67"/>
      <c r="C518" s="70"/>
      <c r="D518" s="70"/>
      <c r="E518" s="70"/>
      <c r="F518" s="70"/>
      <c r="G518" s="70"/>
      <c r="H518" s="71"/>
      <c r="I518" s="71"/>
      <c r="J518" s="70"/>
      <c r="K518" s="192"/>
      <c r="L518" s="77"/>
      <c r="M518" s="74"/>
      <c r="N518" s="78"/>
      <c r="O518" s="70"/>
      <c r="P518" s="70"/>
      <c r="Q518" s="70"/>
      <c r="R518" s="70"/>
      <c r="S518" s="70"/>
      <c r="T518" s="82"/>
      <c r="U518" s="70"/>
      <c r="V518" s="70"/>
      <c r="W518" s="192"/>
      <c r="X518" s="83"/>
      <c r="Y518" s="74"/>
      <c r="Z518" s="67"/>
      <c r="AA518" s="70"/>
      <c r="AB518" s="70"/>
      <c r="AC518" s="70"/>
      <c r="AD518" s="82"/>
      <c r="AE518" s="70"/>
      <c r="AF518" s="70"/>
      <c r="AG518" s="192"/>
      <c r="AH518" s="87"/>
    </row>
    <row r="519" spans="1:34">
      <c r="A519" s="14">
        <f t="shared" si="168"/>
        <v>46367</v>
      </c>
      <c r="B519" s="38"/>
      <c r="C519" s="13"/>
      <c r="D519" s="13"/>
      <c r="E519" s="13"/>
      <c r="F519" s="13"/>
      <c r="G519" s="13"/>
      <c r="H519" s="12"/>
      <c r="I519" s="12"/>
      <c r="J519" s="13"/>
      <c r="K519" s="184"/>
      <c r="L519" s="26"/>
      <c r="M519" s="22"/>
      <c r="N519" s="29"/>
      <c r="O519" s="13"/>
      <c r="P519" s="13"/>
      <c r="Q519" s="13"/>
      <c r="R519" s="13"/>
      <c r="S519" s="13"/>
      <c r="T519" s="36"/>
      <c r="U519" s="13"/>
      <c r="V519" s="13"/>
      <c r="W519" s="184"/>
      <c r="X519" s="37"/>
      <c r="Y519" s="22"/>
      <c r="Z519" s="38"/>
      <c r="AA519" s="13"/>
      <c r="AB519" s="13"/>
      <c r="AC519" s="13"/>
      <c r="AD519" s="36"/>
      <c r="AE519" s="13"/>
      <c r="AF519" s="13"/>
      <c r="AG519" s="184"/>
      <c r="AH519" s="45"/>
    </row>
    <row r="520" spans="1:34">
      <c r="A520" s="14">
        <f t="shared" si="168"/>
        <v>46368</v>
      </c>
      <c r="B520" s="38"/>
      <c r="C520" s="13"/>
      <c r="D520" s="13"/>
      <c r="E520" s="13"/>
      <c r="F520" s="13"/>
      <c r="G520" s="13"/>
      <c r="H520" s="12"/>
      <c r="I520" s="12"/>
      <c r="J520" s="13"/>
      <c r="K520" s="184"/>
      <c r="L520" s="26"/>
      <c r="M520" s="22"/>
      <c r="N520" s="29"/>
      <c r="O520" s="13"/>
      <c r="P520" s="13"/>
      <c r="Q520" s="13"/>
      <c r="R520" s="13"/>
      <c r="S520" s="13"/>
      <c r="T520" s="36"/>
      <c r="U520" s="13"/>
      <c r="V520" s="13"/>
      <c r="W520" s="184"/>
      <c r="X520" s="37"/>
      <c r="Y520" s="22"/>
      <c r="Z520" s="38"/>
      <c r="AA520" s="13"/>
      <c r="AB520" s="13"/>
      <c r="AC520" s="13"/>
      <c r="AD520" s="36"/>
      <c r="AE520" s="13"/>
      <c r="AF520" s="13"/>
      <c r="AG520" s="184"/>
      <c r="AH520" s="45"/>
    </row>
    <row r="521" spans="1:34">
      <c r="A521" s="14">
        <f t="shared" si="168"/>
        <v>46369</v>
      </c>
      <c r="B521" s="38"/>
      <c r="C521" s="13"/>
      <c r="D521" s="13"/>
      <c r="E521" s="13"/>
      <c r="F521" s="13"/>
      <c r="G521" s="13"/>
      <c r="H521" s="12"/>
      <c r="I521" s="12"/>
      <c r="J521" s="13"/>
      <c r="K521" s="184"/>
      <c r="L521" s="26"/>
      <c r="M521" s="22"/>
      <c r="N521" s="29"/>
      <c r="O521" s="13"/>
      <c r="P521" s="13"/>
      <c r="Q521" s="13"/>
      <c r="R521" s="13"/>
      <c r="S521" s="13"/>
      <c r="T521" s="36"/>
      <c r="U521" s="13"/>
      <c r="V521" s="13"/>
      <c r="W521" s="184"/>
      <c r="X521" s="37"/>
      <c r="Y521" s="22"/>
      <c r="Z521" s="38"/>
      <c r="AA521" s="13"/>
      <c r="AB521" s="13"/>
      <c r="AC521" s="13"/>
      <c r="AD521" s="36"/>
      <c r="AE521" s="13"/>
      <c r="AF521" s="13"/>
      <c r="AG521" s="184"/>
      <c r="AH521" s="45"/>
    </row>
    <row r="522" spans="1:34">
      <c r="A522" s="14">
        <f t="shared" si="168"/>
        <v>46370</v>
      </c>
      <c r="B522" s="38"/>
      <c r="C522" s="13"/>
      <c r="D522" s="13"/>
      <c r="E522" s="13"/>
      <c r="F522" s="13"/>
      <c r="G522" s="13"/>
      <c r="H522" s="72"/>
      <c r="I522" s="80"/>
      <c r="J522" s="13"/>
      <c r="K522" s="184"/>
      <c r="L522" s="26"/>
      <c r="M522" s="22"/>
      <c r="N522" s="29"/>
      <c r="O522" s="13"/>
      <c r="P522" s="13"/>
      <c r="Q522" s="13"/>
      <c r="R522" s="13"/>
      <c r="S522" s="13"/>
      <c r="T522" s="36"/>
      <c r="U522" s="13"/>
      <c r="V522" s="13"/>
      <c r="W522" s="184"/>
      <c r="X522" s="37"/>
      <c r="Y522" s="22"/>
      <c r="Z522" s="38"/>
      <c r="AA522" s="13"/>
      <c r="AB522" s="13"/>
      <c r="AC522" s="13"/>
      <c r="AD522" s="36"/>
      <c r="AE522" s="13"/>
      <c r="AF522" s="13"/>
      <c r="AG522" s="184"/>
      <c r="AH522" s="37"/>
    </row>
    <row r="523" spans="1:34">
      <c r="A523" s="14">
        <f t="shared" si="168"/>
        <v>46371</v>
      </c>
      <c r="B523" s="38"/>
      <c r="C523" s="13"/>
      <c r="D523" s="13"/>
      <c r="E523" s="13"/>
      <c r="F523" s="13"/>
      <c r="G523" s="13"/>
      <c r="H523" s="72"/>
      <c r="I523" s="80"/>
      <c r="J523" s="13"/>
      <c r="K523" s="184"/>
      <c r="L523" s="26"/>
      <c r="M523" s="22"/>
      <c r="N523" s="29"/>
      <c r="O523" s="13"/>
      <c r="P523" s="13"/>
      <c r="Q523" s="13"/>
      <c r="R523" s="13"/>
      <c r="S523" s="13"/>
      <c r="T523" s="36"/>
      <c r="U523" s="13"/>
      <c r="V523" s="13"/>
      <c r="W523" s="184"/>
      <c r="X523" s="37"/>
      <c r="Y523" s="22"/>
      <c r="Z523" s="38"/>
      <c r="AA523" s="13"/>
      <c r="AB523" s="13"/>
      <c r="AC523" s="13"/>
      <c r="AD523" s="36"/>
      <c r="AE523" s="13"/>
      <c r="AF523" s="13"/>
      <c r="AG523" s="184"/>
      <c r="AH523" s="37"/>
    </row>
    <row r="524" spans="1:34">
      <c r="A524" s="14">
        <f t="shared" si="168"/>
        <v>46372</v>
      </c>
      <c r="B524" s="38"/>
      <c r="C524" s="13"/>
      <c r="D524" s="13"/>
      <c r="E524" s="13"/>
      <c r="F524" s="13"/>
      <c r="G524" s="13"/>
      <c r="H524" s="12"/>
      <c r="I524" s="12"/>
      <c r="J524" s="13"/>
      <c r="K524" s="184"/>
      <c r="L524" s="26"/>
      <c r="M524" s="22"/>
      <c r="N524" s="29"/>
      <c r="O524" s="13"/>
      <c r="P524" s="13"/>
      <c r="Q524" s="13"/>
      <c r="R524" s="13"/>
      <c r="S524" s="13"/>
      <c r="T524" s="36"/>
      <c r="U524" s="13"/>
      <c r="V524" s="13"/>
      <c r="W524" s="184"/>
      <c r="X524" s="37"/>
      <c r="Y524" s="22"/>
      <c r="Z524" s="38"/>
      <c r="AA524" s="13"/>
      <c r="AB524" s="13"/>
      <c r="AC524" s="13"/>
      <c r="AD524" s="36"/>
      <c r="AE524" s="13"/>
      <c r="AF524" s="13"/>
      <c r="AG524" s="184"/>
      <c r="AH524" s="37"/>
    </row>
    <row r="525" spans="1:34">
      <c r="A525" s="14">
        <f t="shared" si="168"/>
        <v>46373</v>
      </c>
      <c r="B525" s="38"/>
      <c r="C525" s="13"/>
      <c r="D525" s="13"/>
      <c r="E525" s="13"/>
      <c r="F525" s="13"/>
      <c r="G525" s="13"/>
      <c r="H525" s="12"/>
      <c r="I525" s="12"/>
      <c r="J525" s="13"/>
      <c r="K525" s="184"/>
      <c r="L525" s="26"/>
      <c r="M525" s="22"/>
      <c r="N525" s="29"/>
      <c r="O525" s="13"/>
      <c r="P525" s="13"/>
      <c r="Q525" s="13"/>
      <c r="R525" s="13"/>
      <c r="S525" s="13"/>
      <c r="T525" s="36"/>
      <c r="U525" s="13"/>
      <c r="V525" s="13"/>
      <c r="W525" s="184"/>
      <c r="X525" s="37"/>
      <c r="Y525" s="22"/>
      <c r="Z525" s="38"/>
      <c r="AA525" s="13"/>
      <c r="AB525" s="13"/>
      <c r="AC525" s="13"/>
      <c r="AD525" s="36"/>
      <c r="AE525" s="13"/>
      <c r="AF525" s="13"/>
      <c r="AG525" s="184"/>
      <c r="AH525" s="37"/>
    </row>
    <row r="526" spans="1:34">
      <c r="A526" s="14">
        <f t="shared" si="168"/>
        <v>46374</v>
      </c>
      <c r="B526" s="38"/>
      <c r="C526" s="13"/>
      <c r="D526" s="13"/>
      <c r="E526" s="13"/>
      <c r="F526" s="13"/>
      <c r="G526" s="13"/>
      <c r="H526" s="12"/>
      <c r="I526" s="12"/>
      <c r="J526" s="13"/>
      <c r="K526" s="184"/>
      <c r="L526" s="26"/>
      <c r="M526" s="22"/>
      <c r="N526" s="29"/>
      <c r="O526" s="13"/>
      <c r="P526" s="13"/>
      <c r="Q526" s="13"/>
      <c r="R526" s="13"/>
      <c r="S526" s="13"/>
      <c r="T526" s="36"/>
      <c r="U526" s="13"/>
      <c r="V526" s="13"/>
      <c r="W526" s="184"/>
      <c r="X526" s="37"/>
      <c r="Y526" s="22"/>
      <c r="Z526" s="38"/>
      <c r="AA526" s="13"/>
      <c r="AB526" s="13"/>
      <c r="AC526" s="13"/>
      <c r="AD526" s="36"/>
      <c r="AE526" s="13"/>
      <c r="AF526" s="13"/>
      <c r="AG526" s="184"/>
      <c r="AH526" s="37"/>
    </row>
    <row r="527" spans="1:34">
      <c r="A527" s="14">
        <f t="shared" si="168"/>
        <v>46375</v>
      </c>
      <c r="B527" s="38"/>
      <c r="C527" s="13"/>
      <c r="D527" s="13"/>
      <c r="E527" s="13"/>
      <c r="F527" s="13"/>
      <c r="G527" s="13"/>
      <c r="H527" s="12"/>
      <c r="I527" s="12"/>
      <c r="J527" s="13"/>
      <c r="K527" s="184"/>
      <c r="L527" s="37"/>
      <c r="M527" s="22"/>
      <c r="N527" s="29"/>
      <c r="O527" s="13"/>
      <c r="P527" s="13"/>
      <c r="Q527" s="13"/>
      <c r="R527" s="13"/>
      <c r="S527" s="13"/>
      <c r="T527" s="36"/>
      <c r="U527" s="13"/>
      <c r="V527" s="13"/>
      <c r="W527" s="184"/>
      <c r="X527" s="37"/>
      <c r="Y527" s="22"/>
      <c r="Z527" s="38"/>
      <c r="AA527" s="13"/>
      <c r="AB527" s="13"/>
      <c r="AC527" s="13"/>
      <c r="AD527" s="36"/>
      <c r="AE527" s="13"/>
      <c r="AF527" s="13"/>
      <c r="AG527" s="184"/>
      <c r="AH527" s="37"/>
    </row>
    <row r="528" spans="1:34">
      <c r="A528" s="14">
        <f t="shared" si="168"/>
        <v>46376</v>
      </c>
      <c r="B528" s="38"/>
      <c r="C528" s="13"/>
      <c r="D528" s="13"/>
      <c r="E528" s="13"/>
      <c r="F528" s="13"/>
      <c r="G528" s="13"/>
      <c r="H528" s="12"/>
      <c r="I528" s="13"/>
      <c r="J528" s="13"/>
      <c r="K528" s="184"/>
      <c r="L528" s="26"/>
      <c r="M528" s="22"/>
      <c r="N528" s="29"/>
      <c r="O528" s="13"/>
      <c r="P528" s="13"/>
      <c r="Q528" s="13"/>
      <c r="R528" s="13"/>
      <c r="S528" s="13"/>
      <c r="T528" s="36"/>
      <c r="U528" s="13"/>
      <c r="V528" s="13"/>
      <c r="W528" s="184"/>
      <c r="X528" s="37"/>
      <c r="Y528" s="22"/>
      <c r="Z528" s="38"/>
      <c r="AA528" s="13"/>
      <c r="AB528" s="13"/>
      <c r="AC528" s="13"/>
      <c r="AD528" s="36"/>
      <c r="AE528" s="13"/>
      <c r="AF528" s="13"/>
      <c r="AG528" s="184"/>
      <c r="AH528" s="37"/>
    </row>
    <row r="529" spans="1:34">
      <c r="A529" s="14">
        <f t="shared" si="168"/>
        <v>46377</v>
      </c>
      <c r="B529" s="38"/>
      <c r="C529" s="13"/>
      <c r="D529" s="13"/>
      <c r="E529" s="13"/>
      <c r="F529" s="13"/>
      <c r="G529" s="13"/>
      <c r="H529" s="36"/>
      <c r="I529" s="12"/>
      <c r="J529" s="13"/>
      <c r="K529" s="184"/>
      <c r="L529" s="37"/>
      <c r="M529" s="22"/>
      <c r="N529" s="29"/>
      <c r="O529" s="13"/>
      <c r="P529" s="13"/>
      <c r="Q529" s="13"/>
      <c r="R529" s="13"/>
      <c r="S529" s="13"/>
      <c r="T529" s="36"/>
      <c r="U529" s="13"/>
      <c r="V529" s="13"/>
      <c r="W529" s="184"/>
      <c r="X529" s="37"/>
      <c r="Y529" s="22"/>
      <c r="Z529" s="38"/>
      <c r="AA529" s="13"/>
      <c r="AB529" s="13"/>
      <c r="AC529" s="13"/>
      <c r="AD529" s="36"/>
      <c r="AE529" s="12"/>
      <c r="AF529" s="13"/>
      <c r="AG529" s="184"/>
      <c r="AH529" s="37"/>
    </row>
    <row r="530" spans="1:34">
      <c r="A530" s="14">
        <f t="shared" si="168"/>
        <v>46378</v>
      </c>
      <c r="B530" s="38"/>
      <c r="C530" s="13"/>
      <c r="D530" s="13"/>
      <c r="E530" s="13"/>
      <c r="F530" s="13"/>
      <c r="G530" s="13"/>
      <c r="H530" s="12"/>
      <c r="I530" s="13"/>
      <c r="J530" s="13"/>
      <c r="K530" s="184"/>
      <c r="L530" s="26"/>
      <c r="M530" s="22"/>
      <c r="N530" s="29"/>
      <c r="O530" s="13"/>
      <c r="P530" s="13"/>
      <c r="Q530" s="13"/>
      <c r="R530" s="13"/>
      <c r="S530" s="13"/>
      <c r="T530" s="36"/>
      <c r="U530" s="13"/>
      <c r="V530" s="13"/>
      <c r="W530" s="184"/>
      <c r="X530" s="37"/>
      <c r="Y530" s="22"/>
      <c r="Z530" s="38"/>
      <c r="AA530" s="13"/>
      <c r="AB530" s="13"/>
      <c r="AC530" s="13"/>
      <c r="AD530" s="36"/>
      <c r="AE530" s="13"/>
      <c r="AF530" s="13"/>
      <c r="AG530" s="184"/>
      <c r="AH530" s="37"/>
    </row>
    <row r="531" spans="1:34">
      <c r="A531" s="14">
        <f t="shared" si="168"/>
        <v>46379</v>
      </c>
      <c r="B531" s="29"/>
      <c r="C531" s="13"/>
      <c r="D531" s="13"/>
      <c r="E531" s="13"/>
      <c r="F531" s="13"/>
      <c r="G531" s="13"/>
      <c r="H531" s="13"/>
      <c r="I531" s="13"/>
      <c r="J531" s="13"/>
      <c r="K531" s="184"/>
      <c r="L531" s="37"/>
      <c r="M531" s="22"/>
      <c r="N531" s="29"/>
      <c r="O531" s="13"/>
      <c r="P531" s="13"/>
      <c r="Q531" s="13"/>
      <c r="R531" s="13"/>
      <c r="S531" s="13"/>
      <c r="T531" s="36"/>
      <c r="U531" s="13"/>
      <c r="V531" s="13"/>
      <c r="W531" s="184"/>
      <c r="X531" s="37"/>
      <c r="Y531" s="22"/>
      <c r="Z531" s="38"/>
      <c r="AA531" s="13"/>
      <c r="AB531" s="13"/>
      <c r="AC531" s="13"/>
      <c r="AD531" s="36"/>
      <c r="AE531" s="13"/>
      <c r="AF531" s="13"/>
      <c r="AG531" s="184"/>
      <c r="AH531" s="37"/>
    </row>
    <row r="532" spans="1:34">
      <c r="A532" s="14">
        <f t="shared" si="168"/>
        <v>46380</v>
      </c>
      <c r="B532" s="29"/>
      <c r="C532" s="13"/>
      <c r="D532" s="13"/>
      <c r="E532" s="13"/>
      <c r="F532" s="13"/>
      <c r="G532" s="13"/>
      <c r="H532" s="13"/>
      <c r="I532" s="13"/>
      <c r="J532" s="13"/>
      <c r="K532" s="184"/>
      <c r="L532" s="37"/>
      <c r="M532" s="22"/>
      <c r="N532" s="29"/>
      <c r="O532" s="13"/>
      <c r="P532" s="13"/>
      <c r="Q532" s="13"/>
      <c r="R532" s="13"/>
      <c r="S532" s="13"/>
      <c r="T532" s="36"/>
      <c r="U532" s="13"/>
      <c r="V532" s="13"/>
      <c r="W532" s="184"/>
      <c r="X532" s="37"/>
      <c r="Y532" s="22"/>
      <c r="Z532" s="38"/>
      <c r="AA532" s="13"/>
      <c r="AB532" s="13"/>
      <c r="AC532" s="13"/>
      <c r="AD532" s="36"/>
      <c r="AE532" s="13"/>
      <c r="AF532" s="13"/>
      <c r="AG532" s="184"/>
      <c r="AH532" s="37"/>
    </row>
    <row r="533" spans="1:34">
      <c r="A533" s="14">
        <f t="shared" si="168"/>
        <v>46381</v>
      </c>
      <c r="B533" s="29"/>
      <c r="C533" s="13"/>
      <c r="D533" s="13"/>
      <c r="E533" s="13"/>
      <c r="F533" s="13"/>
      <c r="G533" s="13"/>
      <c r="H533" s="13"/>
      <c r="I533" s="13"/>
      <c r="J533" s="13"/>
      <c r="K533" s="184"/>
      <c r="L533" s="37"/>
      <c r="M533" s="22"/>
      <c r="N533" s="29"/>
      <c r="O533" s="13"/>
      <c r="P533" s="13"/>
      <c r="Q533" s="13"/>
      <c r="R533" s="13"/>
      <c r="S533" s="13"/>
      <c r="T533" s="36"/>
      <c r="U533" s="13"/>
      <c r="V533" s="13"/>
      <c r="W533" s="184"/>
      <c r="X533" s="37"/>
      <c r="Y533" s="22"/>
      <c r="Z533" s="38"/>
      <c r="AA533" s="13"/>
      <c r="AB533" s="13"/>
      <c r="AC533" s="13"/>
      <c r="AD533" s="36"/>
      <c r="AE533" s="13"/>
      <c r="AF533" s="13"/>
      <c r="AG533" s="184"/>
      <c r="AH533" s="37"/>
    </row>
    <row r="534" spans="1:34">
      <c r="A534" s="14">
        <f t="shared" si="168"/>
        <v>46382</v>
      </c>
      <c r="B534" s="29"/>
      <c r="C534" s="13"/>
      <c r="D534" s="13"/>
      <c r="E534" s="13"/>
      <c r="F534" s="13"/>
      <c r="G534" s="13"/>
      <c r="H534" s="13"/>
      <c r="I534" s="13"/>
      <c r="J534" s="13"/>
      <c r="K534" s="184"/>
      <c r="L534" s="37"/>
      <c r="M534" s="22"/>
      <c r="N534" s="29"/>
      <c r="O534" s="13"/>
      <c r="P534" s="13"/>
      <c r="Q534" s="13"/>
      <c r="R534" s="13"/>
      <c r="S534" s="13"/>
      <c r="T534" s="36"/>
      <c r="U534" s="13"/>
      <c r="V534" s="13"/>
      <c r="W534" s="184"/>
      <c r="X534" s="51"/>
      <c r="Y534" s="22"/>
      <c r="Z534" s="38"/>
      <c r="AA534" s="13"/>
      <c r="AB534" s="13"/>
      <c r="AC534" s="13"/>
      <c r="AD534" s="36"/>
      <c r="AE534" s="13"/>
      <c r="AF534" s="13"/>
      <c r="AG534" s="184"/>
      <c r="AH534" s="51"/>
    </row>
    <row r="535" spans="1:34">
      <c r="A535" s="14">
        <f t="shared" si="168"/>
        <v>46383</v>
      </c>
      <c r="B535" s="29"/>
      <c r="C535" s="13"/>
      <c r="D535" s="13"/>
      <c r="E535" s="13"/>
      <c r="F535" s="13"/>
      <c r="G535" s="13"/>
      <c r="H535" s="13"/>
      <c r="I535" s="13"/>
      <c r="J535" s="13"/>
      <c r="K535" s="184"/>
      <c r="L535" s="37"/>
      <c r="M535" s="22"/>
      <c r="N535" s="29"/>
      <c r="O535" s="13"/>
      <c r="P535" s="13"/>
      <c r="Q535" s="13"/>
      <c r="R535" s="13"/>
      <c r="S535" s="13"/>
      <c r="T535" s="36"/>
      <c r="U535" s="13"/>
      <c r="V535" s="13"/>
      <c r="W535" s="184"/>
      <c r="X535" s="37"/>
      <c r="Y535" s="22"/>
      <c r="Z535" s="38"/>
      <c r="AA535" s="13"/>
      <c r="AB535" s="13"/>
      <c r="AC535" s="13"/>
      <c r="AD535" s="36"/>
      <c r="AE535" s="13"/>
      <c r="AF535" s="13"/>
      <c r="AG535" s="184"/>
      <c r="AH535" s="37"/>
    </row>
    <row r="536" spans="1:34">
      <c r="A536" s="14">
        <f t="shared" si="168"/>
        <v>46384</v>
      </c>
      <c r="B536" s="29"/>
      <c r="C536" s="13"/>
      <c r="D536" s="13"/>
      <c r="E536" s="13"/>
      <c r="F536" s="13"/>
      <c r="G536" s="13"/>
      <c r="H536" s="13"/>
      <c r="I536" s="13"/>
      <c r="J536" s="13"/>
      <c r="K536" s="184"/>
      <c r="L536" s="37"/>
      <c r="M536" s="22"/>
      <c r="N536" s="29"/>
      <c r="O536" s="13"/>
      <c r="P536" s="13"/>
      <c r="Q536" s="13"/>
      <c r="R536" s="13"/>
      <c r="S536" s="13"/>
      <c r="T536" s="36"/>
      <c r="U536" s="13"/>
      <c r="V536" s="13"/>
      <c r="W536" s="184"/>
      <c r="X536" s="37"/>
      <c r="Y536" s="22"/>
      <c r="Z536" s="38"/>
      <c r="AA536" s="13"/>
      <c r="AB536" s="13"/>
      <c r="AC536" s="13"/>
      <c r="AD536" s="36"/>
      <c r="AE536" s="13"/>
      <c r="AF536" s="13"/>
      <c r="AG536" s="184"/>
      <c r="AH536" s="37"/>
    </row>
    <row r="537" spans="1:34">
      <c r="A537" s="14">
        <f t="shared" si="168"/>
        <v>46385</v>
      </c>
      <c r="B537" s="29"/>
      <c r="C537" s="13"/>
      <c r="D537" s="13"/>
      <c r="E537" s="13"/>
      <c r="F537" s="13"/>
      <c r="G537" s="13"/>
      <c r="H537" s="13"/>
      <c r="I537" s="13"/>
      <c r="J537" s="13"/>
      <c r="K537" s="184"/>
      <c r="L537" s="37"/>
      <c r="M537" s="22"/>
      <c r="N537" s="29"/>
      <c r="O537" s="13"/>
      <c r="P537" s="13"/>
      <c r="Q537" s="13"/>
      <c r="R537" s="13"/>
      <c r="S537" s="13"/>
      <c r="T537" s="36"/>
      <c r="U537" s="13"/>
      <c r="V537" s="13"/>
      <c r="W537" s="184"/>
      <c r="X537" s="37"/>
      <c r="Y537" s="22"/>
      <c r="Z537" s="38"/>
      <c r="AA537" s="13"/>
      <c r="AB537" s="13"/>
      <c r="AC537" s="13"/>
      <c r="AD537" s="36"/>
      <c r="AE537" s="13"/>
      <c r="AF537" s="13"/>
      <c r="AG537" s="184"/>
      <c r="AH537" s="37"/>
    </row>
    <row r="538" spans="1:34">
      <c r="A538" s="14">
        <f t="shared" si="168"/>
        <v>46386</v>
      </c>
      <c r="B538" s="29"/>
      <c r="C538" s="13"/>
      <c r="D538" s="13"/>
      <c r="E538" s="13"/>
      <c r="F538" s="13"/>
      <c r="G538" s="13"/>
      <c r="H538" s="13"/>
      <c r="I538" s="13"/>
      <c r="J538" s="13"/>
      <c r="K538" s="184"/>
      <c r="L538" s="37"/>
      <c r="M538" s="22"/>
      <c r="N538" s="29"/>
      <c r="O538" s="13"/>
      <c r="P538" s="47"/>
      <c r="Q538" s="47"/>
      <c r="R538" s="47"/>
      <c r="S538" s="47"/>
      <c r="T538" s="52"/>
      <c r="U538" s="47"/>
      <c r="V538" s="53"/>
      <c r="W538" s="184"/>
      <c r="X538" s="48"/>
      <c r="Y538" s="22"/>
      <c r="Z538" s="38"/>
      <c r="AA538" s="13"/>
      <c r="AB538" s="47"/>
      <c r="AC538" s="47"/>
      <c r="AD538" s="52"/>
      <c r="AE538" s="13"/>
      <c r="AF538" s="53"/>
      <c r="AG538" s="53"/>
      <c r="AH538" s="37"/>
    </row>
    <row r="539" spans="1:34" ht="15.75" thickBot="1">
      <c r="A539" s="15"/>
      <c r="B539" s="29"/>
      <c r="C539" s="13"/>
      <c r="D539" s="13"/>
      <c r="E539" s="13"/>
      <c r="F539" s="13"/>
      <c r="G539" s="13"/>
      <c r="H539" s="13"/>
      <c r="I539" s="13"/>
      <c r="J539" s="13"/>
      <c r="K539" s="184"/>
      <c r="L539" s="37"/>
      <c r="M539" s="22"/>
      <c r="N539" s="56"/>
      <c r="O539" s="47"/>
      <c r="P539" s="47"/>
      <c r="Q539" s="47"/>
      <c r="R539" s="47"/>
      <c r="S539" s="47"/>
      <c r="T539" s="52"/>
      <c r="U539" s="47"/>
      <c r="V539" s="47"/>
      <c r="W539" s="184"/>
      <c r="X539" s="48"/>
      <c r="Y539" s="22"/>
      <c r="Z539" s="39"/>
      <c r="AA539" s="47"/>
      <c r="AB539" s="47"/>
      <c r="AC539" s="47"/>
      <c r="AD539" s="47"/>
      <c r="AE539" s="47"/>
      <c r="AF539" s="47"/>
      <c r="AG539" s="53"/>
      <c r="AH539" s="48"/>
    </row>
    <row r="540" spans="1:34">
      <c r="A540" s="16" t="s">
        <v>31</v>
      </c>
      <c r="B540" s="17">
        <f>MIN(B509:B539)</f>
        <v>0</v>
      </c>
      <c r="C540" s="17">
        <f>MIN(C509:C539)</f>
        <v>0</v>
      </c>
      <c r="D540" s="17">
        <f t="shared" ref="D540:L540" si="169">MIN(D509:D539)</f>
        <v>0</v>
      </c>
      <c r="E540" s="17">
        <f t="shared" si="169"/>
        <v>0</v>
      </c>
      <c r="F540" s="17">
        <f t="shared" si="169"/>
        <v>0</v>
      </c>
      <c r="G540" s="17">
        <f t="shared" si="169"/>
        <v>0</v>
      </c>
      <c r="H540" s="197">
        <f t="shared" si="169"/>
        <v>0</v>
      </c>
      <c r="I540" s="17">
        <f t="shared" si="169"/>
        <v>0</v>
      </c>
      <c r="J540" s="17">
        <f t="shared" si="169"/>
        <v>0</v>
      </c>
      <c r="K540" s="17">
        <f t="shared" si="169"/>
        <v>0</v>
      </c>
      <c r="L540" s="30">
        <f t="shared" si="169"/>
        <v>0</v>
      </c>
      <c r="M540" s="22"/>
      <c r="N540" s="17">
        <f>MIN(N509:N539)</f>
        <v>0</v>
      </c>
      <c r="O540" s="17">
        <f>MIN(O509:O539)</f>
        <v>0</v>
      </c>
      <c r="P540" s="17">
        <f t="shared" ref="P540:X540" si="170">MIN(P509:P539)</f>
        <v>0</v>
      </c>
      <c r="Q540" s="17">
        <f t="shared" si="170"/>
        <v>0</v>
      </c>
      <c r="R540" s="17">
        <f t="shared" si="170"/>
        <v>0</v>
      </c>
      <c r="S540" s="17">
        <f t="shared" si="170"/>
        <v>0</v>
      </c>
      <c r="T540" s="197">
        <f t="shared" si="170"/>
        <v>0</v>
      </c>
      <c r="U540" s="17">
        <f t="shared" si="170"/>
        <v>0</v>
      </c>
      <c r="V540" s="17">
        <f t="shared" si="170"/>
        <v>0</v>
      </c>
      <c r="W540" s="17">
        <f t="shared" si="170"/>
        <v>0</v>
      </c>
      <c r="X540" s="30">
        <f t="shared" si="170"/>
        <v>0</v>
      </c>
      <c r="Z540" s="40">
        <f t="shared" ref="Z540:AH540" si="171">MIN(Z509:Z539)</f>
        <v>0</v>
      </c>
      <c r="AA540" s="17">
        <f t="shared" si="171"/>
        <v>0</v>
      </c>
      <c r="AB540" s="17">
        <f t="shared" si="171"/>
        <v>0</v>
      </c>
      <c r="AC540" s="17">
        <f t="shared" si="171"/>
        <v>0</v>
      </c>
      <c r="AD540" s="197">
        <f t="shared" si="171"/>
        <v>0</v>
      </c>
      <c r="AE540" s="17">
        <f t="shared" si="171"/>
        <v>0</v>
      </c>
      <c r="AF540" s="17">
        <f t="shared" si="171"/>
        <v>0</v>
      </c>
      <c r="AG540" s="17">
        <f t="shared" si="171"/>
        <v>0</v>
      </c>
      <c r="AH540" s="30">
        <f t="shared" si="171"/>
        <v>0</v>
      </c>
    </row>
    <row r="541" spans="1:34">
      <c r="A541" s="18" t="s">
        <v>33</v>
      </c>
      <c r="B541" s="19">
        <f>MAX(B509:B539)</f>
        <v>0</v>
      </c>
      <c r="C541" s="19">
        <f>MAX(C509:C539)</f>
        <v>0</v>
      </c>
      <c r="D541" s="19">
        <f t="shared" ref="D541:L541" si="172">MAX(D509:D539)</f>
        <v>0</v>
      </c>
      <c r="E541" s="19">
        <f t="shared" si="172"/>
        <v>0</v>
      </c>
      <c r="F541" s="19">
        <f t="shared" si="172"/>
        <v>0</v>
      </c>
      <c r="G541" s="19">
        <f t="shared" si="172"/>
        <v>0</v>
      </c>
      <c r="H541" s="198">
        <f t="shared" si="172"/>
        <v>0</v>
      </c>
      <c r="I541" s="19">
        <f t="shared" si="172"/>
        <v>0</v>
      </c>
      <c r="J541" s="19">
        <f t="shared" si="172"/>
        <v>0</v>
      </c>
      <c r="K541" s="19">
        <f t="shared" si="172"/>
        <v>0</v>
      </c>
      <c r="L541" s="31">
        <f t="shared" si="172"/>
        <v>0</v>
      </c>
      <c r="M541" s="22"/>
      <c r="N541" s="19">
        <f>MAX(N509:N539)</f>
        <v>0</v>
      </c>
      <c r="O541" s="19">
        <f>MAX(O509:O539)</f>
        <v>0</v>
      </c>
      <c r="P541" s="19">
        <f t="shared" ref="P541:X541" si="173">MAX(P509:P539)</f>
        <v>0</v>
      </c>
      <c r="Q541" s="19">
        <f t="shared" si="173"/>
        <v>0</v>
      </c>
      <c r="R541" s="19">
        <f t="shared" si="173"/>
        <v>0</v>
      </c>
      <c r="S541" s="19">
        <f t="shared" si="173"/>
        <v>0</v>
      </c>
      <c r="T541" s="198">
        <f t="shared" si="173"/>
        <v>0</v>
      </c>
      <c r="U541" s="19">
        <f t="shared" si="173"/>
        <v>0</v>
      </c>
      <c r="V541" s="19">
        <f t="shared" si="173"/>
        <v>0</v>
      </c>
      <c r="W541" s="19">
        <f t="shared" si="173"/>
        <v>0</v>
      </c>
      <c r="X541" s="31">
        <f t="shared" si="173"/>
        <v>0</v>
      </c>
      <c r="Z541" s="41">
        <f t="shared" ref="Z541:AH541" si="174">MAX(Z509:Z539)</f>
        <v>0</v>
      </c>
      <c r="AA541" s="19">
        <f t="shared" si="174"/>
        <v>0</v>
      </c>
      <c r="AB541" s="19">
        <f t="shared" si="174"/>
        <v>0</v>
      </c>
      <c r="AC541" s="19">
        <f t="shared" si="174"/>
        <v>0</v>
      </c>
      <c r="AD541" s="198">
        <f t="shared" si="174"/>
        <v>0</v>
      </c>
      <c r="AE541" s="19">
        <f t="shared" si="174"/>
        <v>0</v>
      </c>
      <c r="AF541" s="19">
        <f t="shared" si="174"/>
        <v>0</v>
      </c>
      <c r="AG541" s="19">
        <f t="shared" si="174"/>
        <v>0</v>
      </c>
      <c r="AH541" s="31">
        <f t="shared" si="174"/>
        <v>0</v>
      </c>
    </row>
    <row r="542" spans="1:34">
      <c r="A542" s="18" t="s">
        <v>36</v>
      </c>
      <c r="B542" s="19" t="e">
        <f t="shared" ref="B542:L542" si="175">AVERAGE(B509:B539)</f>
        <v>#DIV/0!</v>
      </c>
      <c r="C542" s="19" t="e">
        <f t="shared" si="175"/>
        <v>#DIV/0!</v>
      </c>
      <c r="D542" s="19" t="e">
        <f t="shared" si="175"/>
        <v>#DIV/0!</v>
      </c>
      <c r="E542" s="19" t="e">
        <f t="shared" si="175"/>
        <v>#DIV/0!</v>
      </c>
      <c r="F542" s="19" t="e">
        <f t="shared" si="175"/>
        <v>#DIV/0!</v>
      </c>
      <c r="G542" s="19" t="e">
        <f t="shared" si="175"/>
        <v>#DIV/0!</v>
      </c>
      <c r="H542" s="198" t="e">
        <f t="shared" si="175"/>
        <v>#DIV/0!</v>
      </c>
      <c r="I542" s="19" t="e">
        <f t="shared" si="175"/>
        <v>#DIV/0!</v>
      </c>
      <c r="J542" s="19" t="e">
        <f t="shared" si="175"/>
        <v>#DIV/0!</v>
      </c>
      <c r="K542" s="19" t="e">
        <f t="shared" si="175"/>
        <v>#DIV/0!</v>
      </c>
      <c r="L542" s="31" t="e">
        <f t="shared" si="175"/>
        <v>#DIV/0!</v>
      </c>
      <c r="M542" s="22"/>
      <c r="N542" s="19" t="e">
        <f t="shared" ref="N542:X542" si="176">AVERAGE(N509:N539)</f>
        <v>#DIV/0!</v>
      </c>
      <c r="O542" s="19" t="e">
        <f t="shared" si="176"/>
        <v>#DIV/0!</v>
      </c>
      <c r="P542" s="19" t="e">
        <f t="shared" si="176"/>
        <v>#DIV/0!</v>
      </c>
      <c r="Q542" s="19" t="e">
        <f t="shared" si="176"/>
        <v>#DIV/0!</v>
      </c>
      <c r="R542" s="19" t="e">
        <f t="shared" si="176"/>
        <v>#DIV/0!</v>
      </c>
      <c r="S542" s="19" t="e">
        <f t="shared" si="176"/>
        <v>#DIV/0!</v>
      </c>
      <c r="T542" s="198" t="e">
        <f t="shared" si="176"/>
        <v>#DIV/0!</v>
      </c>
      <c r="U542" s="19" t="e">
        <f t="shared" si="176"/>
        <v>#DIV/0!</v>
      </c>
      <c r="V542" s="19" t="e">
        <f t="shared" si="176"/>
        <v>#DIV/0!</v>
      </c>
      <c r="W542" s="19" t="e">
        <f t="shared" si="176"/>
        <v>#DIV/0!</v>
      </c>
      <c r="X542" s="31" t="e">
        <f t="shared" si="176"/>
        <v>#DIV/0!</v>
      </c>
      <c r="Z542" s="41" t="e">
        <f>AVERAGE(Z509:Z539)</f>
        <v>#DIV/0!</v>
      </c>
      <c r="AA542" s="19" t="e">
        <f t="shared" ref="AA542:AH542" si="177">AVERAGE(AA509:AA539)</f>
        <v>#DIV/0!</v>
      </c>
      <c r="AB542" s="19" t="e">
        <f t="shared" si="177"/>
        <v>#DIV/0!</v>
      </c>
      <c r="AC542" s="19" t="e">
        <f t="shared" si="177"/>
        <v>#DIV/0!</v>
      </c>
      <c r="AD542" s="198" t="e">
        <f t="shared" si="177"/>
        <v>#DIV/0!</v>
      </c>
      <c r="AE542" s="19" t="e">
        <f t="shared" si="177"/>
        <v>#DIV/0!</v>
      </c>
      <c r="AF542" s="19" t="e">
        <f t="shared" si="177"/>
        <v>#DIV/0!</v>
      </c>
      <c r="AG542" s="19" t="e">
        <f t="shared" si="177"/>
        <v>#DIV/0!</v>
      </c>
      <c r="AH542" s="31" t="e">
        <f t="shared" si="177"/>
        <v>#DIV/0!</v>
      </c>
    </row>
    <row r="543" spans="1:34" ht="15.75" thickBot="1">
      <c r="A543" s="20" t="s">
        <v>130</v>
      </c>
      <c r="B543" s="21" t="e">
        <f>STDEV(B509:B539)</f>
        <v>#DIV/0!</v>
      </c>
      <c r="C543" s="21" t="e">
        <f t="shared" ref="C543:L543" si="178">STDEV(C509:C539)</f>
        <v>#DIV/0!</v>
      </c>
      <c r="D543" s="21" t="e">
        <f t="shared" si="178"/>
        <v>#DIV/0!</v>
      </c>
      <c r="E543" s="21" t="e">
        <f t="shared" si="178"/>
        <v>#DIV/0!</v>
      </c>
      <c r="F543" s="21" t="e">
        <f t="shared" si="178"/>
        <v>#DIV/0!</v>
      </c>
      <c r="G543" s="21" t="e">
        <f t="shared" si="178"/>
        <v>#DIV/0!</v>
      </c>
      <c r="H543" s="199" t="e">
        <f t="shared" si="178"/>
        <v>#DIV/0!</v>
      </c>
      <c r="I543" s="21" t="e">
        <f t="shared" si="178"/>
        <v>#DIV/0!</v>
      </c>
      <c r="J543" s="21" t="e">
        <f t="shared" si="178"/>
        <v>#DIV/0!</v>
      </c>
      <c r="K543" s="21" t="e">
        <f t="shared" si="178"/>
        <v>#DIV/0!</v>
      </c>
      <c r="L543" s="32" t="e">
        <f t="shared" si="178"/>
        <v>#DIV/0!</v>
      </c>
      <c r="M543" s="22"/>
      <c r="N543" s="21" t="e">
        <f>STDEV(N509:N539)</f>
        <v>#DIV/0!</v>
      </c>
      <c r="O543" s="21" t="e">
        <f t="shared" ref="O543:X543" si="179">STDEV(O509:O539)</f>
        <v>#DIV/0!</v>
      </c>
      <c r="P543" s="21" t="e">
        <f t="shared" si="179"/>
        <v>#DIV/0!</v>
      </c>
      <c r="Q543" s="21" t="e">
        <f t="shared" si="179"/>
        <v>#DIV/0!</v>
      </c>
      <c r="R543" s="21" t="e">
        <f t="shared" si="179"/>
        <v>#DIV/0!</v>
      </c>
      <c r="S543" s="21" t="e">
        <f t="shared" si="179"/>
        <v>#DIV/0!</v>
      </c>
      <c r="T543" s="199" t="e">
        <f t="shared" si="179"/>
        <v>#DIV/0!</v>
      </c>
      <c r="U543" s="21" t="e">
        <f t="shared" si="179"/>
        <v>#DIV/0!</v>
      </c>
      <c r="V543" s="21" t="e">
        <f t="shared" si="179"/>
        <v>#DIV/0!</v>
      </c>
      <c r="W543" s="21" t="e">
        <f t="shared" si="179"/>
        <v>#DIV/0!</v>
      </c>
      <c r="X543" s="32" t="e">
        <f t="shared" si="179"/>
        <v>#DIV/0!</v>
      </c>
      <c r="Z543" s="42" t="e">
        <f>STDEV(Z509:Z539)</f>
        <v>#DIV/0!</v>
      </c>
      <c r="AA543" s="21" t="e">
        <f t="shared" ref="AA543:AH543" si="180">STDEV(AA509:AA539)</f>
        <v>#DIV/0!</v>
      </c>
      <c r="AB543" s="21" t="e">
        <f t="shared" si="180"/>
        <v>#DIV/0!</v>
      </c>
      <c r="AC543" s="21" t="e">
        <f t="shared" si="180"/>
        <v>#DIV/0!</v>
      </c>
      <c r="AD543" s="199" t="e">
        <f t="shared" si="180"/>
        <v>#DIV/0!</v>
      </c>
      <c r="AE543" s="21" t="e">
        <f t="shared" si="180"/>
        <v>#DIV/0!</v>
      </c>
      <c r="AF543" s="21" t="e">
        <f t="shared" si="180"/>
        <v>#DIV/0!</v>
      </c>
      <c r="AG543" s="21" t="e">
        <f t="shared" si="180"/>
        <v>#DIV/0!</v>
      </c>
      <c r="AH543" s="32" t="e">
        <f t="shared" si="180"/>
        <v>#DIV/0!</v>
      </c>
    </row>
  </sheetData>
  <mergeCells count="143">
    <mergeCell ref="B209:AH209"/>
    <mergeCell ref="B210:AC210"/>
    <mergeCell ref="AF210:AH210"/>
    <mergeCell ref="B251:AH251"/>
    <mergeCell ref="B252:AC252"/>
    <mergeCell ref="AF252:AH252"/>
    <mergeCell ref="A3:A4"/>
    <mergeCell ref="B4:B5"/>
    <mergeCell ref="B1:AH1"/>
    <mergeCell ref="N4:N5"/>
    <mergeCell ref="C47:C48"/>
    <mergeCell ref="AF2:AH2"/>
    <mergeCell ref="B3:L3"/>
    <mergeCell ref="N3:X3"/>
    <mergeCell ref="Z3:AH3"/>
    <mergeCell ref="N47:N48"/>
    <mergeCell ref="O4:O5"/>
    <mergeCell ref="B2:AC2"/>
    <mergeCell ref="C4:C5"/>
    <mergeCell ref="B44:AH44"/>
    <mergeCell ref="B45:AC45"/>
    <mergeCell ref="AF45:AH45"/>
    <mergeCell ref="B46:L46"/>
    <mergeCell ref="N46:X46"/>
    <mergeCell ref="Z46:AH46"/>
    <mergeCell ref="B167:AH167"/>
    <mergeCell ref="B168:AC168"/>
    <mergeCell ref="AF168:AH168"/>
    <mergeCell ref="A88:A89"/>
    <mergeCell ref="B88:L88"/>
    <mergeCell ref="N88:X88"/>
    <mergeCell ref="Z88:AH88"/>
    <mergeCell ref="B89:B90"/>
    <mergeCell ref="C89:C90"/>
    <mergeCell ref="N89:N90"/>
    <mergeCell ref="O89:O90"/>
    <mergeCell ref="A46:A47"/>
    <mergeCell ref="B47:B48"/>
    <mergeCell ref="O47:O48"/>
    <mergeCell ref="B86:AH86"/>
    <mergeCell ref="B87:AC87"/>
    <mergeCell ref="AF87:AH87"/>
    <mergeCell ref="A169:A170"/>
    <mergeCell ref="B169:L169"/>
    <mergeCell ref="N169:X169"/>
    <mergeCell ref="Z169:AH169"/>
    <mergeCell ref="B170:B171"/>
    <mergeCell ref="C170:C171"/>
    <mergeCell ref="N170:N171"/>
    <mergeCell ref="O170:O171"/>
    <mergeCell ref="B125:AH125"/>
    <mergeCell ref="B126:AC126"/>
    <mergeCell ref="AF126:AH126"/>
    <mergeCell ref="A127:A128"/>
    <mergeCell ref="B127:L127"/>
    <mergeCell ref="N127:X127"/>
    <mergeCell ref="Z127:AH127"/>
    <mergeCell ref="B128:B129"/>
    <mergeCell ref="C128:C129"/>
    <mergeCell ref="N128:N129"/>
    <mergeCell ref="O128:O129"/>
    <mergeCell ref="A253:A254"/>
    <mergeCell ref="B253:L253"/>
    <mergeCell ref="N253:X253"/>
    <mergeCell ref="Z253:AH253"/>
    <mergeCell ref="B254:B255"/>
    <mergeCell ref="C254:C255"/>
    <mergeCell ref="N254:N255"/>
    <mergeCell ref="O254:O255"/>
    <mergeCell ref="A211:A212"/>
    <mergeCell ref="B211:L211"/>
    <mergeCell ref="N211:X211"/>
    <mergeCell ref="Z211:AH211"/>
    <mergeCell ref="B212:B213"/>
    <mergeCell ref="C212:C213"/>
    <mergeCell ref="N212:N213"/>
    <mergeCell ref="O212:O213"/>
    <mergeCell ref="B293:AH293"/>
    <mergeCell ref="B294:AC294"/>
    <mergeCell ref="AF294:AH294"/>
    <mergeCell ref="A295:A296"/>
    <mergeCell ref="B295:L295"/>
    <mergeCell ref="N295:X295"/>
    <mergeCell ref="Z295:AH295"/>
    <mergeCell ref="B296:B297"/>
    <mergeCell ref="C296:C297"/>
    <mergeCell ref="N296:N297"/>
    <mergeCell ref="O296:O297"/>
    <mergeCell ref="B335:AH335"/>
    <mergeCell ref="B336:AC336"/>
    <mergeCell ref="AF336:AH336"/>
    <mergeCell ref="A337:A338"/>
    <mergeCell ref="B337:L337"/>
    <mergeCell ref="N337:X337"/>
    <mergeCell ref="Z337:AH337"/>
    <mergeCell ref="B338:B339"/>
    <mergeCell ref="C338:C339"/>
    <mergeCell ref="N338:N339"/>
    <mergeCell ref="O338:O339"/>
    <mergeCell ref="B377:AH377"/>
    <mergeCell ref="B378:AC378"/>
    <mergeCell ref="AF378:AH378"/>
    <mergeCell ref="A379:A380"/>
    <mergeCell ref="B379:L379"/>
    <mergeCell ref="N379:X379"/>
    <mergeCell ref="Z379:AH379"/>
    <mergeCell ref="B380:B381"/>
    <mergeCell ref="C380:C381"/>
    <mergeCell ref="N380:N381"/>
    <mergeCell ref="O380:O381"/>
    <mergeCell ref="B419:AH419"/>
    <mergeCell ref="B420:AC420"/>
    <mergeCell ref="AF420:AH420"/>
    <mergeCell ref="A421:A422"/>
    <mergeCell ref="B421:L421"/>
    <mergeCell ref="N421:X421"/>
    <mergeCell ref="Z421:AH421"/>
    <mergeCell ref="B422:B423"/>
    <mergeCell ref="C422:C423"/>
    <mergeCell ref="N422:N423"/>
    <mergeCell ref="O422:O423"/>
    <mergeCell ref="B461:AH461"/>
    <mergeCell ref="B462:AC462"/>
    <mergeCell ref="AF462:AH462"/>
    <mergeCell ref="A463:A464"/>
    <mergeCell ref="B463:L463"/>
    <mergeCell ref="N463:X463"/>
    <mergeCell ref="Z463:AH463"/>
    <mergeCell ref="B464:B465"/>
    <mergeCell ref="C464:C465"/>
    <mergeCell ref="N464:N465"/>
    <mergeCell ref="O464:O465"/>
    <mergeCell ref="B503:AH503"/>
    <mergeCell ref="B504:AC504"/>
    <mergeCell ref="AF504:AH504"/>
    <mergeCell ref="A505:A506"/>
    <mergeCell ref="B505:L505"/>
    <mergeCell ref="N505:X505"/>
    <mergeCell ref="Z505:AH505"/>
    <mergeCell ref="B506:B507"/>
    <mergeCell ref="C506:C507"/>
    <mergeCell ref="N506:N507"/>
    <mergeCell ref="O506:O507"/>
  </mergeCells>
  <pageMargins left="0.7" right="0.7" top="0.75" bottom="0.75" header="0.3" footer="0.3"/>
  <pageSetup orientation="portrait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542"/>
  <sheetViews>
    <sheetView topLeftCell="A179" zoomScaleNormal="100" workbookViewId="0">
      <selection activeCell="C190" sqref="C190"/>
    </sheetView>
  </sheetViews>
  <sheetFormatPr defaultColWidth="5.5703125" defaultRowHeight="15"/>
  <cols>
    <col min="1" max="1" width="9.5703125" style="2" customWidth="1"/>
    <col min="2" max="2" width="6.28515625" style="3"/>
    <col min="3" max="3" width="6.5703125" style="3" customWidth="1"/>
    <col min="4" max="5" width="5.85546875" style="3"/>
    <col min="6" max="6" width="6.5703125" style="3" customWidth="1"/>
    <col min="7" max="7" width="5.85546875" style="3"/>
    <col min="8" max="8" width="6.5703125" style="3" customWidth="1"/>
    <col min="9" max="18" width="5.5703125" style="3"/>
    <col min="19" max="19" width="6" style="3" bestFit="1" customWidth="1"/>
    <col min="20" max="20" width="6.5703125" style="3" bestFit="1" customWidth="1"/>
    <col min="21" max="25" width="5.5703125" style="3"/>
    <col min="26" max="26" width="6.28515625" style="3"/>
    <col min="27" max="29" width="5.5703125" style="3"/>
    <col min="30" max="30" width="6.5703125" style="3" customWidth="1"/>
    <col min="31" max="31" width="7" style="3" bestFit="1" customWidth="1"/>
    <col min="32" max="34" width="5.5703125" style="3"/>
  </cols>
  <sheetData>
    <row r="1" spans="1:34" s="1" customFormat="1" ht="15.75" thickBot="1">
      <c r="B1" s="338" t="s">
        <v>0</v>
      </c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9"/>
      <c r="R1" s="339"/>
      <c r="S1" s="339"/>
      <c r="T1" s="339"/>
      <c r="U1" s="339"/>
      <c r="V1" s="339"/>
      <c r="W1" s="339"/>
      <c r="X1" s="339"/>
      <c r="Y1" s="339"/>
      <c r="Z1" s="339"/>
      <c r="AA1" s="339"/>
      <c r="AB1" s="339"/>
      <c r="AC1" s="339"/>
      <c r="AD1" s="340"/>
      <c r="AE1" s="340"/>
      <c r="AF1" s="340"/>
      <c r="AG1" s="340"/>
      <c r="AH1" s="340"/>
    </row>
    <row r="2" spans="1:34" s="1" customFormat="1" ht="15.75" customHeight="1" thickBot="1">
      <c r="B2" s="338" t="s">
        <v>160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4"/>
      <c r="AE2" s="43" t="s">
        <v>107</v>
      </c>
      <c r="AF2" s="341">
        <v>45992</v>
      </c>
      <c r="AG2" s="342"/>
      <c r="AH2" s="343"/>
    </row>
    <row r="3" spans="1:34">
      <c r="A3" s="344"/>
      <c r="B3" s="346" t="s">
        <v>132</v>
      </c>
      <c r="C3" s="347"/>
      <c r="D3" s="347"/>
      <c r="E3" s="347"/>
      <c r="F3" s="347"/>
      <c r="G3" s="347"/>
      <c r="H3" s="347"/>
      <c r="I3" s="347"/>
      <c r="J3" s="347"/>
      <c r="K3" s="348"/>
      <c r="L3" s="349"/>
      <c r="M3" s="22"/>
      <c r="N3" s="350" t="s">
        <v>133</v>
      </c>
      <c r="O3" s="347"/>
      <c r="P3" s="347"/>
      <c r="Q3" s="347"/>
      <c r="R3" s="347"/>
      <c r="S3" s="347"/>
      <c r="T3" s="347"/>
      <c r="U3" s="347"/>
      <c r="V3" s="347"/>
      <c r="W3" s="348"/>
      <c r="X3" s="349"/>
      <c r="Y3" s="22"/>
      <c r="Z3" s="346" t="s">
        <v>134</v>
      </c>
      <c r="AA3" s="347"/>
      <c r="AB3" s="347"/>
      <c r="AC3" s="347"/>
      <c r="AD3" s="347"/>
      <c r="AE3" s="347"/>
      <c r="AF3" s="347"/>
      <c r="AG3" s="348"/>
      <c r="AH3" s="349"/>
    </row>
    <row r="4" spans="1:34" ht="25.5">
      <c r="A4" s="345"/>
      <c r="B4" s="359" t="s">
        <v>135</v>
      </c>
      <c r="C4" s="361" t="s">
        <v>136</v>
      </c>
      <c r="D4" s="5" t="s">
        <v>137</v>
      </c>
      <c r="E4" s="5" t="s">
        <v>138</v>
      </c>
      <c r="F4" s="5" t="s">
        <v>139</v>
      </c>
      <c r="G4" s="5" t="s">
        <v>140</v>
      </c>
      <c r="H4" s="5" t="s">
        <v>141</v>
      </c>
      <c r="I4" s="5" t="s">
        <v>142</v>
      </c>
      <c r="J4" s="5" t="s">
        <v>143</v>
      </c>
      <c r="K4" s="181" t="s">
        <v>81</v>
      </c>
      <c r="L4" s="23" t="s">
        <v>144</v>
      </c>
      <c r="M4" s="22"/>
      <c r="N4" s="355" t="s">
        <v>135</v>
      </c>
      <c r="O4" s="357" t="s">
        <v>136</v>
      </c>
      <c r="P4" s="5" t="s">
        <v>137</v>
      </c>
      <c r="Q4" s="5" t="s">
        <v>138</v>
      </c>
      <c r="R4" s="5" t="s">
        <v>139</v>
      </c>
      <c r="S4" s="5" t="s">
        <v>140</v>
      </c>
      <c r="T4" s="5" t="s">
        <v>141</v>
      </c>
      <c r="U4" s="5" t="s">
        <v>142</v>
      </c>
      <c r="V4" s="5" t="s">
        <v>143</v>
      </c>
      <c r="W4" s="181" t="s">
        <v>81</v>
      </c>
      <c r="X4" s="23" t="s">
        <v>144</v>
      </c>
      <c r="Y4" s="22"/>
      <c r="Z4" s="33" t="s">
        <v>137</v>
      </c>
      <c r="AA4" s="5" t="s">
        <v>138</v>
      </c>
      <c r="AB4" s="5" t="s">
        <v>139</v>
      </c>
      <c r="AC4" s="5" t="s">
        <v>140</v>
      </c>
      <c r="AD4" s="5" t="s">
        <v>141</v>
      </c>
      <c r="AE4" s="5" t="s">
        <v>142</v>
      </c>
      <c r="AF4" s="5" t="s">
        <v>143</v>
      </c>
      <c r="AG4" s="181" t="s">
        <v>81</v>
      </c>
      <c r="AH4" s="23" t="s">
        <v>144</v>
      </c>
    </row>
    <row r="5" spans="1:34">
      <c r="A5" s="6" t="s">
        <v>145</v>
      </c>
      <c r="B5" s="360"/>
      <c r="C5" s="362"/>
      <c r="D5" s="5" t="s">
        <v>128</v>
      </c>
      <c r="E5" s="5" t="s">
        <v>128</v>
      </c>
      <c r="F5" s="5" t="s">
        <v>128</v>
      </c>
      <c r="G5" s="5" t="s">
        <v>128</v>
      </c>
      <c r="H5" s="5" t="s">
        <v>125</v>
      </c>
      <c r="I5" s="5" t="s">
        <v>146</v>
      </c>
      <c r="J5" s="5" t="s">
        <v>127</v>
      </c>
      <c r="K5" s="181" t="s">
        <v>53</v>
      </c>
      <c r="L5" s="23" t="s">
        <v>53</v>
      </c>
      <c r="M5" s="22"/>
      <c r="N5" s="356"/>
      <c r="O5" s="358"/>
      <c r="P5" s="5" t="s">
        <v>128</v>
      </c>
      <c r="Q5" s="5" t="s">
        <v>128</v>
      </c>
      <c r="R5" s="5" t="s">
        <v>128</v>
      </c>
      <c r="S5" s="5" t="s">
        <v>128</v>
      </c>
      <c r="T5" s="5" t="s">
        <v>125</v>
      </c>
      <c r="U5" s="5" t="s">
        <v>146</v>
      </c>
      <c r="V5" s="5" t="s">
        <v>127</v>
      </c>
      <c r="W5" s="181" t="s">
        <v>53</v>
      </c>
      <c r="X5" s="23" t="s">
        <v>53</v>
      </c>
      <c r="Y5" s="22"/>
      <c r="Z5" s="33" t="s">
        <v>128</v>
      </c>
      <c r="AA5" s="5" t="s">
        <v>128</v>
      </c>
      <c r="AB5" s="5" t="s">
        <v>128</v>
      </c>
      <c r="AC5" s="5" t="s">
        <v>128</v>
      </c>
      <c r="AD5" s="5" t="s">
        <v>125</v>
      </c>
      <c r="AE5" s="5" t="s">
        <v>146</v>
      </c>
      <c r="AF5" s="5" t="s">
        <v>127</v>
      </c>
      <c r="AG5" s="181" t="s">
        <v>53</v>
      </c>
      <c r="AH5" s="23" t="s">
        <v>53</v>
      </c>
    </row>
    <row r="6" spans="1:34" ht="39" thickBot="1">
      <c r="A6" s="7" t="s">
        <v>147</v>
      </c>
      <c r="B6" s="8" t="s">
        <v>148</v>
      </c>
      <c r="C6" s="9" t="s">
        <v>149</v>
      </c>
      <c r="D6" s="9" t="s">
        <v>161</v>
      </c>
      <c r="E6" s="9" t="s">
        <v>162</v>
      </c>
      <c r="F6" s="9" t="s">
        <v>163</v>
      </c>
      <c r="G6" s="9" t="s">
        <v>164</v>
      </c>
      <c r="H6" s="9" t="s">
        <v>154</v>
      </c>
      <c r="I6" s="24" t="s">
        <v>155</v>
      </c>
      <c r="J6" s="24" t="s">
        <v>156</v>
      </c>
      <c r="K6" s="24" t="s">
        <v>179</v>
      </c>
      <c r="L6" s="25" t="s">
        <v>157</v>
      </c>
      <c r="M6" s="22"/>
      <c r="N6" s="8" t="s">
        <v>148</v>
      </c>
      <c r="O6" s="9" t="s">
        <v>149</v>
      </c>
      <c r="P6" s="9" t="s">
        <v>161</v>
      </c>
      <c r="Q6" s="9" t="s">
        <v>162</v>
      </c>
      <c r="R6" s="9" t="s">
        <v>163</v>
      </c>
      <c r="S6" s="9" t="s">
        <v>164</v>
      </c>
      <c r="T6" s="9" t="s">
        <v>154</v>
      </c>
      <c r="U6" s="24" t="s">
        <v>155</v>
      </c>
      <c r="V6" s="24" t="s">
        <v>156</v>
      </c>
      <c r="W6" s="24" t="s">
        <v>179</v>
      </c>
      <c r="X6" s="25" t="s">
        <v>157</v>
      </c>
      <c r="Y6" s="22"/>
      <c r="Z6" s="8" t="s">
        <v>161</v>
      </c>
      <c r="AA6" s="9" t="s">
        <v>162</v>
      </c>
      <c r="AB6" s="9" t="s">
        <v>163</v>
      </c>
      <c r="AC6" s="9" t="s">
        <v>164</v>
      </c>
      <c r="AD6" s="9" t="s">
        <v>154</v>
      </c>
      <c r="AE6" s="9" t="s">
        <v>155</v>
      </c>
      <c r="AF6" s="9" t="s">
        <v>156</v>
      </c>
      <c r="AG6" s="24" t="s">
        <v>179</v>
      </c>
      <c r="AH6" s="23" t="s">
        <v>157</v>
      </c>
    </row>
    <row r="7" spans="1:34">
      <c r="A7" s="10">
        <f>AF2+0</f>
        <v>45992</v>
      </c>
      <c r="B7" s="11" t="s">
        <v>35</v>
      </c>
      <c r="C7" s="12" t="s">
        <v>35</v>
      </c>
      <c r="D7" s="12" t="s">
        <v>35</v>
      </c>
      <c r="E7" s="12" t="s">
        <v>35</v>
      </c>
      <c r="F7" s="12" t="s">
        <v>35</v>
      </c>
      <c r="G7" s="12" t="s">
        <v>35</v>
      </c>
      <c r="H7" s="12" t="s">
        <v>35</v>
      </c>
      <c r="I7" s="12" t="s">
        <v>35</v>
      </c>
      <c r="J7" s="13" t="s">
        <v>35</v>
      </c>
      <c r="K7" s="195" t="s">
        <v>35</v>
      </c>
      <c r="L7" s="26" t="s">
        <v>35</v>
      </c>
      <c r="M7" s="22"/>
      <c r="N7" s="27" t="s">
        <v>35</v>
      </c>
      <c r="O7" s="28" t="s">
        <v>35</v>
      </c>
      <c r="P7" s="28" t="s">
        <v>35</v>
      </c>
      <c r="Q7" s="28" t="s">
        <v>35</v>
      </c>
      <c r="R7" s="28" t="s">
        <v>35</v>
      </c>
      <c r="S7" s="28" t="s">
        <v>35</v>
      </c>
      <c r="T7" s="28" t="s">
        <v>35</v>
      </c>
      <c r="U7" s="28" t="s">
        <v>35</v>
      </c>
      <c r="V7" s="28" t="s">
        <v>35</v>
      </c>
      <c r="W7" s="28" t="s">
        <v>35</v>
      </c>
      <c r="X7" s="34" t="s">
        <v>35</v>
      </c>
      <c r="Y7" s="22"/>
      <c r="Z7" s="38" t="s">
        <v>35</v>
      </c>
      <c r="AA7" s="13" t="s">
        <v>35</v>
      </c>
      <c r="AB7" s="13" t="s">
        <v>35</v>
      </c>
      <c r="AC7" s="13" t="s">
        <v>35</v>
      </c>
      <c r="AD7" s="36" t="s">
        <v>35</v>
      </c>
      <c r="AE7" s="13" t="s">
        <v>35</v>
      </c>
      <c r="AF7" s="13" t="s">
        <v>35</v>
      </c>
      <c r="AG7" s="195" t="s">
        <v>35</v>
      </c>
      <c r="AH7" s="37" t="s">
        <v>35</v>
      </c>
    </row>
    <row r="8" spans="1:34">
      <c r="A8" s="14">
        <f t="shared" ref="A8:A37" si="0">A7+1</f>
        <v>45993</v>
      </c>
      <c r="B8" s="11">
        <v>40.020000000000003</v>
      </c>
      <c r="C8" s="13">
        <v>17</v>
      </c>
      <c r="D8" s="12">
        <v>7.68</v>
      </c>
      <c r="E8" s="13">
        <v>18.07</v>
      </c>
      <c r="F8" s="12">
        <v>33.6</v>
      </c>
      <c r="G8" s="12">
        <v>46.82</v>
      </c>
      <c r="H8" s="12">
        <v>391</v>
      </c>
      <c r="I8" s="12">
        <v>8.84</v>
      </c>
      <c r="J8" s="13">
        <v>1</v>
      </c>
      <c r="K8" s="184">
        <v>2.0739999999999998</v>
      </c>
      <c r="L8" s="26">
        <v>6.69</v>
      </c>
      <c r="M8" s="22"/>
      <c r="N8" s="29" t="s">
        <v>35</v>
      </c>
      <c r="O8" s="13" t="s">
        <v>35</v>
      </c>
      <c r="P8" s="13" t="s">
        <v>35</v>
      </c>
      <c r="Q8" s="13" t="s">
        <v>35</v>
      </c>
      <c r="R8" s="13" t="s">
        <v>35</v>
      </c>
      <c r="S8" s="13" t="s">
        <v>35</v>
      </c>
      <c r="T8" s="13" t="s">
        <v>35</v>
      </c>
      <c r="U8" s="13" t="s">
        <v>35</v>
      </c>
      <c r="V8" s="13" t="s">
        <v>35</v>
      </c>
      <c r="W8" s="13" t="s">
        <v>35</v>
      </c>
      <c r="X8" s="37" t="s">
        <v>35</v>
      </c>
      <c r="Y8" s="22"/>
      <c r="Z8" s="38">
        <v>9.52</v>
      </c>
      <c r="AA8" s="13">
        <v>18.68</v>
      </c>
      <c r="AB8" s="13">
        <v>32.119999999999997</v>
      </c>
      <c r="AC8" s="13">
        <v>46.47</v>
      </c>
      <c r="AD8" s="36">
        <v>413</v>
      </c>
      <c r="AE8" s="13">
        <v>6.48</v>
      </c>
      <c r="AF8" s="13">
        <v>1</v>
      </c>
      <c r="AG8" s="184">
        <v>2.1749999999999998</v>
      </c>
      <c r="AH8" s="45">
        <v>7.07</v>
      </c>
    </row>
    <row r="9" spans="1:34">
      <c r="A9" s="14">
        <f t="shared" si="0"/>
        <v>45994</v>
      </c>
      <c r="B9" s="11"/>
      <c r="C9" s="12" t="s">
        <v>35</v>
      </c>
      <c r="D9" s="12" t="s">
        <v>35</v>
      </c>
      <c r="E9" s="12" t="s">
        <v>35</v>
      </c>
      <c r="F9" s="12" t="s">
        <v>35</v>
      </c>
      <c r="G9" s="12" t="s">
        <v>35</v>
      </c>
      <c r="H9" s="12" t="s">
        <v>35</v>
      </c>
      <c r="I9" s="12" t="s">
        <v>35</v>
      </c>
      <c r="J9" s="13" t="s">
        <v>35</v>
      </c>
      <c r="K9" s="184"/>
      <c r="L9" s="144" t="s">
        <v>35</v>
      </c>
      <c r="M9" s="22"/>
      <c r="N9" s="29" t="s">
        <v>35</v>
      </c>
      <c r="O9" s="13" t="s">
        <v>35</v>
      </c>
      <c r="P9" s="13" t="s">
        <v>35</v>
      </c>
      <c r="Q9" s="13" t="s">
        <v>35</v>
      </c>
      <c r="R9" s="13" t="s">
        <v>35</v>
      </c>
      <c r="S9" s="13" t="s">
        <v>35</v>
      </c>
      <c r="T9" s="13" t="s">
        <v>35</v>
      </c>
      <c r="U9" s="13" t="s">
        <v>35</v>
      </c>
      <c r="V9" s="13" t="s">
        <v>35</v>
      </c>
      <c r="W9" s="13" t="s">
        <v>35</v>
      </c>
      <c r="X9" s="37" t="s">
        <v>35</v>
      </c>
      <c r="Y9" s="22"/>
      <c r="Z9" s="38">
        <v>8.35</v>
      </c>
      <c r="AA9" s="13">
        <v>17.260000000000002</v>
      </c>
      <c r="AB9" s="13">
        <v>33.19</v>
      </c>
      <c r="AC9" s="13">
        <v>44.71</v>
      </c>
      <c r="AD9" s="36">
        <v>442</v>
      </c>
      <c r="AE9" s="13">
        <v>8.84</v>
      </c>
      <c r="AF9" s="13">
        <v>0.5</v>
      </c>
      <c r="AG9" s="184">
        <v>2.0699999999999998</v>
      </c>
      <c r="AH9" s="45">
        <v>9.06</v>
      </c>
    </row>
    <row r="10" spans="1:34">
      <c r="A10" s="14">
        <f t="shared" si="0"/>
        <v>45995</v>
      </c>
      <c r="B10" s="11">
        <v>39.03</v>
      </c>
      <c r="C10" s="12">
        <v>16.920000000000002</v>
      </c>
      <c r="D10" s="12">
        <v>10.43</v>
      </c>
      <c r="E10" s="12">
        <v>19.899999999999999</v>
      </c>
      <c r="F10" s="12">
        <v>33.22</v>
      </c>
      <c r="G10" s="12">
        <v>46.29</v>
      </c>
      <c r="H10" s="12">
        <v>384</v>
      </c>
      <c r="I10" s="12">
        <v>11.12</v>
      </c>
      <c r="J10" s="13">
        <v>0.5</v>
      </c>
      <c r="K10" s="184">
        <v>2.2229999999999999</v>
      </c>
      <c r="L10" s="26">
        <v>7.55</v>
      </c>
      <c r="M10" s="22"/>
      <c r="N10" s="29" t="s">
        <v>35</v>
      </c>
      <c r="O10" s="13" t="s">
        <v>35</v>
      </c>
      <c r="P10" s="13" t="s">
        <v>35</v>
      </c>
      <c r="Q10" s="13" t="s">
        <v>35</v>
      </c>
      <c r="R10" s="13" t="s">
        <v>35</v>
      </c>
      <c r="S10" s="13" t="s">
        <v>35</v>
      </c>
      <c r="T10" s="13" t="s">
        <v>35</v>
      </c>
      <c r="U10" s="13" t="s">
        <v>35</v>
      </c>
      <c r="V10" s="13" t="s">
        <v>35</v>
      </c>
      <c r="W10" s="13" t="s">
        <v>35</v>
      </c>
      <c r="X10" s="37" t="s">
        <v>35</v>
      </c>
      <c r="Y10" s="22"/>
      <c r="Z10" s="38">
        <v>9.08</v>
      </c>
      <c r="AA10" s="13">
        <v>19.170000000000002</v>
      </c>
      <c r="AB10" s="13">
        <v>34.479999999999997</v>
      </c>
      <c r="AC10" s="13">
        <v>46.15</v>
      </c>
      <c r="AD10" s="36">
        <v>405</v>
      </c>
      <c r="AE10" s="13">
        <v>12.38</v>
      </c>
      <c r="AF10" s="13">
        <v>8.5</v>
      </c>
      <c r="AG10" s="184">
        <v>2.14</v>
      </c>
      <c r="AH10" s="45">
        <v>8.7200000000000006</v>
      </c>
    </row>
    <row r="11" spans="1:34">
      <c r="A11" s="14">
        <f t="shared" si="0"/>
        <v>45996</v>
      </c>
      <c r="B11" s="11">
        <v>42.18</v>
      </c>
      <c r="C11" s="12">
        <v>18.27</v>
      </c>
      <c r="D11" s="12">
        <v>10.92</v>
      </c>
      <c r="E11" s="13">
        <v>17.18</v>
      </c>
      <c r="F11" s="12">
        <v>32.799999999999997</v>
      </c>
      <c r="G11" s="13">
        <v>45.02</v>
      </c>
      <c r="H11" s="36">
        <v>416</v>
      </c>
      <c r="I11" s="12">
        <v>8.2799999999999994</v>
      </c>
      <c r="J11" s="13">
        <v>1</v>
      </c>
      <c r="K11" s="184">
        <v>2.3199999999999998</v>
      </c>
      <c r="L11" s="26">
        <v>6.29</v>
      </c>
      <c r="M11" s="22"/>
      <c r="N11" s="29" t="s">
        <v>35</v>
      </c>
      <c r="O11" s="13" t="s">
        <v>35</v>
      </c>
      <c r="P11" s="13" t="s">
        <v>35</v>
      </c>
      <c r="Q11" s="13" t="s">
        <v>35</v>
      </c>
      <c r="R11" s="13" t="s">
        <v>35</v>
      </c>
      <c r="S11" s="13" t="s">
        <v>35</v>
      </c>
      <c r="T11" s="13" t="s">
        <v>35</v>
      </c>
      <c r="U11" s="13" t="s">
        <v>35</v>
      </c>
      <c r="V11" s="13" t="s">
        <v>35</v>
      </c>
      <c r="W11" s="13" t="s">
        <v>35</v>
      </c>
      <c r="X11" s="37" t="s">
        <v>35</v>
      </c>
      <c r="Y11" s="22"/>
      <c r="Z11" s="38" t="s">
        <v>35</v>
      </c>
      <c r="AA11" s="13" t="s">
        <v>35</v>
      </c>
      <c r="AB11" s="13" t="s">
        <v>35</v>
      </c>
      <c r="AC11" s="13" t="s">
        <v>35</v>
      </c>
      <c r="AD11" s="36" t="s">
        <v>35</v>
      </c>
      <c r="AE11" s="13" t="s">
        <v>35</v>
      </c>
      <c r="AF11" s="13" t="s">
        <v>35</v>
      </c>
      <c r="AG11" s="13" t="s">
        <v>35</v>
      </c>
      <c r="AH11" s="46" t="s">
        <v>35</v>
      </c>
    </row>
    <row r="12" spans="1:34">
      <c r="A12" s="14">
        <f t="shared" si="0"/>
        <v>45997</v>
      </c>
      <c r="B12" s="11">
        <v>43.11</v>
      </c>
      <c r="C12" s="12">
        <v>23.91</v>
      </c>
      <c r="D12" s="12">
        <v>11.42</v>
      </c>
      <c r="E12" s="12">
        <v>20.02</v>
      </c>
      <c r="F12" s="12">
        <v>36.1</v>
      </c>
      <c r="G12" s="12">
        <v>45.01</v>
      </c>
      <c r="H12" s="12">
        <v>392</v>
      </c>
      <c r="I12" s="12">
        <v>8.08</v>
      </c>
      <c r="J12" s="13">
        <v>1.5</v>
      </c>
      <c r="K12" s="184">
        <v>2.11</v>
      </c>
      <c r="L12" s="26">
        <v>7.06</v>
      </c>
      <c r="M12" s="22"/>
      <c r="N12" s="29" t="s">
        <v>35</v>
      </c>
      <c r="O12" s="13" t="s">
        <v>35</v>
      </c>
      <c r="P12" s="13" t="s">
        <v>35</v>
      </c>
      <c r="Q12" s="13" t="s">
        <v>35</v>
      </c>
      <c r="R12" s="13" t="s">
        <v>35</v>
      </c>
      <c r="S12" s="13" t="s">
        <v>35</v>
      </c>
      <c r="T12" s="13" t="s">
        <v>35</v>
      </c>
      <c r="U12" s="13" t="s">
        <v>35</v>
      </c>
      <c r="V12" s="13" t="s">
        <v>35</v>
      </c>
      <c r="W12" s="13" t="s">
        <v>35</v>
      </c>
      <c r="X12" s="37" t="s">
        <v>35</v>
      </c>
      <c r="Y12" s="22"/>
      <c r="Z12" s="38" t="s">
        <v>35</v>
      </c>
      <c r="AA12" s="13" t="s">
        <v>35</v>
      </c>
      <c r="AB12" s="13" t="s">
        <v>35</v>
      </c>
      <c r="AC12" s="13" t="s">
        <v>35</v>
      </c>
      <c r="AD12" s="36" t="s">
        <v>35</v>
      </c>
      <c r="AE12" s="13" t="s">
        <v>35</v>
      </c>
      <c r="AF12" s="13" t="s">
        <v>35</v>
      </c>
      <c r="AG12" s="13" t="s">
        <v>35</v>
      </c>
      <c r="AH12" s="46" t="s">
        <v>35</v>
      </c>
    </row>
    <row r="13" spans="1:34">
      <c r="A13" s="14">
        <f t="shared" si="0"/>
        <v>45998</v>
      </c>
      <c r="B13" s="143" t="s">
        <v>35</v>
      </c>
      <c r="C13" s="12" t="s">
        <v>35</v>
      </c>
      <c r="D13" s="12" t="s">
        <v>35</v>
      </c>
      <c r="E13" s="12" t="s">
        <v>35</v>
      </c>
      <c r="F13" s="12" t="s">
        <v>35</v>
      </c>
      <c r="G13" s="12" t="s">
        <v>35</v>
      </c>
      <c r="H13" s="12" t="s">
        <v>35</v>
      </c>
      <c r="I13" s="12" t="s">
        <v>35</v>
      </c>
      <c r="J13" s="13" t="s">
        <v>35</v>
      </c>
      <c r="K13" s="184"/>
      <c r="L13" s="26" t="s">
        <v>35</v>
      </c>
      <c r="M13" s="22"/>
      <c r="N13" s="29" t="s">
        <v>35</v>
      </c>
      <c r="O13" s="13" t="s">
        <v>35</v>
      </c>
      <c r="P13" s="13" t="s">
        <v>35</v>
      </c>
      <c r="Q13" s="13" t="s">
        <v>35</v>
      </c>
      <c r="R13" s="13" t="s">
        <v>35</v>
      </c>
      <c r="S13" s="13" t="s">
        <v>35</v>
      </c>
      <c r="T13" s="13" t="s">
        <v>35</v>
      </c>
      <c r="U13" s="13" t="s">
        <v>35</v>
      </c>
      <c r="V13" s="13" t="s">
        <v>35</v>
      </c>
      <c r="W13" s="13" t="s">
        <v>35</v>
      </c>
      <c r="X13" s="37" t="s">
        <v>35</v>
      </c>
      <c r="Y13" s="22"/>
      <c r="Z13" s="38" t="s">
        <v>35</v>
      </c>
      <c r="AA13" s="13" t="s">
        <v>35</v>
      </c>
      <c r="AB13" s="13" t="s">
        <v>35</v>
      </c>
      <c r="AC13" s="13" t="s">
        <v>35</v>
      </c>
      <c r="AD13" s="36" t="s">
        <v>35</v>
      </c>
      <c r="AE13" s="13" t="s">
        <v>35</v>
      </c>
      <c r="AF13" s="13" t="s">
        <v>35</v>
      </c>
      <c r="AG13" s="13" t="s">
        <v>35</v>
      </c>
      <c r="AH13" s="46" t="s">
        <v>35</v>
      </c>
    </row>
    <row r="14" spans="1:34">
      <c r="A14" s="14">
        <f t="shared" si="0"/>
        <v>45999</v>
      </c>
      <c r="B14" s="11">
        <v>37.880000000000003</v>
      </c>
      <c r="C14" s="12">
        <v>20.3</v>
      </c>
      <c r="D14" s="12">
        <v>10.11</v>
      </c>
      <c r="E14" s="12">
        <v>17.18</v>
      </c>
      <c r="F14" s="12">
        <v>31.16</v>
      </c>
      <c r="G14" s="12">
        <v>44.59</v>
      </c>
      <c r="H14" s="12">
        <v>468</v>
      </c>
      <c r="I14" s="12">
        <v>8.9600000000000009</v>
      </c>
      <c r="J14" s="13">
        <v>12</v>
      </c>
      <c r="K14" s="184">
        <v>2.2090000000000001</v>
      </c>
      <c r="L14" s="26">
        <v>10.49</v>
      </c>
      <c r="M14" s="22"/>
      <c r="N14" s="29" t="s">
        <v>35</v>
      </c>
      <c r="O14" s="13" t="s">
        <v>35</v>
      </c>
      <c r="P14" s="13" t="s">
        <v>35</v>
      </c>
      <c r="Q14" s="13" t="s">
        <v>35</v>
      </c>
      <c r="R14" s="13" t="s">
        <v>35</v>
      </c>
      <c r="S14" s="13" t="s">
        <v>35</v>
      </c>
      <c r="T14" s="13" t="s">
        <v>35</v>
      </c>
      <c r="U14" s="13" t="s">
        <v>35</v>
      </c>
      <c r="V14" s="13" t="s">
        <v>35</v>
      </c>
      <c r="W14" s="13" t="s">
        <v>35</v>
      </c>
      <c r="X14" s="37" t="s">
        <v>35</v>
      </c>
      <c r="Y14" s="22"/>
      <c r="Z14" s="38" t="s">
        <v>35</v>
      </c>
      <c r="AA14" s="13" t="s">
        <v>35</v>
      </c>
      <c r="AB14" s="13" t="s">
        <v>35</v>
      </c>
      <c r="AC14" s="13" t="s">
        <v>35</v>
      </c>
      <c r="AD14" s="36" t="s">
        <v>35</v>
      </c>
      <c r="AE14" s="13" t="s">
        <v>35</v>
      </c>
      <c r="AF14" s="13" t="s">
        <v>35</v>
      </c>
      <c r="AG14" s="13" t="s">
        <v>35</v>
      </c>
      <c r="AH14" s="46" t="s">
        <v>35</v>
      </c>
    </row>
    <row r="15" spans="1:34">
      <c r="A15" s="14">
        <f t="shared" si="0"/>
        <v>46000</v>
      </c>
      <c r="B15" s="11">
        <v>39.479999999999997</v>
      </c>
      <c r="C15" s="12">
        <v>19.75</v>
      </c>
      <c r="D15" s="12">
        <v>8.4499999999999993</v>
      </c>
      <c r="E15" s="12">
        <v>20.29</v>
      </c>
      <c r="F15" s="12">
        <v>34.799999999999997</v>
      </c>
      <c r="G15" s="12">
        <v>44.26</v>
      </c>
      <c r="H15" s="12">
        <v>388</v>
      </c>
      <c r="I15" s="12">
        <v>13.28</v>
      </c>
      <c r="J15" s="13">
        <v>3</v>
      </c>
      <c r="K15" s="184">
        <v>1.8959999999999999</v>
      </c>
      <c r="L15" s="26">
        <v>6.81</v>
      </c>
      <c r="M15" s="22"/>
      <c r="N15" s="29" t="s">
        <v>35</v>
      </c>
      <c r="O15" s="13" t="s">
        <v>35</v>
      </c>
      <c r="P15" s="13" t="s">
        <v>35</v>
      </c>
      <c r="Q15" s="13" t="s">
        <v>35</v>
      </c>
      <c r="R15" s="13" t="s">
        <v>35</v>
      </c>
      <c r="S15" s="13" t="s">
        <v>35</v>
      </c>
      <c r="T15" s="13" t="s">
        <v>35</v>
      </c>
      <c r="U15" s="13" t="s">
        <v>35</v>
      </c>
      <c r="V15" s="13" t="s">
        <v>35</v>
      </c>
      <c r="W15" s="13" t="s">
        <v>35</v>
      </c>
      <c r="X15" s="37" t="s">
        <v>35</v>
      </c>
      <c r="Y15" s="22"/>
      <c r="Z15" s="38">
        <v>10.32</v>
      </c>
      <c r="AA15" s="13">
        <v>21.77</v>
      </c>
      <c r="AB15" s="13">
        <v>32.049999999999997</v>
      </c>
      <c r="AC15" s="13"/>
      <c r="AD15" s="36">
        <v>445</v>
      </c>
      <c r="AE15" s="13">
        <v>9.32</v>
      </c>
      <c r="AF15" s="13">
        <v>0.5</v>
      </c>
      <c r="AG15" s="184">
        <v>2.2749999999999999</v>
      </c>
      <c r="AH15" s="45">
        <v>9.65</v>
      </c>
    </row>
    <row r="16" spans="1:34">
      <c r="A16" s="14">
        <f t="shared" si="0"/>
        <v>46001</v>
      </c>
      <c r="B16" s="11">
        <v>36.69</v>
      </c>
      <c r="C16" s="12">
        <v>21.05</v>
      </c>
      <c r="D16" s="12">
        <v>11.22</v>
      </c>
      <c r="E16" s="12">
        <v>19.62</v>
      </c>
      <c r="F16" s="12">
        <v>31.71</v>
      </c>
      <c r="G16" s="12">
        <v>46.32</v>
      </c>
      <c r="H16" s="12">
        <v>411</v>
      </c>
      <c r="I16" s="12">
        <v>9.44</v>
      </c>
      <c r="J16" s="13">
        <v>1.5</v>
      </c>
      <c r="K16" s="184">
        <v>1.998</v>
      </c>
      <c r="L16" s="37">
        <v>9</v>
      </c>
      <c r="M16" s="22"/>
      <c r="N16" s="11">
        <v>36.69</v>
      </c>
      <c r="O16" s="13">
        <v>21.05</v>
      </c>
      <c r="P16" s="13">
        <v>8.83</v>
      </c>
      <c r="Q16" s="13">
        <v>17.78</v>
      </c>
      <c r="R16" s="13">
        <v>33.75</v>
      </c>
      <c r="S16" s="13">
        <v>44.96</v>
      </c>
      <c r="T16" s="36">
        <v>410</v>
      </c>
      <c r="U16" s="13">
        <v>9.8000000000000007</v>
      </c>
      <c r="V16" s="13">
        <v>1.5</v>
      </c>
      <c r="W16" s="184">
        <v>2.3029999999999999</v>
      </c>
      <c r="X16" s="37">
        <v>8.7200000000000006</v>
      </c>
      <c r="Y16" s="22"/>
      <c r="Z16" s="38" t="s">
        <v>35</v>
      </c>
      <c r="AA16" s="13" t="s">
        <v>35</v>
      </c>
      <c r="AB16" s="13" t="s">
        <v>35</v>
      </c>
      <c r="AC16" s="13" t="s">
        <v>35</v>
      </c>
      <c r="AD16" s="36" t="s">
        <v>35</v>
      </c>
      <c r="AE16" s="13" t="s">
        <v>35</v>
      </c>
      <c r="AF16" s="13" t="s">
        <v>35</v>
      </c>
      <c r="AG16" s="13" t="s">
        <v>35</v>
      </c>
      <c r="AH16" s="46" t="s">
        <v>35</v>
      </c>
    </row>
    <row r="17" spans="1:34">
      <c r="A17" s="14">
        <f t="shared" si="0"/>
        <v>46002</v>
      </c>
      <c r="B17" s="11">
        <v>39.369999999999997</v>
      </c>
      <c r="C17" s="12">
        <v>27.14</v>
      </c>
      <c r="D17" s="12">
        <v>10.61</v>
      </c>
      <c r="E17" s="12">
        <v>20.62</v>
      </c>
      <c r="F17" s="12">
        <v>36.520000000000003</v>
      </c>
      <c r="G17" s="12">
        <v>45.91</v>
      </c>
      <c r="H17" s="12">
        <v>394</v>
      </c>
      <c r="I17" s="12">
        <v>7.96</v>
      </c>
      <c r="J17" s="13">
        <v>1</v>
      </c>
      <c r="K17" s="184">
        <v>2.35</v>
      </c>
      <c r="L17" s="37">
        <v>5.76</v>
      </c>
      <c r="M17" s="22"/>
      <c r="N17" s="11">
        <v>39.369999999999997</v>
      </c>
      <c r="O17" s="12">
        <v>21.05</v>
      </c>
      <c r="P17" s="13">
        <v>11.16</v>
      </c>
      <c r="Q17" s="13">
        <v>21.76</v>
      </c>
      <c r="R17" s="13">
        <v>32.15</v>
      </c>
      <c r="S17" s="13">
        <v>45.47</v>
      </c>
      <c r="T17" s="36">
        <v>403</v>
      </c>
      <c r="U17" s="13">
        <v>8.7200000000000006</v>
      </c>
      <c r="V17" s="13">
        <v>1</v>
      </c>
      <c r="W17" s="184">
        <v>2.09</v>
      </c>
      <c r="X17" s="37">
        <v>5.39</v>
      </c>
      <c r="Y17" s="22"/>
      <c r="Z17" s="38">
        <v>10.68</v>
      </c>
      <c r="AA17" s="13">
        <v>20.02</v>
      </c>
      <c r="AB17" s="13">
        <v>36.479999999999997</v>
      </c>
      <c r="AC17" s="13">
        <v>46.64</v>
      </c>
      <c r="AD17" s="36">
        <v>405</v>
      </c>
      <c r="AE17" s="13">
        <v>12.8</v>
      </c>
      <c r="AF17" s="13">
        <v>0.5</v>
      </c>
      <c r="AG17" s="184">
        <v>2.1</v>
      </c>
      <c r="AH17" s="45">
        <v>7.9</v>
      </c>
    </row>
    <row r="18" spans="1:34">
      <c r="A18" s="14">
        <f t="shared" si="0"/>
        <v>46003</v>
      </c>
      <c r="B18" s="38">
        <v>32.4</v>
      </c>
      <c r="C18" s="12">
        <v>27.43</v>
      </c>
      <c r="D18" s="12">
        <v>10.48</v>
      </c>
      <c r="E18" s="12">
        <v>20.78</v>
      </c>
      <c r="F18" s="12">
        <v>33.92</v>
      </c>
      <c r="G18" s="12">
        <v>46.22</v>
      </c>
      <c r="H18" s="12">
        <v>387</v>
      </c>
      <c r="I18" s="12">
        <v>10.16</v>
      </c>
      <c r="J18" s="13">
        <v>1</v>
      </c>
      <c r="K18" s="184">
        <v>2.4</v>
      </c>
      <c r="L18" s="37">
        <v>5.8</v>
      </c>
      <c r="M18" s="22"/>
      <c r="N18" s="38">
        <v>32.4</v>
      </c>
      <c r="O18" s="12">
        <v>27.14</v>
      </c>
      <c r="P18" s="13">
        <v>10.61</v>
      </c>
      <c r="Q18" s="13">
        <v>20.7</v>
      </c>
      <c r="R18" s="13">
        <v>34.76</v>
      </c>
      <c r="S18" s="13">
        <v>45.2</v>
      </c>
      <c r="T18" s="36">
        <v>378</v>
      </c>
      <c r="U18" s="13">
        <v>10.24</v>
      </c>
      <c r="V18" s="13">
        <v>0.5</v>
      </c>
      <c r="W18" s="184">
        <v>2.1800000000000002</v>
      </c>
      <c r="X18" s="37">
        <v>5.28</v>
      </c>
      <c r="Y18" s="22"/>
      <c r="Z18" s="38" t="s">
        <v>35</v>
      </c>
      <c r="AA18" s="13" t="s">
        <v>35</v>
      </c>
      <c r="AB18" s="13" t="s">
        <v>35</v>
      </c>
      <c r="AC18" s="13" t="s">
        <v>35</v>
      </c>
      <c r="AD18" s="36" t="s">
        <v>35</v>
      </c>
      <c r="AE18" s="13" t="s">
        <v>35</v>
      </c>
      <c r="AF18" s="13" t="s">
        <v>35</v>
      </c>
      <c r="AG18" s="13" t="s">
        <v>35</v>
      </c>
      <c r="AH18" s="45" t="s">
        <v>35</v>
      </c>
    </row>
    <row r="19" spans="1:34">
      <c r="A19" s="14">
        <f t="shared" si="0"/>
        <v>46004</v>
      </c>
      <c r="B19" s="38">
        <v>37.29</v>
      </c>
      <c r="C19" s="13">
        <v>27</v>
      </c>
      <c r="D19" s="12">
        <v>11.47</v>
      </c>
      <c r="E19" s="12">
        <v>22.82</v>
      </c>
      <c r="F19" s="12">
        <v>34.61</v>
      </c>
      <c r="G19" s="12">
        <v>45.37</v>
      </c>
      <c r="H19" s="12">
        <v>422</v>
      </c>
      <c r="I19" s="12">
        <v>10.039999999999999</v>
      </c>
      <c r="J19" s="13">
        <v>1</v>
      </c>
      <c r="K19" s="184">
        <v>2.14</v>
      </c>
      <c r="L19" s="37">
        <v>6.57</v>
      </c>
      <c r="M19" s="22"/>
      <c r="N19" s="29" t="s">
        <v>35</v>
      </c>
      <c r="O19" s="12"/>
      <c r="P19" s="13" t="s">
        <v>35</v>
      </c>
      <c r="Q19" s="13" t="s">
        <v>35</v>
      </c>
      <c r="R19" s="13" t="s">
        <v>35</v>
      </c>
      <c r="S19" s="13" t="s">
        <v>35</v>
      </c>
      <c r="T19" s="36" t="s">
        <v>35</v>
      </c>
      <c r="U19" s="13" t="s">
        <v>35</v>
      </c>
      <c r="V19" s="13" t="s">
        <v>35</v>
      </c>
      <c r="W19" s="13" t="s">
        <v>35</v>
      </c>
      <c r="X19" s="37" t="s">
        <v>35</v>
      </c>
      <c r="Y19" s="22"/>
      <c r="Z19" s="38" t="s">
        <v>35</v>
      </c>
      <c r="AA19" s="13" t="s">
        <v>35</v>
      </c>
      <c r="AB19" s="13" t="s">
        <v>35</v>
      </c>
      <c r="AC19" s="13" t="s">
        <v>35</v>
      </c>
      <c r="AD19" s="36" t="s">
        <v>35</v>
      </c>
      <c r="AE19" s="13" t="s">
        <v>35</v>
      </c>
      <c r="AF19" s="13" t="s">
        <v>35</v>
      </c>
      <c r="AG19" s="13" t="s">
        <v>35</v>
      </c>
      <c r="AH19" s="45" t="s">
        <v>35</v>
      </c>
    </row>
    <row r="20" spans="1:34">
      <c r="A20" s="14">
        <f t="shared" si="0"/>
        <v>46005</v>
      </c>
      <c r="B20" s="11">
        <v>38.380000000000003</v>
      </c>
      <c r="C20" s="13">
        <v>27.14</v>
      </c>
      <c r="D20" s="12">
        <v>10.49</v>
      </c>
      <c r="E20" s="12">
        <v>17.66</v>
      </c>
      <c r="F20" s="12">
        <v>34.32</v>
      </c>
      <c r="G20" s="12">
        <v>45.54</v>
      </c>
      <c r="H20" s="12">
        <v>393</v>
      </c>
      <c r="I20" s="13">
        <v>9</v>
      </c>
      <c r="J20" s="13">
        <v>0.5</v>
      </c>
      <c r="K20" s="184">
        <v>2.17</v>
      </c>
      <c r="L20" s="37">
        <v>6.88</v>
      </c>
      <c r="M20" s="22"/>
      <c r="N20" s="29" t="s">
        <v>35</v>
      </c>
      <c r="O20" s="13" t="s">
        <v>35</v>
      </c>
      <c r="P20" s="13" t="s">
        <v>35</v>
      </c>
      <c r="Q20" s="13" t="s">
        <v>35</v>
      </c>
      <c r="R20" s="13" t="s">
        <v>35</v>
      </c>
      <c r="S20" s="13" t="s">
        <v>35</v>
      </c>
      <c r="T20" s="36" t="s">
        <v>35</v>
      </c>
      <c r="U20" s="13" t="s">
        <v>35</v>
      </c>
      <c r="V20" s="13" t="s">
        <v>35</v>
      </c>
      <c r="W20" s="13" t="s">
        <v>35</v>
      </c>
      <c r="X20" s="37" t="s">
        <v>35</v>
      </c>
      <c r="Y20" s="22"/>
      <c r="Z20" s="38">
        <v>9.7899999999999991</v>
      </c>
      <c r="AA20" s="13">
        <v>18.68</v>
      </c>
      <c r="AB20" s="13">
        <v>35.6</v>
      </c>
      <c r="AC20" s="13">
        <v>46.94</v>
      </c>
      <c r="AD20" s="36">
        <v>432</v>
      </c>
      <c r="AE20" s="13">
        <v>10.08</v>
      </c>
      <c r="AF20" s="13">
        <v>0.5</v>
      </c>
      <c r="AG20" s="184">
        <v>2.09</v>
      </c>
      <c r="AH20" s="37">
        <v>8.9</v>
      </c>
    </row>
    <row r="21" spans="1:34">
      <c r="A21" s="14">
        <f t="shared" si="0"/>
        <v>46006</v>
      </c>
      <c r="B21" s="11">
        <v>39.409999999999997</v>
      </c>
      <c r="C21" s="13">
        <v>18</v>
      </c>
      <c r="D21" s="12">
        <v>10.68</v>
      </c>
      <c r="E21" s="12">
        <v>18.39</v>
      </c>
      <c r="F21" s="12">
        <v>34.26</v>
      </c>
      <c r="G21" s="12">
        <v>45.59</v>
      </c>
      <c r="H21" s="12">
        <v>350</v>
      </c>
      <c r="I21" s="13">
        <v>10.6</v>
      </c>
      <c r="J21" s="13">
        <v>1</v>
      </c>
      <c r="K21" s="184">
        <v>2.13</v>
      </c>
      <c r="L21" s="37">
        <v>5</v>
      </c>
      <c r="M21" s="22"/>
      <c r="N21" s="29" t="s">
        <v>35</v>
      </c>
      <c r="O21" s="13" t="s">
        <v>35</v>
      </c>
      <c r="P21" s="13" t="s">
        <v>35</v>
      </c>
      <c r="Q21" s="13" t="s">
        <v>35</v>
      </c>
      <c r="R21" s="13" t="s">
        <v>35</v>
      </c>
      <c r="S21" s="13" t="s">
        <v>35</v>
      </c>
      <c r="T21" s="36" t="s">
        <v>35</v>
      </c>
      <c r="U21" s="13" t="s">
        <v>35</v>
      </c>
      <c r="V21" s="13" t="s">
        <v>35</v>
      </c>
      <c r="W21" s="13" t="s">
        <v>35</v>
      </c>
      <c r="X21" s="37" t="s">
        <v>35</v>
      </c>
      <c r="Y21" s="22"/>
      <c r="Z21" s="38" t="s">
        <v>35</v>
      </c>
      <c r="AA21" s="13" t="s">
        <v>35</v>
      </c>
      <c r="AB21" s="13" t="s">
        <v>35</v>
      </c>
      <c r="AC21" s="13" t="s">
        <v>35</v>
      </c>
      <c r="AD21" s="36" t="s">
        <v>35</v>
      </c>
      <c r="AE21" s="13" t="s">
        <v>35</v>
      </c>
      <c r="AF21" s="13" t="s">
        <v>35</v>
      </c>
      <c r="AG21" s="13" t="s">
        <v>35</v>
      </c>
      <c r="AH21" s="37" t="s">
        <v>35</v>
      </c>
    </row>
    <row r="22" spans="1:34">
      <c r="A22" s="14">
        <f t="shared" si="0"/>
        <v>46007</v>
      </c>
      <c r="B22" s="11">
        <v>38.340000000000003</v>
      </c>
      <c r="C22" s="13">
        <v>27.69</v>
      </c>
      <c r="D22" s="12">
        <v>9.1</v>
      </c>
      <c r="E22" s="12">
        <v>17.32</v>
      </c>
      <c r="F22" s="12">
        <v>27.83</v>
      </c>
      <c r="G22" s="12">
        <v>44.96</v>
      </c>
      <c r="H22" s="12">
        <v>432</v>
      </c>
      <c r="I22" s="13">
        <v>10.6</v>
      </c>
      <c r="J22" s="13">
        <v>1</v>
      </c>
      <c r="K22" s="184">
        <v>2.17</v>
      </c>
      <c r="L22" s="37">
        <v>8.59</v>
      </c>
      <c r="M22" s="22"/>
      <c r="N22" s="29" t="s">
        <v>35</v>
      </c>
      <c r="O22" s="13" t="s">
        <v>35</v>
      </c>
      <c r="P22" s="13" t="s">
        <v>35</v>
      </c>
      <c r="Q22" s="13" t="s">
        <v>35</v>
      </c>
      <c r="R22" s="13" t="s">
        <v>35</v>
      </c>
      <c r="S22" s="13" t="s">
        <v>35</v>
      </c>
      <c r="T22" s="36" t="s">
        <v>35</v>
      </c>
      <c r="U22" s="13" t="s">
        <v>35</v>
      </c>
      <c r="V22" s="13" t="s">
        <v>35</v>
      </c>
      <c r="W22" s="13" t="s">
        <v>35</v>
      </c>
      <c r="X22" s="37" t="s">
        <v>35</v>
      </c>
      <c r="Y22" s="22"/>
      <c r="Z22" s="38" t="s">
        <v>35</v>
      </c>
      <c r="AA22" s="13" t="s">
        <v>35</v>
      </c>
      <c r="AB22" s="13" t="s">
        <v>35</v>
      </c>
      <c r="AC22" s="13" t="s">
        <v>35</v>
      </c>
      <c r="AD22" s="36" t="s">
        <v>35</v>
      </c>
      <c r="AE22" s="13" t="s">
        <v>35</v>
      </c>
      <c r="AF22" s="13" t="s">
        <v>35</v>
      </c>
      <c r="AG22" s="13" t="s">
        <v>35</v>
      </c>
      <c r="AH22" s="37" t="s">
        <v>35</v>
      </c>
    </row>
    <row r="23" spans="1:34">
      <c r="A23" s="14">
        <f t="shared" si="0"/>
        <v>46008</v>
      </c>
      <c r="B23" s="11">
        <v>37.56</v>
      </c>
      <c r="C23" s="13">
        <v>16.670000000000002</v>
      </c>
      <c r="D23" s="12">
        <v>10.88</v>
      </c>
      <c r="E23" s="12">
        <v>19.13</v>
      </c>
      <c r="F23" s="12">
        <v>31.26</v>
      </c>
      <c r="G23" s="12">
        <v>44.82</v>
      </c>
      <c r="H23" s="12">
        <v>420</v>
      </c>
      <c r="I23" s="12">
        <v>9.76</v>
      </c>
      <c r="J23" s="13">
        <v>1.5</v>
      </c>
      <c r="K23" s="184">
        <v>2.19</v>
      </c>
      <c r="L23" s="37">
        <v>8.4499999999999993</v>
      </c>
      <c r="M23" s="22"/>
      <c r="N23" s="29">
        <v>37.56</v>
      </c>
      <c r="O23" s="13">
        <v>16.670000000000002</v>
      </c>
      <c r="P23" s="13">
        <v>8.1999999999999993</v>
      </c>
      <c r="Q23" s="13">
        <v>16.059999999999999</v>
      </c>
      <c r="R23" s="13">
        <v>26.16</v>
      </c>
      <c r="S23" s="13">
        <v>44.22</v>
      </c>
      <c r="T23" s="36">
        <v>418</v>
      </c>
      <c r="U23" s="13">
        <v>11.6</v>
      </c>
      <c r="V23" s="13">
        <v>72.5</v>
      </c>
      <c r="W23" s="184">
        <v>2.2400000000000002</v>
      </c>
      <c r="X23" s="37">
        <v>9.84</v>
      </c>
      <c r="Y23" s="22"/>
      <c r="Z23" s="38" t="s">
        <v>35</v>
      </c>
      <c r="AA23" s="13" t="s">
        <v>35</v>
      </c>
      <c r="AB23" s="13" t="s">
        <v>35</v>
      </c>
      <c r="AC23" s="13" t="s">
        <v>35</v>
      </c>
      <c r="AD23" s="36" t="s">
        <v>35</v>
      </c>
      <c r="AE23" s="13" t="s">
        <v>35</v>
      </c>
      <c r="AF23" s="13" t="s">
        <v>35</v>
      </c>
      <c r="AG23" s="13" t="s">
        <v>35</v>
      </c>
      <c r="AH23" s="37" t="s">
        <v>35</v>
      </c>
    </row>
    <row r="24" spans="1:34">
      <c r="A24" s="14">
        <f t="shared" si="0"/>
        <v>46009</v>
      </c>
      <c r="B24" s="38">
        <v>38.74</v>
      </c>
      <c r="C24" s="12">
        <v>18.97</v>
      </c>
      <c r="D24" s="12">
        <v>10.27</v>
      </c>
      <c r="E24" s="12">
        <v>21.29</v>
      </c>
      <c r="F24" s="12">
        <v>34.97</v>
      </c>
      <c r="G24" s="12">
        <v>46.58</v>
      </c>
      <c r="H24" s="12">
        <v>407</v>
      </c>
      <c r="I24" s="12">
        <v>7.56</v>
      </c>
      <c r="J24" s="13">
        <v>0.5</v>
      </c>
      <c r="K24" s="184">
        <v>2.2389999999999999</v>
      </c>
      <c r="L24" s="37">
        <v>6.8</v>
      </c>
      <c r="M24" s="22"/>
      <c r="N24" s="29" t="s">
        <v>35</v>
      </c>
      <c r="O24" s="13" t="s">
        <v>35</v>
      </c>
      <c r="P24" s="13" t="s">
        <v>35</v>
      </c>
      <c r="Q24" s="13" t="s">
        <v>35</v>
      </c>
      <c r="R24" s="13" t="s">
        <v>35</v>
      </c>
      <c r="S24" s="13" t="s">
        <v>35</v>
      </c>
      <c r="T24" s="36" t="s">
        <v>35</v>
      </c>
      <c r="U24" s="13" t="s">
        <v>35</v>
      </c>
      <c r="V24" s="13" t="s">
        <v>35</v>
      </c>
      <c r="W24" s="184"/>
      <c r="X24" s="37" t="s">
        <v>35</v>
      </c>
      <c r="Y24" s="22"/>
      <c r="Z24" s="38">
        <v>10.9</v>
      </c>
      <c r="AA24" s="13">
        <v>20.48</v>
      </c>
      <c r="AB24" s="13">
        <v>35.729999999999997</v>
      </c>
      <c r="AC24" s="13">
        <v>46.35</v>
      </c>
      <c r="AD24" s="36">
        <v>387</v>
      </c>
      <c r="AE24" s="13">
        <v>10.8</v>
      </c>
      <c r="AF24" s="13">
        <v>0.5</v>
      </c>
      <c r="AG24" s="184">
        <v>2.25</v>
      </c>
      <c r="AH24" s="37">
        <v>9.4600000000000009</v>
      </c>
    </row>
    <row r="25" spans="1:34">
      <c r="A25" s="14">
        <f t="shared" si="0"/>
        <v>46010</v>
      </c>
      <c r="B25" s="38">
        <v>35.700000000000003</v>
      </c>
      <c r="C25" s="12">
        <v>19.36</v>
      </c>
      <c r="D25" s="12">
        <v>10.66</v>
      </c>
      <c r="E25" s="12">
        <v>20.64</v>
      </c>
      <c r="F25" s="12">
        <v>33.6</v>
      </c>
      <c r="G25" s="12">
        <v>46.29</v>
      </c>
      <c r="H25" s="12">
        <v>393</v>
      </c>
      <c r="I25" s="12">
        <v>8.4</v>
      </c>
      <c r="J25" s="13">
        <v>1.5</v>
      </c>
      <c r="K25" s="184">
        <v>2.242</v>
      </c>
      <c r="L25" s="37">
        <v>6.1</v>
      </c>
      <c r="M25" s="22"/>
      <c r="N25" s="29">
        <v>35.700000000000003</v>
      </c>
      <c r="O25" s="13">
        <v>19.36</v>
      </c>
      <c r="P25" s="13">
        <v>8.52</v>
      </c>
      <c r="Q25" s="13">
        <v>16.079999999999998</v>
      </c>
      <c r="R25" s="13">
        <v>27.35</v>
      </c>
      <c r="S25" s="13">
        <v>45.76</v>
      </c>
      <c r="T25" s="36">
        <v>405</v>
      </c>
      <c r="U25" s="13">
        <v>10.68</v>
      </c>
      <c r="V25" s="13">
        <v>0.5</v>
      </c>
      <c r="W25" s="184">
        <v>2.04</v>
      </c>
      <c r="X25" s="37">
        <v>9.19</v>
      </c>
      <c r="Y25" s="22"/>
      <c r="Z25" s="38" t="s">
        <v>35</v>
      </c>
      <c r="AA25" s="13" t="s">
        <v>35</v>
      </c>
      <c r="AB25" s="13" t="s">
        <v>35</v>
      </c>
      <c r="AC25" s="13" t="s">
        <v>35</v>
      </c>
      <c r="AD25" s="36" t="s">
        <v>35</v>
      </c>
      <c r="AE25" s="13" t="s">
        <v>35</v>
      </c>
      <c r="AF25" s="13" t="s">
        <v>35</v>
      </c>
      <c r="AG25" s="13" t="s">
        <v>35</v>
      </c>
      <c r="AH25" s="37" t="s">
        <v>35</v>
      </c>
    </row>
    <row r="26" spans="1:34">
      <c r="A26" s="14">
        <f t="shared" si="0"/>
        <v>46011</v>
      </c>
      <c r="B26" s="38">
        <v>34.659999999999997</v>
      </c>
      <c r="C26" s="13">
        <v>19.36</v>
      </c>
      <c r="D26" s="12">
        <v>11.94</v>
      </c>
      <c r="E26" s="12">
        <v>20.79</v>
      </c>
      <c r="F26" s="12">
        <v>35.64</v>
      </c>
      <c r="G26" s="12">
        <v>43.24</v>
      </c>
      <c r="H26" s="12">
        <v>406</v>
      </c>
      <c r="I26" s="13">
        <v>6.2</v>
      </c>
      <c r="J26" s="13">
        <v>16</v>
      </c>
      <c r="K26" s="184">
        <v>2.29</v>
      </c>
      <c r="L26" s="37">
        <v>7.47</v>
      </c>
      <c r="M26" s="22"/>
      <c r="N26" s="29" t="s">
        <v>35</v>
      </c>
      <c r="O26" s="13" t="s">
        <v>35</v>
      </c>
      <c r="P26" s="13" t="s">
        <v>35</v>
      </c>
      <c r="Q26" s="13" t="s">
        <v>35</v>
      </c>
      <c r="R26" s="13" t="s">
        <v>35</v>
      </c>
      <c r="S26" s="13" t="s">
        <v>35</v>
      </c>
      <c r="T26" s="36" t="s">
        <v>35</v>
      </c>
      <c r="U26" s="13" t="s">
        <v>35</v>
      </c>
      <c r="V26" s="13" t="s">
        <v>35</v>
      </c>
      <c r="W26" s="13" t="s">
        <v>35</v>
      </c>
      <c r="X26" s="37" t="s">
        <v>35</v>
      </c>
      <c r="Y26" s="22"/>
      <c r="Z26" s="38" t="s">
        <v>35</v>
      </c>
      <c r="AA26" s="13" t="s">
        <v>35</v>
      </c>
      <c r="AB26" s="13" t="s">
        <v>35</v>
      </c>
      <c r="AC26" s="13" t="s">
        <v>35</v>
      </c>
      <c r="AD26" s="36" t="s">
        <v>35</v>
      </c>
      <c r="AE26" s="13" t="s">
        <v>35</v>
      </c>
      <c r="AF26" s="13" t="s">
        <v>35</v>
      </c>
      <c r="AG26" s="13" t="s">
        <v>35</v>
      </c>
      <c r="AH26" s="37" t="s">
        <v>35</v>
      </c>
    </row>
    <row r="27" spans="1:34">
      <c r="A27" s="14">
        <f t="shared" si="0"/>
        <v>46012</v>
      </c>
      <c r="B27" s="38">
        <v>37.979999999999997</v>
      </c>
      <c r="C27" s="13">
        <v>17.63</v>
      </c>
      <c r="D27" s="12">
        <v>7.91</v>
      </c>
      <c r="E27" s="12">
        <v>16.48</v>
      </c>
      <c r="F27" s="12">
        <v>27.18</v>
      </c>
      <c r="G27" s="13">
        <v>44.78</v>
      </c>
      <c r="H27" s="36">
        <v>394</v>
      </c>
      <c r="I27" s="12">
        <v>8.1199999999999992</v>
      </c>
      <c r="J27" s="13">
        <v>0.5</v>
      </c>
      <c r="K27" s="184">
        <v>2.0299999999999998</v>
      </c>
      <c r="L27" s="37">
        <v>7.36</v>
      </c>
      <c r="M27" s="22"/>
      <c r="N27" s="29" t="s">
        <v>35</v>
      </c>
      <c r="O27" s="13" t="s">
        <v>35</v>
      </c>
      <c r="P27" s="13" t="s">
        <v>35</v>
      </c>
      <c r="Q27" s="13" t="s">
        <v>35</v>
      </c>
      <c r="R27" s="13" t="s">
        <v>35</v>
      </c>
      <c r="S27" s="13" t="s">
        <v>35</v>
      </c>
      <c r="T27" s="36" t="s">
        <v>35</v>
      </c>
      <c r="U27" s="13" t="s">
        <v>35</v>
      </c>
      <c r="V27" s="13" t="s">
        <v>35</v>
      </c>
      <c r="W27" s="13" t="s">
        <v>35</v>
      </c>
      <c r="X27" s="37" t="s">
        <v>35</v>
      </c>
      <c r="Y27" s="22"/>
      <c r="Z27" s="38">
        <v>11.34</v>
      </c>
      <c r="AA27" s="13">
        <v>18.27</v>
      </c>
      <c r="AB27" s="13">
        <v>34.659999999999997</v>
      </c>
      <c r="AC27" s="13">
        <v>44.99</v>
      </c>
      <c r="AD27" s="36">
        <v>404</v>
      </c>
      <c r="AE27" s="13">
        <v>7.72</v>
      </c>
      <c r="AF27" s="13">
        <v>7</v>
      </c>
      <c r="AG27" s="184">
        <v>2.12</v>
      </c>
      <c r="AH27" s="37">
        <v>7.12</v>
      </c>
    </row>
    <row r="28" spans="1:34">
      <c r="A28" s="14">
        <f t="shared" si="0"/>
        <v>46013</v>
      </c>
      <c r="B28" s="142" t="s">
        <v>35</v>
      </c>
      <c r="C28" s="12" t="s">
        <v>35</v>
      </c>
      <c r="D28" s="12" t="s">
        <v>35</v>
      </c>
      <c r="E28" s="12" t="s">
        <v>35</v>
      </c>
      <c r="F28" s="12" t="s">
        <v>35</v>
      </c>
      <c r="G28" s="12" t="s">
        <v>35</v>
      </c>
      <c r="H28" s="12" t="s">
        <v>35</v>
      </c>
      <c r="I28" s="12" t="s">
        <v>35</v>
      </c>
      <c r="J28" s="13" t="s">
        <v>35</v>
      </c>
      <c r="K28" s="184"/>
      <c r="L28" s="26" t="s">
        <v>35</v>
      </c>
      <c r="M28" s="22"/>
      <c r="N28" s="29" t="s">
        <v>35</v>
      </c>
      <c r="O28" s="13" t="s">
        <v>35</v>
      </c>
      <c r="P28" s="13" t="s">
        <v>35</v>
      </c>
      <c r="Q28" s="13" t="s">
        <v>35</v>
      </c>
      <c r="R28" s="13" t="s">
        <v>35</v>
      </c>
      <c r="S28" s="13" t="s">
        <v>35</v>
      </c>
      <c r="T28" s="36" t="s">
        <v>35</v>
      </c>
      <c r="U28" s="13" t="s">
        <v>35</v>
      </c>
      <c r="V28" s="13" t="s">
        <v>35</v>
      </c>
      <c r="W28" s="13" t="s">
        <v>35</v>
      </c>
      <c r="X28" s="37" t="s">
        <v>35</v>
      </c>
      <c r="Y28" s="22"/>
      <c r="Z28" s="38" t="s">
        <v>35</v>
      </c>
      <c r="AA28" s="13" t="s">
        <v>35</v>
      </c>
      <c r="AB28" s="13" t="s">
        <v>35</v>
      </c>
      <c r="AC28" s="13" t="s">
        <v>35</v>
      </c>
      <c r="AD28" s="36" t="s">
        <v>35</v>
      </c>
      <c r="AE28" s="13" t="s">
        <v>35</v>
      </c>
      <c r="AF28" s="13" t="s">
        <v>35</v>
      </c>
      <c r="AG28" s="13" t="s">
        <v>35</v>
      </c>
      <c r="AH28" s="37" t="s">
        <v>35</v>
      </c>
    </row>
    <row r="29" spans="1:34">
      <c r="A29" s="14">
        <f t="shared" si="0"/>
        <v>46014</v>
      </c>
      <c r="B29" s="38">
        <v>36.29</v>
      </c>
      <c r="C29" s="12">
        <v>16.25</v>
      </c>
      <c r="D29" s="12">
        <v>10.130000000000001</v>
      </c>
      <c r="E29" s="12">
        <v>20.62</v>
      </c>
      <c r="F29" s="12">
        <v>32.840000000000003</v>
      </c>
      <c r="G29" s="12">
        <v>46.61</v>
      </c>
      <c r="H29" s="12">
        <v>389</v>
      </c>
      <c r="I29" s="12">
        <v>8.56</v>
      </c>
      <c r="J29" s="13">
        <v>0.5</v>
      </c>
      <c r="K29" s="184">
        <v>2.198</v>
      </c>
      <c r="L29" s="37">
        <v>8.42</v>
      </c>
      <c r="M29" s="22"/>
      <c r="N29" s="29" t="s">
        <v>35</v>
      </c>
      <c r="O29" s="13" t="s">
        <v>35</v>
      </c>
      <c r="P29" s="13" t="s">
        <v>35</v>
      </c>
      <c r="Q29" s="13" t="s">
        <v>35</v>
      </c>
      <c r="R29" s="13" t="s">
        <v>35</v>
      </c>
      <c r="S29" s="13" t="s">
        <v>35</v>
      </c>
      <c r="T29" s="36" t="s">
        <v>35</v>
      </c>
      <c r="U29" s="13" t="s">
        <v>35</v>
      </c>
      <c r="V29" s="13" t="s">
        <v>35</v>
      </c>
      <c r="W29" s="13" t="s">
        <v>35</v>
      </c>
      <c r="X29" s="37" t="s">
        <v>35</v>
      </c>
      <c r="Y29" s="22"/>
      <c r="Z29" s="38">
        <v>10.51</v>
      </c>
      <c r="AA29" s="13">
        <v>18.73</v>
      </c>
      <c r="AB29" s="13">
        <v>29.83</v>
      </c>
      <c r="AC29" s="13">
        <v>45.59</v>
      </c>
      <c r="AD29" s="36">
        <v>380</v>
      </c>
      <c r="AE29" s="13">
        <v>8.2799999999999994</v>
      </c>
      <c r="AF29" s="13">
        <v>0.5</v>
      </c>
      <c r="AG29" s="184">
        <v>2.1389999999999998</v>
      </c>
      <c r="AH29" s="37">
        <v>6.46</v>
      </c>
    </row>
    <row r="30" spans="1:34">
      <c r="A30" s="14">
        <f t="shared" si="0"/>
        <v>46015</v>
      </c>
      <c r="B30" s="142" t="s">
        <v>35</v>
      </c>
      <c r="C30" s="12" t="s">
        <v>35</v>
      </c>
      <c r="D30" s="12" t="s">
        <v>35</v>
      </c>
      <c r="E30" s="12" t="s">
        <v>35</v>
      </c>
      <c r="F30" s="12" t="s">
        <v>35</v>
      </c>
      <c r="G30" s="12" t="s">
        <v>35</v>
      </c>
      <c r="H30" s="12" t="s">
        <v>35</v>
      </c>
      <c r="I30" s="12" t="s">
        <v>35</v>
      </c>
      <c r="J30" s="13" t="s">
        <v>35</v>
      </c>
      <c r="K30" s="184"/>
      <c r="L30" s="26" t="s">
        <v>35</v>
      </c>
      <c r="M30" s="22"/>
      <c r="N30" s="29" t="s">
        <v>35</v>
      </c>
      <c r="O30" s="13" t="s">
        <v>35</v>
      </c>
      <c r="P30" s="13" t="s">
        <v>35</v>
      </c>
      <c r="Q30" s="13" t="s">
        <v>35</v>
      </c>
      <c r="R30" s="13" t="s">
        <v>35</v>
      </c>
      <c r="S30" s="13" t="s">
        <v>35</v>
      </c>
      <c r="T30" s="36" t="s">
        <v>35</v>
      </c>
      <c r="U30" s="13" t="s">
        <v>35</v>
      </c>
      <c r="V30" s="13" t="s">
        <v>35</v>
      </c>
      <c r="W30" s="13" t="s">
        <v>35</v>
      </c>
      <c r="X30" s="37" t="s">
        <v>35</v>
      </c>
      <c r="Y30" s="22"/>
      <c r="Z30" s="38" t="s">
        <v>35</v>
      </c>
      <c r="AA30" s="13" t="s">
        <v>35</v>
      </c>
      <c r="AB30" s="13" t="s">
        <v>35</v>
      </c>
      <c r="AC30" s="13" t="s">
        <v>35</v>
      </c>
      <c r="AD30" s="36" t="s">
        <v>35</v>
      </c>
      <c r="AE30" s="13" t="s">
        <v>35</v>
      </c>
      <c r="AF30" s="13" t="s">
        <v>35</v>
      </c>
      <c r="AG30" s="13" t="s">
        <v>35</v>
      </c>
      <c r="AH30" s="37" t="s">
        <v>35</v>
      </c>
    </row>
    <row r="31" spans="1:34">
      <c r="A31" s="14">
        <f t="shared" si="0"/>
        <v>46016</v>
      </c>
      <c r="B31" s="38">
        <v>42.18</v>
      </c>
      <c r="C31" s="12">
        <v>18.03</v>
      </c>
      <c r="D31" s="12">
        <v>10.79</v>
      </c>
      <c r="E31" s="12">
        <v>18.579999999999998</v>
      </c>
      <c r="F31" s="12">
        <v>35.049999999999997</v>
      </c>
      <c r="G31" s="13">
        <v>45.75</v>
      </c>
      <c r="H31" s="36">
        <v>367</v>
      </c>
      <c r="I31" s="12">
        <v>12.28</v>
      </c>
      <c r="J31" s="13">
        <v>1</v>
      </c>
      <c r="K31" s="184">
        <v>2.12</v>
      </c>
      <c r="L31" s="37">
        <v>7.02</v>
      </c>
      <c r="M31" s="22"/>
      <c r="N31" s="29" t="s">
        <v>35</v>
      </c>
      <c r="O31" s="13" t="s">
        <v>35</v>
      </c>
      <c r="P31" s="13" t="s">
        <v>35</v>
      </c>
      <c r="Q31" s="13" t="s">
        <v>35</v>
      </c>
      <c r="R31" s="13" t="s">
        <v>35</v>
      </c>
      <c r="S31" s="13" t="s">
        <v>35</v>
      </c>
      <c r="T31" s="36" t="s">
        <v>35</v>
      </c>
      <c r="U31" s="13" t="s">
        <v>35</v>
      </c>
      <c r="V31" s="13" t="s">
        <v>35</v>
      </c>
      <c r="W31" s="13" t="s">
        <v>35</v>
      </c>
      <c r="X31" s="37" t="s">
        <v>35</v>
      </c>
      <c r="Y31" s="22"/>
      <c r="Z31" s="38" t="s">
        <v>35</v>
      </c>
      <c r="AA31" s="13" t="s">
        <v>35</v>
      </c>
      <c r="AB31" s="13" t="s">
        <v>35</v>
      </c>
      <c r="AC31" s="13" t="s">
        <v>35</v>
      </c>
      <c r="AD31" s="36" t="s">
        <v>35</v>
      </c>
      <c r="AE31" s="13" t="s">
        <v>35</v>
      </c>
      <c r="AF31" s="13" t="s">
        <v>35</v>
      </c>
      <c r="AG31" s="13" t="s">
        <v>35</v>
      </c>
      <c r="AH31" s="37" t="s">
        <v>35</v>
      </c>
    </row>
    <row r="32" spans="1:34">
      <c r="A32" s="14">
        <f t="shared" si="0"/>
        <v>46017</v>
      </c>
      <c r="B32" s="11" t="s">
        <v>35</v>
      </c>
      <c r="C32" s="13" t="s">
        <v>35</v>
      </c>
      <c r="D32" s="12" t="s">
        <v>35</v>
      </c>
      <c r="E32" s="12" t="s">
        <v>35</v>
      </c>
      <c r="F32" s="12" t="s">
        <v>35</v>
      </c>
      <c r="G32" s="13" t="s">
        <v>35</v>
      </c>
      <c r="H32" s="13" t="s">
        <v>35</v>
      </c>
      <c r="I32" s="13" t="s">
        <v>35</v>
      </c>
      <c r="J32" s="12" t="s">
        <v>35</v>
      </c>
      <c r="K32" s="12" t="s">
        <v>35</v>
      </c>
      <c r="L32" s="37" t="s">
        <v>35</v>
      </c>
      <c r="M32" s="22"/>
      <c r="N32" s="29" t="s">
        <v>35</v>
      </c>
      <c r="O32" s="13" t="s">
        <v>35</v>
      </c>
      <c r="P32" s="13" t="s">
        <v>35</v>
      </c>
      <c r="Q32" s="13" t="s">
        <v>35</v>
      </c>
      <c r="R32" s="13" t="s">
        <v>35</v>
      </c>
      <c r="S32" s="13" t="s">
        <v>35</v>
      </c>
      <c r="T32" s="36" t="s">
        <v>35</v>
      </c>
      <c r="U32" s="13" t="s">
        <v>35</v>
      </c>
      <c r="V32" s="13" t="s">
        <v>35</v>
      </c>
      <c r="W32" s="13" t="s">
        <v>35</v>
      </c>
      <c r="X32" s="37" t="s">
        <v>35</v>
      </c>
      <c r="Y32" s="22"/>
      <c r="Z32" s="38" t="s">
        <v>35</v>
      </c>
      <c r="AA32" s="13" t="s">
        <v>35</v>
      </c>
      <c r="AB32" s="13" t="s">
        <v>35</v>
      </c>
      <c r="AC32" s="13" t="s">
        <v>35</v>
      </c>
      <c r="AD32" s="36" t="s">
        <v>35</v>
      </c>
      <c r="AE32" s="13" t="s">
        <v>35</v>
      </c>
      <c r="AF32" s="13" t="s">
        <v>35</v>
      </c>
      <c r="AG32" s="13" t="s">
        <v>35</v>
      </c>
      <c r="AH32" s="37" t="s">
        <v>35</v>
      </c>
    </row>
    <row r="33" spans="1:34">
      <c r="A33" s="14">
        <f t="shared" si="0"/>
        <v>46018</v>
      </c>
      <c r="B33" s="11" t="s">
        <v>35</v>
      </c>
      <c r="C33" s="13" t="s">
        <v>35</v>
      </c>
      <c r="D33" s="12" t="s">
        <v>35</v>
      </c>
      <c r="E33" s="12" t="s">
        <v>35</v>
      </c>
      <c r="F33" s="12" t="s">
        <v>35</v>
      </c>
      <c r="G33" s="13" t="s">
        <v>35</v>
      </c>
      <c r="H33" s="13" t="s">
        <v>35</v>
      </c>
      <c r="I33" s="13" t="s">
        <v>35</v>
      </c>
      <c r="J33" s="12" t="s">
        <v>35</v>
      </c>
      <c r="K33" s="12" t="s">
        <v>35</v>
      </c>
      <c r="L33" s="37" t="s">
        <v>35</v>
      </c>
      <c r="M33" s="22"/>
      <c r="N33" s="29" t="s">
        <v>35</v>
      </c>
      <c r="O33" s="13" t="s">
        <v>35</v>
      </c>
      <c r="P33" s="13" t="s">
        <v>35</v>
      </c>
      <c r="Q33" s="13" t="s">
        <v>35</v>
      </c>
      <c r="R33" s="13" t="s">
        <v>35</v>
      </c>
      <c r="S33" s="13" t="s">
        <v>35</v>
      </c>
      <c r="T33" s="36" t="s">
        <v>35</v>
      </c>
      <c r="U33" s="13" t="s">
        <v>35</v>
      </c>
      <c r="V33" s="13" t="s">
        <v>35</v>
      </c>
      <c r="W33" s="13" t="s">
        <v>35</v>
      </c>
      <c r="X33" s="37" t="s">
        <v>35</v>
      </c>
      <c r="Y33" s="22"/>
      <c r="Z33" s="38" t="s">
        <v>35</v>
      </c>
      <c r="AA33" s="13" t="s">
        <v>35</v>
      </c>
      <c r="AB33" s="13" t="s">
        <v>35</v>
      </c>
      <c r="AC33" s="13" t="s">
        <v>35</v>
      </c>
      <c r="AD33" s="36" t="s">
        <v>35</v>
      </c>
      <c r="AE33" s="13" t="s">
        <v>35</v>
      </c>
      <c r="AF33" s="13" t="s">
        <v>35</v>
      </c>
      <c r="AG33" s="13" t="s">
        <v>35</v>
      </c>
      <c r="AH33" s="37" t="s">
        <v>35</v>
      </c>
    </row>
    <row r="34" spans="1:34">
      <c r="A34" s="14">
        <f t="shared" si="0"/>
        <v>46019</v>
      </c>
      <c r="B34" s="11" t="s">
        <v>35</v>
      </c>
      <c r="C34" s="13" t="s">
        <v>35</v>
      </c>
      <c r="D34" s="12" t="s">
        <v>35</v>
      </c>
      <c r="E34" s="12" t="s">
        <v>35</v>
      </c>
      <c r="F34" s="12" t="s">
        <v>35</v>
      </c>
      <c r="G34" s="13" t="s">
        <v>35</v>
      </c>
      <c r="H34" s="13" t="s">
        <v>35</v>
      </c>
      <c r="I34" s="13" t="s">
        <v>35</v>
      </c>
      <c r="J34" s="12" t="s">
        <v>35</v>
      </c>
      <c r="K34" s="12" t="s">
        <v>35</v>
      </c>
      <c r="L34" s="37" t="s">
        <v>35</v>
      </c>
      <c r="M34" s="22"/>
      <c r="N34" s="29" t="s">
        <v>35</v>
      </c>
      <c r="O34" s="13" t="s">
        <v>35</v>
      </c>
      <c r="P34" s="13" t="s">
        <v>35</v>
      </c>
      <c r="Q34" s="13" t="s">
        <v>35</v>
      </c>
      <c r="R34" s="13" t="s">
        <v>35</v>
      </c>
      <c r="S34" s="13" t="s">
        <v>35</v>
      </c>
      <c r="T34" s="36" t="s">
        <v>35</v>
      </c>
      <c r="U34" s="13" t="s">
        <v>35</v>
      </c>
      <c r="V34" s="13" t="s">
        <v>35</v>
      </c>
      <c r="W34" s="13" t="s">
        <v>35</v>
      </c>
      <c r="X34" s="37" t="s">
        <v>35</v>
      </c>
      <c r="Y34" s="22"/>
      <c r="Z34" s="38" t="s">
        <v>35</v>
      </c>
      <c r="AA34" s="13" t="s">
        <v>35</v>
      </c>
      <c r="AB34" s="13" t="s">
        <v>35</v>
      </c>
      <c r="AC34" s="13" t="s">
        <v>35</v>
      </c>
      <c r="AD34" s="36" t="s">
        <v>35</v>
      </c>
      <c r="AE34" s="13" t="s">
        <v>35</v>
      </c>
      <c r="AF34" s="13" t="s">
        <v>35</v>
      </c>
      <c r="AG34" s="13" t="s">
        <v>35</v>
      </c>
      <c r="AH34" s="37" t="s">
        <v>35</v>
      </c>
    </row>
    <row r="35" spans="1:34">
      <c r="A35" s="14">
        <f t="shared" si="0"/>
        <v>46020</v>
      </c>
      <c r="B35" s="38">
        <v>37.29</v>
      </c>
      <c r="C35" s="12">
        <v>16.149999999999999</v>
      </c>
      <c r="D35" s="12">
        <v>10.58</v>
      </c>
      <c r="E35" s="12">
        <v>18.25</v>
      </c>
      <c r="F35" s="12">
        <v>33.29</v>
      </c>
      <c r="G35" s="12">
        <v>47.8</v>
      </c>
      <c r="H35" s="12">
        <v>370</v>
      </c>
      <c r="I35" s="12">
        <v>7.04</v>
      </c>
      <c r="J35" s="59">
        <v>1</v>
      </c>
      <c r="K35" s="186">
        <v>2.0699999999999998</v>
      </c>
      <c r="L35" s="37">
        <v>5.18</v>
      </c>
      <c r="M35" s="22"/>
      <c r="N35" s="29" t="s">
        <v>35</v>
      </c>
      <c r="O35" s="13" t="s">
        <v>35</v>
      </c>
      <c r="P35" s="13" t="s">
        <v>35</v>
      </c>
      <c r="Q35" s="13" t="s">
        <v>35</v>
      </c>
      <c r="R35" s="13" t="s">
        <v>35</v>
      </c>
      <c r="S35" s="13" t="s">
        <v>35</v>
      </c>
      <c r="T35" s="36" t="s">
        <v>35</v>
      </c>
      <c r="U35" s="13" t="s">
        <v>35</v>
      </c>
      <c r="V35" s="13" t="s">
        <v>35</v>
      </c>
      <c r="W35" s="13" t="s">
        <v>35</v>
      </c>
      <c r="X35" s="37" t="s">
        <v>35</v>
      </c>
      <c r="Y35" s="22"/>
      <c r="Z35" s="38">
        <v>10.52</v>
      </c>
      <c r="AA35" s="13">
        <v>19.37</v>
      </c>
      <c r="AB35" s="13">
        <v>33.72</v>
      </c>
      <c r="AC35" s="13">
        <v>45.44</v>
      </c>
      <c r="AD35" s="36">
        <v>386</v>
      </c>
      <c r="AE35" s="13">
        <v>10.44</v>
      </c>
      <c r="AF35" s="13">
        <v>0.5</v>
      </c>
      <c r="AG35" s="186">
        <v>1.95</v>
      </c>
      <c r="AH35" s="37">
        <v>5.46</v>
      </c>
    </row>
    <row r="36" spans="1:34">
      <c r="A36" s="14">
        <f t="shared" si="0"/>
        <v>46021</v>
      </c>
      <c r="B36" s="11">
        <v>38.380000000000003</v>
      </c>
      <c r="C36" s="12">
        <v>17.18</v>
      </c>
      <c r="D36" s="12">
        <v>9.83</v>
      </c>
      <c r="E36" s="12">
        <v>20.41</v>
      </c>
      <c r="F36" s="12">
        <v>36.18</v>
      </c>
      <c r="G36" s="12">
        <v>47.32</v>
      </c>
      <c r="H36" s="12">
        <v>394</v>
      </c>
      <c r="I36" s="12">
        <v>7.96</v>
      </c>
      <c r="J36" s="12">
        <v>0.5</v>
      </c>
      <c r="K36" s="185">
        <v>2.04</v>
      </c>
      <c r="L36" s="37">
        <v>5.3</v>
      </c>
      <c r="M36" s="22"/>
      <c r="N36" s="29" t="s">
        <v>35</v>
      </c>
      <c r="O36" s="13" t="s">
        <v>35</v>
      </c>
      <c r="P36" s="13" t="s">
        <v>35</v>
      </c>
      <c r="Q36" s="13" t="s">
        <v>35</v>
      </c>
      <c r="R36" s="13" t="s">
        <v>35</v>
      </c>
      <c r="S36" s="13" t="s">
        <v>35</v>
      </c>
      <c r="T36" s="36" t="s">
        <v>35</v>
      </c>
      <c r="U36" s="13" t="s">
        <v>35</v>
      </c>
      <c r="V36" s="13" t="s">
        <v>35</v>
      </c>
      <c r="W36" s="13" t="s">
        <v>35</v>
      </c>
      <c r="X36" s="37" t="s">
        <v>35</v>
      </c>
      <c r="Y36" s="22"/>
      <c r="Z36" s="38" t="s">
        <v>35</v>
      </c>
      <c r="AA36" s="13" t="s">
        <v>35</v>
      </c>
      <c r="AB36" s="13" t="s">
        <v>35</v>
      </c>
      <c r="AC36" s="13" t="s">
        <v>35</v>
      </c>
      <c r="AD36" s="36" t="s">
        <v>35</v>
      </c>
      <c r="AE36" s="13" t="s">
        <v>35</v>
      </c>
      <c r="AF36" s="13" t="s">
        <v>35</v>
      </c>
      <c r="AG36" s="13" t="s">
        <v>35</v>
      </c>
      <c r="AH36" s="37" t="s">
        <v>35</v>
      </c>
    </row>
    <row r="37" spans="1:34" ht="15.75" thickBot="1">
      <c r="A37" s="15">
        <f t="shared" si="0"/>
        <v>46022</v>
      </c>
      <c r="B37" s="57" t="s">
        <v>35</v>
      </c>
      <c r="C37" s="58" t="s">
        <v>35</v>
      </c>
      <c r="D37" s="58" t="s">
        <v>35</v>
      </c>
      <c r="E37" s="58" t="s">
        <v>35</v>
      </c>
      <c r="F37" s="58" t="s">
        <v>35</v>
      </c>
      <c r="G37" s="58" t="s">
        <v>35</v>
      </c>
      <c r="H37" s="58" t="s">
        <v>35</v>
      </c>
      <c r="I37" s="58" t="s">
        <v>35</v>
      </c>
      <c r="J37" s="58" t="s">
        <v>35</v>
      </c>
      <c r="K37" s="196" t="s">
        <v>35</v>
      </c>
      <c r="L37" s="48" t="s">
        <v>35</v>
      </c>
      <c r="M37" s="22"/>
      <c r="N37" s="29" t="s">
        <v>35</v>
      </c>
      <c r="O37" s="13" t="s">
        <v>35</v>
      </c>
      <c r="P37" s="13" t="s">
        <v>35</v>
      </c>
      <c r="Q37" s="13" t="s">
        <v>35</v>
      </c>
      <c r="R37" s="13" t="s">
        <v>35</v>
      </c>
      <c r="S37" s="13" t="s">
        <v>35</v>
      </c>
      <c r="T37" s="36" t="s">
        <v>35</v>
      </c>
      <c r="U37" s="13" t="s">
        <v>35</v>
      </c>
      <c r="V37" s="13" t="s">
        <v>35</v>
      </c>
      <c r="W37" s="13" t="s">
        <v>35</v>
      </c>
      <c r="X37" s="37" t="s">
        <v>35</v>
      </c>
      <c r="Y37" s="22"/>
      <c r="Z37" s="38" t="s">
        <v>35</v>
      </c>
      <c r="AA37" s="13" t="s">
        <v>35</v>
      </c>
      <c r="AB37" s="13" t="s">
        <v>35</v>
      </c>
      <c r="AC37" s="13" t="s">
        <v>35</v>
      </c>
      <c r="AD37" s="36" t="s">
        <v>35</v>
      </c>
      <c r="AE37" s="13" t="s">
        <v>35</v>
      </c>
      <c r="AF37" s="13" t="s">
        <v>35</v>
      </c>
      <c r="AG37" s="13" t="s">
        <v>35</v>
      </c>
      <c r="AH37" s="37" t="s">
        <v>35</v>
      </c>
    </row>
    <row r="38" spans="1:34">
      <c r="A38" s="16" t="s">
        <v>31</v>
      </c>
      <c r="B38" s="17">
        <f>MIN(B7:B37)</f>
        <v>32.4</v>
      </c>
      <c r="C38" s="17">
        <f>MIN(C7:C37)</f>
        <v>16.149999999999999</v>
      </c>
      <c r="D38" s="17">
        <f t="shared" ref="D38:L38" si="1">MIN(D7:D37)</f>
        <v>7.68</v>
      </c>
      <c r="E38" s="17">
        <f t="shared" si="1"/>
        <v>16.48</v>
      </c>
      <c r="F38" s="17">
        <f t="shared" si="1"/>
        <v>27.18</v>
      </c>
      <c r="G38" s="17">
        <f t="shared" si="1"/>
        <v>43.24</v>
      </c>
      <c r="H38" s="17">
        <f t="shared" ref="H38" si="2">MIN(H7:H37)</f>
        <v>350</v>
      </c>
      <c r="I38" s="17">
        <f t="shared" si="1"/>
        <v>6.2</v>
      </c>
      <c r="J38" s="17">
        <f t="shared" si="1"/>
        <v>0.5</v>
      </c>
      <c r="K38" s="17">
        <f t="shared" ref="K38" si="3">MIN(K7:K37)</f>
        <v>1.8959999999999999</v>
      </c>
      <c r="L38" s="30">
        <f t="shared" si="1"/>
        <v>5</v>
      </c>
      <c r="M38" s="22"/>
      <c r="N38" s="17">
        <f>MIN(N7:N37)</f>
        <v>32.4</v>
      </c>
      <c r="O38" s="17">
        <f>MIN(O7:O37)</f>
        <v>16.670000000000002</v>
      </c>
      <c r="P38" s="17">
        <f t="shared" ref="P38:X38" si="4">MIN(P7:P37)</f>
        <v>8.1999999999999993</v>
      </c>
      <c r="Q38" s="17">
        <f t="shared" si="4"/>
        <v>16.059999999999999</v>
      </c>
      <c r="R38" s="17">
        <f t="shared" si="4"/>
        <v>26.16</v>
      </c>
      <c r="S38" s="17">
        <f t="shared" si="4"/>
        <v>44.22</v>
      </c>
      <c r="T38" s="17">
        <f t="shared" ref="T38" si="5">MIN(T7:T37)</f>
        <v>378</v>
      </c>
      <c r="U38" s="17">
        <f t="shared" si="4"/>
        <v>8.7200000000000006</v>
      </c>
      <c r="V38" s="17">
        <f t="shared" si="4"/>
        <v>0.5</v>
      </c>
      <c r="W38" s="17">
        <f t="shared" ref="W38" si="6">MIN(W7:W37)</f>
        <v>2.04</v>
      </c>
      <c r="X38" s="30">
        <f t="shared" si="4"/>
        <v>5.28</v>
      </c>
      <c r="Z38" s="40">
        <f t="shared" ref="Z38:AH38" si="7">MIN(Z7:Z37)</f>
        <v>8.35</v>
      </c>
      <c r="AA38" s="17">
        <f t="shared" si="7"/>
        <v>17.260000000000002</v>
      </c>
      <c r="AB38" s="17">
        <f t="shared" si="7"/>
        <v>29.83</v>
      </c>
      <c r="AC38" s="17">
        <f t="shared" si="7"/>
        <v>44.71</v>
      </c>
      <c r="AD38" s="17">
        <f t="shared" ref="AD38" si="8">MIN(AD7:AD37)</f>
        <v>380</v>
      </c>
      <c r="AE38" s="17">
        <f t="shared" si="7"/>
        <v>6.48</v>
      </c>
      <c r="AF38" s="17">
        <f t="shared" si="7"/>
        <v>0.5</v>
      </c>
      <c r="AG38" s="17">
        <f t="shared" ref="AG38" si="9">MIN(AG7:AG37)</f>
        <v>1.95</v>
      </c>
      <c r="AH38" s="30">
        <f t="shared" si="7"/>
        <v>5.46</v>
      </c>
    </row>
    <row r="39" spans="1:34">
      <c r="A39" s="18" t="s">
        <v>33</v>
      </c>
      <c r="B39" s="19">
        <f>MAX(B7:B37)</f>
        <v>43.11</v>
      </c>
      <c r="C39" s="19">
        <f>MAX(C7:C37)</f>
        <v>27.69</v>
      </c>
      <c r="D39" s="19">
        <f t="shared" ref="D39:L39" si="10">MAX(D7:D37)</f>
        <v>11.94</v>
      </c>
      <c r="E39" s="19">
        <f t="shared" si="10"/>
        <v>22.82</v>
      </c>
      <c r="F39" s="19">
        <f t="shared" si="10"/>
        <v>36.520000000000003</v>
      </c>
      <c r="G39" s="19">
        <f t="shared" si="10"/>
        <v>47.8</v>
      </c>
      <c r="H39" s="19">
        <f t="shared" ref="H39" si="11">MAX(H7:H37)</f>
        <v>468</v>
      </c>
      <c r="I39" s="19">
        <f t="shared" si="10"/>
        <v>13.28</v>
      </c>
      <c r="J39" s="19">
        <f t="shared" si="10"/>
        <v>16</v>
      </c>
      <c r="K39" s="19">
        <f t="shared" ref="K39" si="12">MAX(K7:K37)</f>
        <v>2.4</v>
      </c>
      <c r="L39" s="31">
        <f t="shared" si="10"/>
        <v>10.49</v>
      </c>
      <c r="M39" s="22"/>
      <c r="N39" s="19">
        <f>MAX(N7:N37)</f>
        <v>39.369999999999997</v>
      </c>
      <c r="O39" s="19">
        <f>MAX(O7:O37)</f>
        <v>27.14</v>
      </c>
      <c r="P39" s="19">
        <f t="shared" ref="P39:X39" si="13">MAX(P7:P37)</f>
        <v>11.16</v>
      </c>
      <c r="Q39" s="19">
        <f t="shared" si="13"/>
        <v>21.76</v>
      </c>
      <c r="R39" s="19">
        <f t="shared" si="13"/>
        <v>34.76</v>
      </c>
      <c r="S39" s="19">
        <f t="shared" si="13"/>
        <v>45.76</v>
      </c>
      <c r="T39" s="19">
        <f t="shared" ref="T39" si="14">MAX(T7:T37)</f>
        <v>418</v>
      </c>
      <c r="U39" s="19">
        <f t="shared" si="13"/>
        <v>11.6</v>
      </c>
      <c r="V39" s="19">
        <f t="shared" si="13"/>
        <v>72.5</v>
      </c>
      <c r="W39" s="19">
        <f t="shared" ref="W39" si="15">MAX(W7:W37)</f>
        <v>2.3029999999999999</v>
      </c>
      <c r="X39" s="31">
        <f t="shared" si="13"/>
        <v>9.84</v>
      </c>
      <c r="Z39" s="41">
        <f t="shared" ref="Z39:AH39" si="16">MAX(Z7:Z37)</f>
        <v>11.34</v>
      </c>
      <c r="AA39" s="19">
        <f t="shared" si="16"/>
        <v>21.77</v>
      </c>
      <c r="AB39" s="19">
        <f t="shared" si="16"/>
        <v>36.479999999999997</v>
      </c>
      <c r="AC39" s="19">
        <f t="shared" si="16"/>
        <v>46.94</v>
      </c>
      <c r="AD39" s="19">
        <f t="shared" ref="AD39" si="17">MAX(AD7:AD37)</f>
        <v>445</v>
      </c>
      <c r="AE39" s="19">
        <f t="shared" si="16"/>
        <v>12.8</v>
      </c>
      <c r="AF39" s="19">
        <f t="shared" si="16"/>
        <v>8.5</v>
      </c>
      <c r="AG39" s="19">
        <f t="shared" ref="AG39" si="18">MAX(AG7:AG37)</f>
        <v>2.2749999999999999</v>
      </c>
      <c r="AH39" s="31">
        <f t="shared" si="16"/>
        <v>9.65</v>
      </c>
    </row>
    <row r="40" spans="1:34">
      <c r="A40" s="18" t="s">
        <v>36</v>
      </c>
      <c r="B40" s="19">
        <f t="shared" ref="B40:L40" si="19">AVERAGE(B7:B37)</f>
        <v>38.289090909090909</v>
      </c>
      <c r="C40" s="19">
        <f t="shared" si="19"/>
        <v>20.509090909090908</v>
      </c>
      <c r="D40" s="19">
        <f t="shared" si="19"/>
        <v>10.275</v>
      </c>
      <c r="E40" s="19">
        <f t="shared" si="19"/>
        <v>19.365454545454547</v>
      </c>
      <c r="F40" s="19">
        <f t="shared" si="19"/>
        <v>33.402727272727269</v>
      </c>
      <c r="G40" s="19">
        <f t="shared" si="19"/>
        <v>45.685909090909099</v>
      </c>
      <c r="H40" s="19">
        <f t="shared" ref="H40" si="20">AVERAGE(H7:H37)</f>
        <v>398.54545454545456</v>
      </c>
      <c r="I40" s="19">
        <f t="shared" si="19"/>
        <v>9.1927272727272715</v>
      </c>
      <c r="J40" s="19">
        <f t="shared" si="19"/>
        <v>2.2272727272727271</v>
      </c>
      <c r="K40" s="19">
        <f t="shared" ref="K40" si="21">AVERAGE(K7:K37)</f>
        <v>2.1640454545454539</v>
      </c>
      <c r="L40" s="31">
        <f t="shared" si="19"/>
        <v>7.0268181818181832</v>
      </c>
      <c r="M40" s="22"/>
      <c r="N40" s="19">
        <f t="shared" ref="N40:X40" si="22">AVERAGE(N7:N37)</f>
        <v>36.344000000000008</v>
      </c>
      <c r="O40" s="19">
        <f t="shared" si="22"/>
        <v>21.054000000000002</v>
      </c>
      <c r="P40" s="19">
        <f t="shared" si="22"/>
        <v>9.4639999999999986</v>
      </c>
      <c r="Q40" s="19">
        <f t="shared" si="22"/>
        <v>18.476000000000003</v>
      </c>
      <c r="R40" s="19">
        <f t="shared" si="22"/>
        <v>30.833999999999996</v>
      </c>
      <c r="S40" s="19">
        <f t="shared" si="22"/>
        <v>45.122</v>
      </c>
      <c r="T40" s="19">
        <f t="shared" ref="T40" si="23">AVERAGE(T7:T37)</f>
        <v>402.8</v>
      </c>
      <c r="U40" s="19">
        <f t="shared" si="22"/>
        <v>10.208000000000002</v>
      </c>
      <c r="V40" s="19">
        <f t="shared" si="22"/>
        <v>15.2</v>
      </c>
      <c r="W40" s="19">
        <f t="shared" ref="W40" si="24">AVERAGE(W7:W37)</f>
        <v>2.1706000000000003</v>
      </c>
      <c r="X40" s="31">
        <f t="shared" si="22"/>
        <v>7.6840000000000002</v>
      </c>
      <c r="Z40" s="41">
        <f>AVERAGE(Z7:Z37)</f>
        <v>10.101000000000001</v>
      </c>
      <c r="AA40" s="19">
        <f t="shared" ref="AA40:AH40" si="25">AVERAGE(AA7:AA37)</f>
        <v>19.242999999999999</v>
      </c>
      <c r="AB40" s="19">
        <f t="shared" si="25"/>
        <v>33.785999999999987</v>
      </c>
      <c r="AC40" s="19">
        <f t="shared" si="25"/>
        <v>45.92</v>
      </c>
      <c r="AD40" s="19">
        <f t="shared" ref="AD40" si="26">AVERAGE(AD7:AD37)</f>
        <v>409.9</v>
      </c>
      <c r="AE40" s="19">
        <f t="shared" si="25"/>
        <v>9.7140000000000004</v>
      </c>
      <c r="AF40" s="19">
        <f t="shared" si="25"/>
        <v>2</v>
      </c>
      <c r="AG40" s="19">
        <f t="shared" ref="AG40" si="27">AVERAGE(AG7:AG37)</f>
        <v>2.1308999999999996</v>
      </c>
      <c r="AH40" s="31">
        <f t="shared" si="25"/>
        <v>7.9799999999999986</v>
      </c>
    </row>
    <row r="41" spans="1:34" ht="15.75" thickBot="1">
      <c r="A41" s="20" t="s">
        <v>130</v>
      </c>
      <c r="B41" s="21">
        <f>STDEV(B7:B37)</f>
        <v>2.4400369027086635</v>
      </c>
      <c r="C41" s="21">
        <f t="shared" ref="C41:L41" si="28">STDEV(C7:C37)</f>
        <v>4.1457090944860049</v>
      </c>
      <c r="D41" s="21">
        <f t="shared" si="28"/>
        <v>1.0990504559672849</v>
      </c>
      <c r="E41" s="21">
        <f t="shared" si="28"/>
        <v>1.6429089395184944</v>
      </c>
      <c r="F41" s="21">
        <f t="shared" si="28"/>
        <v>2.4221481646674166</v>
      </c>
      <c r="G41" s="21">
        <f t="shared" si="28"/>
        <v>1.0667112747707048</v>
      </c>
      <c r="H41" s="21">
        <f t="shared" ref="H41" si="29">STDEV(H7:H37)</f>
        <v>24.375489783069021</v>
      </c>
      <c r="I41" s="21">
        <f t="shared" si="28"/>
        <v>1.6862304587965287</v>
      </c>
      <c r="J41" s="21">
        <f t="shared" si="28"/>
        <v>3.8997169394447346</v>
      </c>
      <c r="K41" s="21">
        <f t="shared" ref="K41" si="30">STDEV(K7:K37)</f>
        <v>0.12068355996166855</v>
      </c>
      <c r="L41" s="32">
        <f t="shared" si="28"/>
        <v>1.351082057934563</v>
      </c>
      <c r="M41" s="22"/>
      <c r="N41" s="21">
        <f>STDEV(N7:N37)</f>
        <v>2.5848075363554632</v>
      </c>
      <c r="O41" s="21">
        <f t="shared" ref="O41:X41" si="31">STDEV(O7:O37)</f>
        <v>3.844753568175721</v>
      </c>
      <c r="P41" s="21">
        <f t="shared" si="31"/>
        <v>1.3304623256597825</v>
      </c>
      <c r="Q41" s="21">
        <f t="shared" si="31"/>
        <v>2.6359590285131431</v>
      </c>
      <c r="R41" s="21">
        <f t="shared" si="31"/>
        <v>3.861117713823321</v>
      </c>
      <c r="S41" s="21">
        <f t="shared" si="31"/>
        <v>0.58610579249824835</v>
      </c>
      <c r="T41" s="21">
        <f t="shared" ref="T41" si="32">STDEV(T7:T37)</f>
        <v>15.023315213360863</v>
      </c>
      <c r="U41" s="21">
        <f t="shared" si="31"/>
        <v>1.0656078077792031</v>
      </c>
      <c r="V41" s="21">
        <f t="shared" si="31"/>
        <v>32.034356556672087</v>
      </c>
      <c r="W41" s="21">
        <f t="shared" ref="W41" si="33">STDEV(W7:W37)</f>
        <v>0.10722313183264146</v>
      </c>
      <c r="X41" s="32">
        <f t="shared" si="31"/>
        <v>2.1812450573009898</v>
      </c>
      <c r="Z41" s="42">
        <f>STDEV(Z7:Z37)</f>
        <v>0.9093520281558245</v>
      </c>
      <c r="AA41" s="21">
        <f t="shared" ref="AA41:AH41" si="34">STDEV(AA7:AA37)</f>
        <v>1.2612696425075449</v>
      </c>
      <c r="AB41" s="21">
        <f t="shared" si="34"/>
        <v>2.0377449409689241</v>
      </c>
      <c r="AC41" s="21">
        <f t="shared" si="34"/>
        <v>0.77196178661900017</v>
      </c>
      <c r="AD41" s="21">
        <f t="shared" ref="AD41" si="35">STDEV(AD7:AD37)</f>
        <v>23.173020711355026</v>
      </c>
      <c r="AE41" s="21">
        <f t="shared" si="34"/>
        <v>1.9967095154000014</v>
      </c>
      <c r="AF41" s="21">
        <f t="shared" si="34"/>
        <v>3.0550504633038935</v>
      </c>
      <c r="AG41" s="21">
        <f t="shared" ref="AG41" si="36">STDEV(AG7:AG37)</f>
        <v>9.2028316898176019E-2</v>
      </c>
      <c r="AH41" s="32">
        <f t="shared" si="34"/>
        <v>1.4053311195428604</v>
      </c>
    </row>
    <row r="42" spans="1:34" ht="15.75" thickBot="1"/>
    <row r="43" spans="1:34" ht="15.75" thickBot="1">
      <c r="A43" s="1"/>
      <c r="B43" s="338" t="s">
        <v>0</v>
      </c>
      <c r="C43" s="339"/>
      <c r="D43" s="339"/>
      <c r="E43" s="339"/>
      <c r="F43" s="339"/>
      <c r="G43" s="339"/>
      <c r="H43" s="339"/>
      <c r="I43" s="339"/>
      <c r="J43" s="339"/>
      <c r="K43" s="339"/>
      <c r="L43" s="339"/>
      <c r="M43" s="339"/>
      <c r="N43" s="339"/>
      <c r="O43" s="339"/>
      <c r="P43" s="339"/>
      <c r="Q43" s="339"/>
      <c r="R43" s="339"/>
      <c r="S43" s="339"/>
      <c r="T43" s="339"/>
      <c r="U43" s="339"/>
      <c r="V43" s="339"/>
      <c r="W43" s="339"/>
      <c r="X43" s="339"/>
      <c r="Y43" s="339"/>
      <c r="Z43" s="339"/>
      <c r="AA43" s="339"/>
      <c r="AB43" s="339"/>
      <c r="AC43" s="339"/>
      <c r="AD43" s="340"/>
      <c r="AE43" s="340"/>
      <c r="AF43" s="340"/>
      <c r="AG43" s="340"/>
      <c r="AH43" s="340"/>
    </row>
    <row r="44" spans="1:34" ht="15.75" thickBot="1">
      <c r="A44" s="1"/>
      <c r="B44" s="338" t="s">
        <v>160</v>
      </c>
      <c r="C44" s="339"/>
      <c r="D44" s="339"/>
      <c r="E44" s="339"/>
      <c r="F44" s="339"/>
      <c r="G44" s="339"/>
      <c r="H44" s="339"/>
      <c r="I44" s="339"/>
      <c r="J44" s="339"/>
      <c r="K44" s="339"/>
      <c r="L44" s="339"/>
      <c r="M44" s="339"/>
      <c r="N44" s="339"/>
      <c r="O44" s="339"/>
      <c r="P44" s="339"/>
      <c r="Q44" s="339"/>
      <c r="R44" s="339"/>
      <c r="S44" s="339"/>
      <c r="T44" s="339"/>
      <c r="U44" s="339"/>
      <c r="V44" s="339"/>
      <c r="W44" s="339"/>
      <c r="X44" s="339"/>
      <c r="Y44" s="339"/>
      <c r="Z44" s="339"/>
      <c r="AA44" s="339"/>
      <c r="AB44" s="339"/>
      <c r="AC44" s="339"/>
      <c r="AD44" s="4"/>
      <c r="AE44" s="43" t="s">
        <v>107</v>
      </c>
      <c r="AF44" s="341">
        <v>46023</v>
      </c>
      <c r="AG44" s="342"/>
      <c r="AH44" s="343"/>
    </row>
    <row r="45" spans="1:34">
      <c r="A45" s="344"/>
      <c r="B45" s="346" t="s">
        <v>132</v>
      </c>
      <c r="C45" s="347"/>
      <c r="D45" s="347"/>
      <c r="E45" s="347"/>
      <c r="F45" s="347"/>
      <c r="G45" s="347"/>
      <c r="H45" s="347"/>
      <c r="I45" s="347"/>
      <c r="J45" s="347"/>
      <c r="K45" s="348"/>
      <c r="L45" s="349"/>
      <c r="M45" s="22"/>
      <c r="N45" s="350" t="s">
        <v>133</v>
      </c>
      <c r="O45" s="347"/>
      <c r="P45" s="347"/>
      <c r="Q45" s="347"/>
      <c r="R45" s="347"/>
      <c r="S45" s="347"/>
      <c r="T45" s="347"/>
      <c r="U45" s="347"/>
      <c r="V45" s="347"/>
      <c r="W45" s="348"/>
      <c r="X45" s="349"/>
      <c r="Y45" s="22"/>
      <c r="Z45" s="346" t="s">
        <v>134</v>
      </c>
      <c r="AA45" s="347"/>
      <c r="AB45" s="347"/>
      <c r="AC45" s="347"/>
      <c r="AD45" s="347"/>
      <c r="AE45" s="347"/>
      <c r="AF45" s="347"/>
      <c r="AG45" s="348"/>
      <c r="AH45" s="349"/>
    </row>
    <row r="46" spans="1:34" ht="25.5">
      <c r="A46" s="345"/>
      <c r="B46" s="359" t="s">
        <v>135</v>
      </c>
      <c r="C46" s="361" t="s">
        <v>136</v>
      </c>
      <c r="D46" s="5" t="s">
        <v>137</v>
      </c>
      <c r="E46" s="5" t="s">
        <v>138</v>
      </c>
      <c r="F46" s="5" t="s">
        <v>139</v>
      </c>
      <c r="G46" s="5" t="s">
        <v>140</v>
      </c>
      <c r="H46" s="5" t="s">
        <v>141</v>
      </c>
      <c r="I46" s="5" t="s">
        <v>142</v>
      </c>
      <c r="J46" s="5" t="s">
        <v>143</v>
      </c>
      <c r="K46" s="181" t="s">
        <v>81</v>
      </c>
      <c r="L46" s="23" t="s">
        <v>144</v>
      </c>
      <c r="M46" s="22"/>
      <c r="N46" s="355" t="s">
        <v>135</v>
      </c>
      <c r="O46" s="357" t="s">
        <v>136</v>
      </c>
      <c r="P46" s="5" t="s">
        <v>137</v>
      </c>
      <c r="Q46" s="5" t="s">
        <v>138</v>
      </c>
      <c r="R46" s="5" t="s">
        <v>139</v>
      </c>
      <c r="S46" s="5" t="s">
        <v>140</v>
      </c>
      <c r="T46" s="5" t="s">
        <v>141</v>
      </c>
      <c r="U46" s="5" t="s">
        <v>142</v>
      </c>
      <c r="V46" s="5" t="s">
        <v>143</v>
      </c>
      <c r="W46" s="181" t="s">
        <v>81</v>
      </c>
      <c r="X46" s="23" t="s">
        <v>144</v>
      </c>
      <c r="Y46" s="22"/>
      <c r="Z46" s="33" t="s">
        <v>137</v>
      </c>
      <c r="AA46" s="5" t="s">
        <v>138</v>
      </c>
      <c r="AB46" s="5" t="s">
        <v>139</v>
      </c>
      <c r="AC46" s="5" t="s">
        <v>140</v>
      </c>
      <c r="AD46" s="5" t="s">
        <v>141</v>
      </c>
      <c r="AE46" s="5" t="s">
        <v>142</v>
      </c>
      <c r="AF46" s="5" t="s">
        <v>143</v>
      </c>
      <c r="AG46" s="181" t="s">
        <v>81</v>
      </c>
      <c r="AH46" s="23" t="s">
        <v>144</v>
      </c>
    </row>
    <row r="47" spans="1:34">
      <c r="A47" s="6" t="s">
        <v>145</v>
      </c>
      <c r="B47" s="360"/>
      <c r="C47" s="362"/>
      <c r="D47" s="5" t="s">
        <v>128</v>
      </c>
      <c r="E47" s="5" t="s">
        <v>128</v>
      </c>
      <c r="F47" s="5" t="s">
        <v>128</v>
      </c>
      <c r="G47" s="5" t="s">
        <v>128</v>
      </c>
      <c r="H47" s="5" t="s">
        <v>125</v>
      </c>
      <c r="I47" s="5" t="s">
        <v>146</v>
      </c>
      <c r="J47" s="5" t="s">
        <v>127</v>
      </c>
      <c r="K47" s="181" t="s">
        <v>53</v>
      </c>
      <c r="L47" s="23" t="s">
        <v>53</v>
      </c>
      <c r="M47" s="22"/>
      <c r="N47" s="356"/>
      <c r="O47" s="358"/>
      <c r="P47" s="5" t="s">
        <v>128</v>
      </c>
      <c r="Q47" s="5" t="s">
        <v>128</v>
      </c>
      <c r="R47" s="5" t="s">
        <v>128</v>
      </c>
      <c r="S47" s="5" t="s">
        <v>128</v>
      </c>
      <c r="T47" s="5" t="s">
        <v>125</v>
      </c>
      <c r="U47" s="5" t="s">
        <v>146</v>
      </c>
      <c r="V47" s="5" t="s">
        <v>127</v>
      </c>
      <c r="W47" s="181" t="s">
        <v>53</v>
      </c>
      <c r="X47" s="23" t="s">
        <v>53</v>
      </c>
      <c r="Y47" s="22"/>
      <c r="Z47" s="33" t="s">
        <v>128</v>
      </c>
      <c r="AA47" s="5" t="s">
        <v>128</v>
      </c>
      <c r="AB47" s="5" t="s">
        <v>128</v>
      </c>
      <c r="AC47" s="5" t="s">
        <v>128</v>
      </c>
      <c r="AD47" s="5" t="s">
        <v>125</v>
      </c>
      <c r="AE47" s="5" t="s">
        <v>146</v>
      </c>
      <c r="AF47" s="5" t="s">
        <v>127</v>
      </c>
      <c r="AG47" s="181" t="s">
        <v>53</v>
      </c>
      <c r="AH47" s="23" t="s">
        <v>53</v>
      </c>
    </row>
    <row r="48" spans="1:34" ht="39" thickBot="1">
      <c r="A48" s="7" t="s">
        <v>147</v>
      </c>
      <c r="B48" s="8" t="s">
        <v>148</v>
      </c>
      <c r="C48" s="9" t="s">
        <v>149</v>
      </c>
      <c r="D48" s="9" t="s">
        <v>161</v>
      </c>
      <c r="E48" s="9" t="s">
        <v>162</v>
      </c>
      <c r="F48" s="9" t="s">
        <v>163</v>
      </c>
      <c r="G48" s="9" t="s">
        <v>164</v>
      </c>
      <c r="H48" s="9" t="s">
        <v>154</v>
      </c>
      <c r="I48" s="24" t="s">
        <v>155</v>
      </c>
      <c r="J48" s="24" t="s">
        <v>156</v>
      </c>
      <c r="K48" s="24" t="s">
        <v>179</v>
      </c>
      <c r="L48" s="25" t="s">
        <v>157</v>
      </c>
      <c r="M48" s="22"/>
      <c r="N48" s="8" t="s">
        <v>148</v>
      </c>
      <c r="O48" s="9" t="s">
        <v>149</v>
      </c>
      <c r="P48" s="9" t="s">
        <v>161</v>
      </c>
      <c r="Q48" s="9" t="s">
        <v>162</v>
      </c>
      <c r="R48" s="9" t="s">
        <v>163</v>
      </c>
      <c r="S48" s="9" t="s">
        <v>164</v>
      </c>
      <c r="T48" s="9" t="s">
        <v>154</v>
      </c>
      <c r="U48" s="24" t="s">
        <v>155</v>
      </c>
      <c r="V48" s="24" t="s">
        <v>156</v>
      </c>
      <c r="W48" s="24" t="s">
        <v>179</v>
      </c>
      <c r="X48" s="25" t="s">
        <v>157</v>
      </c>
      <c r="Y48" s="22"/>
      <c r="Z48" s="8" t="s">
        <v>161</v>
      </c>
      <c r="AA48" s="9" t="s">
        <v>162</v>
      </c>
      <c r="AB48" s="9" t="s">
        <v>163</v>
      </c>
      <c r="AC48" s="9" t="s">
        <v>164</v>
      </c>
      <c r="AD48" s="9" t="s">
        <v>154</v>
      </c>
      <c r="AE48" s="9" t="s">
        <v>155</v>
      </c>
      <c r="AF48" s="9" t="s">
        <v>156</v>
      </c>
      <c r="AG48" s="24" t="s">
        <v>179</v>
      </c>
      <c r="AH48" s="23" t="s">
        <v>157</v>
      </c>
    </row>
    <row r="49" spans="1:34">
      <c r="A49" s="10">
        <f>AF44+0</f>
        <v>46023</v>
      </c>
      <c r="B49" s="67">
        <v>39.53</v>
      </c>
      <c r="C49" s="54">
        <v>19.079999999999998</v>
      </c>
      <c r="D49" s="54">
        <v>10.51</v>
      </c>
      <c r="E49" s="54">
        <v>20.47</v>
      </c>
      <c r="F49" s="54">
        <v>36.69</v>
      </c>
      <c r="G49" s="54">
        <v>45.4</v>
      </c>
      <c r="H49" s="54">
        <v>430</v>
      </c>
      <c r="I49" s="54">
        <v>7.2</v>
      </c>
      <c r="J49" s="54">
        <v>0.5</v>
      </c>
      <c r="K49" s="183">
        <v>2.4</v>
      </c>
      <c r="L49" s="55">
        <v>9.1199999999999992</v>
      </c>
      <c r="M49" s="22"/>
      <c r="N49" s="29" t="s">
        <v>35</v>
      </c>
      <c r="O49" s="13" t="s">
        <v>35</v>
      </c>
      <c r="P49" s="13" t="s">
        <v>35</v>
      </c>
      <c r="Q49" s="13" t="s">
        <v>35</v>
      </c>
      <c r="R49" s="13" t="s">
        <v>35</v>
      </c>
      <c r="S49" s="13" t="s">
        <v>35</v>
      </c>
      <c r="T49" s="13" t="s">
        <v>35</v>
      </c>
      <c r="U49" s="13" t="s">
        <v>35</v>
      </c>
      <c r="V49" s="13" t="s">
        <v>35</v>
      </c>
      <c r="W49" s="13" t="s">
        <v>35</v>
      </c>
      <c r="X49" s="37" t="s">
        <v>35</v>
      </c>
      <c r="Y49" s="22"/>
      <c r="Z49" s="148" t="s">
        <v>35</v>
      </c>
      <c r="AA49" s="63" t="s">
        <v>35</v>
      </c>
      <c r="AB49" s="63" t="s">
        <v>35</v>
      </c>
      <c r="AC49" s="63" t="s">
        <v>35</v>
      </c>
      <c r="AD49" s="63" t="s">
        <v>35</v>
      </c>
      <c r="AE49" s="63" t="s">
        <v>35</v>
      </c>
      <c r="AF49" s="63" t="s">
        <v>35</v>
      </c>
      <c r="AG49" s="63" t="s">
        <v>35</v>
      </c>
      <c r="AH49" s="149" t="s">
        <v>35</v>
      </c>
    </row>
    <row r="50" spans="1:34">
      <c r="A50" s="14">
        <f t="shared" ref="A50:A79" si="37">A49+1</f>
        <v>46024</v>
      </c>
      <c r="B50" s="155" t="s">
        <v>35</v>
      </c>
      <c r="C50" s="54" t="s">
        <v>35</v>
      </c>
      <c r="D50" s="54" t="s">
        <v>35</v>
      </c>
      <c r="E50" s="54" t="s">
        <v>35</v>
      </c>
      <c r="F50" s="54" t="s">
        <v>35</v>
      </c>
      <c r="G50" s="54" t="s">
        <v>35</v>
      </c>
      <c r="H50" s="54" t="s">
        <v>35</v>
      </c>
      <c r="I50" s="54" t="s">
        <v>35</v>
      </c>
      <c r="J50" s="54" t="s">
        <v>35</v>
      </c>
      <c r="K50" s="183"/>
      <c r="L50" s="55" t="s">
        <v>35</v>
      </c>
      <c r="M50" s="22"/>
      <c r="N50" s="29" t="s">
        <v>35</v>
      </c>
      <c r="O50" s="13" t="s">
        <v>35</v>
      </c>
      <c r="P50" s="13" t="s">
        <v>35</v>
      </c>
      <c r="Q50" s="13" t="s">
        <v>35</v>
      </c>
      <c r="R50" s="13" t="s">
        <v>35</v>
      </c>
      <c r="S50" s="13" t="s">
        <v>35</v>
      </c>
      <c r="T50" s="13" t="s">
        <v>35</v>
      </c>
      <c r="U50" s="13" t="s">
        <v>35</v>
      </c>
      <c r="V50" s="13" t="s">
        <v>35</v>
      </c>
      <c r="W50" s="13" t="s">
        <v>35</v>
      </c>
      <c r="X50" s="37" t="s">
        <v>35</v>
      </c>
      <c r="Y50" s="22"/>
      <c r="Z50" s="38" t="s">
        <v>35</v>
      </c>
      <c r="AA50" s="13" t="s">
        <v>35</v>
      </c>
      <c r="AB50" s="13" t="s">
        <v>35</v>
      </c>
      <c r="AC50" s="13" t="s">
        <v>35</v>
      </c>
      <c r="AD50" s="13" t="s">
        <v>35</v>
      </c>
      <c r="AE50" s="13" t="s">
        <v>35</v>
      </c>
      <c r="AF50" s="13" t="s">
        <v>35</v>
      </c>
      <c r="AG50" s="13" t="s">
        <v>35</v>
      </c>
      <c r="AH50" s="45" t="s">
        <v>35</v>
      </c>
    </row>
    <row r="51" spans="1:34">
      <c r="A51" s="14">
        <f t="shared" si="37"/>
        <v>46025</v>
      </c>
      <c r="B51" s="67">
        <v>38.46</v>
      </c>
      <c r="C51" s="12">
        <v>19.170000000000002</v>
      </c>
      <c r="D51" s="12">
        <v>11.17</v>
      </c>
      <c r="E51" s="12">
        <v>19.34</v>
      </c>
      <c r="F51" s="12">
        <v>35.799999999999997</v>
      </c>
      <c r="G51" s="12">
        <v>49.25</v>
      </c>
      <c r="H51" s="12">
        <v>399</v>
      </c>
      <c r="I51" s="13">
        <v>9.1199999999999992</v>
      </c>
      <c r="J51" s="13">
        <v>0.5</v>
      </c>
      <c r="K51" s="184">
        <v>2.12</v>
      </c>
      <c r="L51" s="26">
        <v>7.39</v>
      </c>
      <c r="M51" s="22"/>
      <c r="N51" s="29" t="s">
        <v>35</v>
      </c>
      <c r="O51" s="13" t="s">
        <v>35</v>
      </c>
      <c r="P51" s="13" t="s">
        <v>35</v>
      </c>
      <c r="Q51" s="13" t="s">
        <v>35</v>
      </c>
      <c r="R51" s="13" t="s">
        <v>35</v>
      </c>
      <c r="S51" s="13" t="s">
        <v>35</v>
      </c>
      <c r="T51" s="13" t="s">
        <v>35</v>
      </c>
      <c r="U51" s="13" t="s">
        <v>35</v>
      </c>
      <c r="V51" s="13" t="s">
        <v>35</v>
      </c>
      <c r="W51" s="13" t="s">
        <v>35</v>
      </c>
      <c r="X51" s="37" t="s">
        <v>35</v>
      </c>
      <c r="Y51" s="22"/>
      <c r="Z51" s="38" t="s">
        <v>35</v>
      </c>
      <c r="AA51" s="13" t="s">
        <v>35</v>
      </c>
      <c r="AB51" s="13" t="s">
        <v>35</v>
      </c>
      <c r="AC51" s="13" t="s">
        <v>35</v>
      </c>
      <c r="AD51" s="13" t="s">
        <v>35</v>
      </c>
      <c r="AE51" s="13" t="s">
        <v>35</v>
      </c>
      <c r="AF51" s="13" t="s">
        <v>35</v>
      </c>
      <c r="AG51" s="13" t="s">
        <v>35</v>
      </c>
      <c r="AH51" s="45" t="s">
        <v>35</v>
      </c>
    </row>
    <row r="52" spans="1:34">
      <c r="A52" s="14">
        <f t="shared" si="37"/>
        <v>46026</v>
      </c>
      <c r="B52" s="67">
        <v>38.99</v>
      </c>
      <c r="C52" s="12">
        <v>21.31</v>
      </c>
      <c r="D52" s="12">
        <v>11.73</v>
      </c>
      <c r="E52" s="12">
        <v>19.64</v>
      </c>
      <c r="F52" s="12">
        <v>34.21</v>
      </c>
      <c r="G52" s="12">
        <v>46.96</v>
      </c>
      <c r="H52" s="12">
        <v>402</v>
      </c>
      <c r="I52" s="12">
        <v>8.08</v>
      </c>
      <c r="J52" s="13">
        <v>1</v>
      </c>
      <c r="K52" s="184">
        <v>2.11</v>
      </c>
      <c r="L52" s="26">
        <v>7.34</v>
      </c>
      <c r="M52" s="22"/>
      <c r="N52" s="29" t="s">
        <v>35</v>
      </c>
      <c r="O52" s="13" t="s">
        <v>35</v>
      </c>
      <c r="P52" s="13" t="s">
        <v>35</v>
      </c>
      <c r="Q52" s="13" t="s">
        <v>35</v>
      </c>
      <c r="R52" s="13" t="s">
        <v>35</v>
      </c>
      <c r="S52" s="13" t="s">
        <v>35</v>
      </c>
      <c r="T52" s="13" t="s">
        <v>35</v>
      </c>
      <c r="U52" s="13" t="s">
        <v>35</v>
      </c>
      <c r="V52" s="13" t="s">
        <v>35</v>
      </c>
      <c r="W52" s="13" t="s">
        <v>35</v>
      </c>
      <c r="X52" s="37" t="s">
        <v>35</v>
      </c>
      <c r="Y52" s="22"/>
      <c r="Z52" s="38" t="s">
        <v>35</v>
      </c>
      <c r="AA52" s="13" t="s">
        <v>35</v>
      </c>
      <c r="AB52" s="13" t="s">
        <v>35</v>
      </c>
      <c r="AC52" s="13" t="s">
        <v>35</v>
      </c>
      <c r="AD52" s="13" t="s">
        <v>35</v>
      </c>
      <c r="AE52" s="13" t="s">
        <v>35</v>
      </c>
      <c r="AF52" s="13" t="s">
        <v>35</v>
      </c>
      <c r="AG52" s="13" t="s">
        <v>35</v>
      </c>
      <c r="AH52" s="45" t="s">
        <v>35</v>
      </c>
    </row>
    <row r="53" spans="1:34">
      <c r="A53" s="14">
        <f t="shared" si="37"/>
        <v>46027</v>
      </c>
      <c r="B53" s="67">
        <v>39.1</v>
      </c>
      <c r="C53" s="12">
        <v>28.33</v>
      </c>
      <c r="D53" s="12">
        <v>10.92</v>
      </c>
      <c r="E53" s="12">
        <v>18.89</v>
      </c>
      <c r="F53" s="12">
        <v>37.159999999999997</v>
      </c>
      <c r="G53" s="12">
        <v>47.31</v>
      </c>
      <c r="H53" s="12">
        <v>402</v>
      </c>
      <c r="I53" s="12">
        <v>7.4</v>
      </c>
      <c r="J53" s="13">
        <v>0.5</v>
      </c>
      <c r="K53" s="184">
        <v>1.99</v>
      </c>
      <c r="L53" s="26">
        <v>7.52</v>
      </c>
      <c r="M53" s="22"/>
      <c r="N53" s="29" t="s">
        <v>35</v>
      </c>
      <c r="O53" s="13" t="s">
        <v>35</v>
      </c>
      <c r="P53" s="13" t="s">
        <v>35</v>
      </c>
      <c r="Q53" s="13" t="s">
        <v>35</v>
      </c>
      <c r="R53" s="13" t="s">
        <v>35</v>
      </c>
      <c r="S53" s="13" t="s">
        <v>35</v>
      </c>
      <c r="T53" s="13" t="s">
        <v>35</v>
      </c>
      <c r="U53" s="13" t="s">
        <v>35</v>
      </c>
      <c r="V53" s="13" t="s">
        <v>35</v>
      </c>
      <c r="W53" s="13" t="s">
        <v>35</v>
      </c>
      <c r="X53" s="37" t="s">
        <v>35</v>
      </c>
      <c r="Y53" s="22"/>
      <c r="Z53" s="38" t="s">
        <v>35</v>
      </c>
      <c r="AA53" s="13" t="s">
        <v>35</v>
      </c>
      <c r="AB53" s="13" t="s">
        <v>35</v>
      </c>
      <c r="AC53" s="13" t="s">
        <v>35</v>
      </c>
      <c r="AD53" s="13" t="s">
        <v>35</v>
      </c>
      <c r="AE53" s="13" t="s">
        <v>35</v>
      </c>
      <c r="AF53" s="13" t="s">
        <v>35</v>
      </c>
      <c r="AG53" s="13" t="s">
        <v>35</v>
      </c>
      <c r="AH53" s="45" t="s">
        <v>35</v>
      </c>
    </row>
    <row r="54" spans="1:34">
      <c r="A54" s="14">
        <f t="shared" si="37"/>
        <v>46028</v>
      </c>
      <c r="B54" s="67">
        <v>26.42</v>
      </c>
      <c r="C54" s="13">
        <v>22</v>
      </c>
      <c r="D54" s="12">
        <v>10.71</v>
      </c>
      <c r="E54" s="12">
        <v>18.11</v>
      </c>
      <c r="F54" s="12">
        <v>32.57</v>
      </c>
      <c r="G54" s="12">
        <v>46.22</v>
      </c>
      <c r="H54" s="12">
        <v>395</v>
      </c>
      <c r="I54" s="12">
        <v>8.8000000000000007</v>
      </c>
      <c r="J54" s="13">
        <v>0.5</v>
      </c>
      <c r="K54" s="184">
        <v>2.1309999999999998</v>
      </c>
      <c r="L54" s="26">
        <v>7.89</v>
      </c>
      <c r="M54" s="22"/>
      <c r="N54" s="29" t="s">
        <v>35</v>
      </c>
      <c r="O54" s="13" t="s">
        <v>35</v>
      </c>
      <c r="P54" s="13" t="s">
        <v>35</v>
      </c>
      <c r="Q54" s="13" t="s">
        <v>35</v>
      </c>
      <c r="R54" s="13" t="s">
        <v>35</v>
      </c>
      <c r="S54" s="13" t="s">
        <v>35</v>
      </c>
      <c r="T54" s="13" t="s">
        <v>35</v>
      </c>
      <c r="U54" s="13" t="s">
        <v>35</v>
      </c>
      <c r="V54" s="13" t="s">
        <v>35</v>
      </c>
      <c r="W54" s="13" t="s">
        <v>35</v>
      </c>
      <c r="X54" s="37" t="s">
        <v>35</v>
      </c>
      <c r="Y54" s="22"/>
      <c r="Z54" s="38" t="s">
        <v>35</v>
      </c>
      <c r="AA54" s="13" t="s">
        <v>35</v>
      </c>
      <c r="AB54" s="13" t="s">
        <v>35</v>
      </c>
      <c r="AC54" s="13" t="s">
        <v>35</v>
      </c>
      <c r="AD54" s="13" t="s">
        <v>35</v>
      </c>
      <c r="AE54" s="13" t="s">
        <v>35</v>
      </c>
      <c r="AF54" s="13" t="s">
        <v>35</v>
      </c>
      <c r="AG54" s="13" t="s">
        <v>35</v>
      </c>
      <c r="AH54" s="45" t="s">
        <v>35</v>
      </c>
    </row>
    <row r="55" spans="1:34">
      <c r="A55" s="14">
        <f t="shared" si="37"/>
        <v>46029</v>
      </c>
      <c r="B55" s="11">
        <v>38.74</v>
      </c>
      <c r="C55" s="12">
        <v>20</v>
      </c>
      <c r="D55" s="12">
        <v>11.9</v>
      </c>
      <c r="E55" s="12">
        <v>22.45</v>
      </c>
      <c r="F55" s="12">
        <v>36.44</v>
      </c>
      <c r="G55" s="12">
        <v>45.82</v>
      </c>
      <c r="H55" s="12">
        <v>385</v>
      </c>
      <c r="I55" s="12">
        <v>8.65</v>
      </c>
      <c r="J55" s="13">
        <v>1</v>
      </c>
      <c r="K55" s="184">
        <v>2.2469999999999999</v>
      </c>
      <c r="L55" s="26">
        <v>7.76</v>
      </c>
      <c r="M55" s="22"/>
      <c r="N55" s="29" t="s">
        <v>35</v>
      </c>
      <c r="O55" s="13" t="s">
        <v>35</v>
      </c>
      <c r="P55" s="13" t="s">
        <v>35</v>
      </c>
      <c r="Q55" s="13" t="s">
        <v>35</v>
      </c>
      <c r="R55" s="13" t="s">
        <v>35</v>
      </c>
      <c r="S55" s="13" t="s">
        <v>35</v>
      </c>
      <c r="T55" s="13" t="s">
        <v>35</v>
      </c>
      <c r="U55" s="13" t="s">
        <v>35</v>
      </c>
      <c r="V55" s="13" t="s">
        <v>35</v>
      </c>
      <c r="W55" s="13" t="s">
        <v>35</v>
      </c>
      <c r="X55" s="37" t="s">
        <v>35</v>
      </c>
      <c r="Y55" s="22"/>
      <c r="Z55" s="38" t="s">
        <v>35</v>
      </c>
      <c r="AA55" s="13" t="s">
        <v>35</v>
      </c>
      <c r="AB55" s="13" t="s">
        <v>35</v>
      </c>
      <c r="AC55" s="13" t="s">
        <v>35</v>
      </c>
      <c r="AD55" s="13" t="s">
        <v>35</v>
      </c>
      <c r="AE55" s="13" t="s">
        <v>35</v>
      </c>
      <c r="AF55" s="13" t="s">
        <v>35</v>
      </c>
      <c r="AG55" s="13" t="s">
        <v>35</v>
      </c>
      <c r="AH55" s="45" t="s">
        <v>35</v>
      </c>
    </row>
    <row r="56" spans="1:34">
      <c r="A56" s="14">
        <f t="shared" si="37"/>
        <v>46030</v>
      </c>
      <c r="B56" s="143" t="s">
        <v>35</v>
      </c>
      <c r="C56" s="12" t="s">
        <v>35</v>
      </c>
      <c r="D56" s="12" t="s">
        <v>35</v>
      </c>
      <c r="E56" s="12" t="s">
        <v>35</v>
      </c>
      <c r="F56" s="12" t="s">
        <v>35</v>
      </c>
      <c r="G56" s="12" t="s">
        <v>35</v>
      </c>
      <c r="H56" s="12" t="s">
        <v>35</v>
      </c>
      <c r="I56" s="12" t="s">
        <v>35</v>
      </c>
      <c r="J56" s="13" t="s">
        <v>35</v>
      </c>
      <c r="K56" s="184" t="s">
        <v>35</v>
      </c>
      <c r="L56" s="26" t="s">
        <v>35</v>
      </c>
      <c r="M56" s="22"/>
      <c r="N56" s="29" t="s">
        <v>35</v>
      </c>
      <c r="O56" s="13" t="s">
        <v>35</v>
      </c>
      <c r="P56" s="13" t="s">
        <v>35</v>
      </c>
      <c r="Q56" s="13" t="s">
        <v>35</v>
      </c>
      <c r="R56" s="13" t="s">
        <v>35</v>
      </c>
      <c r="S56" s="13" t="s">
        <v>35</v>
      </c>
      <c r="T56" s="13" t="s">
        <v>35</v>
      </c>
      <c r="U56" s="13" t="s">
        <v>35</v>
      </c>
      <c r="V56" s="13" t="s">
        <v>35</v>
      </c>
      <c r="W56" s="13" t="s">
        <v>35</v>
      </c>
      <c r="X56" s="37" t="s">
        <v>35</v>
      </c>
      <c r="Y56" s="22"/>
      <c r="Z56" s="38" t="s">
        <v>35</v>
      </c>
      <c r="AA56" s="13" t="s">
        <v>35</v>
      </c>
      <c r="AB56" s="13" t="s">
        <v>35</v>
      </c>
      <c r="AC56" s="13" t="s">
        <v>35</v>
      </c>
      <c r="AD56" s="13" t="s">
        <v>35</v>
      </c>
      <c r="AE56" s="13" t="s">
        <v>35</v>
      </c>
      <c r="AF56" s="13" t="s">
        <v>35</v>
      </c>
      <c r="AG56" s="13" t="s">
        <v>35</v>
      </c>
      <c r="AH56" s="45" t="s">
        <v>35</v>
      </c>
    </row>
    <row r="57" spans="1:34">
      <c r="A57" s="14">
        <f t="shared" si="37"/>
        <v>46031</v>
      </c>
      <c r="B57" s="11">
        <v>34.659999999999997</v>
      </c>
      <c r="C57" s="13">
        <v>22</v>
      </c>
      <c r="D57" s="12">
        <v>12.84</v>
      </c>
      <c r="E57" s="12">
        <v>21.56</v>
      </c>
      <c r="F57" s="12">
        <v>36.93</v>
      </c>
      <c r="G57" s="12">
        <v>46.35</v>
      </c>
      <c r="H57" s="12">
        <v>391</v>
      </c>
      <c r="I57" s="12">
        <v>8.9600000000000009</v>
      </c>
      <c r="J57" s="13">
        <v>1</v>
      </c>
      <c r="K57" s="184">
        <v>2.2799999999999998</v>
      </c>
      <c r="L57" s="26">
        <v>7.15</v>
      </c>
      <c r="M57" s="22"/>
      <c r="N57" s="29" t="s">
        <v>35</v>
      </c>
      <c r="O57" s="13" t="s">
        <v>35</v>
      </c>
      <c r="P57" s="13" t="s">
        <v>35</v>
      </c>
      <c r="Q57" s="13" t="s">
        <v>35</v>
      </c>
      <c r="R57" s="13" t="s">
        <v>35</v>
      </c>
      <c r="S57" s="13" t="s">
        <v>35</v>
      </c>
      <c r="T57" s="13" t="s">
        <v>35</v>
      </c>
      <c r="U57" s="13" t="s">
        <v>35</v>
      </c>
      <c r="V57" s="13" t="s">
        <v>35</v>
      </c>
      <c r="W57" s="13" t="s">
        <v>35</v>
      </c>
      <c r="X57" s="37" t="s">
        <v>35</v>
      </c>
      <c r="Y57" s="22"/>
      <c r="Z57" s="38" t="s">
        <v>35</v>
      </c>
      <c r="AA57" s="13" t="s">
        <v>35</v>
      </c>
      <c r="AB57" s="13" t="s">
        <v>35</v>
      </c>
      <c r="AC57" s="13" t="s">
        <v>35</v>
      </c>
      <c r="AD57" s="13" t="s">
        <v>35</v>
      </c>
      <c r="AE57" s="13" t="s">
        <v>35</v>
      </c>
      <c r="AF57" s="13" t="s">
        <v>35</v>
      </c>
      <c r="AG57" s="13" t="s">
        <v>35</v>
      </c>
      <c r="AH57" s="45" t="s">
        <v>35</v>
      </c>
    </row>
    <row r="58" spans="1:34">
      <c r="A58" s="14">
        <f t="shared" si="37"/>
        <v>46032</v>
      </c>
      <c r="B58" s="11">
        <v>37.979999999999997</v>
      </c>
      <c r="C58" s="12">
        <v>18.5</v>
      </c>
      <c r="D58" s="12">
        <v>11.25</v>
      </c>
      <c r="E58" s="12">
        <v>20.72</v>
      </c>
      <c r="F58" s="12">
        <v>32.57</v>
      </c>
      <c r="G58" s="12">
        <v>47.41</v>
      </c>
      <c r="H58" s="12">
        <v>404</v>
      </c>
      <c r="I58" s="12">
        <v>10.72</v>
      </c>
      <c r="J58" s="13">
        <v>1</v>
      </c>
      <c r="K58" s="184">
        <v>2.17</v>
      </c>
      <c r="L58" s="26">
        <v>7.62</v>
      </c>
      <c r="M58" s="22"/>
      <c r="N58" s="29" t="s">
        <v>35</v>
      </c>
      <c r="O58" s="13" t="s">
        <v>35</v>
      </c>
      <c r="P58" s="13" t="s">
        <v>35</v>
      </c>
      <c r="Q58" s="13" t="s">
        <v>35</v>
      </c>
      <c r="R58" s="13" t="s">
        <v>35</v>
      </c>
      <c r="S58" s="13" t="s">
        <v>35</v>
      </c>
      <c r="T58" s="13" t="s">
        <v>35</v>
      </c>
      <c r="U58" s="13" t="s">
        <v>35</v>
      </c>
      <c r="V58" s="13" t="s">
        <v>35</v>
      </c>
      <c r="W58" s="13" t="s">
        <v>35</v>
      </c>
      <c r="X58" s="37" t="s">
        <v>35</v>
      </c>
      <c r="Y58" s="22"/>
      <c r="Z58" s="38" t="s">
        <v>35</v>
      </c>
      <c r="AA58" s="13" t="s">
        <v>35</v>
      </c>
      <c r="AB58" s="13" t="s">
        <v>35</v>
      </c>
      <c r="AC58" s="13" t="s">
        <v>35</v>
      </c>
      <c r="AD58" s="13" t="s">
        <v>35</v>
      </c>
      <c r="AE58" s="13" t="s">
        <v>35</v>
      </c>
      <c r="AF58" s="13" t="s">
        <v>35</v>
      </c>
      <c r="AG58" s="13" t="s">
        <v>35</v>
      </c>
      <c r="AH58" s="45" t="s">
        <v>35</v>
      </c>
    </row>
    <row r="59" spans="1:34">
      <c r="A59" s="14">
        <f t="shared" si="37"/>
        <v>46033</v>
      </c>
      <c r="B59" s="38">
        <v>35.700000000000003</v>
      </c>
      <c r="C59" s="12">
        <v>18.77</v>
      </c>
      <c r="D59" s="12">
        <v>10.87</v>
      </c>
      <c r="E59" s="12">
        <v>17.73</v>
      </c>
      <c r="F59" s="12">
        <v>32.81</v>
      </c>
      <c r="G59" s="12">
        <v>47.3</v>
      </c>
      <c r="H59" s="12">
        <v>364</v>
      </c>
      <c r="I59" s="12">
        <v>10.56</v>
      </c>
      <c r="J59" s="13">
        <v>2.5</v>
      </c>
      <c r="K59" s="184">
        <v>2.33</v>
      </c>
      <c r="L59" s="26">
        <v>6.84</v>
      </c>
      <c r="M59" s="22"/>
      <c r="N59" s="29" t="s">
        <v>35</v>
      </c>
      <c r="O59" s="13" t="s">
        <v>35</v>
      </c>
      <c r="P59" s="13" t="s">
        <v>35</v>
      </c>
      <c r="Q59" s="13" t="s">
        <v>35</v>
      </c>
      <c r="R59" s="13" t="s">
        <v>35</v>
      </c>
      <c r="S59" s="13" t="s">
        <v>35</v>
      </c>
      <c r="T59" s="13" t="s">
        <v>35</v>
      </c>
      <c r="U59" s="13" t="s">
        <v>35</v>
      </c>
      <c r="V59" s="13" t="s">
        <v>35</v>
      </c>
      <c r="W59" s="13" t="s">
        <v>35</v>
      </c>
      <c r="X59" s="37" t="s">
        <v>35</v>
      </c>
      <c r="Y59" s="22"/>
      <c r="Z59" s="38" t="s">
        <v>35</v>
      </c>
      <c r="AA59" s="13" t="s">
        <v>35</v>
      </c>
      <c r="AB59" s="13" t="s">
        <v>35</v>
      </c>
      <c r="AC59" s="13" t="s">
        <v>35</v>
      </c>
      <c r="AD59" s="13" t="s">
        <v>35</v>
      </c>
      <c r="AE59" s="13" t="s">
        <v>35</v>
      </c>
      <c r="AF59" s="13" t="s">
        <v>35</v>
      </c>
      <c r="AG59" s="13" t="s">
        <v>35</v>
      </c>
      <c r="AH59" s="45" t="s">
        <v>35</v>
      </c>
    </row>
    <row r="60" spans="1:34">
      <c r="A60" s="14">
        <f t="shared" si="37"/>
        <v>46034</v>
      </c>
      <c r="B60" s="11">
        <v>38.51</v>
      </c>
      <c r="C60" s="12">
        <v>18.45</v>
      </c>
      <c r="D60" s="13">
        <v>8.1</v>
      </c>
      <c r="E60" s="12">
        <v>16.07</v>
      </c>
      <c r="F60" s="12">
        <v>31.78</v>
      </c>
      <c r="G60" s="12">
        <v>44.01</v>
      </c>
      <c r="H60" s="12">
        <v>391</v>
      </c>
      <c r="I60" s="12">
        <v>7.96</v>
      </c>
      <c r="J60" s="13">
        <v>1</v>
      </c>
      <c r="K60" s="184">
        <v>2.17</v>
      </c>
      <c r="L60" s="26">
        <v>6.74</v>
      </c>
      <c r="M60" s="22"/>
      <c r="N60" s="29" t="s">
        <v>35</v>
      </c>
      <c r="O60" s="13" t="s">
        <v>35</v>
      </c>
      <c r="P60" s="13" t="s">
        <v>35</v>
      </c>
      <c r="Q60" s="13" t="s">
        <v>35</v>
      </c>
      <c r="R60" s="13" t="s">
        <v>35</v>
      </c>
      <c r="S60" s="13" t="s">
        <v>35</v>
      </c>
      <c r="T60" s="13" t="s">
        <v>35</v>
      </c>
      <c r="U60" s="13" t="s">
        <v>35</v>
      </c>
      <c r="V60" s="13" t="s">
        <v>35</v>
      </c>
      <c r="W60" s="13" t="s">
        <v>35</v>
      </c>
      <c r="X60" s="37" t="s">
        <v>35</v>
      </c>
      <c r="Y60" s="22"/>
      <c r="Z60" s="38" t="s">
        <v>35</v>
      </c>
      <c r="AA60" s="13" t="s">
        <v>35</v>
      </c>
      <c r="AB60" s="13" t="s">
        <v>35</v>
      </c>
      <c r="AC60" s="13" t="s">
        <v>35</v>
      </c>
      <c r="AD60" s="13" t="s">
        <v>35</v>
      </c>
      <c r="AE60" s="13" t="s">
        <v>35</v>
      </c>
      <c r="AF60" s="13" t="s">
        <v>35</v>
      </c>
      <c r="AG60" s="13" t="s">
        <v>35</v>
      </c>
      <c r="AH60" s="45" t="s">
        <v>35</v>
      </c>
    </row>
    <row r="61" spans="1:34">
      <c r="A61" s="14">
        <f t="shared" si="37"/>
        <v>46035</v>
      </c>
      <c r="B61" s="143" t="s">
        <v>35</v>
      </c>
      <c r="C61" s="12" t="s">
        <v>35</v>
      </c>
      <c r="D61" s="12" t="s">
        <v>35</v>
      </c>
      <c r="E61" s="12" t="s">
        <v>35</v>
      </c>
      <c r="F61" s="12" t="s">
        <v>35</v>
      </c>
      <c r="G61" s="12" t="s">
        <v>35</v>
      </c>
      <c r="H61" s="12" t="s">
        <v>35</v>
      </c>
      <c r="I61" s="12" t="s">
        <v>35</v>
      </c>
      <c r="J61" s="13" t="s">
        <v>35</v>
      </c>
      <c r="K61" s="184"/>
      <c r="L61" s="26" t="s">
        <v>35</v>
      </c>
      <c r="M61" s="22"/>
      <c r="N61" s="29" t="s">
        <v>35</v>
      </c>
      <c r="O61" s="13" t="s">
        <v>35</v>
      </c>
      <c r="P61" s="13" t="s">
        <v>35</v>
      </c>
      <c r="Q61" s="13" t="s">
        <v>35</v>
      </c>
      <c r="R61" s="13" t="s">
        <v>35</v>
      </c>
      <c r="S61" s="13" t="s">
        <v>35</v>
      </c>
      <c r="T61" s="13" t="s">
        <v>35</v>
      </c>
      <c r="U61" s="13" t="s">
        <v>35</v>
      </c>
      <c r="V61" s="13" t="s">
        <v>35</v>
      </c>
      <c r="W61" s="13" t="s">
        <v>35</v>
      </c>
      <c r="X61" s="37" t="s">
        <v>35</v>
      </c>
      <c r="Y61" s="22"/>
      <c r="Z61" s="38" t="s">
        <v>35</v>
      </c>
      <c r="AA61" s="13" t="s">
        <v>35</v>
      </c>
      <c r="AB61" s="13" t="s">
        <v>35</v>
      </c>
      <c r="AC61" s="13" t="s">
        <v>35</v>
      </c>
      <c r="AD61" s="13" t="s">
        <v>35</v>
      </c>
      <c r="AE61" s="13" t="s">
        <v>35</v>
      </c>
      <c r="AF61" s="13" t="s">
        <v>35</v>
      </c>
      <c r="AG61" s="13" t="s">
        <v>35</v>
      </c>
      <c r="AH61" s="45" t="s">
        <v>35</v>
      </c>
    </row>
    <row r="62" spans="1:34">
      <c r="A62" s="14">
        <f t="shared" si="37"/>
        <v>46036</v>
      </c>
      <c r="B62" s="11">
        <v>36.69</v>
      </c>
      <c r="C62" s="12">
        <v>25</v>
      </c>
      <c r="D62" s="13">
        <v>11.33</v>
      </c>
      <c r="E62" s="12">
        <v>17.190000000000001</v>
      </c>
      <c r="F62" s="13">
        <v>37.18</v>
      </c>
      <c r="G62" s="12">
        <v>45.43</v>
      </c>
      <c r="H62" s="12">
        <v>387</v>
      </c>
      <c r="I62" s="13">
        <v>8.76</v>
      </c>
      <c r="J62" s="13">
        <v>2</v>
      </c>
      <c r="K62" s="184">
        <v>2.2149999999999999</v>
      </c>
      <c r="L62" s="26">
        <v>6.52</v>
      </c>
      <c r="M62" s="22"/>
      <c r="N62" s="29" t="s">
        <v>35</v>
      </c>
      <c r="O62" s="13" t="s">
        <v>35</v>
      </c>
      <c r="P62" s="13" t="s">
        <v>35</v>
      </c>
      <c r="Q62" s="13" t="s">
        <v>35</v>
      </c>
      <c r="R62" s="13" t="s">
        <v>35</v>
      </c>
      <c r="S62" s="13" t="s">
        <v>35</v>
      </c>
      <c r="T62" s="13" t="s">
        <v>35</v>
      </c>
      <c r="U62" s="13" t="s">
        <v>35</v>
      </c>
      <c r="V62" s="13" t="s">
        <v>35</v>
      </c>
      <c r="W62" s="13" t="s">
        <v>35</v>
      </c>
      <c r="X62" s="37" t="s">
        <v>35</v>
      </c>
      <c r="Y62" s="22"/>
      <c r="Z62" s="38" t="s">
        <v>35</v>
      </c>
      <c r="AA62" s="13" t="s">
        <v>35</v>
      </c>
      <c r="AB62" s="13" t="s">
        <v>35</v>
      </c>
      <c r="AC62" s="13" t="s">
        <v>35</v>
      </c>
      <c r="AD62" s="13" t="s">
        <v>35</v>
      </c>
      <c r="AE62" s="13" t="s">
        <v>35</v>
      </c>
      <c r="AF62" s="13" t="s">
        <v>35</v>
      </c>
      <c r="AG62" s="13" t="s">
        <v>35</v>
      </c>
      <c r="AH62" s="45" t="s">
        <v>35</v>
      </c>
    </row>
    <row r="63" spans="1:34">
      <c r="A63" s="14">
        <f t="shared" si="37"/>
        <v>46037</v>
      </c>
      <c r="B63" s="11">
        <v>39.369999999999997</v>
      </c>
      <c r="C63" s="12">
        <v>19.39</v>
      </c>
      <c r="D63" s="13">
        <v>11.78</v>
      </c>
      <c r="E63" s="12">
        <v>21.64</v>
      </c>
      <c r="F63" s="13">
        <v>34.92</v>
      </c>
      <c r="G63" s="12">
        <v>45.43</v>
      </c>
      <c r="H63" s="12">
        <v>422</v>
      </c>
      <c r="I63" s="13">
        <v>8</v>
      </c>
      <c r="J63" s="13">
        <v>1</v>
      </c>
      <c r="K63" s="184">
        <v>2.2400000000000002</v>
      </c>
      <c r="L63" s="26">
        <v>8.26</v>
      </c>
      <c r="M63" s="22"/>
      <c r="N63" s="29" t="s">
        <v>35</v>
      </c>
      <c r="O63" s="13" t="s">
        <v>35</v>
      </c>
      <c r="P63" s="13" t="s">
        <v>35</v>
      </c>
      <c r="Q63" s="13" t="s">
        <v>35</v>
      </c>
      <c r="R63" s="13" t="s">
        <v>35</v>
      </c>
      <c r="S63" s="13" t="s">
        <v>35</v>
      </c>
      <c r="T63" s="13" t="s">
        <v>35</v>
      </c>
      <c r="U63" s="13" t="s">
        <v>35</v>
      </c>
      <c r="V63" s="13" t="s">
        <v>35</v>
      </c>
      <c r="W63" s="13" t="s">
        <v>35</v>
      </c>
      <c r="X63" s="37" t="s">
        <v>35</v>
      </c>
      <c r="Y63" s="22"/>
      <c r="Z63" s="38" t="s">
        <v>35</v>
      </c>
      <c r="AA63" s="13" t="s">
        <v>35</v>
      </c>
      <c r="AB63" s="13" t="s">
        <v>35</v>
      </c>
      <c r="AC63" s="13" t="s">
        <v>35</v>
      </c>
      <c r="AD63" s="13" t="s">
        <v>35</v>
      </c>
      <c r="AE63" s="13" t="s">
        <v>35</v>
      </c>
      <c r="AF63" s="13" t="s">
        <v>35</v>
      </c>
      <c r="AG63" s="13" t="s">
        <v>35</v>
      </c>
      <c r="AH63" s="45" t="s">
        <v>35</v>
      </c>
    </row>
    <row r="64" spans="1:34">
      <c r="A64" s="14">
        <f t="shared" si="37"/>
        <v>46038</v>
      </c>
      <c r="B64" s="11">
        <v>32.4</v>
      </c>
      <c r="C64" s="12">
        <v>18.07</v>
      </c>
      <c r="D64" s="13">
        <v>10.68</v>
      </c>
      <c r="E64" s="12">
        <v>18.64</v>
      </c>
      <c r="F64" s="13">
        <v>29.58</v>
      </c>
      <c r="G64" s="12">
        <v>44.78</v>
      </c>
      <c r="H64" s="12">
        <v>399</v>
      </c>
      <c r="I64" s="12">
        <v>8.08</v>
      </c>
      <c r="J64" s="13">
        <v>0.5</v>
      </c>
      <c r="K64" s="184">
        <v>2.34</v>
      </c>
      <c r="L64" s="26">
        <v>7.96</v>
      </c>
      <c r="M64" s="22"/>
      <c r="N64" s="29" t="s">
        <v>35</v>
      </c>
      <c r="O64" s="13" t="s">
        <v>35</v>
      </c>
      <c r="P64" s="13" t="s">
        <v>35</v>
      </c>
      <c r="Q64" s="13" t="s">
        <v>35</v>
      </c>
      <c r="R64" s="13" t="s">
        <v>35</v>
      </c>
      <c r="S64" s="13" t="s">
        <v>35</v>
      </c>
      <c r="T64" s="13" t="s">
        <v>35</v>
      </c>
      <c r="U64" s="13" t="s">
        <v>35</v>
      </c>
      <c r="V64" s="13" t="s">
        <v>35</v>
      </c>
      <c r="W64" s="13" t="s">
        <v>35</v>
      </c>
      <c r="X64" s="37" t="s">
        <v>35</v>
      </c>
      <c r="Y64" s="22"/>
      <c r="Z64" s="38" t="s">
        <v>35</v>
      </c>
      <c r="AA64" s="13" t="s">
        <v>35</v>
      </c>
      <c r="AB64" s="13" t="s">
        <v>35</v>
      </c>
      <c r="AC64" s="13" t="s">
        <v>35</v>
      </c>
      <c r="AD64" s="13" t="s">
        <v>35</v>
      </c>
      <c r="AE64" s="13" t="s">
        <v>35</v>
      </c>
      <c r="AF64" s="13" t="s">
        <v>35</v>
      </c>
      <c r="AG64" s="13" t="s">
        <v>35</v>
      </c>
      <c r="AH64" s="45" t="s">
        <v>35</v>
      </c>
    </row>
    <row r="65" spans="1:34">
      <c r="A65" s="14">
        <f t="shared" si="37"/>
        <v>46039</v>
      </c>
      <c r="B65" s="11" t="s">
        <v>35</v>
      </c>
      <c r="C65" s="12" t="s">
        <v>35</v>
      </c>
      <c r="D65" s="13" t="s">
        <v>35</v>
      </c>
      <c r="E65" s="12" t="s">
        <v>35</v>
      </c>
      <c r="F65" s="13" t="s">
        <v>35</v>
      </c>
      <c r="G65" s="12" t="s">
        <v>35</v>
      </c>
      <c r="H65" s="12" t="s">
        <v>35</v>
      </c>
      <c r="I65" s="12" t="s">
        <v>35</v>
      </c>
      <c r="J65" s="13" t="s">
        <v>35</v>
      </c>
      <c r="K65" s="184"/>
      <c r="L65" s="26" t="s">
        <v>35</v>
      </c>
      <c r="M65" s="22"/>
      <c r="N65" s="29" t="s">
        <v>35</v>
      </c>
      <c r="O65" s="13" t="s">
        <v>35</v>
      </c>
      <c r="P65" s="13" t="s">
        <v>35</v>
      </c>
      <c r="Q65" s="13" t="s">
        <v>35</v>
      </c>
      <c r="R65" s="13" t="s">
        <v>35</v>
      </c>
      <c r="S65" s="13" t="s">
        <v>35</v>
      </c>
      <c r="T65" s="13" t="s">
        <v>35</v>
      </c>
      <c r="U65" s="13" t="s">
        <v>35</v>
      </c>
      <c r="V65" s="13" t="s">
        <v>35</v>
      </c>
      <c r="W65" s="13" t="s">
        <v>35</v>
      </c>
      <c r="X65" s="37" t="s">
        <v>35</v>
      </c>
      <c r="Y65" s="22"/>
      <c r="Z65" s="38" t="s">
        <v>35</v>
      </c>
      <c r="AA65" s="13" t="s">
        <v>35</v>
      </c>
      <c r="AB65" s="13" t="s">
        <v>35</v>
      </c>
      <c r="AC65" s="13" t="s">
        <v>35</v>
      </c>
      <c r="AD65" s="13" t="s">
        <v>35</v>
      </c>
      <c r="AE65" s="13" t="s">
        <v>35</v>
      </c>
      <c r="AF65" s="13" t="s">
        <v>35</v>
      </c>
      <c r="AG65" s="13" t="s">
        <v>35</v>
      </c>
      <c r="AH65" s="45" t="s">
        <v>35</v>
      </c>
    </row>
    <row r="66" spans="1:34">
      <c r="A66" s="14">
        <f t="shared" si="37"/>
        <v>46040</v>
      </c>
      <c r="B66" s="11">
        <v>39.47</v>
      </c>
      <c r="C66" s="13">
        <v>24</v>
      </c>
      <c r="D66" s="13">
        <v>9.66</v>
      </c>
      <c r="E66" s="12">
        <v>17.28</v>
      </c>
      <c r="F66" s="13">
        <v>32.06</v>
      </c>
      <c r="G66" s="12">
        <v>46.16</v>
      </c>
      <c r="H66" s="12">
        <v>403</v>
      </c>
      <c r="I66" s="12">
        <v>7.64</v>
      </c>
      <c r="J66" s="13">
        <v>1</v>
      </c>
      <c r="K66" s="184">
        <v>2.62</v>
      </c>
      <c r="L66" s="26">
        <v>8.15</v>
      </c>
      <c r="M66" s="22"/>
      <c r="N66" s="29" t="s">
        <v>35</v>
      </c>
      <c r="O66" s="13" t="s">
        <v>35</v>
      </c>
      <c r="P66" s="13" t="s">
        <v>35</v>
      </c>
      <c r="Q66" s="13" t="s">
        <v>35</v>
      </c>
      <c r="R66" s="13" t="s">
        <v>35</v>
      </c>
      <c r="S66" s="13" t="s">
        <v>35</v>
      </c>
      <c r="T66" s="13" t="s">
        <v>35</v>
      </c>
      <c r="U66" s="13" t="s">
        <v>35</v>
      </c>
      <c r="V66" s="13" t="s">
        <v>35</v>
      </c>
      <c r="W66" s="13" t="s">
        <v>35</v>
      </c>
      <c r="X66" s="37" t="s">
        <v>35</v>
      </c>
      <c r="Y66" s="22"/>
      <c r="Z66" s="38" t="s">
        <v>35</v>
      </c>
      <c r="AA66" s="13" t="s">
        <v>35</v>
      </c>
      <c r="AB66" s="13" t="s">
        <v>35</v>
      </c>
      <c r="AC66" s="13" t="s">
        <v>35</v>
      </c>
      <c r="AD66" s="13" t="s">
        <v>35</v>
      </c>
      <c r="AE66" s="13" t="s">
        <v>35</v>
      </c>
      <c r="AF66" s="13" t="s">
        <v>35</v>
      </c>
      <c r="AG66" s="13" t="s">
        <v>35</v>
      </c>
      <c r="AH66" s="45" t="s">
        <v>35</v>
      </c>
    </row>
    <row r="67" spans="1:34">
      <c r="A67" s="14">
        <f t="shared" si="37"/>
        <v>46041</v>
      </c>
      <c r="B67" s="38" t="s">
        <v>35</v>
      </c>
      <c r="C67" s="12" t="s">
        <v>35</v>
      </c>
      <c r="D67" s="13" t="s">
        <v>35</v>
      </c>
      <c r="E67" s="12" t="s">
        <v>35</v>
      </c>
      <c r="F67" s="13" t="s">
        <v>35</v>
      </c>
      <c r="G67" s="12" t="s">
        <v>35</v>
      </c>
      <c r="H67" s="12" t="s">
        <v>35</v>
      </c>
      <c r="I67" s="12" t="s">
        <v>35</v>
      </c>
      <c r="J67" s="13" t="s">
        <v>35</v>
      </c>
      <c r="K67" s="184"/>
      <c r="L67" s="26" t="s">
        <v>35</v>
      </c>
      <c r="M67" s="22"/>
      <c r="N67" s="29" t="s">
        <v>35</v>
      </c>
      <c r="O67" s="13" t="s">
        <v>35</v>
      </c>
      <c r="P67" s="13" t="s">
        <v>35</v>
      </c>
      <c r="Q67" s="13" t="s">
        <v>35</v>
      </c>
      <c r="R67" s="13" t="s">
        <v>35</v>
      </c>
      <c r="S67" s="13" t="s">
        <v>35</v>
      </c>
      <c r="T67" s="13" t="s">
        <v>35</v>
      </c>
      <c r="U67" s="13" t="s">
        <v>35</v>
      </c>
      <c r="V67" s="13" t="s">
        <v>35</v>
      </c>
      <c r="W67" s="13" t="s">
        <v>35</v>
      </c>
      <c r="X67" s="37" t="s">
        <v>35</v>
      </c>
      <c r="Y67" s="22"/>
      <c r="Z67" s="38" t="s">
        <v>35</v>
      </c>
      <c r="AA67" s="13" t="s">
        <v>35</v>
      </c>
      <c r="AB67" s="13" t="s">
        <v>35</v>
      </c>
      <c r="AC67" s="13" t="s">
        <v>35</v>
      </c>
      <c r="AD67" s="36" t="s">
        <v>35</v>
      </c>
      <c r="AE67" s="13" t="s">
        <v>35</v>
      </c>
      <c r="AF67" s="13" t="s">
        <v>35</v>
      </c>
      <c r="AG67" s="13" t="s">
        <v>35</v>
      </c>
      <c r="AH67" s="37" t="s">
        <v>35</v>
      </c>
    </row>
    <row r="68" spans="1:34">
      <c r="A68" s="14">
        <f t="shared" si="37"/>
        <v>46042</v>
      </c>
      <c r="B68" s="38" t="s">
        <v>35</v>
      </c>
      <c r="C68" s="12" t="s">
        <v>35</v>
      </c>
      <c r="D68" s="13" t="s">
        <v>35</v>
      </c>
      <c r="E68" s="12" t="s">
        <v>35</v>
      </c>
      <c r="F68" s="13" t="s">
        <v>35</v>
      </c>
      <c r="G68" s="12" t="s">
        <v>35</v>
      </c>
      <c r="H68" s="12" t="s">
        <v>35</v>
      </c>
      <c r="I68" s="12" t="s">
        <v>35</v>
      </c>
      <c r="J68" s="13" t="s">
        <v>35</v>
      </c>
      <c r="K68" s="184"/>
      <c r="L68" s="26" t="s">
        <v>35</v>
      </c>
      <c r="M68" s="22"/>
      <c r="N68" s="29" t="s">
        <v>35</v>
      </c>
      <c r="O68" s="13" t="s">
        <v>35</v>
      </c>
      <c r="P68" s="13" t="s">
        <v>35</v>
      </c>
      <c r="Q68" s="13" t="s">
        <v>35</v>
      </c>
      <c r="R68" s="13" t="s">
        <v>35</v>
      </c>
      <c r="S68" s="13" t="s">
        <v>35</v>
      </c>
      <c r="T68" s="13" t="s">
        <v>35</v>
      </c>
      <c r="U68" s="13" t="s">
        <v>35</v>
      </c>
      <c r="V68" s="13" t="s">
        <v>35</v>
      </c>
      <c r="W68" s="13" t="s">
        <v>35</v>
      </c>
      <c r="X68" s="37" t="s">
        <v>35</v>
      </c>
      <c r="Y68" s="22"/>
      <c r="Z68" s="38">
        <v>10.93</v>
      </c>
      <c r="AA68" s="13">
        <v>19.53</v>
      </c>
      <c r="AB68" s="13">
        <v>31.06</v>
      </c>
      <c r="AC68" s="13">
        <v>46.93</v>
      </c>
      <c r="AD68" s="36">
        <v>421</v>
      </c>
      <c r="AE68" s="13">
        <v>7.6</v>
      </c>
      <c r="AF68" s="13">
        <v>0.5</v>
      </c>
      <c r="AG68" s="184">
        <v>2.39</v>
      </c>
      <c r="AH68" s="37">
        <v>8.3699999999999992</v>
      </c>
    </row>
    <row r="69" spans="1:34">
      <c r="A69" s="14">
        <f t="shared" si="37"/>
        <v>46043</v>
      </c>
      <c r="B69" s="38" t="s">
        <v>35</v>
      </c>
      <c r="C69" s="12" t="s">
        <v>35</v>
      </c>
      <c r="D69" s="13" t="s">
        <v>35</v>
      </c>
      <c r="E69" s="12" t="s">
        <v>35</v>
      </c>
      <c r="F69" s="13" t="s">
        <v>35</v>
      </c>
      <c r="G69" s="12" t="s">
        <v>35</v>
      </c>
      <c r="H69" s="12" t="s">
        <v>35</v>
      </c>
      <c r="I69" s="12" t="s">
        <v>35</v>
      </c>
      <c r="J69" s="13" t="s">
        <v>35</v>
      </c>
      <c r="K69" s="184"/>
      <c r="L69" s="26" t="s">
        <v>35</v>
      </c>
      <c r="M69" s="22"/>
      <c r="N69" s="29" t="s">
        <v>35</v>
      </c>
      <c r="O69" s="13" t="s">
        <v>35</v>
      </c>
      <c r="P69" s="13" t="s">
        <v>35</v>
      </c>
      <c r="Q69" s="13" t="s">
        <v>35</v>
      </c>
      <c r="R69" s="13" t="s">
        <v>35</v>
      </c>
      <c r="S69" s="13" t="s">
        <v>35</v>
      </c>
      <c r="T69" s="13" t="s">
        <v>35</v>
      </c>
      <c r="U69" s="13" t="s">
        <v>35</v>
      </c>
      <c r="V69" s="13" t="s">
        <v>35</v>
      </c>
      <c r="W69" s="13" t="s">
        <v>35</v>
      </c>
      <c r="X69" s="37" t="s">
        <v>35</v>
      </c>
      <c r="Y69" s="22"/>
      <c r="Z69" s="38">
        <v>10.08</v>
      </c>
      <c r="AA69" s="13">
        <v>21.26</v>
      </c>
      <c r="AB69" s="13">
        <v>34.840000000000003</v>
      </c>
      <c r="AC69" s="13">
        <v>45.08</v>
      </c>
      <c r="AD69" s="36">
        <v>389</v>
      </c>
      <c r="AE69" s="13">
        <v>10.4</v>
      </c>
      <c r="AF69" s="13">
        <v>1</v>
      </c>
      <c r="AG69" s="184">
        <v>2.21</v>
      </c>
      <c r="AH69" s="37">
        <v>7.05</v>
      </c>
    </row>
    <row r="70" spans="1:34">
      <c r="A70" s="14">
        <f t="shared" si="37"/>
        <v>46044</v>
      </c>
      <c r="B70" s="38">
        <v>38.46</v>
      </c>
      <c r="C70" s="13">
        <v>20</v>
      </c>
      <c r="D70" s="13">
        <v>11.18</v>
      </c>
      <c r="E70" s="12">
        <v>20.6</v>
      </c>
      <c r="F70" s="13">
        <v>32.82</v>
      </c>
      <c r="G70" s="12">
        <v>46.14</v>
      </c>
      <c r="H70" s="12">
        <v>375</v>
      </c>
      <c r="I70" s="13">
        <v>8.92</v>
      </c>
      <c r="J70" s="13">
        <v>1</v>
      </c>
      <c r="K70" s="184">
        <v>2.37</v>
      </c>
      <c r="L70" s="26">
        <v>6.58</v>
      </c>
      <c r="M70" s="22"/>
      <c r="N70" s="29" t="s">
        <v>35</v>
      </c>
      <c r="O70" s="13"/>
      <c r="P70" s="13" t="s">
        <v>35</v>
      </c>
      <c r="Q70" s="13" t="s">
        <v>35</v>
      </c>
      <c r="R70" s="13" t="s">
        <v>35</v>
      </c>
      <c r="S70" s="13" t="s">
        <v>35</v>
      </c>
      <c r="T70" s="13" t="s">
        <v>35</v>
      </c>
      <c r="U70" s="13" t="s">
        <v>35</v>
      </c>
      <c r="V70" s="13" t="s">
        <v>35</v>
      </c>
      <c r="W70" s="13" t="s">
        <v>35</v>
      </c>
      <c r="X70" s="37" t="s">
        <v>35</v>
      </c>
      <c r="Y70" s="22"/>
      <c r="Z70" s="38" t="s">
        <v>35</v>
      </c>
      <c r="AA70" s="13" t="s">
        <v>35</v>
      </c>
      <c r="AB70" s="13" t="s">
        <v>35</v>
      </c>
      <c r="AC70" s="13" t="s">
        <v>35</v>
      </c>
      <c r="AD70" s="36" t="s">
        <v>35</v>
      </c>
      <c r="AE70" s="13" t="s">
        <v>35</v>
      </c>
      <c r="AF70" s="13" t="s">
        <v>35</v>
      </c>
      <c r="AG70" s="184"/>
      <c r="AH70" s="37" t="s">
        <v>35</v>
      </c>
    </row>
    <row r="71" spans="1:34">
      <c r="A71" s="14">
        <f t="shared" si="37"/>
        <v>46045</v>
      </c>
      <c r="B71" s="38">
        <v>38.99</v>
      </c>
      <c r="C71" s="12">
        <v>28.85</v>
      </c>
      <c r="D71" s="13">
        <v>10.15</v>
      </c>
      <c r="E71" s="12">
        <v>19.73</v>
      </c>
      <c r="F71" s="13">
        <v>32.69</v>
      </c>
      <c r="G71" s="12">
        <v>45.14</v>
      </c>
      <c r="H71" s="12">
        <v>373</v>
      </c>
      <c r="I71" s="12">
        <v>9.64</v>
      </c>
      <c r="J71" s="13">
        <v>0.5</v>
      </c>
      <c r="K71" s="184">
        <v>2.14</v>
      </c>
      <c r="L71" s="26">
        <v>6.14</v>
      </c>
      <c r="M71" s="22"/>
      <c r="N71" s="29" t="s">
        <v>35</v>
      </c>
      <c r="O71" s="13" t="s">
        <v>35</v>
      </c>
      <c r="P71" s="13" t="s">
        <v>35</v>
      </c>
      <c r="Q71" s="13" t="s">
        <v>35</v>
      </c>
      <c r="R71" s="13" t="s">
        <v>35</v>
      </c>
      <c r="S71" s="13" t="s">
        <v>35</v>
      </c>
      <c r="T71" s="13" t="s">
        <v>35</v>
      </c>
      <c r="U71" s="13" t="s">
        <v>35</v>
      </c>
      <c r="V71" s="13" t="s">
        <v>35</v>
      </c>
      <c r="W71" s="13" t="s">
        <v>35</v>
      </c>
      <c r="X71" s="37" t="s">
        <v>35</v>
      </c>
      <c r="Y71" s="22"/>
      <c r="Z71" s="38" t="s">
        <v>35</v>
      </c>
      <c r="AA71" s="13" t="s">
        <v>35</v>
      </c>
      <c r="AB71" s="13" t="s">
        <v>35</v>
      </c>
      <c r="AC71" s="13" t="s">
        <v>35</v>
      </c>
      <c r="AD71" s="36" t="s">
        <v>35</v>
      </c>
      <c r="AE71" s="13" t="s">
        <v>35</v>
      </c>
      <c r="AF71" s="13" t="s">
        <v>35</v>
      </c>
      <c r="AG71" s="184"/>
      <c r="AH71" s="37" t="s">
        <v>35</v>
      </c>
    </row>
    <row r="72" spans="1:34">
      <c r="A72" s="14">
        <f t="shared" si="37"/>
        <v>46046</v>
      </c>
      <c r="B72" s="38">
        <v>39.1</v>
      </c>
      <c r="C72" s="12">
        <v>16.98</v>
      </c>
      <c r="D72" s="13">
        <v>9.83</v>
      </c>
      <c r="E72" s="13">
        <v>18.79</v>
      </c>
      <c r="F72" s="13">
        <v>30.73</v>
      </c>
      <c r="G72" s="12">
        <v>44.68</v>
      </c>
      <c r="H72" s="12">
        <v>385</v>
      </c>
      <c r="I72" s="13">
        <v>10.039999999999999</v>
      </c>
      <c r="J72" s="13">
        <v>0.5</v>
      </c>
      <c r="K72" s="184">
        <v>2.1800000000000002</v>
      </c>
      <c r="L72" s="26">
        <v>7.51</v>
      </c>
      <c r="M72" s="22"/>
      <c r="N72" s="29">
        <v>38.07</v>
      </c>
      <c r="O72" s="13">
        <v>15.36</v>
      </c>
      <c r="P72" s="13">
        <v>9.64</v>
      </c>
      <c r="Q72" s="13">
        <v>16.46</v>
      </c>
      <c r="R72" s="13">
        <v>26.82</v>
      </c>
      <c r="S72" s="13">
        <v>46.08</v>
      </c>
      <c r="T72" s="36">
        <v>398</v>
      </c>
      <c r="U72" s="13">
        <v>9.44</v>
      </c>
      <c r="V72" s="13">
        <v>1</v>
      </c>
      <c r="W72" s="13">
        <v>2.1</v>
      </c>
      <c r="X72" s="37">
        <v>10.86</v>
      </c>
      <c r="Y72" s="22"/>
      <c r="Z72" s="38">
        <v>11.43</v>
      </c>
      <c r="AA72" s="13">
        <v>17.36</v>
      </c>
      <c r="AB72" s="13">
        <v>27.96</v>
      </c>
      <c r="AC72" s="13">
        <v>44.55</v>
      </c>
      <c r="AD72" s="36">
        <v>398</v>
      </c>
      <c r="AE72" s="13">
        <v>8.92</v>
      </c>
      <c r="AF72" s="13">
        <v>4.5</v>
      </c>
      <c r="AG72" s="184">
        <v>2.23</v>
      </c>
      <c r="AH72" s="37">
        <v>8.09</v>
      </c>
    </row>
    <row r="73" spans="1:34">
      <c r="A73" s="14">
        <f t="shared" si="37"/>
        <v>46047</v>
      </c>
      <c r="B73" s="38" t="s">
        <v>35</v>
      </c>
      <c r="C73" s="12" t="s">
        <v>35</v>
      </c>
      <c r="D73" s="13" t="s">
        <v>35</v>
      </c>
      <c r="E73" s="13" t="s">
        <v>35</v>
      </c>
      <c r="F73" s="13" t="s">
        <v>35</v>
      </c>
      <c r="G73" s="13" t="s">
        <v>35</v>
      </c>
      <c r="H73" s="36" t="s">
        <v>35</v>
      </c>
      <c r="I73" s="13" t="s">
        <v>35</v>
      </c>
      <c r="J73" s="13" t="s">
        <v>35</v>
      </c>
      <c r="K73" s="184"/>
      <c r="L73" s="37" t="s">
        <v>35</v>
      </c>
      <c r="M73" s="22"/>
      <c r="N73" s="29" t="s">
        <v>35</v>
      </c>
      <c r="O73" s="13" t="s">
        <v>35</v>
      </c>
      <c r="P73" s="13" t="s">
        <v>35</v>
      </c>
      <c r="Q73" s="13" t="s">
        <v>35</v>
      </c>
      <c r="R73" s="13" t="s">
        <v>35</v>
      </c>
      <c r="S73" s="13" t="s">
        <v>35</v>
      </c>
      <c r="T73" s="36" t="s">
        <v>35</v>
      </c>
      <c r="U73" s="13" t="s">
        <v>35</v>
      </c>
      <c r="V73" s="13" t="s">
        <v>35</v>
      </c>
      <c r="W73" s="13" t="s">
        <v>35</v>
      </c>
      <c r="X73" s="37" t="s">
        <v>35</v>
      </c>
      <c r="Y73" s="22"/>
      <c r="Z73" s="38" t="s">
        <v>35</v>
      </c>
      <c r="AA73" s="13" t="s">
        <v>35</v>
      </c>
      <c r="AB73" s="13" t="s">
        <v>35</v>
      </c>
      <c r="AC73" s="13" t="s">
        <v>35</v>
      </c>
      <c r="AD73" s="36" t="s">
        <v>35</v>
      </c>
      <c r="AE73" s="13" t="s">
        <v>35</v>
      </c>
      <c r="AF73" s="13" t="s">
        <v>35</v>
      </c>
      <c r="AG73" s="184"/>
      <c r="AH73" s="37" t="s">
        <v>35</v>
      </c>
    </row>
    <row r="74" spans="1:34">
      <c r="A74" s="14">
        <f t="shared" si="37"/>
        <v>46048</v>
      </c>
      <c r="B74" s="11">
        <v>38.46</v>
      </c>
      <c r="C74" s="12">
        <v>15.26</v>
      </c>
      <c r="D74" s="13">
        <v>11.92</v>
      </c>
      <c r="E74" s="12">
        <v>20.47</v>
      </c>
      <c r="F74" s="13">
        <v>30.8</v>
      </c>
      <c r="G74" s="12">
        <v>45.58</v>
      </c>
      <c r="H74" s="12">
        <v>392</v>
      </c>
      <c r="I74" s="12">
        <v>9.16</v>
      </c>
      <c r="J74" s="13">
        <v>0.5</v>
      </c>
      <c r="K74" s="184">
        <v>2.38</v>
      </c>
      <c r="L74" s="26">
        <v>7.8</v>
      </c>
      <c r="M74" s="22"/>
      <c r="N74" s="29" t="s">
        <v>35</v>
      </c>
      <c r="O74" s="13" t="s">
        <v>35</v>
      </c>
      <c r="P74" s="13" t="s">
        <v>35</v>
      </c>
      <c r="Q74" s="13" t="s">
        <v>35</v>
      </c>
      <c r="R74" s="13" t="s">
        <v>35</v>
      </c>
      <c r="S74" s="13" t="s">
        <v>35</v>
      </c>
      <c r="T74" s="36" t="s">
        <v>35</v>
      </c>
      <c r="U74" s="13" t="s">
        <v>35</v>
      </c>
      <c r="V74" s="13" t="s">
        <v>35</v>
      </c>
      <c r="W74" s="13" t="s">
        <v>35</v>
      </c>
      <c r="X74" s="37" t="s">
        <v>35</v>
      </c>
      <c r="Y74" s="22"/>
      <c r="Z74" s="38">
        <v>12.56</v>
      </c>
      <c r="AA74" s="13">
        <v>20.64</v>
      </c>
      <c r="AB74" s="13">
        <v>34.9</v>
      </c>
      <c r="AC74" s="13">
        <v>45.1</v>
      </c>
      <c r="AD74" s="36">
        <v>411</v>
      </c>
      <c r="AE74" s="13">
        <v>7.28</v>
      </c>
      <c r="AF74" s="13">
        <v>1</v>
      </c>
      <c r="AG74" s="184">
        <v>2.2999999999999998</v>
      </c>
      <c r="AH74" s="37">
        <v>8.36</v>
      </c>
    </row>
    <row r="75" spans="1:34">
      <c r="A75" s="14">
        <f t="shared" si="37"/>
        <v>46049</v>
      </c>
      <c r="B75" s="38">
        <v>38.99</v>
      </c>
      <c r="C75" s="12">
        <v>20</v>
      </c>
      <c r="D75" s="13">
        <v>12.83</v>
      </c>
      <c r="E75" s="13">
        <v>20.53</v>
      </c>
      <c r="F75" s="13">
        <v>33.83</v>
      </c>
      <c r="G75" s="13">
        <v>44.5</v>
      </c>
      <c r="H75" s="36">
        <v>377</v>
      </c>
      <c r="I75" s="13">
        <v>11.8</v>
      </c>
      <c r="J75" s="13">
        <v>0.5</v>
      </c>
      <c r="K75" s="184">
        <v>2.52</v>
      </c>
      <c r="L75" s="26">
        <v>5.48</v>
      </c>
      <c r="M75" s="22"/>
      <c r="N75" s="29" t="s">
        <v>35</v>
      </c>
      <c r="O75" s="13" t="s">
        <v>35</v>
      </c>
      <c r="P75" s="13" t="s">
        <v>35</v>
      </c>
      <c r="Q75" s="13" t="s">
        <v>35</v>
      </c>
      <c r="R75" s="13" t="s">
        <v>35</v>
      </c>
      <c r="S75" s="13" t="s">
        <v>35</v>
      </c>
      <c r="T75" s="36" t="s">
        <v>35</v>
      </c>
      <c r="U75" s="13" t="s">
        <v>35</v>
      </c>
      <c r="V75" s="13" t="s">
        <v>35</v>
      </c>
      <c r="W75" s="13" t="s">
        <v>35</v>
      </c>
      <c r="X75" s="37" t="s">
        <v>35</v>
      </c>
      <c r="Y75" s="22"/>
      <c r="Z75" s="38">
        <v>11.22</v>
      </c>
      <c r="AA75" s="13">
        <v>21.18</v>
      </c>
      <c r="AB75" s="13">
        <v>40.47</v>
      </c>
      <c r="AC75" s="13">
        <v>44.69</v>
      </c>
      <c r="AD75" s="36">
        <v>381</v>
      </c>
      <c r="AE75" s="13">
        <v>10.28</v>
      </c>
      <c r="AF75" s="13">
        <v>0.5</v>
      </c>
      <c r="AG75" s="184">
        <v>2.04</v>
      </c>
      <c r="AH75" s="37">
        <v>6.85</v>
      </c>
    </row>
    <row r="76" spans="1:34">
      <c r="A76" s="14">
        <f t="shared" si="37"/>
        <v>46050</v>
      </c>
      <c r="B76" s="38"/>
      <c r="C76" s="12"/>
      <c r="D76" s="13"/>
      <c r="E76" s="13"/>
      <c r="F76" s="13"/>
      <c r="G76" s="12"/>
      <c r="H76" s="36"/>
      <c r="I76" s="13"/>
      <c r="J76" s="13"/>
      <c r="K76" s="184"/>
      <c r="L76" s="26"/>
      <c r="M76" s="22"/>
      <c r="N76" s="29" t="s">
        <v>35</v>
      </c>
      <c r="O76" s="13" t="s">
        <v>35</v>
      </c>
      <c r="P76" s="13" t="s">
        <v>35</v>
      </c>
      <c r="Q76" s="13" t="s">
        <v>35</v>
      </c>
      <c r="R76" s="13" t="s">
        <v>35</v>
      </c>
      <c r="S76" s="13" t="s">
        <v>35</v>
      </c>
      <c r="T76" s="36" t="s">
        <v>35</v>
      </c>
      <c r="U76" s="13" t="s">
        <v>35</v>
      </c>
      <c r="V76" s="13" t="s">
        <v>35</v>
      </c>
      <c r="W76" s="13" t="s">
        <v>35</v>
      </c>
      <c r="X76" s="37" t="s">
        <v>35</v>
      </c>
      <c r="Y76" s="22"/>
      <c r="Z76" s="38" t="s">
        <v>35</v>
      </c>
      <c r="AA76" s="13" t="s">
        <v>35</v>
      </c>
      <c r="AB76" s="13" t="s">
        <v>35</v>
      </c>
      <c r="AC76" s="13" t="s">
        <v>35</v>
      </c>
      <c r="AD76" s="36" t="s">
        <v>35</v>
      </c>
      <c r="AE76" s="13" t="s">
        <v>35</v>
      </c>
      <c r="AF76" s="13" t="s">
        <v>35</v>
      </c>
      <c r="AG76" s="184"/>
      <c r="AH76" s="37" t="s">
        <v>35</v>
      </c>
    </row>
    <row r="77" spans="1:34">
      <c r="A77" s="14">
        <f t="shared" si="37"/>
        <v>46051</v>
      </c>
      <c r="B77" s="38">
        <v>39.1</v>
      </c>
      <c r="C77" s="12">
        <v>20.51</v>
      </c>
      <c r="D77" s="13">
        <v>11.77</v>
      </c>
      <c r="E77" s="13">
        <v>20.34</v>
      </c>
      <c r="F77" s="13">
        <v>34.340000000000003</v>
      </c>
      <c r="G77" s="12">
        <v>44.74</v>
      </c>
      <c r="H77" s="36">
        <v>372</v>
      </c>
      <c r="I77" s="13">
        <v>6.2</v>
      </c>
      <c r="J77" s="13">
        <v>1</v>
      </c>
      <c r="K77" s="184">
        <v>2.65</v>
      </c>
      <c r="L77" s="26">
        <v>8.15</v>
      </c>
      <c r="M77" s="22"/>
      <c r="N77" s="29" t="s">
        <v>35</v>
      </c>
      <c r="O77" s="13" t="s">
        <v>35</v>
      </c>
      <c r="P77" s="13" t="s">
        <v>35</v>
      </c>
      <c r="Q77" s="13" t="s">
        <v>35</v>
      </c>
      <c r="R77" s="13" t="s">
        <v>35</v>
      </c>
      <c r="S77" s="13" t="s">
        <v>35</v>
      </c>
      <c r="T77" s="36" t="s">
        <v>35</v>
      </c>
      <c r="U77" s="13" t="s">
        <v>35</v>
      </c>
      <c r="V77" s="13" t="s">
        <v>35</v>
      </c>
      <c r="W77" s="13" t="s">
        <v>35</v>
      </c>
      <c r="X77" s="37" t="s">
        <v>35</v>
      </c>
      <c r="Y77" s="22"/>
      <c r="Z77" s="38">
        <v>12.71</v>
      </c>
      <c r="AA77" s="13">
        <v>21.2</v>
      </c>
      <c r="AB77" s="13">
        <v>37.46</v>
      </c>
      <c r="AC77" s="13">
        <v>44.03</v>
      </c>
      <c r="AD77" s="36">
        <v>346</v>
      </c>
      <c r="AE77" s="13">
        <v>31.2</v>
      </c>
      <c r="AF77" s="13">
        <v>1</v>
      </c>
      <c r="AG77" s="184">
        <v>2.57</v>
      </c>
      <c r="AH77" s="37">
        <v>8.17</v>
      </c>
    </row>
    <row r="78" spans="1:34">
      <c r="A78" s="14">
        <f t="shared" si="37"/>
        <v>46052</v>
      </c>
      <c r="B78" s="38">
        <v>38.99</v>
      </c>
      <c r="C78" s="12">
        <v>18.920000000000002</v>
      </c>
      <c r="D78" s="13">
        <v>11.35</v>
      </c>
      <c r="E78" s="13">
        <v>21.03</v>
      </c>
      <c r="F78" s="13">
        <v>36.659999999999997</v>
      </c>
      <c r="G78" s="12">
        <v>45.16</v>
      </c>
      <c r="H78" s="36">
        <v>358</v>
      </c>
      <c r="I78" s="13">
        <v>6.8</v>
      </c>
      <c r="J78" s="13">
        <v>1</v>
      </c>
      <c r="K78" s="184">
        <v>2.21</v>
      </c>
      <c r="L78" s="26">
        <v>6.64</v>
      </c>
      <c r="M78" s="22"/>
      <c r="N78" s="29" t="s">
        <v>35</v>
      </c>
      <c r="O78" s="13" t="s">
        <v>35</v>
      </c>
      <c r="P78" s="13" t="s">
        <v>35</v>
      </c>
      <c r="Q78" s="13" t="s">
        <v>35</v>
      </c>
      <c r="R78" s="13" t="s">
        <v>35</v>
      </c>
      <c r="S78" s="13" t="s">
        <v>35</v>
      </c>
      <c r="T78" s="36" t="s">
        <v>35</v>
      </c>
      <c r="U78" s="13" t="s">
        <v>35</v>
      </c>
      <c r="V78" s="13" t="s">
        <v>35</v>
      </c>
      <c r="W78" s="13" t="s">
        <v>35</v>
      </c>
      <c r="X78" s="37" t="s">
        <v>35</v>
      </c>
      <c r="Y78" s="22"/>
      <c r="Z78" s="38" t="s">
        <v>35</v>
      </c>
      <c r="AA78" s="13" t="s">
        <v>35</v>
      </c>
      <c r="AB78" s="13" t="s">
        <v>35</v>
      </c>
      <c r="AC78" s="13" t="s">
        <v>35</v>
      </c>
      <c r="AD78" s="36" t="s">
        <v>35</v>
      </c>
      <c r="AE78" s="13" t="s">
        <v>35</v>
      </c>
      <c r="AF78" s="13" t="s">
        <v>35</v>
      </c>
      <c r="AG78" s="184"/>
      <c r="AH78" s="37" t="s">
        <v>35</v>
      </c>
    </row>
    <row r="79" spans="1:34" ht="15.75" thickBot="1">
      <c r="A79" s="14">
        <f t="shared" si="37"/>
        <v>46053</v>
      </c>
      <c r="B79" s="11">
        <v>39.1</v>
      </c>
      <c r="C79" s="12">
        <v>26</v>
      </c>
      <c r="D79" s="13">
        <v>9.89</v>
      </c>
      <c r="E79" s="13">
        <v>22.97</v>
      </c>
      <c r="F79" s="13">
        <v>35.6</v>
      </c>
      <c r="G79" s="12">
        <v>45.97</v>
      </c>
      <c r="H79" s="36">
        <v>361</v>
      </c>
      <c r="I79" s="13">
        <v>9.68</v>
      </c>
      <c r="J79" s="13">
        <v>0.5</v>
      </c>
      <c r="K79" s="184">
        <v>2.17</v>
      </c>
      <c r="L79" s="26">
        <v>8.2100000000000009</v>
      </c>
      <c r="M79" s="22"/>
      <c r="N79" s="29" t="s">
        <v>35</v>
      </c>
      <c r="O79" s="13" t="s">
        <v>35</v>
      </c>
      <c r="P79" s="13" t="s">
        <v>35</v>
      </c>
      <c r="Q79" s="13" t="s">
        <v>35</v>
      </c>
      <c r="R79" s="13" t="s">
        <v>35</v>
      </c>
      <c r="S79" s="13" t="s">
        <v>35</v>
      </c>
      <c r="T79" s="36" t="s">
        <v>35</v>
      </c>
      <c r="U79" s="13" t="s">
        <v>35</v>
      </c>
      <c r="V79" s="13" t="s">
        <v>35</v>
      </c>
      <c r="W79" s="13" t="s">
        <v>35</v>
      </c>
      <c r="X79" s="37" t="s">
        <v>35</v>
      </c>
      <c r="Y79" s="22"/>
      <c r="Z79" s="38">
        <v>11.18</v>
      </c>
      <c r="AA79" s="13">
        <v>21.09</v>
      </c>
      <c r="AB79" s="13">
        <v>34.450000000000003</v>
      </c>
      <c r="AC79" s="13">
        <v>47.18</v>
      </c>
      <c r="AD79" s="36">
        <v>378</v>
      </c>
      <c r="AE79" s="13">
        <v>8.1999999999999993</v>
      </c>
      <c r="AF79" s="13">
        <v>1</v>
      </c>
      <c r="AG79" s="184">
        <v>2.2200000000000002</v>
      </c>
      <c r="AH79" s="37">
        <v>7.69</v>
      </c>
    </row>
    <row r="80" spans="1:34">
      <c r="A80" s="16" t="s">
        <v>31</v>
      </c>
      <c r="B80" s="17">
        <f>MIN(B49:B79)</f>
        <v>26.42</v>
      </c>
      <c r="C80" s="17">
        <f>MIN(C49:C79)</f>
        <v>15.26</v>
      </c>
      <c r="D80" s="17">
        <f t="shared" ref="D80:L80" si="38">MIN(D49:D79)</f>
        <v>8.1</v>
      </c>
      <c r="E80" s="17">
        <f t="shared" si="38"/>
        <v>16.07</v>
      </c>
      <c r="F80" s="17">
        <f t="shared" si="38"/>
        <v>29.58</v>
      </c>
      <c r="G80" s="17">
        <f t="shared" si="38"/>
        <v>44.01</v>
      </c>
      <c r="H80" s="17">
        <f t="shared" si="38"/>
        <v>358</v>
      </c>
      <c r="I80" s="17">
        <f t="shared" si="38"/>
        <v>6.2</v>
      </c>
      <c r="J80" s="17">
        <f t="shared" si="38"/>
        <v>0.5</v>
      </c>
      <c r="K80" s="17">
        <f t="shared" si="38"/>
        <v>1.99</v>
      </c>
      <c r="L80" s="30">
        <f t="shared" si="38"/>
        <v>5.48</v>
      </c>
      <c r="M80" s="22"/>
      <c r="N80" s="17">
        <f>MIN(N49:N79)</f>
        <v>38.07</v>
      </c>
      <c r="O80" s="17">
        <f>MIN(O49:O79)</f>
        <v>15.36</v>
      </c>
      <c r="P80" s="17">
        <f t="shared" ref="P80:X80" si="39">MIN(P49:P79)</f>
        <v>9.64</v>
      </c>
      <c r="Q80" s="17">
        <f t="shared" si="39"/>
        <v>16.46</v>
      </c>
      <c r="R80" s="17">
        <f t="shared" si="39"/>
        <v>26.82</v>
      </c>
      <c r="S80" s="17">
        <f t="shared" si="39"/>
        <v>46.08</v>
      </c>
      <c r="T80" s="17">
        <f t="shared" si="39"/>
        <v>398</v>
      </c>
      <c r="U80" s="17">
        <f t="shared" si="39"/>
        <v>9.44</v>
      </c>
      <c r="V80" s="17">
        <f t="shared" si="39"/>
        <v>1</v>
      </c>
      <c r="W80" s="17">
        <f t="shared" si="39"/>
        <v>2.1</v>
      </c>
      <c r="X80" s="30">
        <f t="shared" si="39"/>
        <v>10.86</v>
      </c>
      <c r="Z80" s="40">
        <f t="shared" ref="Z80:AH80" si="40">MIN(Z49:Z79)</f>
        <v>10.08</v>
      </c>
      <c r="AA80" s="17">
        <f t="shared" si="40"/>
        <v>17.36</v>
      </c>
      <c r="AB80" s="17">
        <f t="shared" si="40"/>
        <v>27.96</v>
      </c>
      <c r="AC80" s="17">
        <f t="shared" si="40"/>
        <v>44.03</v>
      </c>
      <c r="AD80" s="17">
        <f t="shared" si="40"/>
        <v>346</v>
      </c>
      <c r="AE80" s="17">
        <f t="shared" si="40"/>
        <v>7.28</v>
      </c>
      <c r="AF80" s="17">
        <f t="shared" si="40"/>
        <v>0.5</v>
      </c>
      <c r="AG80" s="17">
        <f t="shared" si="40"/>
        <v>2.04</v>
      </c>
      <c r="AH80" s="30">
        <f t="shared" si="40"/>
        <v>6.85</v>
      </c>
    </row>
    <row r="81" spans="1:34">
      <c r="A81" s="18" t="s">
        <v>33</v>
      </c>
      <c r="B81" s="19">
        <f>MAX(B49:B79)</f>
        <v>39.53</v>
      </c>
      <c r="C81" s="19">
        <f>MAX(C49:C79)</f>
        <v>28.85</v>
      </c>
      <c r="D81" s="19">
        <f t="shared" ref="D81:L81" si="41">MAX(D49:D79)</f>
        <v>12.84</v>
      </c>
      <c r="E81" s="19">
        <f t="shared" si="41"/>
        <v>22.97</v>
      </c>
      <c r="F81" s="19">
        <f t="shared" si="41"/>
        <v>37.18</v>
      </c>
      <c r="G81" s="19">
        <f t="shared" si="41"/>
        <v>49.25</v>
      </c>
      <c r="H81" s="19">
        <f t="shared" si="41"/>
        <v>430</v>
      </c>
      <c r="I81" s="19">
        <f t="shared" si="41"/>
        <v>11.8</v>
      </c>
      <c r="J81" s="19">
        <f t="shared" si="41"/>
        <v>2.5</v>
      </c>
      <c r="K81" s="19">
        <f t="shared" si="41"/>
        <v>2.65</v>
      </c>
      <c r="L81" s="31">
        <f t="shared" si="41"/>
        <v>9.1199999999999992</v>
      </c>
      <c r="M81" s="22"/>
      <c r="N81" s="19">
        <f>MAX(N49:N79)</f>
        <v>38.07</v>
      </c>
      <c r="O81" s="19">
        <f>MAX(O49:O79)</f>
        <v>15.36</v>
      </c>
      <c r="P81" s="19">
        <f t="shared" ref="P81:X81" si="42">MAX(P49:P79)</f>
        <v>9.64</v>
      </c>
      <c r="Q81" s="19">
        <f t="shared" si="42"/>
        <v>16.46</v>
      </c>
      <c r="R81" s="19">
        <f t="shared" si="42"/>
        <v>26.82</v>
      </c>
      <c r="S81" s="19">
        <f t="shared" si="42"/>
        <v>46.08</v>
      </c>
      <c r="T81" s="19">
        <f t="shared" si="42"/>
        <v>398</v>
      </c>
      <c r="U81" s="19">
        <f t="shared" si="42"/>
        <v>9.44</v>
      </c>
      <c r="V81" s="19">
        <f t="shared" si="42"/>
        <v>1</v>
      </c>
      <c r="W81" s="19">
        <f t="shared" si="42"/>
        <v>2.1</v>
      </c>
      <c r="X81" s="31">
        <f t="shared" si="42"/>
        <v>10.86</v>
      </c>
      <c r="Z81" s="41">
        <f t="shared" ref="Z81:AH81" si="43">MAX(Z49:Z79)</f>
        <v>12.71</v>
      </c>
      <c r="AA81" s="19">
        <f t="shared" si="43"/>
        <v>21.26</v>
      </c>
      <c r="AB81" s="19">
        <f t="shared" si="43"/>
        <v>40.47</v>
      </c>
      <c r="AC81" s="19">
        <f t="shared" si="43"/>
        <v>47.18</v>
      </c>
      <c r="AD81" s="19">
        <f t="shared" si="43"/>
        <v>421</v>
      </c>
      <c r="AE81" s="19">
        <f t="shared" si="43"/>
        <v>31.2</v>
      </c>
      <c r="AF81" s="19">
        <f t="shared" si="43"/>
        <v>4.5</v>
      </c>
      <c r="AG81" s="19">
        <f t="shared" si="43"/>
        <v>2.57</v>
      </c>
      <c r="AH81" s="31">
        <f t="shared" si="43"/>
        <v>8.3699999999999992</v>
      </c>
    </row>
    <row r="82" spans="1:34">
      <c r="A82" s="18" t="s">
        <v>36</v>
      </c>
      <c r="B82" s="19">
        <f t="shared" ref="B82:L82" si="44">AVERAGE(B49:B79)</f>
        <v>37.600454545454554</v>
      </c>
      <c r="C82" s="19">
        <f t="shared" si="44"/>
        <v>20.935909090909092</v>
      </c>
      <c r="D82" s="19">
        <f t="shared" si="44"/>
        <v>11.016818181818183</v>
      </c>
      <c r="E82" s="19">
        <f t="shared" si="44"/>
        <v>19.735909090909093</v>
      </c>
      <c r="F82" s="19">
        <f t="shared" si="44"/>
        <v>34.007727272727273</v>
      </c>
      <c r="G82" s="19">
        <f t="shared" si="44"/>
        <v>45.897272727272721</v>
      </c>
      <c r="H82" s="19">
        <f t="shared" si="44"/>
        <v>389.40909090909093</v>
      </c>
      <c r="I82" s="19">
        <f t="shared" si="44"/>
        <v>8.7350000000000012</v>
      </c>
      <c r="J82" s="19">
        <f t="shared" si="44"/>
        <v>0.88636363636363635</v>
      </c>
      <c r="K82" s="19">
        <f t="shared" si="44"/>
        <v>2.2719545454545456</v>
      </c>
      <c r="L82" s="31">
        <f t="shared" si="44"/>
        <v>7.3986363636363626</v>
      </c>
      <c r="M82" s="22"/>
      <c r="N82" s="19">
        <f t="shared" ref="N82:X82" si="45">AVERAGE(N49:N79)</f>
        <v>38.07</v>
      </c>
      <c r="O82" s="19">
        <f t="shared" si="45"/>
        <v>15.36</v>
      </c>
      <c r="P82" s="19">
        <f t="shared" si="45"/>
        <v>9.64</v>
      </c>
      <c r="Q82" s="19">
        <f t="shared" si="45"/>
        <v>16.46</v>
      </c>
      <c r="R82" s="19">
        <f t="shared" si="45"/>
        <v>26.82</v>
      </c>
      <c r="S82" s="19">
        <f t="shared" si="45"/>
        <v>46.08</v>
      </c>
      <c r="T82" s="19">
        <f t="shared" si="45"/>
        <v>398</v>
      </c>
      <c r="U82" s="19">
        <f t="shared" si="45"/>
        <v>9.44</v>
      </c>
      <c r="V82" s="19">
        <f t="shared" si="45"/>
        <v>1</v>
      </c>
      <c r="W82" s="19">
        <f t="shared" si="45"/>
        <v>2.1</v>
      </c>
      <c r="X82" s="31">
        <f t="shared" si="45"/>
        <v>10.86</v>
      </c>
      <c r="Z82" s="41">
        <f>AVERAGE(Z49:Z79)</f>
        <v>11.444285714285716</v>
      </c>
      <c r="AA82" s="19">
        <f t="shared" ref="AA82:AH82" si="46">AVERAGE(AA49:AA79)</f>
        <v>20.322857142857142</v>
      </c>
      <c r="AB82" s="19">
        <f t="shared" si="46"/>
        <v>34.448571428571434</v>
      </c>
      <c r="AC82" s="19">
        <f t="shared" si="46"/>
        <v>45.365714285714283</v>
      </c>
      <c r="AD82" s="19">
        <f t="shared" si="46"/>
        <v>389.14285714285717</v>
      </c>
      <c r="AE82" s="19">
        <f t="shared" si="46"/>
        <v>11.982857142857144</v>
      </c>
      <c r="AF82" s="19">
        <f t="shared" si="46"/>
        <v>1.3571428571428572</v>
      </c>
      <c r="AG82" s="19">
        <f t="shared" si="46"/>
        <v>2.2799999999999998</v>
      </c>
      <c r="AH82" s="31">
        <f t="shared" si="46"/>
        <v>7.7971428571428572</v>
      </c>
    </row>
    <row r="83" spans="1:34" ht="15.75" thickBot="1">
      <c r="A83" s="20" t="s">
        <v>130</v>
      </c>
      <c r="B83" s="21">
        <f>STDEV(B49:B79)</f>
        <v>3.0604084341064328</v>
      </c>
      <c r="C83" s="21">
        <f t="shared" ref="C83:L83" si="47">STDEV(C49:C79)</f>
        <v>3.5184502257871855</v>
      </c>
      <c r="D83" s="21">
        <f t="shared" si="47"/>
        <v>1.0790886205878789</v>
      </c>
      <c r="E83" s="21">
        <f t="shared" si="47"/>
        <v>1.7706352346542562</v>
      </c>
      <c r="F83" s="21">
        <f t="shared" si="47"/>
        <v>2.325404075113422</v>
      </c>
      <c r="G83" s="21">
        <f t="shared" si="47"/>
        <v>1.2062424214148577</v>
      </c>
      <c r="H83" s="21">
        <f t="shared" si="47"/>
        <v>18.347593824101274</v>
      </c>
      <c r="I83" s="21">
        <f t="shared" si="47"/>
        <v>1.345411071896224</v>
      </c>
      <c r="J83" s="21">
        <f t="shared" si="47"/>
        <v>0.51017779771505656</v>
      </c>
      <c r="K83" s="21">
        <f t="shared" si="47"/>
        <v>0.16701738639826499</v>
      </c>
      <c r="L83" s="32">
        <f t="shared" si="47"/>
        <v>0.83126579013743673</v>
      </c>
      <c r="M83" s="22"/>
      <c r="N83" s="21" t="e">
        <f>STDEV(N49:N79)</f>
        <v>#DIV/0!</v>
      </c>
      <c r="O83" s="21" t="e">
        <f t="shared" ref="O83:X83" si="48">STDEV(O49:O79)</f>
        <v>#DIV/0!</v>
      </c>
      <c r="P83" s="21" t="e">
        <f t="shared" si="48"/>
        <v>#DIV/0!</v>
      </c>
      <c r="Q83" s="21" t="e">
        <f t="shared" si="48"/>
        <v>#DIV/0!</v>
      </c>
      <c r="R83" s="21" t="e">
        <f t="shared" si="48"/>
        <v>#DIV/0!</v>
      </c>
      <c r="S83" s="21" t="e">
        <f t="shared" si="48"/>
        <v>#DIV/0!</v>
      </c>
      <c r="T83" s="21" t="e">
        <f t="shared" si="48"/>
        <v>#DIV/0!</v>
      </c>
      <c r="U83" s="21" t="e">
        <f t="shared" si="48"/>
        <v>#DIV/0!</v>
      </c>
      <c r="V83" s="21" t="e">
        <f t="shared" si="48"/>
        <v>#DIV/0!</v>
      </c>
      <c r="W83" s="21" t="e">
        <f t="shared" si="48"/>
        <v>#DIV/0!</v>
      </c>
      <c r="X83" s="32" t="e">
        <f t="shared" si="48"/>
        <v>#DIV/0!</v>
      </c>
      <c r="Z83" s="42">
        <f>STDEV(Z49:Z79)</f>
        <v>0.92131893035396373</v>
      </c>
      <c r="AA83" s="21">
        <f t="shared" ref="AA83:AH83" si="49">STDEV(AA49:AA79)</f>
        <v>1.4421363121623223</v>
      </c>
      <c r="AB83" s="21">
        <f t="shared" si="49"/>
        <v>4.0674989390345369</v>
      </c>
      <c r="AC83" s="21">
        <f t="shared" si="49"/>
        <v>1.2108517269929895</v>
      </c>
      <c r="AD83" s="21">
        <f t="shared" si="49"/>
        <v>24.57253596618639</v>
      </c>
      <c r="AE83" s="21">
        <f t="shared" si="49"/>
        <v>8.5607743307984183</v>
      </c>
      <c r="AF83" s="21">
        <f t="shared" si="49"/>
        <v>1.4057704208690964</v>
      </c>
      <c r="AG83" s="21">
        <f t="shared" si="49"/>
        <v>0.16593171286204852</v>
      </c>
      <c r="AH83" s="32">
        <f t="shared" si="49"/>
        <v>0.62403830773744129</v>
      </c>
    </row>
    <row r="84" spans="1:34" ht="15.75" thickBot="1"/>
    <row r="85" spans="1:34" ht="15.75" customHeight="1" thickBot="1">
      <c r="A85" s="1"/>
      <c r="B85" s="338" t="s">
        <v>0</v>
      </c>
      <c r="C85" s="339"/>
      <c r="D85" s="339"/>
      <c r="E85" s="339"/>
      <c r="F85" s="339"/>
      <c r="G85" s="339"/>
      <c r="H85" s="339"/>
      <c r="I85" s="339"/>
      <c r="J85" s="339"/>
      <c r="K85" s="339"/>
      <c r="L85" s="339"/>
      <c r="M85" s="339"/>
      <c r="N85" s="339"/>
      <c r="O85" s="339"/>
      <c r="P85" s="339"/>
      <c r="Q85" s="339"/>
      <c r="R85" s="339"/>
      <c r="S85" s="339"/>
      <c r="T85" s="339"/>
      <c r="U85" s="339"/>
      <c r="V85" s="339"/>
      <c r="W85" s="339"/>
      <c r="X85" s="339"/>
      <c r="Y85" s="339"/>
      <c r="Z85" s="339"/>
      <c r="AA85" s="339"/>
      <c r="AB85" s="339"/>
      <c r="AC85" s="339"/>
      <c r="AD85" s="340"/>
      <c r="AE85" s="340"/>
      <c r="AF85" s="340"/>
      <c r="AG85" s="340"/>
      <c r="AH85" s="340"/>
    </row>
    <row r="86" spans="1:34" ht="30.75" customHeight="1" thickBot="1">
      <c r="A86" s="1"/>
      <c r="B86" s="338" t="s">
        <v>160</v>
      </c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  <c r="AA86" s="339"/>
      <c r="AB86" s="339"/>
      <c r="AC86" s="339"/>
      <c r="AD86" s="4"/>
      <c r="AE86" s="43" t="s">
        <v>107</v>
      </c>
      <c r="AF86" s="341">
        <v>46054</v>
      </c>
      <c r="AG86" s="342"/>
      <c r="AH86" s="343"/>
    </row>
    <row r="87" spans="1:34">
      <c r="A87" s="344"/>
      <c r="B87" s="346" t="s">
        <v>132</v>
      </c>
      <c r="C87" s="347"/>
      <c r="D87" s="347"/>
      <c r="E87" s="347"/>
      <c r="F87" s="347"/>
      <c r="G87" s="347"/>
      <c r="H87" s="347"/>
      <c r="I87" s="347"/>
      <c r="J87" s="347"/>
      <c r="K87" s="348"/>
      <c r="L87" s="349"/>
      <c r="M87" s="22"/>
      <c r="N87" s="350" t="s">
        <v>133</v>
      </c>
      <c r="O87" s="347"/>
      <c r="P87" s="347"/>
      <c r="Q87" s="347"/>
      <c r="R87" s="347"/>
      <c r="S87" s="347"/>
      <c r="T87" s="347"/>
      <c r="U87" s="347"/>
      <c r="V87" s="347"/>
      <c r="W87" s="348"/>
      <c r="X87" s="349"/>
      <c r="Y87" s="22"/>
      <c r="Z87" s="346" t="s">
        <v>134</v>
      </c>
      <c r="AA87" s="347"/>
      <c r="AB87" s="347"/>
      <c r="AC87" s="347"/>
      <c r="AD87" s="347"/>
      <c r="AE87" s="347"/>
      <c r="AF87" s="347"/>
      <c r="AG87" s="348"/>
      <c r="AH87" s="349"/>
    </row>
    <row r="88" spans="1:34" ht="25.5">
      <c r="A88" s="345"/>
      <c r="B88" s="359" t="s">
        <v>135</v>
      </c>
      <c r="C88" s="361" t="s">
        <v>136</v>
      </c>
      <c r="D88" s="5" t="s">
        <v>137</v>
      </c>
      <c r="E88" s="5" t="s">
        <v>138</v>
      </c>
      <c r="F88" s="5" t="s">
        <v>139</v>
      </c>
      <c r="G88" s="5" t="s">
        <v>140</v>
      </c>
      <c r="H88" s="5" t="s">
        <v>141</v>
      </c>
      <c r="I88" s="5" t="s">
        <v>142</v>
      </c>
      <c r="J88" s="5" t="s">
        <v>143</v>
      </c>
      <c r="K88" s="181" t="s">
        <v>81</v>
      </c>
      <c r="L88" s="23" t="s">
        <v>144</v>
      </c>
      <c r="M88" s="22"/>
      <c r="N88" s="355" t="s">
        <v>135</v>
      </c>
      <c r="O88" s="357" t="s">
        <v>136</v>
      </c>
      <c r="P88" s="5" t="s">
        <v>137</v>
      </c>
      <c r="Q88" s="5" t="s">
        <v>138</v>
      </c>
      <c r="R88" s="5" t="s">
        <v>139</v>
      </c>
      <c r="S88" s="5" t="s">
        <v>140</v>
      </c>
      <c r="T88" s="5" t="s">
        <v>141</v>
      </c>
      <c r="U88" s="5" t="s">
        <v>142</v>
      </c>
      <c r="V88" s="5" t="s">
        <v>143</v>
      </c>
      <c r="W88" s="181" t="s">
        <v>81</v>
      </c>
      <c r="X88" s="23" t="s">
        <v>144</v>
      </c>
      <c r="Y88" s="22"/>
      <c r="Z88" s="33" t="s">
        <v>137</v>
      </c>
      <c r="AA88" s="5" t="s">
        <v>138</v>
      </c>
      <c r="AB88" s="5" t="s">
        <v>139</v>
      </c>
      <c r="AC88" s="5" t="s">
        <v>140</v>
      </c>
      <c r="AD88" s="5" t="s">
        <v>141</v>
      </c>
      <c r="AE88" s="5" t="s">
        <v>142</v>
      </c>
      <c r="AF88" s="5" t="s">
        <v>143</v>
      </c>
      <c r="AG88" s="181" t="s">
        <v>81</v>
      </c>
      <c r="AH88" s="23" t="s">
        <v>144</v>
      </c>
    </row>
    <row r="89" spans="1:34">
      <c r="A89" s="6" t="s">
        <v>145</v>
      </c>
      <c r="B89" s="360"/>
      <c r="C89" s="362"/>
      <c r="D89" s="5" t="s">
        <v>128</v>
      </c>
      <c r="E89" s="5" t="s">
        <v>128</v>
      </c>
      <c r="F89" s="5" t="s">
        <v>128</v>
      </c>
      <c r="G89" s="5" t="s">
        <v>128</v>
      </c>
      <c r="H89" s="5" t="s">
        <v>125</v>
      </c>
      <c r="I89" s="5" t="s">
        <v>146</v>
      </c>
      <c r="J89" s="5" t="s">
        <v>127</v>
      </c>
      <c r="K89" s="181" t="s">
        <v>53</v>
      </c>
      <c r="L89" s="23" t="s">
        <v>53</v>
      </c>
      <c r="M89" s="22"/>
      <c r="N89" s="356"/>
      <c r="O89" s="358"/>
      <c r="P89" s="5" t="s">
        <v>128</v>
      </c>
      <c r="Q89" s="5" t="s">
        <v>128</v>
      </c>
      <c r="R89" s="5" t="s">
        <v>128</v>
      </c>
      <c r="S89" s="5" t="s">
        <v>128</v>
      </c>
      <c r="T89" s="5" t="s">
        <v>125</v>
      </c>
      <c r="U89" s="5" t="s">
        <v>146</v>
      </c>
      <c r="V89" s="5" t="s">
        <v>127</v>
      </c>
      <c r="W89" s="181" t="s">
        <v>53</v>
      </c>
      <c r="X89" s="23" t="s">
        <v>53</v>
      </c>
      <c r="Y89" s="22"/>
      <c r="Z89" s="33" t="s">
        <v>128</v>
      </c>
      <c r="AA89" s="5" t="s">
        <v>128</v>
      </c>
      <c r="AB89" s="5" t="s">
        <v>128</v>
      </c>
      <c r="AC89" s="5" t="s">
        <v>128</v>
      </c>
      <c r="AD89" s="5" t="s">
        <v>125</v>
      </c>
      <c r="AE89" s="5" t="s">
        <v>146</v>
      </c>
      <c r="AF89" s="5" t="s">
        <v>127</v>
      </c>
      <c r="AG89" s="181" t="s">
        <v>53</v>
      </c>
      <c r="AH89" s="23" t="s">
        <v>53</v>
      </c>
    </row>
    <row r="90" spans="1:34" ht="39" thickBot="1">
      <c r="A90" s="7" t="s">
        <v>147</v>
      </c>
      <c r="B90" s="8" t="s">
        <v>148</v>
      </c>
      <c r="C90" s="9" t="s">
        <v>149</v>
      </c>
      <c r="D90" s="9" t="s">
        <v>161</v>
      </c>
      <c r="E90" s="9" t="s">
        <v>162</v>
      </c>
      <c r="F90" s="9" t="s">
        <v>163</v>
      </c>
      <c r="G90" s="9" t="s">
        <v>164</v>
      </c>
      <c r="H90" s="9" t="s">
        <v>154</v>
      </c>
      <c r="I90" s="24" t="s">
        <v>155</v>
      </c>
      <c r="J90" s="24" t="s">
        <v>156</v>
      </c>
      <c r="K90" s="24" t="s">
        <v>179</v>
      </c>
      <c r="L90" s="25" t="s">
        <v>157</v>
      </c>
      <c r="M90" s="22"/>
      <c r="N90" s="8" t="s">
        <v>148</v>
      </c>
      <c r="O90" s="9" t="s">
        <v>149</v>
      </c>
      <c r="P90" s="9" t="s">
        <v>161</v>
      </c>
      <c r="Q90" s="9" t="s">
        <v>162</v>
      </c>
      <c r="R90" s="9" t="s">
        <v>163</v>
      </c>
      <c r="S90" s="9" t="s">
        <v>164</v>
      </c>
      <c r="T90" s="9" t="s">
        <v>154</v>
      </c>
      <c r="U90" s="24" t="s">
        <v>155</v>
      </c>
      <c r="V90" s="24" t="s">
        <v>156</v>
      </c>
      <c r="W90" s="24" t="s">
        <v>179</v>
      </c>
      <c r="X90" s="25" t="s">
        <v>157</v>
      </c>
      <c r="Y90" s="22"/>
      <c r="Z90" s="8" t="s">
        <v>161</v>
      </c>
      <c r="AA90" s="9" t="s">
        <v>162</v>
      </c>
      <c r="AB90" s="9" t="s">
        <v>163</v>
      </c>
      <c r="AC90" s="9" t="s">
        <v>164</v>
      </c>
      <c r="AD90" s="9" t="s">
        <v>154</v>
      </c>
      <c r="AE90" s="9" t="s">
        <v>155</v>
      </c>
      <c r="AF90" s="9" t="s">
        <v>156</v>
      </c>
      <c r="AG90" s="24" t="s">
        <v>179</v>
      </c>
      <c r="AH90" s="23" t="s">
        <v>157</v>
      </c>
    </row>
    <row r="91" spans="1:34">
      <c r="A91" s="10">
        <f>AF86+0</f>
        <v>46054</v>
      </c>
      <c r="B91" s="67">
        <v>39.450000000000003</v>
      </c>
      <c r="C91" s="54">
        <v>20.98</v>
      </c>
      <c r="D91" s="54">
        <v>10.78</v>
      </c>
      <c r="E91" s="54">
        <v>21.68</v>
      </c>
      <c r="F91" s="54">
        <v>35.700000000000003</v>
      </c>
      <c r="G91" s="54">
        <v>44.44</v>
      </c>
      <c r="H91" s="54">
        <v>343</v>
      </c>
      <c r="I91" s="63">
        <v>9.24</v>
      </c>
      <c r="J91" s="54">
        <v>0.5</v>
      </c>
      <c r="K91" s="183">
        <v>2.0699999999999998</v>
      </c>
      <c r="L91" s="55">
        <v>6.16</v>
      </c>
      <c r="M91" s="22"/>
      <c r="N91" s="29" t="s">
        <v>35</v>
      </c>
      <c r="O91" s="13" t="s">
        <v>35</v>
      </c>
      <c r="P91" s="13" t="s">
        <v>35</v>
      </c>
      <c r="Q91" s="13" t="s">
        <v>35</v>
      </c>
      <c r="R91" s="13" t="s">
        <v>35</v>
      </c>
      <c r="S91" s="13" t="s">
        <v>35</v>
      </c>
      <c r="T91" s="13" t="s">
        <v>35</v>
      </c>
      <c r="U91" s="13" t="s">
        <v>35</v>
      </c>
      <c r="V91" s="13" t="s">
        <v>35</v>
      </c>
      <c r="W91" s="13" t="s">
        <v>35</v>
      </c>
      <c r="X91" s="37" t="s">
        <v>35</v>
      </c>
      <c r="Y91" s="22"/>
      <c r="Z91" s="148">
        <v>10.75</v>
      </c>
      <c r="AA91" s="63">
        <v>21.21</v>
      </c>
      <c r="AB91" s="63">
        <v>32.159999999999997</v>
      </c>
      <c r="AC91" s="63">
        <v>42.15</v>
      </c>
      <c r="AD91" s="159">
        <v>362</v>
      </c>
      <c r="AE91" s="63">
        <v>7.64</v>
      </c>
      <c r="AF91" s="63">
        <v>1</v>
      </c>
      <c r="AG91" s="183">
        <v>2.0699999999999998</v>
      </c>
      <c r="AH91" s="149">
        <v>8.24</v>
      </c>
    </row>
    <row r="92" spans="1:34">
      <c r="A92" s="14">
        <f t="shared" ref="A92:A118" si="50">A91+1</f>
        <v>46055</v>
      </c>
      <c r="B92" s="67">
        <v>38.56</v>
      </c>
      <c r="C92" s="54">
        <v>26.06</v>
      </c>
      <c r="D92" s="54">
        <v>11.98</v>
      </c>
      <c r="E92" s="54">
        <v>22.7</v>
      </c>
      <c r="F92" s="54">
        <v>33.74</v>
      </c>
      <c r="G92" s="54">
        <v>44.46</v>
      </c>
      <c r="H92" s="54">
        <v>361</v>
      </c>
      <c r="I92" s="63">
        <v>10.92</v>
      </c>
      <c r="J92" s="54">
        <v>0.5</v>
      </c>
      <c r="K92" s="183">
        <v>2.33</v>
      </c>
      <c r="L92" s="55">
        <v>6.3</v>
      </c>
      <c r="M92" s="22"/>
      <c r="N92" s="29" t="s">
        <v>35</v>
      </c>
      <c r="O92" s="13" t="s">
        <v>35</v>
      </c>
      <c r="P92" s="13" t="s">
        <v>35</v>
      </c>
      <c r="Q92" s="13" t="s">
        <v>35</v>
      </c>
      <c r="R92" s="13" t="s">
        <v>35</v>
      </c>
      <c r="S92" s="13" t="s">
        <v>35</v>
      </c>
      <c r="T92" s="13" t="s">
        <v>35</v>
      </c>
      <c r="U92" s="13" t="s">
        <v>35</v>
      </c>
      <c r="V92" s="13" t="s">
        <v>35</v>
      </c>
      <c r="W92" s="13" t="s">
        <v>35</v>
      </c>
      <c r="X92" s="37" t="s">
        <v>35</v>
      </c>
      <c r="Y92" s="22"/>
      <c r="Z92" s="38" t="s">
        <v>35</v>
      </c>
      <c r="AA92" s="13" t="s">
        <v>35</v>
      </c>
      <c r="AB92" s="13" t="s">
        <v>35</v>
      </c>
      <c r="AC92" s="13" t="s">
        <v>35</v>
      </c>
      <c r="AD92" s="36" t="s">
        <v>35</v>
      </c>
      <c r="AE92" s="13" t="s">
        <v>35</v>
      </c>
      <c r="AF92" s="13" t="s">
        <v>35</v>
      </c>
      <c r="AG92" s="183"/>
      <c r="AH92" s="37" t="s">
        <v>35</v>
      </c>
    </row>
    <row r="93" spans="1:34">
      <c r="A93" s="14">
        <f t="shared" si="50"/>
        <v>46056</v>
      </c>
      <c r="B93" s="67">
        <v>39.21</v>
      </c>
      <c r="C93" s="13">
        <v>27</v>
      </c>
      <c r="D93" s="12">
        <v>11.95</v>
      </c>
      <c r="E93" s="12">
        <v>20.56</v>
      </c>
      <c r="F93" s="12">
        <v>38.840000000000003</v>
      </c>
      <c r="G93" s="12">
        <v>44.86</v>
      </c>
      <c r="H93" s="12">
        <v>364</v>
      </c>
      <c r="I93" s="13">
        <v>10.119999999999999</v>
      </c>
      <c r="J93" s="13">
        <v>1</v>
      </c>
      <c r="K93" s="184">
        <v>2.125</v>
      </c>
      <c r="L93" s="26">
        <v>8.6300000000000008</v>
      </c>
      <c r="M93" s="22"/>
      <c r="N93" s="29" t="s">
        <v>35</v>
      </c>
      <c r="O93" s="13" t="s">
        <v>35</v>
      </c>
      <c r="P93" s="13" t="s">
        <v>35</v>
      </c>
      <c r="Q93" s="13" t="s">
        <v>35</v>
      </c>
      <c r="R93" s="13" t="s">
        <v>35</v>
      </c>
      <c r="S93" s="13" t="s">
        <v>35</v>
      </c>
      <c r="T93" s="13" t="s">
        <v>35</v>
      </c>
      <c r="U93" s="13" t="s">
        <v>35</v>
      </c>
      <c r="V93" s="13" t="s">
        <v>35</v>
      </c>
      <c r="W93" s="13" t="s">
        <v>35</v>
      </c>
      <c r="X93" s="37" t="s">
        <v>35</v>
      </c>
      <c r="Y93" s="22"/>
      <c r="Z93" s="38" t="s">
        <v>35</v>
      </c>
      <c r="AA93" s="13" t="s">
        <v>35</v>
      </c>
      <c r="AB93" s="13" t="s">
        <v>35</v>
      </c>
      <c r="AC93" s="13" t="s">
        <v>35</v>
      </c>
      <c r="AD93" s="36" t="s">
        <v>35</v>
      </c>
      <c r="AE93" s="13" t="s">
        <v>35</v>
      </c>
      <c r="AF93" s="13" t="s">
        <v>35</v>
      </c>
      <c r="AG93" s="184"/>
      <c r="AH93" s="37" t="s">
        <v>35</v>
      </c>
    </row>
    <row r="94" spans="1:34">
      <c r="A94" s="14">
        <f t="shared" si="50"/>
        <v>46057</v>
      </c>
      <c r="B94" s="67">
        <v>38.17</v>
      </c>
      <c r="C94" s="13">
        <v>26</v>
      </c>
      <c r="D94" s="12">
        <v>11.04</v>
      </c>
      <c r="E94" s="12">
        <v>22.28</v>
      </c>
      <c r="F94" s="12">
        <v>32.9</v>
      </c>
      <c r="G94" s="12">
        <v>44.15</v>
      </c>
      <c r="H94" s="12">
        <v>353</v>
      </c>
      <c r="I94" s="13">
        <v>8.76</v>
      </c>
      <c r="J94" s="13">
        <v>1</v>
      </c>
      <c r="K94" s="184">
        <v>2.2240000000000002</v>
      </c>
      <c r="L94" s="26">
        <v>7.52</v>
      </c>
      <c r="M94" s="22"/>
      <c r="N94" s="29" t="s">
        <v>35</v>
      </c>
      <c r="O94" s="13" t="s">
        <v>35</v>
      </c>
      <c r="P94" s="13" t="s">
        <v>35</v>
      </c>
      <c r="Q94" s="13" t="s">
        <v>35</v>
      </c>
      <c r="R94" s="13" t="s">
        <v>35</v>
      </c>
      <c r="S94" s="13" t="s">
        <v>35</v>
      </c>
      <c r="T94" s="13" t="s">
        <v>35</v>
      </c>
      <c r="U94" s="13" t="s">
        <v>35</v>
      </c>
      <c r="V94" s="13" t="s">
        <v>35</v>
      </c>
      <c r="W94" s="13" t="s">
        <v>35</v>
      </c>
      <c r="X94" s="37" t="s">
        <v>35</v>
      </c>
      <c r="Y94" s="22"/>
      <c r="Z94" s="38">
        <v>9.91</v>
      </c>
      <c r="AA94" s="13">
        <v>20.74</v>
      </c>
      <c r="AB94" s="13">
        <v>34.06</v>
      </c>
      <c r="AC94" s="13">
        <v>44.17</v>
      </c>
      <c r="AD94" s="36">
        <v>387</v>
      </c>
      <c r="AE94" s="13">
        <v>10.8</v>
      </c>
      <c r="AF94" s="13">
        <v>1</v>
      </c>
      <c r="AG94" s="184">
        <v>2.0745</v>
      </c>
      <c r="AH94" s="45">
        <v>8.25</v>
      </c>
    </row>
    <row r="95" spans="1:34">
      <c r="A95" s="14">
        <f t="shared" si="50"/>
        <v>46058</v>
      </c>
      <c r="B95" s="67">
        <v>33.93</v>
      </c>
      <c r="C95" s="13">
        <v>26</v>
      </c>
      <c r="D95" s="12">
        <v>11.9</v>
      </c>
      <c r="E95" s="12">
        <v>21.93</v>
      </c>
      <c r="F95" s="12">
        <v>34.020000000000003</v>
      </c>
      <c r="G95" s="12">
        <v>43.27</v>
      </c>
      <c r="H95" s="12">
        <v>388</v>
      </c>
      <c r="I95" s="13">
        <v>8.6</v>
      </c>
      <c r="J95" s="13">
        <v>1.5</v>
      </c>
      <c r="K95" s="184">
        <v>2.13</v>
      </c>
      <c r="L95" s="26">
        <v>6.79</v>
      </c>
      <c r="M95" s="22"/>
      <c r="N95" s="29" t="s">
        <v>35</v>
      </c>
      <c r="O95" s="13" t="s">
        <v>35</v>
      </c>
      <c r="P95" s="13" t="s">
        <v>35</v>
      </c>
      <c r="Q95" s="13" t="s">
        <v>35</v>
      </c>
      <c r="R95" s="13" t="s">
        <v>35</v>
      </c>
      <c r="S95" s="13" t="s">
        <v>35</v>
      </c>
      <c r="T95" s="13" t="s">
        <v>35</v>
      </c>
      <c r="U95" s="13" t="s">
        <v>35</v>
      </c>
      <c r="V95" s="13" t="s">
        <v>35</v>
      </c>
      <c r="W95" s="13" t="s">
        <v>35</v>
      </c>
      <c r="X95" s="37" t="s">
        <v>35</v>
      </c>
      <c r="Y95" s="22"/>
      <c r="Z95" s="38" t="s">
        <v>35</v>
      </c>
      <c r="AA95" s="13" t="s">
        <v>35</v>
      </c>
      <c r="AB95" s="13" t="s">
        <v>35</v>
      </c>
      <c r="AC95" s="13" t="s">
        <v>35</v>
      </c>
      <c r="AD95" s="36" t="s">
        <v>35</v>
      </c>
      <c r="AE95" s="13" t="s">
        <v>35</v>
      </c>
      <c r="AF95" s="13" t="s">
        <v>35</v>
      </c>
      <c r="AG95" s="184"/>
      <c r="AH95" s="46" t="s">
        <v>35</v>
      </c>
    </row>
    <row r="96" spans="1:34">
      <c r="A96" s="14">
        <f t="shared" si="50"/>
        <v>46059</v>
      </c>
      <c r="B96" s="67">
        <v>38.61</v>
      </c>
      <c r="C96" s="13">
        <v>22.93</v>
      </c>
      <c r="D96" s="12">
        <v>12.36</v>
      </c>
      <c r="E96" s="12">
        <v>21.08</v>
      </c>
      <c r="F96" s="12">
        <v>35.42</v>
      </c>
      <c r="G96" s="12">
        <v>45.8</v>
      </c>
      <c r="H96" s="12">
        <v>389</v>
      </c>
      <c r="I96" s="13">
        <v>9.52</v>
      </c>
      <c r="J96" s="13">
        <v>0.5</v>
      </c>
      <c r="K96" s="184">
        <v>2.0499999999999998</v>
      </c>
      <c r="L96" s="26">
        <v>7.23</v>
      </c>
      <c r="M96" s="22"/>
      <c r="N96" s="29" t="s">
        <v>35</v>
      </c>
      <c r="O96" s="13" t="s">
        <v>35</v>
      </c>
      <c r="P96" s="13" t="s">
        <v>35</v>
      </c>
      <c r="Q96" s="13" t="s">
        <v>35</v>
      </c>
      <c r="R96" s="13" t="s">
        <v>35</v>
      </c>
      <c r="S96" s="13" t="s">
        <v>35</v>
      </c>
      <c r="T96" s="13" t="s">
        <v>35</v>
      </c>
      <c r="U96" s="13" t="s">
        <v>35</v>
      </c>
      <c r="V96" s="13" t="s">
        <v>35</v>
      </c>
      <c r="W96" s="13" t="s">
        <v>35</v>
      </c>
      <c r="X96" s="37" t="s">
        <v>35</v>
      </c>
      <c r="Y96" s="22"/>
      <c r="Z96" s="38" t="s">
        <v>35</v>
      </c>
      <c r="AA96" s="13" t="s">
        <v>35</v>
      </c>
      <c r="AB96" s="13" t="s">
        <v>35</v>
      </c>
      <c r="AC96" s="13" t="s">
        <v>35</v>
      </c>
      <c r="AD96" s="36" t="s">
        <v>35</v>
      </c>
      <c r="AE96" s="13" t="s">
        <v>35</v>
      </c>
      <c r="AF96" s="13" t="s">
        <v>35</v>
      </c>
      <c r="AG96" s="184"/>
      <c r="AH96" s="46" t="s">
        <v>35</v>
      </c>
    </row>
    <row r="97" spans="1:34">
      <c r="A97" s="14">
        <f t="shared" si="50"/>
        <v>46060</v>
      </c>
      <c r="B97" s="67">
        <v>38.69</v>
      </c>
      <c r="C97" s="13">
        <v>18.21</v>
      </c>
      <c r="D97" s="12">
        <v>10.33</v>
      </c>
      <c r="E97" s="12">
        <v>19.48</v>
      </c>
      <c r="F97" s="12">
        <v>36.75</v>
      </c>
      <c r="G97" s="12">
        <v>45.34</v>
      </c>
      <c r="H97" s="12">
        <v>410</v>
      </c>
      <c r="I97" s="13">
        <v>9.1999999999999993</v>
      </c>
      <c r="J97" s="13">
        <v>0.5</v>
      </c>
      <c r="K97" s="184">
        <v>2.2999999999999998</v>
      </c>
      <c r="L97" s="26">
        <v>9.5</v>
      </c>
      <c r="M97" s="22"/>
      <c r="N97" s="29" t="s">
        <v>35</v>
      </c>
      <c r="O97" s="13" t="s">
        <v>35</v>
      </c>
      <c r="P97" s="13" t="s">
        <v>35</v>
      </c>
      <c r="Q97" s="13" t="s">
        <v>35</v>
      </c>
      <c r="R97" s="13" t="s">
        <v>35</v>
      </c>
      <c r="S97" s="13" t="s">
        <v>35</v>
      </c>
      <c r="T97" s="13" t="s">
        <v>35</v>
      </c>
      <c r="U97" s="13" t="s">
        <v>35</v>
      </c>
      <c r="V97" s="13" t="s">
        <v>35</v>
      </c>
      <c r="W97" s="13" t="s">
        <v>35</v>
      </c>
      <c r="X97" s="37" t="s">
        <v>35</v>
      </c>
      <c r="Y97" s="22"/>
      <c r="Z97" s="38" t="s">
        <v>35</v>
      </c>
      <c r="AA97" s="13" t="s">
        <v>35</v>
      </c>
      <c r="AB97" s="13" t="s">
        <v>35</v>
      </c>
      <c r="AC97" s="13" t="s">
        <v>35</v>
      </c>
      <c r="AD97" s="36" t="s">
        <v>35</v>
      </c>
      <c r="AE97" s="13" t="s">
        <v>35</v>
      </c>
      <c r="AF97" s="13" t="s">
        <v>35</v>
      </c>
      <c r="AG97" s="184"/>
      <c r="AH97" s="46" t="s">
        <v>35</v>
      </c>
    </row>
    <row r="98" spans="1:34">
      <c r="A98" s="14">
        <f t="shared" si="50"/>
        <v>46061</v>
      </c>
      <c r="B98" s="67">
        <v>39.799999999999997</v>
      </c>
      <c r="C98" s="13">
        <v>26</v>
      </c>
      <c r="D98" s="12">
        <v>12.28</v>
      </c>
      <c r="E98" s="12">
        <v>20.22</v>
      </c>
      <c r="F98" s="12">
        <v>32.76</v>
      </c>
      <c r="G98" s="12">
        <v>44.7</v>
      </c>
      <c r="H98" s="12">
        <v>395</v>
      </c>
      <c r="I98" s="13">
        <v>8.56</v>
      </c>
      <c r="J98" s="13">
        <v>1</v>
      </c>
      <c r="K98" s="184">
        <v>2.23</v>
      </c>
      <c r="L98" s="26">
        <v>12.01</v>
      </c>
      <c r="M98" s="22"/>
      <c r="N98" s="29" t="s">
        <v>35</v>
      </c>
      <c r="O98" s="13" t="s">
        <v>35</v>
      </c>
      <c r="P98" s="13" t="s">
        <v>35</v>
      </c>
      <c r="Q98" s="13" t="s">
        <v>35</v>
      </c>
      <c r="R98" s="13" t="s">
        <v>35</v>
      </c>
      <c r="S98" s="13" t="s">
        <v>35</v>
      </c>
      <c r="T98" s="13" t="s">
        <v>35</v>
      </c>
      <c r="U98" s="13" t="s">
        <v>35</v>
      </c>
      <c r="V98" s="13" t="s">
        <v>35</v>
      </c>
      <c r="W98" s="13" t="s">
        <v>35</v>
      </c>
      <c r="X98" s="37" t="s">
        <v>35</v>
      </c>
      <c r="Y98" s="22"/>
      <c r="Z98" s="38">
        <v>11.53</v>
      </c>
      <c r="AA98" s="13">
        <v>21.65</v>
      </c>
      <c r="AB98" s="13">
        <v>34.94</v>
      </c>
      <c r="AC98" s="13">
        <v>46.93</v>
      </c>
      <c r="AD98" s="36">
        <v>401</v>
      </c>
      <c r="AE98" s="13">
        <v>8.9600000000000009</v>
      </c>
      <c r="AF98" s="13">
        <v>0.5</v>
      </c>
      <c r="AG98" s="184">
        <v>2.12</v>
      </c>
      <c r="AH98" s="45">
        <v>9.4499999999999993</v>
      </c>
    </row>
    <row r="99" spans="1:34">
      <c r="A99" s="14">
        <f t="shared" si="50"/>
        <v>46062</v>
      </c>
      <c r="B99" s="67">
        <v>39.1</v>
      </c>
      <c r="C99" s="13">
        <v>24.26</v>
      </c>
      <c r="D99" s="12">
        <v>10.11</v>
      </c>
      <c r="E99" s="12">
        <v>19.649999999999999</v>
      </c>
      <c r="F99" s="12">
        <v>32.76</v>
      </c>
      <c r="G99" s="12">
        <v>45.41</v>
      </c>
      <c r="H99" s="12">
        <v>376</v>
      </c>
      <c r="I99" s="13">
        <v>6.6</v>
      </c>
      <c r="J99" s="13">
        <v>0.5</v>
      </c>
      <c r="K99" s="184">
        <v>2.0699999999999998</v>
      </c>
      <c r="L99" s="26">
        <v>9.68</v>
      </c>
      <c r="M99" s="22"/>
      <c r="N99" s="29" t="s">
        <v>35</v>
      </c>
      <c r="O99" s="13" t="s">
        <v>35</v>
      </c>
      <c r="P99" s="13" t="s">
        <v>35</v>
      </c>
      <c r="Q99" s="13" t="s">
        <v>35</v>
      </c>
      <c r="R99" s="13" t="s">
        <v>35</v>
      </c>
      <c r="S99" s="13" t="s">
        <v>35</v>
      </c>
      <c r="T99" s="13" t="s">
        <v>35</v>
      </c>
      <c r="U99" s="13" t="s">
        <v>35</v>
      </c>
      <c r="V99" s="13" t="s">
        <v>35</v>
      </c>
      <c r="W99" s="13" t="s">
        <v>35</v>
      </c>
      <c r="X99" s="37" t="s">
        <v>35</v>
      </c>
      <c r="Y99" s="22"/>
      <c r="Z99" s="38">
        <v>11.24</v>
      </c>
      <c r="AA99" s="13">
        <v>20.93</v>
      </c>
      <c r="AB99" s="13">
        <v>33.880000000000003</v>
      </c>
      <c r="AC99" s="13">
        <v>47.89</v>
      </c>
      <c r="AD99" s="36">
        <v>390</v>
      </c>
      <c r="AE99" s="13">
        <v>11.36</v>
      </c>
      <c r="AF99" s="13">
        <v>0.5</v>
      </c>
      <c r="AG99" s="184">
        <v>2.06</v>
      </c>
      <c r="AH99" s="45">
        <v>8.83</v>
      </c>
    </row>
    <row r="100" spans="1:34">
      <c r="A100" s="14">
        <f t="shared" si="50"/>
        <v>46063</v>
      </c>
      <c r="B100" s="155" t="s">
        <v>35</v>
      </c>
      <c r="C100" s="12" t="s">
        <v>35</v>
      </c>
      <c r="D100" s="13" t="s">
        <v>35</v>
      </c>
      <c r="E100" s="13" t="s">
        <v>35</v>
      </c>
      <c r="F100" s="13" t="s">
        <v>35</v>
      </c>
      <c r="G100" s="13" t="s">
        <v>35</v>
      </c>
      <c r="H100" s="36" t="s">
        <v>35</v>
      </c>
      <c r="I100" s="13" t="s">
        <v>35</v>
      </c>
      <c r="J100" s="13" t="s">
        <v>35</v>
      </c>
      <c r="K100" s="184"/>
      <c r="L100" s="37" t="s">
        <v>35</v>
      </c>
      <c r="M100" s="22"/>
      <c r="N100" s="29" t="s">
        <v>35</v>
      </c>
      <c r="O100" s="13" t="s">
        <v>35</v>
      </c>
      <c r="P100" s="13" t="s">
        <v>35</v>
      </c>
      <c r="Q100" s="13" t="s">
        <v>35</v>
      </c>
      <c r="R100" s="13" t="s">
        <v>35</v>
      </c>
      <c r="S100" s="13" t="s">
        <v>35</v>
      </c>
      <c r="T100" s="13" t="s">
        <v>35</v>
      </c>
      <c r="U100" s="13" t="s">
        <v>35</v>
      </c>
      <c r="V100" s="13" t="s">
        <v>35</v>
      </c>
      <c r="W100" s="13" t="s">
        <v>35</v>
      </c>
      <c r="X100" s="37" t="s">
        <v>35</v>
      </c>
      <c r="Y100" s="22"/>
      <c r="Z100" s="38">
        <v>11.52</v>
      </c>
      <c r="AA100" s="13">
        <v>21.27</v>
      </c>
      <c r="AB100" s="13">
        <v>33.880000000000003</v>
      </c>
      <c r="AC100" s="13">
        <v>45.29</v>
      </c>
      <c r="AD100" s="36">
        <v>402</v>
      </c>
      <c r="AE100" s="13">
        <v>8.48</v>
      </c>
      <c r="AF100" s="13">
        <v>0.5</v>
      </c>
      <c r="AG100" s="184">
        <v>2.34</v>
      </c>
      <c r="AH100" s="45">
        <v>8.81</v>
      </c>
    </row>
    <row r="101" spans="1:34">
      <c r="A101" s="14">
        <f t="shared" si="50"/>
        <v>46064</v>
      </c>
      <c r="B101" s="38">
        <v>35.4</v>
      </c>
      <c r="C101" s="13">
        <v>22</v>
      </c>
      <c r="D101" s="12">
        <v>10.95</v>
      </c>
      <c r="E101" s="12">
        <v>19.87</v>
      </c>
      <c r="F101" s="12">
        <v>34.520000000000003</v>
      </c>
      <c r="G101" s="12">
        <v>44.18</v>
      </c>
      <c r="H101" s="12">
        <v>415</v>
      </c>
      <c r="I101" s="13">
        <v>10.8</v>
      </c>
      <c r="J101" s="13">
        <v>1</v>
      </c>
      <c r="K101" s="184">
        <v>2.056</v>
      </c>
      <c r="L101" s="26">
        <v>8.65</v>
      </c>
      <c r="M101" s="22"/>
      <c r="N101" s="29" t="s">
        <v>35</v>
      </c>
      <c r="O101" s="13" t="s">
        <v>35</v>
      </c>
      <c r="P101" s="13" t="s">
        <v>35</v>
      </c>
      <c r="Q101" s="13" t="s">
        <v>35</v>
      </c>
      <c r="R101" s="13" t="s">
        <v>35</v>
      </c>
      <c r="S101" s="13" t="s">
        <v>35</v>
      </c>
      <c r="T101" s="13" t="s">
        <v>35</v>
      </c>
      <c r="U101" s="13" t="s">
        <v>35</v>
      </c>
      <c r="V101" s="13" t="s">
        <v>35</v>
      </c>
      <c r="W101" s="13" t="s">
        <v>35</v>
      </c>
      <c r="X101" s="37" t="s">
        <v>35</v>
      </c>
      <c r="Y101" s="22"/>
      <c r="Z101" s="38">
        <v>11.64</v>
      </c>
      <c r="AA101" s="13">
        <v>20.39</v>
      </c>
      <c r="AB101" s="13">
        <v>32.4</v>
      </c>
      <c r="AC101" s="13">
        <v>44.78</v>
      </c>
      <c r="AD101" s="36">
        <v>434</v>
      </c>
      <c r="AE101" s="13">
        <v>8.84</v>
      </c>
      <c r="AF101" s="13">
        <v>0.5</v>
      </c>
      <c r="AG101" s="184">
        <v>2.1920000000000002</v>
      </c>
      <c r="AH101" s="45">
        <v>8.84</v>
      </c>
    </row>
    <row r="102" spans="1:34">
      <c r="A102" s="14">
        <f t="shared" si="50"/>
        <v>46065</v>
      </c>
      <c r="B102" s="11">
        <v>38.61</v>
      </c>
      <c r="C102" s="13">
        <v>26.8</v>
      </c>
      <c r="D102" s="12">
        <v>10.87</v>
      </c>
      <c r="E102" s="12">
        <v>20.94</v>
      </c>
      <c r="F102" s="12">
        <v>33.64</v>
      </c>
      <c r="G102" s="12">
        <v>46.37</v>
      </c>
      <c r="H102" s="12">
        <v>413</v>
      </c>
      <c r="I102" s="13">
        <v>10</v>
      </c>
      <c r="J102" s="13">
        <v>0.5</v>
      </c>
      <c r="K102" s="184">
        <v>2.21</v>
      </c>
      <c r="L102" s="26">
        <v>7.81</v>
      </c>
      <c r="M102" s="22"/>
      <c r="N102" s="29" t="s">
        <v>35</v>
      </c>
      <c r="O102" s="13" t="s">
        <v>35</v>
      </c>
      <c r="P102" s="13" t="s">
        <v>35</v>
      </c>
      <c r="Q102" s="13" t="s">
        <v>35</v>
      </c>
      <c r="R102" s="13" t="s">
        <v>35</v>
      </c>
      <c r="S102" s="13" t="s">
        <v>35</v>
      </c>
      <c r="T102" s="13" t="s">
        <v>35</v>
      </c>
      <c r="U102" s="13" t="s">
        <v>35</v>
      </c>
      <c r="V102" s="13" t="s">
        <v>35</v>
      </c>
      <c r="W102" s="13" t="s">
        <v>35</v>
      </c>
      <c r="X102" s="37" t="s">
        <v>35</v>
      </c>
      <c r="Y102" s="22"/>
      <c r="Z102" s="38">
        <v>10.57</v>
      </c>
      <c r="AA102" s="13">
        <v>18.62</v>
      </c>
      <c r="AB102" s="13">
        <v>33.44</v>
      </c>
      <c r="AC102" s="13">
        <v>44.86</v>
      </c>
      <c r="AD102" s="36">
        <v>383</v>
      </c>
      <c r="AE102" s="13">
        <v>8.64</v>
      </c>
      <c r="AF102" s="13">
        <v>1</v>
      </c>
      <c r="AG102" s="184">
        <v>2.12</v>
      </c>
      <c r="AH102" s="45">
        <v>10.11</v>
      </c>
    </row>
    <row r="103" spans="1:34">
      <c r="A103" s="14">
        <f t="shared" si="50"/>
        <v>46066</v>
      </c>
      <c r="B103" s="11">
        <v>38.69</v>
      </c>
      <c r="C103" s="13">
        <v>25</v>
      </c>
      <c r="D103" s="12">
        <v>10.8</v>
      </c>
      <c r="E103" s="12">
        <v>19.649999999999999</v>
      </c>
      <c r="F103" s="12">
        <v>34.26</v>
      </c>
      <c r="G103" s="12">
        <v>46.52</v>
      </c>
      <c r="H103" s="12">
        <v>408</v>
      </c>
      <c r="I103" s="13">
        <v>9.6</v>
      </c>
      <c r="J103" s="13">
        <v>0.5</v>
      </c>
      <c r="K103" s="184">
        <v>2.21</v>
      </c>
      <c r="L103" s="26">
        <v>8.7899999999999991</v>
      </c>
      <c r="M103" s="22"/>
      <c r="N103" s="29" t="s">
        <v>35</v>
      </c>
      <c r="O103" s="13" t="s">
        <v>35</v>
      </c>
      <c r="P103" s="13" t="s">
        <v>35</v>
      </c>
      <c r="Q103" s="13" t="s">
        <v>35</v>
      </c>
      <c r="R103" s="13" t="s">
        <v>35</v>
      </c>
      <c r="S103" s="13" t="s">
        <v>35</v>
      </c>
      <c r="T103" s="13" t="s">
        <v>35</v>
      </c>
      <c r="U103" s="13" t="s">
        <v>35</v>
      </c>
      <c r="V103" s="13" t="s">
        <v>35</v>
      </c>
      <c r="W103" s="13" t="s">
        <v>35</v>
      </c>
      <c r="X103" s="37" t="s">
        <v>35</v>
      </c>
      <c r="Y103" s="22"/>
      <c r="Z103" s="38" t="s">
        <v>35</v>
      </c>
      <c r="AA103" s="13" t="s">
        <v>35</v>
      </c>
      <c r="AB103" s="13" t="s">
        <v>35</v>
      </c>
      <c r="AC103" s="13" t="s">
        <v>35</v>
      </c>
      <c r="AD103" s="36" t="s">
        <v>35</v>
      </c>
      <c r="AE103" s="13" t="s">
        <v>35</v>
      </c>
      <c r="AF103" s="13" t="s">
        <v>35</v>
      </c>
      <c r="AG103" s="184"/>
      <c r="AH103" s="45" t="s">
        <v>35</v>
      </c>
    </row>
    <row r="104" spans="1:34">
      <c r="A104" s="14">
        <f t="shared" si="50"/>
        <v>46067</v>
      </c>
      <c r="B104" s="38">
        <v>38.520000000000003</v>
      </c>
      <c r="C104" s="13">
        <v>22.28</v>
      </c>
      <c r="D104" s="12">
        <v>10.4</v>
      </c>
      <c r="E104" s="12">
        <v>18.239999999999998</v>
      </c>
      <c r="F104" s="13">
        <v>34.409999999999997</v>
      </c>
      <c r="G104" s="12">
        <v>43.97</v>
      </c>
      <c r="H104" s="12">
        <v>411</v>
      </c>
      <c r="I104" s="13">
        <v>8.7200000000000006</v>
      </c>
      <c r="J104" s="13">
        <v>0.5</v>
      </c>
      <c r="K104" s="184">
        <v>2.15</v>
      </c>
      <c r="L104" s="26">
        <v>7.2</v>
      </c>
      <c r="M104" s="22"/>
      <c r="N104" s="29" t="s">
        <v>35</v>
      </c>
      <c r="O104" s="13" t="s">
        <v>35</v>
      </c>
      <c r="P104" s="13" t="s">
        <v>35</v>
      </c>
      <c r="Q104" s="13" t="s">
        <v>35</v>
      </c>
      <c r="R104" s="13" t="s">
        <v>35</v>
      </c>
      <c r="S104" s="13" t="s">
        <v>35</v>
      </c>
      <c r="T104" s="13" t="s">
        <v>35</v>
      </c>
      <c r="U104" s="13" t="s">
        <v>35</v>
      </c>
      <c r="V104" s="13" t="s">
        <v>35</v>
      </c>
      <c r="W104" s="13" t="s">
        <v>35</v>
      </c>
      <c r="X104" s="37" t="s">
        <v>35</v>
      </c>
      <c r="Y104" s="22"/>
      <c r="Z104" s="38" t="s">
        <v>35</v>
      </c>
      <c r="AA104" s="13" t="s">
        <v>35</v>
      </c>
      <c r="AB104" s="13" t="s">
        <v>35</v>
      </c>
      <c r="AC104" s="13" t="s">
        <v>35</v>
      </c>
      <c r="AD104" s="36" t="s">
        <v>35</v>
      </c>
      <c r="AE104" s="13" t="s">
        <v>35</v>
      </c>
      <c r="AF104" s="13" t="s">
        <v>35</v>
      </c>
      <c r="AG104" s="184"/>
      <c r="AH104" s="45" t="s">
        <v>35</v>
      </c>
    </row>
    <row r="105" spans="1:34">
      <c r="A105" s="14">
        <f t="shared" si="50"/>
        <v>46068</v>
      </c>
      <c r="B105" s="38">
        <v>35.299999999999997</v>
      </c>
      <c r="C105" s="13">
        <v>26</v>
      </c>
      <c r="D105" s="12">
        <v>8.1300000000000008</v>
      </c>
      <c r="E105" s="12">
        <v>19.329999999999998</v>
      </c>
      <c r="F105" s="13">
        <v>31.1</v>
      </c>
      <c r="G105" s="12">
        <v>44.37</v>
      </c>
      <c r="H105" s="12">
        <v>443</v>
      </c>
      <c r="I105" s="13">
        <v>8.8000000000000007</v>
      </c>
      <c r="J105" s="13">
        <v>0.5</v>
      </c>
      <c r="K105" s="184">
        <v>2.25</v>
      </c>
      <c r="L105" s="26">
        <v>11.45</v>
      </c>
      <c r="M105" s="22"/>
      <c r="N105" s="29" t="s">
        <v>35</v>
      </c>
      <c r="O105" s="13" t="s">
        <v>35</v>
      </c>
      <c r="P105" s="13" t="s">
        <v>35</v>
      </c>
      <c r="Q105" s="13" t="s">
        <v>35</v>
      </c>
      <c r="R105" s="13" t="s">
        <v>35</v>
      </c>
      <c r="S105" s="13" t="s">
        <v>35</v>
      </c>
      <c r="T105" s="13" t="s">
        <v>35</v>
      </c>
      <c r="U105" s="13" t="s">
        <v>35</v>
      </c>
      <c r="V105" s="13" t="s">
        <v>35</v>
      </c>
      <c r="W105" s="13" t="s">
        <v>35</v>
      </c>
      <c r="X105" s="37" t="s">
        <v>35</v>
      </c>
      <c r="Y105" s="22"/>
      <c r="Z105" s="38">
        <v>9.8800000000000008</v>
      </c>
      <c r="AA105" s="13">
        <v>17.55</v>
      </c>
      <c r="AB105" s="13">
        <v>31.58</v>
      </c>
      <c r="AC105" s="13">
        <v>44.86</v>
      </c>
      <c r="AD105" s="36">
        <v>353</v>
      </c>
      <c r="AE105" s="13">
        <v>7.68</v>
      </c>
      <c r="AF105" s="13">
        <v>0.5</v>
      </c>
      <c r="AG105" s="184">
        <v>2.39</v>
      </c>
      <c r="AH105" s="37">
        <v>11.05</v>
      </c>
    </row>
    <row r="106" spans="1:34">
      <c r="A106" s="14">
        <f t="shared" si="50"/>
        <v>46069</v>
      </c>
      <c r="B106" s="38">
        <v>37.03</v>
      </c>
      <c r="C106" s="13">
        <v>26.84</v>
      </c>
      <c r="D106" s="12">
        <v>10.08</v>
      </c>
      <c r="E106" s="12">
        <v>20.14</v>
      </c>
      <c r="F106" s="13">
        <v>33.42</v>
      </c>
      <c r="G106" s="12">
        <v>44.59</v>
      </c>
      <c r="H106" s="12">
        <v>374</v>
      </c>
      <c r="I106" s="13">
        <v>6.2</v>
      </c>
      <c r="J106" s="13">
        <v>0.5</v>
      </c>
      <c r="K106" s="184">
        <v>2.19</v>
      </c>
      <c r="L106" s="26">
        <v>9.23</v>
      </c>
      <c r="M106" s="22"/>
      <c r="N106" s="29" t="s">
        <v>35</v>
      </c>
      <c r="O106" s="13" t="s">
        <v>35</v>
      </c>
      <c r="P106" s="13" t="s">
        <v>35</v>
      </c>
      <c r="Q106" s="13" t="s">
        <v>35</v>
      </c>
      <c r="R106" s="13" t="s">
        <v>35</v>
      </c>
      <c r="S106" s="13" t="s">
        <v>35</v>
      </c>
      <c r="T106" s="13" t="s">
        <v>35</v>
      </c>
      <c r="U106" s="13" t="s">
        <v>35</v>
      </c>
      <c r="V106" s="13" t="s">
        <v>35</v>
      </c>
      <c r="W106" s="13" t="s">
        <v>35</v>
      </c>
      <c r="X106" s="37" t="s">
        <v>35</v>
      </c>
      <c r="Y106" s="22"/>
      <c r="Z106" s="38" t="s">
        <v>35</v>
      </c>
      <c r="AA106" s="13" t="s">
        <v>35</v>
      </c>
      <c r="AB106" s="13" t="s">
        <v>35</v>
      </c>
      <c r="AC106" s="13" t="s">
        <v>35</v>
      </c>
      <c r="AD106" s="36" t="s">
        <v>35</v>
      </c>
      <c r="AE106" s="13" t="s">
        <v>35</v>
      </c>
      <c r="AF106" s="13" t="s">
        <v>35</v>
      </c>
      <c r="AG106" s="184"/>
      <c r="AH106" s="37" t="s">
        <v>35</v>
      </c>
    </row>
    <row r="107" spans="1:34">
      <c r="A107" s="14">
        <f t="shared" si="50"/>
        <v>46070</v>
      </c>
      <c r="B107" s="38">
        <v>40.74</v>
      </c>
      <c r="C107" s="13">
        <v>26</v>
      </c>
      <c r="D107" s="12">
        <v>10.08</v>
      </c>
      <c r="E107" s="12">
        <v>18.41</v>
      </c>
      <c r="F107" s="13">
        <v>32.81</v>
      </c>
      <c r="G107" s="12">
        <v>44.3</v>
      </c>
      <c r="H107" s="12">
        <v>411</v>
      </c>
      <c r="I107" s="13">
        <v>8.9600000000000009</v>
      </c>
      <c r="J107" s="13">
        <v>0.5</v>
      </c>
      <c r="K107" s="184">
        <v>2.2480000000000002</v>
      </c>
      <c r="L107" s="26">
        <v>9.61</v>
      </c>
      <c r="M107" s="22"/>
      <c r="N107" s="29">
        <v>40.74</v>
      </c>
      <c r="O107" s="13">
        <v>26</v>
      </c>
      <c r="P107" s="13">
        <v>10.38</v>
      </c>
      <c r="Q107" s="13">
        <v>17.850000000000001</v>
      </c>
      <c r="R107" s="13">
        <v>31.58</v>
      </c>
      <c r="S107" s="13">
        <v>45.11</v>
      </c>
      <c r="T107" s="36">
        <v>418</v>
      </c>
      <c r="U107" s="13">
        <v>9.68</v>
      </c>
      <c r="V107" s="13">
        <v>0.5</v>
      </c>
      <c r="W107" s="184">
        <v>2.35</v>
      </c>
      <c r="X107" s="37">
        <v>9.82</v>
      </c>
      <c r="Y107" s="22"/>
      <c r="Z107" s="38" t="s">
        <v>35</v>
      </c>
      <c r="AA107" s="13" t="s">
        <v>35</v>
      </c>
      <c r="AB107" s="13" t="s">
        <v>35</v>
      </c>
      <c r="AC107" s="13" t="s">
        <v>35</v>
      </c>
      <c r="AD107" s="36" t="s">
        <v>35</v>
      </c>
      <c r="AE107" s="13" t="s">
        <v>35</v>
      </c>
      <c r="AF107" s="13" t="s">
        <v>35</v>
      </c>
      <c r="AG107" s="184"/>
      <c r="AH107" s="37" t="s">
        <v>35</v>
      </c>
    </row>
    <row r="108" spans="1:34">
      <c r="A108" s="14">
        <f t="shared" si="50"/>
        <v>46071</v>
      </c>
      <c r="B108" s="38">
        <v>34.4</v>
      </c>
      <c r="C108" s="13">
        <v>26</v>
      </c>
      <c r="D108" s="12">
        <v>9.7799999999999994</v>
      </c>
      <c r="E108" s="12">
        <v>18.77</v>
      </c>
      <c r="F108" s="13">
        <v>33.14</v>
      </c>
      <c r="G108" s="12">
        <v>45.21</v>
      </c>
      <c r="H108" s="12">
        <v>396</v>
      </c>
      <c r="I108" s="13">
        <v>9</v>
      </c>
      <c r="J108" s="13">
        <v>0.5</v>
      </c>
      <c r="K108" s="184">
        <v>2.1920000000000002</v>
      </c>
      <c r="L108" s="26">
        <v>9.02</v>
      </c>
      <c r="M108" s="22"/>
      <c r="N108" s="29" t="s">
        <v>35</v>
      </c>
      <c r="O108" s="13" t="s">
        <v>35</v>
      </c>
      <c r="P108" s="13" t="s">
        <v>35</v>
      </c>
      <c r="Q108" s="13" t="s">
        <v>35</v>
      </c>
      <c r="R108" s="13" t="s">
        <v>35</v>
      </c>
      <c r="S108" s="13" t="s">
        <v>35</v>
      </c>
      <c r="T108" s="13" t="s">
        <v>35</v>
      </c>
      <c r="U108" s="13" t="s">
        <v>35</v>
      </c>
      <c r="V108" s="13" t="s">
        <v>35</v>
      </c>
      <c r="W108" s="13" t="s">
        <v>35</v>
      </c>
      <c r="X108" s="37" t="s">
        <v>35</v>
      </c>
      <c r="Y108" s="22"/>
      <c r="Z108" s="38" t="s">
        <v>35</v>
      </c>
      <c r="AA108" s="13" t="s">
        <v>35</v>
      </c>
      <c r="AB108" s="13" t="s">
        <v>35</v>
      </c>
      <c r="AC108" s="13" t="s">
        <v>35</v>
      </c>
      <c r="AD108" s="36" t="s">
        <v>35</v>
      </c>
      <c r="AE108" s="13" t="s">
        <v>35</v>
      </c>
      <c r="AF108" s="13" t="s">
        <v>35</v>
      </c>
      <c r="AG108" s="184"/>
      <c r="AH108" s="37" t="s">
        <v>35</v>
      </c>
    </row>
    <row r="109" spans="1:34">
      <c r="A109" s="14">
        <f t="shared" si="50"/>
        <v>46072</v>
      </c>
      <c r="B109" s="38" t="s">
        <v>35</v>
      </c>
      <c r="C109" s="13" t="s">
        <v>35</v>
      </c>
      <c r="D109" s="12" t="s">
        <v>35</v>
      </c>
      <c r="E109" s="12" t="s">
        <v>35</v>
      </c>
      <c r="F109" s="13" t="s">
        <v>35</v>
      </c>
      <c r="G109" s="12" t="s">
        <v>35</v>
      </c>
      <c r="H109" s="12" t="s">
        <v>35</v>
      </c>
      <c r="I109" s="13" t="s">
        <v>35</v>
      </c>
      <c r="J109" s="13" t="s">
        <v>35</v>
      </c>
      <c r="K109" s="184"/>
      <c r="L109" s="26" t="s">
        <v>35</v>
      </c>
      <c r="M109" s="22"/>
      <c r="N109" s="29" t="s">
        <v>35</v>
      </c>
      <c r="O109" s="13" t="s">
        <v>35</v>
      </c>
      <c r="P109" s="13" t="s">
        <v>35</v>
      </c>
      <c r="Q109" s="13" t="s">
        <v>35</v>
      </c>
      <c r="R109" s="13" t="s">
        <v>35</v>
      </c>
      <c r="S109" s="13" t="s">
        <v>35</v>
      </c>
      <c r="T109" s="36" t="s">
        <v>35</v>
      </c>
      <c r="U109" s="13" t="s">
        <v>35</v>
      </c>
      <c r="V109" s="13" t="s">
        <v>35</v>
      </c>
      <c r="W109" s="13" t="s">
        <v>35</v>
      </c>
      <c r="X109" s="37" t="s">
        <v>35</v>
      </c>
      <c r="Y109" s="22"/>
      <c r="Z109" s="38" t="s">
        <v>35</v>
      </c>
      <c r="AA109" s="13" t="s">
        <v>35</v>
      </c>
      <c r="AB109" s="13" t="s">
        <v>35</v>
      </c>
      <c r="AC109" s="13" t="s">
        <v>35</v>
      </c>
      <c r="AD109" s="36" t="s">
        <v>35</v>
      </c>
      <c r="AE109" s="13" t="s">
        <v>35</v>
      </c>
      <c r="AF109" s="13" t="s">
        <v>35</v>
      </c>
      <c r="AG109" s="184"/>
      <c r="AH109" s="37" t="s">
        <v>35</v>
      </c>
    </row>
    <row r="110" spans="1:34">
      <c r="A110" s="14">
        <f t="shared" si="50"/>
        <v>46073</v>
      </c>
      <c r="B110" s="38" t="s">
        <v>35</v>
      </c>
      <c r="C110" s="13" t="s">
        <v>35</v>
      </c>
      <c r="D110" s="12" t="s">
        <v>35</v>
      </c>
      <c r="E110" s="12" t="s">
        <v>35</v>
      </c>
      <c r="F110" s="13" t="s">
        <v>35</v>
      </c>
      <c r="G110" s="12" t="s">
        <v>35</v>
      </c>
      <c r="H110" s="12" t="s">
        <v>35</v>
      </c>
      <c r="I110" s="13" t="s">
        <v>35</v>
      </c>
      <c r="J110" s="13" t="s">
        <v>35</v>
      </c>
      <c r="K110" s="184"/>
      <c r="L110" s="26" t="s">
        <v>35</v>
      </c>
      <c r="M110" s="22"/>
      <c r="N110" s="29" t="s">
        <v>35</v>
      </c>
      <c r="O110" s="13" t="s">
        <v>35</v>
      </c>
      <c r="P110" s="13" t="s">
        <v>35</v>
      </c>
      <c r="Q110" s="13" t="s">
        <v>35</v>
      </c>
      <c r="R110" s="13" t="s">
        <v>35</v>
      </c>
      <c r="S110" s="13" t="s">
        <v>35</v>
      </c>
      <c r="T110" s="36" t="s">
        <v>35</v>
      </c>
      <c r="U110" s="13" t="s">
        <v>35</v>
      </c>
      <c r="V110" s="13" t="s">
        <v>35</v>
      </c>
      <c r="W110" s="13" t="s">
        <v>35</v>
      </c>
      <c r="X110" s="37" t="s">
        <v>35</v>
      </c>
      <c r="Y110" s="22"/>
      <c r="Z110" s="38">
        <v>9.99</v>
      </c>
      <c r="AA110" s="13">
        <v>19.100000000000001</v>
      </c>
      <c r="AB110" s="13">
        <v>29.24</v>
      </c>
      <c r="AC110" s="13">
        <v>45.08</v>
      </c>
      <c r="AD110" s="36">
        <v>408</v>
      </c>
      <c r="AE110" s="13">
        <v>8.48</v>
      </c>
      <c r="AF110" s="13">
        <v>0.5</v>
      </c>
      <c r="AG110" s="184">
        <v>2.11</v>
      </c>
      <c r="AH110" s="37">
        <v>9.31</v>
      </c>
    </row>
    <row r="111" spans="1:34">
      <c r="A111" s="14">
        <f t="shared" si="50"/>
        <v>46074</v>
      </c>
      <c r="B111" s="38">
        <v>38.56</v>
      </c>
      <c r="C111" s="13">
        <v>26.51</v>
      </c>
      <c r="D111" s="12">
        <v>8.9499999999999993</v>
      </c>
      <c r="E111" s="12">
        <v>17.149999999999999</v>
      </c>
      <c r="F111" s="13">
        <v>33.270000000000003</v>
      </c>
      <c r="G111" s="13">
        <v>43.22</v>
      </c>
      <c r="H111" s="36">
        <v>411</v>
      </c>
      <c r="I111" s="13">
        <v>10.08</v>
      </c>
      <c r="J111" s="13">
        <v>0.5</v>
      </c>
      <c r="K111" s="184">
        <v>2.06</v>
      </c>
      <c r="L111" s="26">
        <v>8.1199999999999992</v>
      </c>
      <c r="M111" s="22"/>
      <c r="N111" s="29" t="s">
        <v>35</v>
      </c>
      <c r="O111" s="13" t="s">
        <v>35</v>
      </c>
      <c r="P111" s="13" t="s">
        <v>35</v>
      </c>
      <c r="Q111" s="13" t="s">
        <v>35</v>
      </c>
      <c r="R111" s="13" t="s">
        <v>35</v>
      </c>
      <c r="S111" s="13" t="s">
        <v>35</v>
      </c>
      <c r="T111" s="36" t="s">
        <v>35</v>
      </c>
      <c r="U111" s="13" t="s">
        <v>35</v>
      </c>
      <c r="V111" s="13" t="s">
        <v>35</v>
      </c>
      <c r="W111" s="13" t="s">
        <v>35</v>
      </c>
      <c r="X111" s="37" t="s">
        <v>35</v>
      </c>
      <c r="Y111" s="22"/>
      <c r="Z111" s="38">
        <v>10.39</v>
      </c>
      <c r="AA111" s="13">
        <v>18.87</v>
      </c>
      <c r="AB111" s="13">
        <v>31.16</v>
      </c>
      <c r="AC111" s="13">
        <v>47.57</v>
      </c>
      <c r="AD111" s="36">
        <v>419</v>
      </c>
      <c r="AE111" s="13">
        <v>10.119999999999999</v>
      </c>
      <c r="AF111" s="13">
        <v>0.5</v>
      </c>
      <c r="AG111" s="184">
        <v>2.2400000000000002</v>
      </c>
      <c r="AH111" s="37">
        <v>9.15</v>
      </c>
    </row>
    <row r="112" spans="1:34">
      <c r="A112" s="14">
        <f t="shared" si="50"/>
        <v>46075</v>
      </c>
      <c r="B112" s="38">
        <v>37.979999999999997</v>
      </c>
      <c r="C112" s="13">
        <v>25.2</v>
      </c>
      <c r="D112" s="12">
        <v>8.2200000000000006</v>
      </c>
      <c r="E112" s="12">
        <v>15.82</v>
      </c>
      <c r="F112" s="13">
        <v>27.02</v>
      </c>
      <c r="G112" s="12">
        <v>45.43</v>
      </c>
      <c r="H112" s="12">
        <v>374</v>
      </c>
      <c r="I112" s="13">
        <v>8.36</v>
      </c>
      <c r="J112" s="13">
        <v>1</v>
      </c>
      <c r="K112" s="184">
        <v>2.08</v>
      </c>
      <c r="L112" s="26">
        <v>10.9</v>
      </c>
      <c r="M112" s="22"/>
      <c r="N112" s="29" t="s">
        <v>35</v>
      </c>
      <c r="O112" s="13" t="s">
        <v>35</v>
      </c>
      <c r="P112" s="13" t="s">
        <v>35</v>
      </c>
      <c r="Q112" s="13" t="s">
        <v>35</v>
      </c>
      <c r="R112" s="13" t="s">
        <v>35</v>
      </c>
      <c r="S112" s="13" t="s">
        <v>35</v>
      </c>
      <c r="T112" s="36" t="s">
        <v>35</v>
      </c>
      <c r="U112" s="13" t="s">
        <v>35</v>
      </c>
      <c r="V112" s="13" t="s">
        <v>35</v>
      </c>
      <c r="W112" s="13" t="s">
        <v>35</v>
      </c>
      <c r="X112" s="37" t="s">
        <v>35</v>
      </c>
      <c r="Y112" s="22"/>
      <c r="Z112" s="38">
        <v>8.2799999999999994</v>
      </c>
      <c r="AA112" s="13">
        <v>15.12</v>
      </c>
      <c r="AB112" s="13">
        <v>28.59</v>
      </c>
      <c r="AC112" s="13">
        <v>46.11</v>
      </c>
      <c r="AD112" s="36">
        <v>396</v>
      </c>
      <c r="AE112" s="13">
        <v>10.28</v>
      </c>
      <c r="AF112" s="13">
        <v>0.5</v>
      </c>
      <c r="AG112" s="184">
        <v>2.1</v>
      </c>
      <c r="AH112" s="37">
        <v>10.82</v>
      </c>
    </row>
    <row r="113" spans="1:34">
      <c r="A113" s="14">
        <f t="shared" si="50"/>
        <v>46076</v>
      </c>
      <c r="B113" s="38">
        <v>35.700000000000003</v>
      </c>
      <c r="C113" s="13">
        <v>25</v>
      </c>
      <c r="D113" s="12">
        <v>9.66</v>
      </c>
      <c r="E113" s="12">
        <v>18.53</v>
      </c>
      <c r="F113" s="13">
        <v>29.31</v>
      </c>
      <c r="G113" s="12">
        <v>46.09</v>
      </c>
      <c r="H113" s="12">
        <v>405</v>
      </c>
      <c r="I113" s="13">
        <v>7.96</v>
      </c>
      <c r="J113" s="13">
        <v>0.5</v>
      </c>
      <c r="K113" s="184">
        <v>1.95</v>
      </c>
      <c r="L113" s="26">
        <v>8.74</v>
      </c>
      <c r="M113" s="22"/>
      <c r="N113" s="29" t="s">
        <v>35</v>
      </c>
      <c r="O113" s="13" t="s">
        <v>35</v>
      </c>
      <c r="P113" s="13" t="s">
        <v>35</v>
      </c>
      <c r="Q113" s="13" t="s">
        <v>35</v>
      </c>
      <c r="R113" s="13" t="s">
        <v>35</v>
      </c>
      <c r="S113" s="13" t="s">
        <v>35</v>
      </c>
      <c r="T113" s="36" t="s">
        <v>35</v>
      </c>
      <c r="U113" s="13" t="s">
        <v>35</v>
      </c>
      <c r="V113" s="13" t="s">
        <v>35</v>
      </c>
      <c r="W113" s="13" t="s">
        <v>35</v>
      </c>
      <c r="X113" s="37" t="s">
        <v>35</v>
      </c>
      <c r="Y113" s="22"/>
      <c r="Z113" s="38">
        <v>9.39</v>
      </c>
      <c r="AA113" s="13">
        <v>19.32</v>
      </c>
      <c r="AB113" s="13">
        <v>32.96</v>
      </c>
      <c r="AC113" s="13">
        <v>47.06</v>
      </c>
      <c r="AD113" s="36">
        <v>396</v>
      </c>
      <c r="AE113" s="13">
        <v>9.16</v>
      </c>
      <c r="AF113" s="13">
        <v>0.5</v>
      </c>
      <c r="AG113" s="184">
        <v>2.0499999999999998</v>
      </c>
      <c r="AH113" s="37">
        <v>8.41</v>
      </c>
    </row>
    <row r="114" spans="1:34">
      <c r="A114" s="14">
        <f t="shared" si="50"/>
        <v>46077</v>
      </c>
      <c r="B114" s="38">
        <v>38.51</v>
      </c>
      <c r="C114" s="13">
        <v>25</v>
      </c>
      <c r="D114" s="13">
        <v>10.029999999999999</v>
      </c>
      <c r="E114" s="13">
        <v>17.66</v>
      </c>
      <c r="F114" s="13">
        <v>32.39</v>
      </c>
      <c r="G114" s="12">
        <v>44.54</v>
      </c>
      <c r="H114" s="12">
        <v>412</v>
      </c>
      <c r="I114" s="13">
        <v>10.56</v>
      </c>
      <c r="J114" s="13">
        <v>0.5</v>
      </c>
      <c r="K114" s="184">
        <v>2.3849999999999998</v>
      </c>
      <c r="L114" s="26">
        <v>8.86</v>
      </c>
      <c r="M114" s="22"/>
      <c r="N114" s="29" t="s">
        <v>35</v>
      </c>
      <c r="O114" s="13" t="s">
        <v>35</v>
      </c>
      <c r="P114" s="13" t="s">
        <v>35</v>
      </c>
      <c r="Q114" s="13" t="s">
        <v>35</v>
      </c>
      <c r="R114" s="13" t="s">
        <v>35</v>
      </c>
      <c r="S114" s="13" t="s">
        <v>35</v>
      </c>
      <c r="T114" s="36" t="s">
        <v>35</v>
      </c>
      <c r="U114" s="13" t="s">
        <v>35</v>
      </c>
      <c r="V114" s="13" t="s">
        <v>35</v>
      </c>
      <c r="W114" s="13" t="s">
        <v>35</v>
      </c>
      <c r="X114" s="37" t="s">
        <v>35</v>
      </c>
      <c r="Y114" s="22"/>
      <c r="Z114" s="38" t="s">
        <v>35</v>
      </c>
      <c r="AA114" s="13" t="s">
        <v>35</v>
      </c>
      <c r="AB114" s="13" t="s">
        <v>35</v>
      </c>
      <c r="AC114" s="13" t="s">
        <v>35</v>
      </c>
      <c r="AD114" s="36" t="s">
        <v>35</v>
      </c>
      <c r="AE114" s="13" t="s">
        <v>35</v>
      </c>
      <c r="AF114" s="13" t="s">
        <v>35</v>
      </c>
      <c r="AG114" s="184"/>
      <c r="AH114" s="37" t="s">
        <v>35</v>
      </c>
    </row>
    <row r="115" spans="1:34">
      <c r="A115" s="14">
        <f t="shared" si="50"/>
        <v>46078</v>
      </c>
      <c r="B115" s="38" t="s">
        <v>35</v>
      </c>
      <c r="C115" s="13" t="s">
        <v>35</v>
      </c>
      <c r="D115" s="13" t="s">
        <v>35</v>
      </c>
      <c r="E115" s="13" t="s">
        <v>35</v>
      </c>
      <c r="F115" s="13" t="s">
        <v>35</v>
      </c>
      <c r="G115" s="13" t="s">
        <v>35</v>
      </c>
      <c r="H115" s="36" t="s">
        <v>35</v>
      </c>
      <c r="I115" s="13" t="s">
        <v>35</v>
      </c>
      <c r="J115" s="13" t="s">
        <v>35</v>
      </c>
      <c r="K115" s="184"/>
      <c r="L115" s="37" t="s">
        <v>35</v>
      </c>
      <c r="M115" s="22"/>
      <c r="N115" s="29" t="s">
        <v>35</v>
      </c>
      <c r="O115" s="13" t="s">
        <v>35</v>
      </c>
      <c r="P115" s="13" t="s">
        <v>35</v>
      </c>
      <c r="Q115" s="13" t="s">
        <v>35</v>
      </c>
      <c r="R115" s="13" t="s">
        <v>35</v>
      </c>
      <c r="S115" s="13" t="s">
        <v>35</v>
      </c>
      <c r="T115" s="36" t="s">
        <v>35</v>
      </c>
      <c r="U115" s="13" t="s">
        <v>35</v>
      </c>
      <c r="V115" s="13" t="s">
        <v>35</v>
      </c>
      <c r="W115" s="13" t="s">
        <v>35</v>
      </c>
      <c r="X115" s="37" t="s">
        <v>35</v>
      </c>
      <c r="Y115" s="22"/>
      <c r="Z115" s="38" t="s">
        <v>35</v>
      </c>
      <c r="AA115" s="13" t="s">
        <v>35</v>
      </c>
      <c r="AB115" s="13" t="s">
        <v>35</v>
      </c>
      <c r="AC115" s="13" t="s">
        <v>35</v>
      </c>
      <c r="AD115" s="36" t="s">
        <v>35</v>
      </c>
      <c r="AE115" s="13" t="s">
        <v>35</v>
      </c>
      <c r="AF115" s="13" t="s">
        <v>35</v>
      </c>
      <c r="AG115" s="184"/>
      <c r="AH115" s="37" t="s">
        <v>35</v>
      </c>
    </row>
    <row r="116" spans="1:34">
      <c r="A116" s="14">
        <f t="shared" si="50"/>
        <v>46079</v>
      </c>
      <c r="B116" s="11" t="s">
        <v>35</v>
      </c>
      <c r="C116" s="13" t="s">
        <v>35</v>
      </c>
      <c r="D116" s="12" t="s">
        <v>35</v>
      </c>
      <c r="E116" s="12" t="s">
        <v>35</v>
      </c>
      <c r="F116" s="12" t="s">
        <v>35</v>
      </c>
      <c r="G116" s="12" t="s">
        <v>35</v>
      </c>
      <c r="H116" s="12" t="s">
        <v>35</v>
      </c>
      <c r="I116" s="13" t="s">
        <v>35</v>
      </c>
      <c r="J116" s="13" t="s">
        <v>35</v>
      </c>
      <c r="K116" s="184"/>
      <c r="L116" s="26" t="s">
        <v>35</v>
      </c>
      <c r="M116" s="22"/>
      <c r="N116" s="29" t="s">
        <v>35</v>
      </c>
      <c r="O116" s="13" t="s">
        <v>35</v>
      </c>
      <c r="P116" s="13" t="s">
        <v>35</v>
      </c>
      <c r="Q116" s="13" t="s">
        <v>35</v>
      </c>
      <c r="R116" s="13" t="s">
        <v>35</v>
      </c>
      <c r="S116" s="13" t="s">
        <v>35</v>
      </c>
      <c r="T116" s="36" t="s">
        <v>35</v>
      </c>
      <c r="U116" s="13" t="s">
        <v>35</v>
      </c>
      <c r="V116" s="13" t="s">
        <v>35</v>
      </c>
      <c r="W116" s="13" t="s">
        <v>35</v>
      </c>
      <c r="X116" s="37" t="s">
        <v>35</v>
      </c>
      <c r="Y116" s="22"/>
      <c r="Z116" s="38">
        <v>9.9700000000000006</v>
      </c>
      <c r="AA116" s="13">
        <v>19.71</v>
      </c>
      <c r="AB116" s="13">
        <v>33.82</v>
      </c>
      <c r="AC116" s="13">
        <v>45.41</v>
      </c>
      <c r="AD116" s="36">
        <v>405</v>
      </c>
      <c r="AE116" s="13">
        <v>8.64</v>
      </c>
      <c r="AF116" s="13">
        <v>1</v>
      </c>
      <c r="AG116" s="184">
        <v>2.37</v>
      </c>
      <c r="AH116" s="37">
        <v>6.38</v>
      </c>
    </row>
    <row r="117" spans="1:34">
      <c r="A117" s="14">
        <f t="shared" si="50"/>
        <v>46080</v>
      </c>
      <c r="B117" s="38">
        <v>38.090000000000003</v>
      </c>
      <c r="C117" s="13">
        <v>25.14</v>
      </c>
      <c r="D117" s="13">
        <v>9.6999999999999993</v>
      </c>
      <c r="E117" s="13">
        <v>18.920000000000002</v>
      </c>
      <c r="F117" s="13">
        <v>33.14</v>
      </c>
      <c r="G117" s="13">
        <v>46.8</v>
      </c>
      <c r="H117" s="36">
        <v>385</v>
      </c>
      <c r="I117" s="13">
        <v>8.48</v>
      </c>
      <c r="J117" s="13">
        <v>0.5</v>
      </c>
      <c r="K117" s="184">
        <v>2.0099999999999998</v>
      </c>
      <c r="L117" s="26">
        <v>5.7</v>
      </c>
      <c r="M117" s="22"/>
      <c r="N117" s="29" t="s">
        <v>35</v>
      </c>
      <c r="O117" s="13" t="s">
        <v>35</v>
      </c>
      <c r="P117" s="13" t="s">
        <v>35</v>
      </c>
      <c r="Q117" s="13" t="s">
        <v>35</v>
      </c>
      <c r="R117" s="13" t="s">
        <v>35</v>
      </c>
      <c r="S117" s="13" t="s">
        <v>35</v>
      </c>
      <c r="T117" s="36" t="s">
        <v>35</v>
      </c>
      <c r="U117" s="13" t="s">
        <v>35</v>
      </c>
      <c r="V117" s="13" t="s">
        <v>35</v>
      </c>
      <c r="W117" s="13" t="s">
        <v>35</v>
      </c>
      <c r="X117" s="37" t="s">
        <v>35</v>
      </c>
      <c r="Y117" s="22"/>
      <c r="Z117" s="38" t="s">
        <v>35</v>
      </c>
      <c r="AA117" s="13" t="s">
        <v>35</v>
      </c>
      <c r="AB117" s="13" t="s">
        <v>35</v>
      </c>
      <c r="AC117" s="13" t="s">
        <v>35</v>
      </c>
      <c r="AD117" s="36" t="s">
        <v>35</v>
      </c>
      <c r="AE117" s="13" t="s">
        <v>35</v>
      </c>
      <c r="AF117" s="13" t="s">
        <v>35</v>
      </c>
      <c r="AG117" s="184"/>
      <c r="AH117" s="37" t="s">
        <v>35</v>
      </c>
    </row>
    <row r="118" spans="1:34" ht="15.75" thickBot="1">
      <c r="A118" s="14">
        <f t="shared" si="50"/>
        <v>46081</v>
      </c>
      <c r="B118" s="38">
        <v>39.82</v>
      </c>
      <c r="C118" s="13">
        <v>26</v>
      </c>
      <c r="D118" s="13">
        <v>9.44</v>
      </c>
      <c r="E118" s="13">
        <v>19.690000000000001</v>
      </c>
      <c r="F118" s="13">
        <v>37.869999999999997</v>
      </c>
      <c r="G118" s="12">
        <v>45.05</v>
      </c>
      <c r="H118" s="36">
        <v>403</v>
      </c>
      <c r="I118" s="13">
        <v>8.8000000000000007</v>
      </c>
      <c r="J118" s="13">
        <v>0.5</v>
      </c>
      <c r="K118" s="184">
        <v>2.12</v>
      </c>
      <c r="L118" s="26">
        <v>9.11</v>
      </c>
      <c r="M118" s="22"/>
      <c r="N118" s="29" t="s">
        <v>35</v>
      </c>
      <c r="O118" s="13" t="s">
        <v>35</v>
      </c>
      <c r="P118" s="13" t="s">
        <v>35</v>
      </c>
      <c r="Q118" s="13" t="s">
        <v>35</v>
      </c>
      <c r="R118" s="13" t="s">
        <v>35</v>
      </c>
      <c r="S118" s="13" t="s">
        <v>35</v>
      </c>
      <c r="T118" s="36" t="s">
        <v>35</v>
      </c>
      <c r="U118" s="13" t="s">
        <v>35</v>
      </c>
      <c r="V118" s="13" t="s">
        <v>35</v>
      </c>
      <c r="W118" s="13" t="s">
        <v>35</v>
      </c>
      <c r="X118" s="37" t="s">
        <v>35</v>
      </c>
      <c r="Y118" s="22"/>
      <c r="Z118" s="38" t="s">
        <v>35</v>
      </c>
      <c r="AA118" s="13" t="s">
        <v>35</v>
      </c>
      <c r="AB118" s="13" t="s">
        <v>35</v>
      </c>
      <c r="AC118" s="13" t="s">
        <v>35</v>
      </c>
      <c r="AD118" s="36" t="s">
        <v>35</v>
      </c>
      <c r="AE118" s="13" t="s">
        <v>35</v>
      </c>
      <c r="AF118" s="13" t="s">
        <v>35</v>
      </c>
      <c r="AG118" s="184"/>
      <c r="AH118" s="37" t="s">
        <v>35</v>
      </c>
    </row>
    <row r="119" spans="1:34">
      <c r="A119" s="16" t="s">
        <v>31</v>
      </c>
      <c r="B119" s="17">
        <f>MIN(B88:B118)</f>
        <v>33.93</v>
      </c>
      <c r="C119" s="17">
        <f>MIN(C88:C118)</f>
        <v>18.21</v>
      </c>
      <c r="D119" s="17">
        <f t="shared" ref="D119:L119" si="51">MIN(D88:D118)</f>
        <v>8.1300000000000008</v>
      </c>
      <c r="E119" s="17">
        <f t="shared" si="51"/>
        <v>15.82</v>
      </c>
      <c r="F119" s="17">
        <f t="shared" si="51"/>
        <v>27.02</v>
      </c>
      <c r="G119" s="17">
        <f t="shared" si="51"/>
        <v>43.22</v>
      </c>
      <c r="H119" s="17">
        <f t="shared" si="51"/>
        <v>343</v>
      </c>
      <c r="I119" s="17">
        <f t="shared" si="51"/>
        <v>6.2</v>
      </c>
      <c r="J119" s="17">
        <f t="shared" si="51"/>
        <v>0.5</v>
      </c>
      <c r="K119" s="17">
        <f t="shared" si="51"/>
        <v>1.95</v>
      </c>
      <c r="L119" s="30">
        <f t="shared" si="51"/>
        <v>5.7</v>
      </c>
      <c r="M119" s="22"/>
      <c r="N119" s="17">
        <f>MIN(N88:N118)</f>
        <v>40.74</v>
      </c>
      <c r="O119" s="17">
        <f>MIN(O88:O118)</f>
        <v>26</v>
      </c>
      <c r="P119" s="17">
        <f t="shared" ref="P119:X119" si="52">MIN(P88:P118)</f>
        <v>10.38</v>
      </c>
      <c r="Q119" s="17">
        <f t="shared" si="52"/>
        <v>17.850000000000001</v>
      </c>
      <c r="R119" s="17">
        <f t="shared" si="52"/>
        <v>31.58</v>
      </c>
      <c r="S119" s="17">
        <f t="shared" si="52"/>
        <v>45.11</v>
      </c>
      <c r="T119" s="17">
        <f t="shared" si="52"/>
        <v>418</v>
      </c>
      <c r="U119" s="17">
        <f t="shared" si="52"/>
        <v>9.68</v>
      </c>
      <c r="V119" s="17">
        <f t="shared" si="52"/>
        <v>0.5</v>
      </c>
      <c r="W119" s="17">
        <f t="shared" si="52"/>
        <v>2.35</v>
      </c>
      <c r="X119" s="30">
        <f t="shared" si="52"/>
        <v>9.82</v>
      </c>
      <c r="Z119" s="40">
        <f t="shared" ref="Z119:AH119" si="53">MIN(Z88:Z118)</f>
        <v>8.2799999999999994</v>
      </c>
      <c r="AA119" s="17">
        <f t="shared" si="53"/>
        <v>15.12</v>
      </c>
      <c r="AB119" s="17">
        <f t="shared" si="53"/>
        <v>28.59</v>
      </c>
      <c r="AC119" s="17">
        <f t="shared" si="53"/>
        <v>42.15</v>
      </c>
      <c r="AD119" s="17">
        <f t="shared" si="53"/>
        <v>353</v>
      </c>
      <c r="AE119" s="17">
        <f t="shared" si="53"/>
        <v>7.64</v>
      </c>
      <c r="AF119" s="17">
        <f t="shared" si="53"/>
        <v>0.5</v>
      </c>
      <c r="AG119" s="17">
        <f t="shared" si="53"/>
        <v>2.0499999999999998</v>
      </c>
      <c r="AH119" s="30">
        <f t="shared" si="53"/>
        <v>6.38</v>
      </c>
    </row>
    <row r="120" spans="1:34">
      <c r="A120" s="18" t="s">
        <v>33</v>
      </c>
      <c r="B120" s="19">
        <f>MAX(B88:B118)</f>
        <v>40.74</v>
      </c>
      <c r="C120" s="19">
        <f>MAX(C88:C118)</f>
        <v>27</v>
      </c>
      <c r="D120" s="19">
        <f t="shared" ref="D120:L120" si="54">MAX(D88:D118)</f>
        <v>12.36</v>
      </c>
      <c r="E120" s="19">
        <f t="shared" si="54"/>
        <v>22.7</v>
      </c>
      <c r="F120" s="19">
        <f t="shared" si="54"/>
        <v>38.840000000000003</v>
      </c>
      <c r="G120" s="19">
        <f t="shared" si="54"/>
        <v>46.8</v>
      </c>
      <c r="H120" s="19">
        <f t="shared" si="54"/>
        <v>443</v>
      </c>
      <c r="I120" s="19">
        <f t="shared" si="54"/>
        <v>10.92</v>
      </c>
      <c r="J120" s="19">
        <f t="shared" si="54"/>
        <v>1.5</v>
      </c>
      <c r="K120" s="19">
        <f t="shared" si="54"/>
        <v>2.3849999999999998</v>
      </c>
      <c r="L120" s="31">
        <f t="shared" si="54"/>
        <v>12.01</v>
      </c>
      <c r="M120" s="22"/>
      <c r="N120" s="19">
        <f>MAX(N88:N118)</f>
        <v>40.74</v>
      </c>
      <c r="O120" s="19">
        <f>MAX(O88:O118)</f>
        <v>26</v>
      </c>
      <c r="P120" s="19">
        <f t="shared" ref="P120:X120" si="55">MAX(P88:P118)</f>
        <v>10.38</v>
      </c>
      <c r="Q120" s="19">
        <f t="shared" si="55"/>
        <v>17.850000000000001</v>
      </c>
      <c r="R120" s="19">
        <f t="shared" si="55"/>
        <v>31.58</v>
      </c>
      <c r="S120" s="19">
        <f t="shared" si="55"/>
        <v>45.11</v>
      </c>
      <c r="T120" s="19">
        <f t="shared" si="55"/>
        <v>418</v>
      </c>
      <c r="U120" s="19">
        <f t="shared" si="55"/>
        <v>9.68</v>
      </c>
      <c r="V120" s="19">
        <f t="shared" si="55"/>
        <v>0.5</v>
      </c>
      <c r="W120" s="19">
        <f t="shared" si="55"/>
        <v>2.35</v>
      </c>
      <c r="X120" s="31">
        <f t="shared" si="55"/>
        <v>9.82</v>
      </c>
      <c r="Z120" s="41">
        <f t="shared" ref="Z120:AH120" si="56">MAX(Z88:Z118)</f>
        <v>11.64</v>
      </c>
      <c r="AA120" s="19">
        <f t="shared" si="56"/>
        <v>21.65</v>
      </c>
      <c r="AB120" s="19">
        <f t="shared" si="56"/>
        <v>34.94</v>
      </c>
      <c r="AC120" s="19">
        <f t="shared" si="56"/>
        <v>47.89</v>
      </c>
      <c r="AD120" s="19">
        <f t="shared" si="56"/>
        <v>434</v>
      </c>
      <c r="AE120" s="19">
        <f t="shared" si="56"/>
        <v>11.36</v>
      </c>
      <c r="AF120" s="19">
        <f t="shared" si="56"/>
        <v>1</v>
      </c>
      <c r="AG120" s="19">
        <f t="shared" si="56"/>
        <v>2.39</v>
      </c>
      <c r="AH120" s="31">
        <f t="shared" si="56"/>
        <v>11.05</v>
      </c>
    </row>
    <row r="121" spans="1:34">
      <c r="A121" s="18" t="s">
        <v>36</v>
      </c>
      <c r="B121" s="19">
        <f t="shared" ref="B121:L121" si="57">AVERAGE(B88:B118)</f>
        <v>37.950869565217396</v>
      </c>
      <c r="C121" s="19">
        <f t="shared" si="57"/>
        <v>24.835217391304344</v>
      </c>
      <c r="D121" s="19">
        <f t="shared" si="57"/>
        <v>10.426956521739131</v>
      </c>
      <c r="E121" s="19">
        <f t="shared" si="57"/>
        <v>19.682608695652174</v>
      </c>
      <c r="F121" s="19">
        <f t="shared" si="57"/>
        <v>33.61695652173912</v>
      </c>
      <c r="G121" s="19">
        <f t="shared" si="57"/>
        <v>44.916086956521745</v>
      </c>
      <c r="H121" s="19">
        <f t="shared" si="57"/>
        <v>393.04347826086956</v>
      </c>
      <c r="I121" s="19">
        <f t="shared" si="57"/>
        <v>9.0365217391304355</v>
      </c>
      <c r="J121" s="19">
        <f t="shared" si="57"/>
        <v>0.65217391304347827</v>
      </c>
      <c r="K121" s="19">
        <f t="shared" si="57"/>
        <v>2.1582608695652175</v>
      </c>
      <c r="L121" s="31">
        <f t="shared" si="57"/>
        <v>8.5656521739130458</v>
      </c>
      <c r="M121" s="22"/>
      <c r="N121" s="19">
        <f t="shared" ref="N121:X121" si="58">AVERAGE(N88:N118)</f>
        <v>40.74</v>
      </c>
      <c r="O121" s="19">
        <f t="shared" si="58"/>
        <v>26</v>
      </c>
      <c r="P121" s="19">
        <f t="shared" si="58"/>
        <v>10.38</v>
      </c>
      <c r="Q121" s="19">
        <f t="shared" si="58"/>
        <v>17.850000000000001</v>
      </c>
      <c r="R121" s="19">
        <f t="shared" si="58"/>
        <v>31.58</v>
      </c>
      <c r="S121" s="19">
        <f t="shared" si="58"/>
        <v>45.11</v>
      </c>
      <c r="T121" s="19">
        <f t="shared" si="58"/>
        <v>418</v>
      </c>
      <c r="U121" s="19">
        <f t="shared" si="58"/>
        <v>9.68</v>
      </c>
      <c r="V121" s="19">
        <f t="shared" si="58"/>
        <v>0.5</v>
      </c>
      <c r="W121" s="19">
        <f t="shared" si="58"/>
        <v>2.35</v>
      </c>
      <c r="X121" s="31">
        <f t="shared" si="58"/>
        <v>9.82</v>
      </c>
      <c r="Z121" s="41">
        <f>AVERAGE(Z88:Z118)</f>
        <v>10.389230769230769</v>
      </c>
      <c r="AA121" s="19">
        <f t="shared" ref="AA121:AH121" si="59">AVERAGE(AA88:AA118)</f>
        <v>19.575384615384618</v>
      </c>
      <c r="AB121" s="19">
        <f t="shared" si="59"/>
        <v>32.47</v>
      </c>
      <c r="AC121" s="19">
        <f t="shared" si="59"/>
        <v>45.550769230769227</v>
      </c>
      <c r="AD121" s="19">
        <f t="shared" si="59"/>
        <v>395.07692307692309</v>
      </c>
      <c r="AE121" s="19">
        <f t="shared" si="59"/>
        <v>9.16</v>
      </c>
      <c r="AF121" s="19">
        <f t="shared" si="59"/>
        <v>0.65384615384615385</v>
      </c>
      <c r="AG121" s="19">
        <f t="shared" si="59"/>
        <v>2.1720384615384623</v>
      </c>
      <c r="AH121" s="31">
        <f t="shared" si="59"/>
        <v>9.0500000000000007</v>
      </c>
    </row>
    <row r="122" spans="1:34" ht="15.75" thickBot="1">
      <c r="A122" s="20" t="s">
        <v>130</v>
      </c>
      <c r="B122" s="21">
        <f>STDEV(B88:B118)</f>
        <v>1.8025030905117334</v>
      </c>
      <c r="C122" s="21">
        <f t="shared" ref="C122:L122" si="60">STDEV(C88:C118)</f>
        <v>2.1738087010532232</v>
      </c>
      <c r="D122" s="21">
        <f t="shared" si="60"/>
        <v>1.1779737409583362</v>
      </c>
      <c r="E122" s="21">
        <f t="shared" si="60"/>
        <v>1.6755466337106619</v>
      </c>
      <c r="F122" s="21">
        <f t="shared" si="60"/>
        <v>2.5042589809119709</v>
      </c>
      <c r="G122" s="21">
        <f t="shared" si="60"/>
        <v>0.9583875621937028</v>
      </c>
      <c r="H122" s="21">
        <f t="shared" si="60"/>
        <v>23.902221769818741</v>
      </c>
      <c r="I122" s="21">
        <f t="shared" si="60"/>
        <v>1.1562266555703291</v>
      </c>
      <c r="J122" s="21">
        <f t="shared" si="60"/>
        <v>0.27939799767843609</v>
      </c>
      <c r="K122" s="21">
        <f t="shared" si="60"/>
        <v>0.10803207326416978</v>
      </c>
      <c r="L122" s="32">
        <f t="shared" si="60"/>
        <v>1.6202912927982269</v>
      </c>
      <c r="M122" s="22"/>
      <c r="N122" s="21" t="e">
        <f>STDEV(N88:N118)</f>
        <v>#DIV/0!</v>
      </c>
      <c r="O122" s="21" t="e">
        <f t="shared" ref="O122:X122" si="61">STDEV(O88:O118)</f>
        <v>#DIV/0!</v>
      </c>
      <c r="P122" s="21" t="e">
        <f t="shared" si="61"/>
        <v>#DIV/0!</v>
      </c>
      <c r="Q122" s="21" t="e">
        <f t="shared" si="61"/>
        <v>#DIV/0!</v>
      </c>
      <c r="R122" s="21" t="e">
        <f t="shared" si="61"/>
        <v>#DIV/0!</v>
      </c>
      <c r="S122" s="21" t="e">
        <f t="shared" si="61"/>
        <v>#DIV/0!</v>
      </c>
      <c r="T122" s="21" t="e">
        <f t="shared" si="61"/>
        <v>#DIV/0!</v>
      </c>
      <c r="U122" s="21" t="e">
        <f t="shared" si="61"/>
        <v>#DIV/0!</v>
      </c>
      <c r="V122" s="21" t="e">
        <f t="shared" si="61"/>
        <v>#DIV/0!</v>
      </c>
      <c r="W122" s="21" t="e">
        <f t="shared" si="61"/>
        <v>#DIV/0!</v>
      </c>
      <c r="X122" s="32" t="e">
        <f t="shared" si="61"/>
        <v>#DIV/0!</v>
      </c>
      <c r="Z122" s="42">
        <f>STDEV(Z88:Z118)</f>
        <v>0.97050211693450672</v>
      </c>
      <c r="AA122" s="21">
        <f t="shared" ref="AA122:AH122" si="62">STDEV(AA88:AA118)</f>
        <v>1.8114203238739452</v>
      </c>
      <c r="AB122" s="21">
        <f t="shared" si="62"/>
        <v>1.9084286730187225</v>
      </c>
      <c r="AC122" s="21">
        <f t="shared" si="62"/>
        <v>1.5644938560572963</v>
      </c>
      <c r="AD122" s="21">
        <f t="shared" si="62"/>
        <v>21.48434134612749</v>
      </c>
      <c r="AE122" s="21">
        <f t="shared" si="62"/>
        <v>1.1479837397222339</v>
      </c>
      <c r="AF122" s="21">
        <f t="shared" si="62"/>
        <v>0.24019223070763074</v>
      </c>
      <c r="AG122" s="21">
        <f t="shared" si="62"/>
        <v>0.12306848729103065</v>
      </c>
      <c r="AH122" s="32">
        <f t="shared" si="62"/>
        <v>1.2068830376911734</v>
      </c>
    </row>
    <row r="123" spans="1:34" ht="15.75" thickBot="1"/>
    <row r="124" spans="1:34" ht="15.75" thickBot="1">
      <c r="A124" s="1"/>
      <c r="B124" s="338" t="s">
        <v>0</v>
      </c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  <c r="AA124" s="339"/>
      <c r="AB124" s="339"/>
      <c r="AC124" s="339"/>
      <c r="AD124" s="340"/>
      <c r="AE124" s="340"/>
      <c r="AF124" s="340"/>
      <c r="AG124" s="340"/>
      <c r="AH124" s="340"/>
    </row>
    <row r="125" spans="1:34" ht="15.75" thickBot="1">
      <c r="A125" s="1"/>
      <c r="B125" s="338" t="s">
        <v>160</v>
      </c>
      <c r="C125" s="339"/>
      <c r="D125" s="339"/>
      <c r="E125" s="339"/>
      <c r="F125" s="339"/>
      <c r="G125" s="339"/>
      <c r="H125" s="339"/>
      <c r="I125" s="339"/>
      <c r="J125" s="339"/>
      <c r="K125" s="339"/>
      <c r="L125" s="339"/>
      <c r="M125" s="339"/>
      <c r="N125" s="339"/>
      <c r="O125" s="339"/>
      <c r="P125" s="339"/>
      <c r="Q125" s="339"/>
      <c r="R125" s="339"/>
      <c r="S125" s="339"/>
      <c r="T125" s="339"/>
      <c r="U125" s="339"/>
      <c r="V125" s="339"/>
      <c r="W125" s="339"/>
      <c r="X125" s="339"/>
      <c r="Y125" s="339"/>
      <c r="Z125" s="339"/>
      <c r="AA125" s="339"/>
      <c r="AB125" s="339"/>
      <c r="AC125" s="339"/>
      <c r="AD125" s="4"/>
      <c r="AE125" s="43" t="s">
        <v>107</v>
      </c>
      <c r="AF125" s="341">
        <v>46082</v>
      </c>
      <c r="AG125" s="342"/>
      <c r="AH125" s="343"/>
    </row>
    <row r="126" spans="1:34">
      <c r="A126" s="344"/>
      <c r="B126" s="346" t="s">
        <v>132</v>
      </c>
      <c r="C126" s="347"/>
      <c r="D126" s="347"/>
      <c r="E126" s="347"/>
      <c r="F126" s="347"/>
      <c r="G126" s="347"/>
      <c r="H126" s="347"/>
      <c r="I126" s="347"/>
      <c r="J126" s="347"/>
      <c r="K126" s="348"/>
      <c r="L126" s="349"/>
      <c r="M126" s="22"/>
      <c r="N126" s="350" t="s">
        <v>133</v>
      </c>
      <c r="O126" s="347"/>
      <c r="P126" s="347"/>
      <c r="Q126" s="347"/>
      <c r="R126" s="347"/>
      <c r="S126" s="347"/>
      <c r="T126" s="347"/>
      <c r="U126" s="347"/>
      <c r="V126" s="347"/>
      <c r="W126" s="348"/>
      <c r="X126" s="349"/>
      <c r="Y126" s="22"/>
      <c r="Z126" s="346" t="s">
        <v>134</v>
      </c>
      <c r="AA126" s="347"/>
      <c r="AB126" s="347"/>
      <c r="AC126" s="347"/>
      <c r="AD126" s="347"/>
      <c r="AE126" s="347"/>
      <c r="AF126" s="347"/>
      <c r="AG126" s="348"/>
      <c r="AH126" s="349"/>
    </row>
    <row r="127" spans="1:34" ht="25.5">
      <c r="A127" s="345"/>
      <c r="B127" s="359" t="s">
        <v>135</v>
      </c>
      <c r="C127" s="361" t="s">
        <v>136</v>
      </c>
      <c r="D127" s="5" t="s">
        <v>137</v>
      </c>
      <c r="E127" s="5" t="s">
        <v>138</v>
      </c>
      <c r="F127" s="5" t="s">
        <v>139</v>
      </c>
      <c r="G127" s="5" t="s">
        <v>140</v>
      </c>
      <c r="H127" s="5" t="s">
        <v>141</v>
      </c>
      <c r="I127" s="5" t="s">
        <v>142</v>
      </c>
      <c r="J127" s="5" t="s">
        <v>143</v>
      </c>
      <c r="K127" s="181" t="s">
        <v>81</v>
      </c>
      <c r="L127" s="23" t="s">
        <v>144</v>
      </c>
      <c r="M127" s="22"/>
      <c r="N127" s="355" t="s">
        <v>135</v>
      </c>
      <c r="O127" s="357" t="s">
        <v>136</v>
      </c>
      <c r="P127" s="5" t="s">
        <v>137</v>
      </c>
      <c r="Q127" s="5" t="s">
        <v>138</v>
      </c>
      <c r="R127" s="5" t="s">
        <v>139</v>
      </c>
      <c r="S127" s="5" t="s">
        <v>140</v>
      </c>
      <c r="T127" s="5" t="s">
        <v>141</v>
      </c>
      <c r="U127" s="5" t="s">
        <v>142</v>
      </c>
      <c r="V127" s="5" t="s">
        <v>143</v>
      </c>
      <c r="W127" s="181" t="s">
        <v>81</v>
      </c>
      <c r="X127" s="23" t="s">
        <v>144</v>
      </c>
      <c r="Y127" s="22"/>
      <c r="Z127" s="33" t="s">
        <v>137</v>
      </c>
      <c r="AA127" s="5" t="s">
        <v>138</v>
      </c>
      <c r="AB127" s="5" t="s">
        <v>139</v>
      </c>
      <c r="AC127" s="5" t="s">
        <v>140</v>
      </c>
      <c r="AD127" s="5" t="s">
        <v>141</v>
      </c>
      <c r="AE127" s="5" t="s">
        <v>142</v>
      </c>
      <c r="AF127" s="5" t="s">
        <v>143</v>
      </c>
      <c r="AG127" s="181" t="s">
        <v>81</v>
      </c>
      <c r="AH127" s="23" t="s">
        <v>144</v>
      </c>
    </row>
    <row r="128" spans="1:34">
      <c r="A128" s="6" t="s">
        <v>145</v>
      </c>
      <c r="B128" s="360"/>
      <c r="C128" s="362"/>
      <c r="D128" s="5" t="s">
        <v>128</v>
      </c>
      <c r="E128" s="5" t="s">
        <v>128</v>
      </c>
      <c r="F128" s="5" t="s">
        <v>128</v>
      </c>
      <c r="G128" s="5" t="s">
        <v>128</v>
      </c>
      <c r="H128" s="5" t="s">
        <v>125</v>
      </c>
      <c r="I128" s="5" t="s">
        <v>146</v>
      </c>
      <c r="J128" s="5" t="s">
        <v>127</v>
      </c>
      <c r="K128" s="181" t="s">
        <v>53</v>
      </c>
      <c r="L128" s="23" t="s">
        <v>53</v>
      </c>
      <c r="M128" s="22"/>
      <c r="N128" s="356"/>
      <c r="O128" s="358"/>
      <c r="P128" s="5" t="s">
        <v>128</v>
      </c>
      <c r="Q128" s="5" t="s">
        <v>128</v>
      </c>
      <c r="R128" s="5" t="s">
        <v>128</v>
      </c>
      <c r="S128" s="5" t="s">
        <v>128</v>
      </c>
      <c r="T128" s="5" t="s">
        <v>125</v>
      </c>
      <c r="U128" s="5" t="s">
        <v>146</v>
      </c>
      <c r="V128" s="5" t="s">
        <v>127</v>
      </c>
      <c r="W128" s="181" t="s">
        <v>53</v>
      </c>
      <c r="X128" s="23" t="s">
        <v>53</v>
      </c>
      <c r="Y128" s="22"/>
      <c r="Z128" s="33" t="s">
        <v>128</v>
      </c>
      <c r="AA128" s="5" t="s">
        <v>128</v>
      </c>
      <c r="AB128" s="5" t="s">
        <v>128</v>
      </c>
      <c r="AC128" s="5" t="s">
        <v>128</v>
      </c>
      <c r="AD128" s="5" t="s">
        <v>125</v>
      </c>
      <c r="AE128" s="5" t="s">
        <v>146</v>
      </c>
      <c r="AF128" s="5" t="s">
        <v>127</v>
      </c>
      <c r="AG128" s="181" t="s">
        <v>53</v>
      </c>
      <c r="AH128" s="23" t="s">
        <v>53</v>
      </c>
    </row>
    <row r="129" spans="1:34" ht="39" thickBot="1">
      <c r="A129" s="7" t="s">
        <v>147</v>
      </c>
      <c r="B129" s="8" t="s">
        <v>148</v>
      </c>
      <c r="C129" s="9" t="s">
        <v>149</v>
      </c>
      <c r="D129" s="9" t="s">
        <v>161</v>
      </c>
      <c r="E129" s="9" t="s">
        <v>162</v>
      </c>
      <c r="F129" s="9" t="s">
        <v>163</v>
      </c>
      <c r="G129" s="9" t="s">
        <v>164</v>
      </c>
      <c r="H129" s="9" t="s">
        <v>154</v>
      </c>
      <c r="I129" s="24" t="s">
        <v>155</v>
      </c>
      <c r="J129" s="24" t="s">
        <v>156</v>
      </c>
      <c r="K129" s="24" t="s">
        <v>179</v>
      </c>
      <c r="L129" s="25" t="s">
        <v>157</v>
      </c>
      <c r="M129" s="22"/>
      <c r="N129" s="8" t="s">
        <v>148</v>
      </c>
      <c r="O129" s="9" t="s">
        <v>149</v>
      </c>
      <c r="P129" s="9" t="s">
        <v>161</v>
      </c>
      <c r="Q129" s="9" t="s">
        <v>162</v>
      </c>
      <c r="R129" s="9" t="s">
        <v>163</v>
      </c>
      <c r="S129" s="9" t="s">
        <v>164</v>
      </c>
      <c r="T129" s="9" t="s">
        <v>154</v>
      </c>
      <c r="U129" s="24" t="s">
        <v>155</v>
      </c>
      <c r="V129" s="24" t="s">
        <v>156</v>
      </c>
      <c r="W129" s="24" t="s">
        <v>179</v>
      </c>
      <c r="X129" s="25" t="s">
        <v>157</v>
      </c>
      <c r="Y129" s="22"/>
      <c r="Z129" s="8" t="s">
        <v>161</v>
      </c>
      <c r="AA129" s="9" t="s">
        <v>162</v>
      </c>
      <c r="AB129" s="9" t="s">
        <v>163</v>
      </c>
      <c r="AC129" s="9" t="s">
        <v>164</v>
      </c>
      <c r="AD129" s="9" t="s">
        <v>154</v>
      </c>
      <c r="AE129" s="9" t="s">
        <v>155</v>
      </c>
      <c r="AF129" s="9" t="s">
        <v>156</v>
      </c>
      <c r="AG129" s="24" t="s">
        <v>179</v>
      </c>
      <c r="AH129" s="23" t="s">
        <v>157</v>
      </c>
    </row>
    <row r="130" spans="1:34">
      <c r="A130" s="10">
        <f>AF125+0</f>
        <v>46082</v>
      </c>
      <c r="B130" s="11">
        <v>34.659999999999997</v>
      </c>
      <c r="C130" s="54">
        <v>28.5</v>
      </c>
      <c r="D130" s="54">
        <v>9.9</v>
      </c>
      <c r="E130" s="54">
        <v>16.91</v>
      </c>
      <c r="F130" s="54">
        <v>34.61</v>
      </c>
      <c r="G130" s="54">
        <v>45.59</v>
      </c>
      <c r="H130" s="54">
        <v>405</v>
      </c>
      <c r="I130" s="54">
        <v>8.6</v>
      </c>
      <c r="J130" s="54">
        <v>0.5</v>
      </c>
      <c r="K130" s="183">
        <v>2.12</v>
      </c>
      <c r="L130" s="55">
        <v>8.6999999999999993</v>
      </c>
      <c r="M130" s="22"/>
      <c r="N130" s="29" t="s">
        <v>35</v>
      </c>
      <c r="O130" s="13" t="s">
        <v>35</v>
      </c>
      <c r="P130" s="13" t="s">
        <v>35</v>
      </c>
      <c r="Q130" s="13" t="s">
        <v>35</v>
      </c>
      <c r="R130" s="13" t="s">
        <v>35</v>
      </c>
      <c r="S130" s="13" t="s">
        <v>35</v>
      </c>
      <c r="T130" s="13" t="s">
        <v>35</v>
      </c>
      <c r="U130" s="13" t="s">
        <v>35</v>
      </c>
      <c r="V130" s="13" t="s">
        <v>35</v>
      </c>
      <c r="W130" s="13" t="s">
        <v>35</v>
      </c>
      <c r="X130" s="37" t="s">
        <v>35</v>
      </c>
      <c r="Y130" s="22"/>
      <c r="Z130" s="148">
        <v>10.33</v>
      </c>
      <c r="AA130" s="63">
        <v>17.38</v>
      </c>
      <c r="AB130" s="63">
        <v>34.86</v>
      </c>
      <c r="AC130" s="63">
        <v>45.86</v>
      </c>
      <c r="AD130" s="159">
        <v>425</v>
      </c>
      <c r="AE130" s="63">
        <v>6.4</v>
      </c>
      <c r="AF130" s="63">
        <v>0.5</v>
      </c>
      <c r="AG130" s="183">
        <v>2.25</v>
      </c>
      <c r="AH130" s="149">
        <v>9.34</v>
      </c>
    </row>
    <row r="131" spans="1:34">
      <c r="A131" s="14">
        <f t="shared" ref="A131:A160" si="63">A130+1</f>
        <v>46083</v>
      </c>
      <c r="B131" s="11">
        <v>37.979999999999997</v>
      </c>
      <c r="C131" s="54">
        <v>28.5</v>
      </c>
      <c r="D131" s="54">
        <v>9.02</v>
      </c>
      <c r="E131" s="54">
        <v>20.11</v>
      </c>
      <c r="F131" s="54">
        <v>33.25</v>
      </c>
      <c r="G131" s="54">
        <v>44.86</v>
      </c>
      <c r="H131" s="54">
        <v>389</v>
      </c>
      <c r="I131" s="54">
        <v>9.7200000000000006</v>
      </c>
      <c r="J131" s="54">
        <v>0.5</v>
      </c>
      <c r="K131" s="183">
        <v>2.2999999999999998</v>
      </c>
      <c r="L131" s="55">
        <v>7.22</v>
      </c>
      <c r="M131" s="22"/>
      <c r="N131" s="29" t="s">
        <v>35</v>
      </c>
      <c r="O131" s="13" t="s">
        <v>35</v>
      </c>
      <c r="P131" s="13" t="s">
        <v>35</v>
      </c>
      <c r="Q131" s="13" t="s">
        <v>35</v>
      </c>
      <c r="R131" s="13" t="s">
        <v>35</v>
      </c>
      <c r="S131" s="13" t="s">
        <v>35</v>
      </c>
      <c r="T131" s="13" t="s">
        <v>35</v>
      </c>
      <c r="U131" s="13" t="s">
        <v>35</v>
      </c>
      <c r="V131" s="13" t="s">
        <v>35</v>
      </c>
      <c r="W131" s="13" t="s">
        <v>35</v>
      </c>
      <c r="X131" s="37" t="s">
        <v>35</v>
      </c>
      <c r="Y131" s="22"/>
      <c r="Z131" s="38" t="s">
        <v>35</v>
      </c>
      <c r="AA131" s="13" t="s">
        <v>35</v>
      </c>
      <c r="AB131" s="13" t="s">
        <v>35</v>
      </c>
      <c r="AC131" s="13" t="s">
        <v>35</v>
      </c>
      <c r="AD131" s="13" t="s">
        <v>35</v>
      </c>
      <c r="AE131" s="13" t="s">
        <v>35</v>
      </c>
      <c r="AF131" s="13" t="s">
        <v>35</v>
      </c>
      <c r="AG131" s="183"/>
      <c r="AH131" s="45" t="s">
        <v>35</v>
      </c>
    </row>
    <row r="132" spans="1:34">
      <c r="A132" s="14">
        <f t="shared" si="63"/>
        <v>46084</v>
      </c>
      <c r="B132" s="11">
        <v>35.700000000000003</v>
      </c>
      <c r="C132" s="12">
        <v>29.77</v>
      </c>
      <c r="D132" s="12">
        <v>10.79</v>
      </c>
      <c r="E132" s="12">
        <v>18.54</v>
      </c>
      <c r="F132" s="12">
        <v>35.590000000000003</v>
      </c>
      <c r="G132" s="12">
        <v>45.23</v>
      </c>
      <c r="H132" s="12">
        <v>378</v>
      </c>
      <c r="I132" s="13">
        <v>11.48</v>
      </c>
      <c r="J132" s="13">
        <v>0.5</v>
      </c>
      <c r="K132" s="184">
        <v>2.2669999999999999</v>
      </c>
      <c r="L132" s="26">
        <v>7.35</v>
      </c>
      <c r="M132" s="22"/>
      <c r="N132" s="29" t="s">
        <v>35</v>
      </c>
      <c r="O132" s="13" t="s">
        <v>35</v>
      </c>
      <c r="P132" s="13" t="s">
        <v>35</v>
      </c>
      <c r="Q132" s="13" t="s">
        <v>35</v>
      </c>
      <c r="R132" s="13" t="s">
        <v>35</v>
      </c>
      <c r="S132" s="13" t="s">
        <v>35</v>
      </c>
      <c r="T132" s="13" t="s">
        <v>35</v>
      </c>
      <c r="U132" s="13" t="s">
        <v>35</v>
      </c>
      <c r="V132" s="13" t="s">
        <v>35</v>
      </c>
      <c r="W132" s="13" t="s">
        <v>35</v>
      </c>
      <c r="X132" s="37" t="s">
        <v>35</v>
      </c>
      <c r="Y132" s="22"/>
      <c r="Z132" s="38">
        <v>10.039999999999999</v>
      </c>
      <c r="AA132" s="13">
        <v>16.260000000000002</v>
      </c>
      <c r="AB132" s="13">
        <v>33.19</v>
      </c>
      <c r="AC132" s="13">
        <v>44.38</v>
      </c>
      <c r="AD132" s="36">
        <v>424</v>
      </c>
      <c r="AE132" s="13">
        <v>9.84</v>
      </c>
      <c r="AF132" s="13">
        <v>0.5</v>
      </c>
      <c r="AG132" s="184">
        <v>2.16</v>
      </c>
      <c r="AH132" s="45">
        <v>8.9</v>
      </c>
    </row>
    <row r="133" spans="1:34">
      <c r="A133" s="14">
        <f t="shared" si="63"/>
        <v>46085</v>
      </c>
      <c r="B133" s="11">
        <v>38.51</v>
      </c>
      <c r="C133" s="12">
        <v>25.94</v>
      </c>
      <c r="D133" s="12">
        <v>10.14</v>
      </c>
      <c r="E133" s="12">
        <v>19.82</v>
      </c>
      <c r="F133" s="12">
        <v>33.090000000000003</v>
      </c>
      <c r="G133" s="12">
        <v>45.13</v>
      </c>
      <c r="H133" s="12">
        <v>411</v>
      </c>
      <c r="I133" s="12">
        <v>10</v>
      </c>
      <c r="J133" s="13">
        <v>1</v>
      </c>
      <c r="K133" s="184">
        <v>2.27</v>
      </c>
      <c r="L133" s="26">
        <v>7.02</v>
      </c>
      <c r="M133" s="22"/>
      <c r="N133" s="29" t="s">
        <v>35</v>
      </c>
      <c r="O133" s="13" t="s">
        <v>35</v>
      </c>
      <c r="P133" s="13" t="s">
        <v>35</v>
      </c>
      <c r="Q133" s="13" t="s">
        <v>35</v>
      </c>
      <c r="R133" s="13" t="s">
        <v>35</v>
      </c>
      <c r="S133" s="13" t="s">
        <v>35</v>
      </c>
      <c r="T133" s="13" t="s">
        <v>35</v>
      </c>
      <c r="U133" s="13" t="s">
        <v>35</v>
      </c>
      <c r="V133" s="13" t="s">
        <v>35</v>
      </c>
      <c r="W133" s="13" t="s">
        <v>35</v>
      </c>
      <c r="X133" s="37" t="s">
        <v>35</v>
      </c>
      <c r="Y133" s="22"/>
      <c r="Z133" s="38">
        <v>10.91</v>
      </c>
      <c r="AA133" s="13">
        <v>19.87</v>
      </c>
      <c r="AB133" s="13">
        <v>31.2</v>
      </c>
      <c r="AC133" s="13">
        <v>44.53</v>
      </c>
      <c r="AD133" s="36">
        <v>418</v>
      </c>
      <c r="AE133" s="13">
        <v>10.92</v>
      </c>
      <c r="AF133" s="13">
        <v>0.5</v>
      </c>
      <c r="AG133" s="184">
        <v>2.3199999999999998</v>
      </c>
      <c r="AH133" s="45">
        <v>7.31</v>
      </c>
    </row>
    <row r="134" spans="1:34">
      <c r="A134" s="14">
        <f t="shared" si="63"/>
        <v>46086</v>
      </c>
      <c r="B134" s="11" t="s">
        <v>35</v>
      </c>
      <c r="C134" s="12" t="s">
        <v>35</v>
      </c>
      <c r="D134" s="12" t="s">
        <v>35</v>
      </c>
      <c r="E134" s="12" t="s">
        <v>35</v>
      </c>
      <c r="F134" s="12" t="s">
        <v>35</v>
      </c>
      <c r="G134" s="12" t="s">
        <v>35</v>
      </c>
      <c r="H134" s="12" t="s">
        <v>35</v>
      </c>
      <c r="I134" s="12" t="s">
        <v>35</v>
      </c>
      <c r="J134" s="13" t="s">
        <v>35</v>
      </c>
      <c r="K134" s="184"/>
      <c r="L134" s="26" t="s">
        <v>35</v>
      </c>
      <c r="M134" s="22"/>
      <c r="N134" s="29" t="s">
        <v>35</v>
      </c>
      <c r="O134" s="13" t="s">
        <v>35</v>
      </c>
      <c r="P134" s="13" t="s">
        <v>35</v>
      </c>
      <c r="Q134" s="13" t="s">
        <v>35</v>
      </c>
      <c r="R134" s="13" t="s">
        <v>35</v>
      </c>
      <c r="S134" s="13" t="s">
        <v>35</v>
      </c>
      <c r="T134" s="13" t="s">
        <v>35</v>
      </c>
      <c r="U134" s="13" t="s">
        <v>35</v>
      </c>
      <c r="V134" s="13" t="s">
        <v>35</v>
      </c>
      <c r="W134" s="13" t="s">
        <v>35</v>
      </c>
      <c r="X134" s="37" t="s">
        <v>35</v>
      </c>
      <c r="Y134" s="22"/>
      <c r="Z134" s="38" t="s">
        <v>35</v>
      </c>
      <c r="AA134" s="13" t="s">
        <v>35</v>
      </c>
      <c r="AB134" s="13" t="s">
        <v>35</v>
      </c>
      <c r="AC134" s="13" t="s">
        <v>35</v>
      </c>
      <c r="AD134" s="36" t="s">
        <v>35</v>
      </c>
      <c r="AE134" s="13" t="s">
        <v>35</v>
      </c>
      <c r="AF134" s="13" t="s">
        <v>35</v>
      </c>
      <c r="AG134" s="184"/>
      <c r="AH134" s="46" t="s">
        <v>35</v>
      </c>
    </row>
    <row r="135" spans="1:34">
      <c r="A135" s="14">
        <f t="shared" si="63"/>
        <v>46087</v>
      </c>
      <c r="B135" s="11">
        <v>38.29</v>
      </c>
      <c r="C135" s="12">
        <v>22.52</v>
      </c>
      <c r="D135" s="12">
        <v>8.02</v>
      </c>
      <c r="E135" s="12">
        <v>17.89</v>
      </c>
      <c r="F135" s="12">
        <v>33.51</v>
      </c>
      <c r="G135" s="12">
        <v>45.49</v>
      </c>
      <c r="H135" s="12">
        <v>415</v>
      </c>
      <c r="I135" s="12">
        <v>9.68</v>
      </c>
      <c r="J135" s="13">
        <v>0.5</v>
      </c>
      <c r="K135" s="184">
        <v>1.81</v>
      </c>
      <c r="L135" s="26">
        <v>6.39</v>
      </c>
      <c r="M135" s="22"/>
      <c r="N135" s="29" t="s">
        <v>35</v>
      </c>
      <c r="O135" s="13" t="s">
        <v>35</v>
      </c>
      <c r="P135" s="13" t="s">
        <v>35</v>
      </c>
      <c r="Q135" s="13" t="s">
        <v>35</v>
      </c>
      <c r="R135" s="13" t="s">
        <v>35</v>
      </c>
      <c r="S135" s="13" t="s">
        <v>35</v>
      </c>
      <c r="T135" s="13" t="s">
        <v>35</v>
      </c>
      <c r="U135" s="13" t="s">
        <v>35</v>
      </c>
      <c r="V135" s="13" t="s">
        <v>35</v>
      </c>
      <c r="W135" s="13" t="s">
        <v>35</v>
      </c>
      <c r="X135" s="37" t="s">
        <v>35</v>
      </c>
      <c r="Y135" s="22"/>
      <c r="Z135" s="38">
        <v>10.08</v>
      </c>
      <c r="AA135" s="13">
        <v>20.99</v>
      </c>
      <c r="AB135" s="13">
        <v>34.67</v>
      </c>
      <c r="AC135" s="13">
        <v>45.64</v>
      </c>
      <c r="AD135" s="36">
        <v>407</v>
      </c>
      <c r="AE135" s="13">
        <v>8.08</v>
      </c>
      <c r="AF135" s="13">
        <v>0.5</v>
      </c>
      <c r="AG135" s="184">
        <v>2.2200000000000002</v>
      </c>
      <c r="AH135" s="45">
        <v>7.86</v>
      </c>
    </row>
    <row r="136" spans="1:34">
      <c r="A136" s="14">
        <f t="shared" si="63"/>
        <v>46088</v>
      </c>
      <c r="B136" s="11">
        <v>37.270000000000003</v>
      </c>
      <c r="C136" s="13">
        <v>26</v>
      </c>
      <c r="D136" s="12">
        <v>10.79</v>
      </c>
      <c r="E136" s="12">
        <v>19.649999999999999</v>
      </c>
      <c r="F136" s="12">
        <v>32.01</v>
      </c>
      <c r="G136" s="12">
        <v>46.82</v>
      </c>
      <c r="H136" s="12">
        <v>442</v>
      </c>
      <c r="I136" s="12">
        <v>9.1999999999999993</v>
      </c>
      <c r="J136" s="13">
        <v>0.5</v>
      </c>
      <c r="K136" s="184">
        <v>2.5499999999999998</v>
      </c>
      <c r="L136" s="26">
        <v>7.29</v>
      </c>
      <c r="M136" s="22"/>
      <c r="N136" s="29" t="s">
        <v>35</v>
      </c>
      <c r="O136" s="13" t="s">
        <v>35</v>
      </c>
      <c r="P136" s="13" t="s">
        <v>35</v>
      </c>
      <c r="Q136" s="13" t="s">
        <v>35</v>
      </c>
      <c r="R136" s="13" t="s">
        <v>35</v>
      </c>
      <c r="S136" s="13" t="s">
        <v>35</v>
      </c>
      <c r="T136" s="13" t="s">
        <v>35</v>
      </c>
      <c r="U136" s="13" t="s">
        <v>35</v>
      </c>
      <c r="V136" s="13" t="s">
        <v>35</v>
      </c>
      <c r="W136" s="13" t="s">
        <v>35</v>
      </c>
      <c r="X136" s="37" t="s">
        <v>35</v>
      </c>
      <c r="Y136" s="22"/>
      <c r="Z136" s="38">
        <v>10.4</v>
      </c>
      <c r="AA136" s="13">
        <v>19.93</v>
      </c>
      <c r="AB136" s="13">
        <v>36.72</v>
      </c>
      <c r="AC136" s="13">
        <v>45.86</v>
      </c>
      <c r="AD136" s="36">
        <v>402</v>
      </c>
      <c r="AE136" s="13">
        <v>9.7200000000000006</v>
      </c>
      <c r="AF136" s="13">
        <v>1.5</v>
      </c>
      <c r="AG136" s="184">
        <v>2.74</v>
      </c>
      <c r="AH136" s="45">
        <v>6.78</v>
      </c>
    </row>
    <row r="137" spans="1:34">
      <c r="A137" s="14">
        <f t="shared" si="63"/>
        <v>46089</v>
      </c>
      <c r="B137" s="11">
        <v>35.53</v>
      </c>
      <c r="C137" s="13">
        <v>25</v>
      </c>
      <c r="D137" s="12">
        <v>11.52</v>
      </c>
      <c r="E137" s="12">
        <v>19.62</v>
      </c>
      <c r="F137" s="12">
        <v>33.03</v>
      </c>
      <c r="G137" s="12">
        <v>45.32</v>
      </c>
      <c r="H137" s="12">
        <v>403</v>
      </c>
      <c r="I137" s="12">
        <v>10.36</v>
      </c>
      <c r="J137" s="13">
        <v>1</v>
      </c>
      <c r="K137" s="184">
        <v>2.4060000000000001</v>
      </c>
      <c r="L137" s="26">
        <v>7.46</v>
      </c>
      <c r="M137" s="22"/>
      <c r="N137" s="29" t="s">
        <v>35</v>
      </c>
      <c r="O137" s="13" t="s">
        <v>35</v>
      </c>
      <c r="P137" s="13" t="s">
        <v>35</v>
      </c>
      <c r="Q137" s="13" t="s">
        <v>35</v>
      </c>
      <c r="R137" s="13" t="s">
        <v>35</v>
      </c>
      <c r="S137" s="13" t="s">
        <v>35</v>
      </c>
      <c r="T137" s="13" t="s">
        <v>35</v>
      </c>
      <c r="U137" s="13" t="s">
        <v>35</v>
      </c>
      <c r="V137" s="13" t="s">
        <v>35</v>
      </c>
      <c r="W137" s="13" t="s">
        <v>35</v>
      </c>
      <c r="X137" s="37" t="s">
        <v>35</v>
      </c>
      <c r="Y137" s="22"/>
      <c r="Z137" s="38">
        <v>11.69</v>
      </c>
      <c r="AA137" s="13">
        <v>19.059999999999999</v>
      </c>
      <c r="AB137" s="13">
        <v>37.200000000000003</v>
      </c>
      <c r="AC137" s="13">
        <v>47.53</v>
      </c>
      <c r="AD137" s="36">
        <v>417</v>
      </c>
      <c r="AE137" s="13">
        <v>9.76</v>
      </c>
      <c r="AF137" s="13">
        <v>0.5</v>
      </c>
      <c r="AG137" s="184">
        <v>2.29</v>
      </c>
      <c r="AH137" s="45">
        <v>7.88</v>
      </c>
    </row>
    <row r="138" spans="1:34">
      <c r="A138" s="14">
        <f t="shared" si="63"/>
        <v>46090</v>
      </c>
      <c r="B138" s="11" t="s">
        <v>35</v>
      </c>
      <c r="C138" s="12" t="s">
        <v>35</v>
      </c>
      <c r="D138" s="12" t="s">
        <v>35</v>
      </c>
      <c r="E138" s="12" t="s">
        <v>35</v>
      </c>
      <c r="F138" s="12" t="s">
        <v>35</v>
      </c>
      <c r="G138" s="12" t="s">
        <v>35</v>
      </c>
      <c r="H138" s="12" t="s">
        <v>35</v>
      </c>
      <c r="I138" s="12" t="s">
        <v>35</v>
      </c>
      <c r="J138" s="13" t="s">
        <v>35</v>
      </c>
      <c r="K138" s="184"/>
      <c r="L138" s="26" t="s">
        <v>35</v>
      </c>
      <c r="M138" s="22"/>
      <c r="N138" s="29" t="s">
        <v>35</v>
      </c>
      <c r="O138" s="13" t="s">
        <v>35</v>
      </c>
      <c r="P138" s="13" t="s">
        <v>35</v>
      </c>
      <c r="Q138" s="13" t="s">
        <v>35</v>
      </c>
      <c r="R138" s="13" t="s">
        <v>35</v>
      </c>
      <c r="S138" s="13" t="s">
        <v>35</v>
      </c>
      <c r="T138" s="13" t="s">
        <v>35</v>
      </c>
      <c r="U138" s="13" t="s">
        <v>35</v>
      </c>
      <c r="V138" s="13" t="s">
        <v>35</v>
      </c>
      <c r="W138" s="13" t="s">
        <v>35</v>
      </c>
      <c r="X138" s="37" t="s">
        <v>35</v>
      </c>
      <c r="Y138" s="22"/>
      <c r="Z138" s="38">
        <v>10.029999999999999</v>
      </c>
      <c r="AA138" s="13">
        <v>20.83</v>
      </c>
      <c r="AB138" s="13">
        <v>33.909999999999997</v>
      </c>
      <c r="AC138" s="13">
        <v>45.88</v>
      </c>
      <c r="AD138" s="36">
        <v>425</v>
      </c>
      <c r="AE138" s="13">
        <v>9.1999999999999993</v>
      </c>
      <c r="AF138" s="13">
        <v>0.5</v>
      </c>
      <c r="AG138" s="184">
        <v>2.3029999999999999</v>
      </c>
      <c r="AH138" s="45">
        <v>7.09</v>
      </c>
    </row>
    <row r="139" spans="1:34">
      <c r="A139" s="14">
        <f t="shared" si="63"/>
        <v>46091</v>
      </c>
      <c r="B139" s="11">
        <v>38.42</v>
      </c>
      <c r="C139" s="12">
        <v>27.99</v>
      </c>
      <c r="D139" s="12">
        <v>10.82</v>
      </c>
      <c r="E139" s="12">
        <v>18.8</v>
      </c>
      <c r="F139" s="12">
        <v>32.51</v>
      </c>
      <c r="G139" s="12">
        <v>45.48</v>
      </c>
      <c r="H139" s="12">
        <v>385</v>
      </c>
      <c r="I139" s="12">
        <v>8.9600000000000009</v>
      </c>
      <c r="J139" s="13">
        <v>1</v>
      </c>
      <c r="K139" s="184">
        <v>2.2599999999999998</v>
      </c>
      <c r="L139" s="26">
        <v>7.62</v>
      </c>
      <c r="M139" s="22"/>
      <c r="N139" s="29" t="s">
        <v>35</v>
      </c>
      <c r="O139" s="13" t="s">
        <v>35</v>
      </c>
      <c r="P139" s="13" t="s">
        <v>35</v>
      </c>
      <c r="Q139" s="13" t="s">
        <v>35</v>
      </c>
      <c r="R139" s="13" t="s">
        <v>35</v>
      </c>
      <c r="S139" s="13" t="s">
        <v>35</v>
      </c>
      <c r="T139" s="13" t="s">
        <v>35</v>
      </c>
      <c r="U139" s="13" t="s">
        <v>35</v>
      </c>
      <c r="V139" s="13" t="s">
        <v>35</v>
      </c>
      <c r="W139" s="13" t="s">
        <v>35</v>
      </c>
      <c r="X139" s="37" t="s">
        <v>35</v>
      </c>
      <c r="Y139" s="22"/>
      <c r="Z139" s="38" t="s">
        <v>35</v>
      </c>
      <c r="AA139" s="13" t="s">
        <v>35</v>
      </c>
      <c r="AB139" s="13" t="s">
        <v>35</v>
      </c>
      <c r="AC139" s="13" t="s">
        <v>35</v>
      </c>
      <c r="AD139" s="36" t="s">
        <v>35</v>
      </c>
      <c r="AE139" s="13" t="s">
        <v>35</v>
      </c>
      <c r="AF139" s="13" t="s">
        <v>35</v>
      </c>
      <c r="AG139" s="184"/>
      <c r="AH139" s="46" t="s">
        <v>35</v>
      </c>
    </row>
    <row r="140" spans="1:34">
      <c r="A140" s="14">
        <f t="shared" si="63"/>
        <v>46092</v>
      </c>
      <c r="B140" s="11" t="s">
        <v>35</v>
      </c>
      <c r="C140" s="12" t="s">
        <v>35</v>
      </c>
      <c r="D140" s="12" t="s">
        <v>35</v>
      </c>
      <c r="E140" s="12" t="s">
        <v>35</v>
      </c>
      <c r="F140" s="12" t="s">
        <v>35</v>
      </c>
      <c r="G140" s="12" t="s">
        <v>35</v>
      </c>
      <c r="H140" s="12" t="s">
        <v>35</v>
      </c>
      <c r="I140" s="12" t="s">
        <v>35</v>
      </c>
      <c r="J140" s="13" t="s">
        <v>35</v>
      </c>
      <c r="K140" s="184"/>
      <c r="L140" s="26" t="s">
        <v>35</v>
      </c>
      <c r="M140" s="22"/>
      <c r="N140" s="29" t="s">
        <v>35</v>
      </c>
      <c r="O140" s="13" t="s">
        <v>35</v>
      </c>
      <c r="P140" s="13" t="s">
        <v>35</v>
      </c>
      <c r="Q140" s="13" t="s">
        <v>35</v>
      </c>
      <c r="R140" s="13" t="s">
        <v>35</v>
      </c>
      <c r="S140" s="13" t="s">
        <v>35</v>
      </c>
      <c r="T140" s="13" t="s">
        <v>35</v>
      </c>
      <c r="U140" s="13" t="s">
        <v>35</v>
      </c>
      <c r="V140" s="13" t="s">
        <v>35</v>
      </c>
      <c r="W140" s="13" t="s">
        <v>35</v>
      </c>
      <c r="X140" s="37" t="s">
        <v>35</v>
      </c>
      <c r="Y140" s="22"/>
      <c r="Z140" s="38" t="s">
        <v>35</v>
      </c>
      <c r="AA140" s="13" t="s">
        <v>35</v>
      </c>
      <c r="AB140" s="13" t="s">
        <v>35</v>
      </c>
      <c r="AC140" s="13" t="s">
        <v>35</v>
      </c>
      <c r="AD140" s="36" t="s">
        <v>35</v>
      </c>
      <c r="AE140" s="13" t="s">
        <v>35</v>
      </c>
      <c r="AF140" s="13" t="s">
        <v>35</v>
      </c>
      <c r="AG140" s="184"/>
      <c r="AH140" s="46" t="s">
        <v>35</v>
      </c>
    </row>
    <row r="141" spans="1:34">
      <c r="A141" s="14">
        <f t="shared" si="63"/>
        <v>46093</v>
      </c>
      <c r="B141" s="11" t="s">
        <v>35</v>
      </c>
      <c r="C141" s="12" t="s">
        <v>35</v>
      </c>
      <c r="D141" s="12" t="s">
        <v>35</v>
      </c>
      <c r="E141" s="12" t="s">
        <v>35</v>
      </c>
      <c r="F141" s="12" t="s">
        <v>35</v>
      </c>
      <c r="G141" s="12" t="s">
        <v>35</v>
      </c>
      <c r="H141" s="12" t="s">
        <v>35</v>
      </c>
      <c r="I141" s="12" t="s">
        <v>35</v>
      </c>
      <c r="J141" s="13" t="s">
        <v>35</v>
      </c>
      <c r="K141" s="184"/>
      <c r="L141" s="26" t="s">
        <v>35</v>
      </c>
      <c r="M141" s="22"/>
      <c r="N141" s="29" t="s">
        <v>35</v>
      </c>
      <c r="O141" s="13" t="s">
        <v>35</v>
      </c>
      <c r="P141" s="13" t="s">
        <v>35</v>
      </c>
      <c r="Q141" s="13" t="s">
        <v>35</v>
      </c>
      <c r="R141" s="13" t="s">
        <v>35</v>
      </c>
      <c r="S141" s="13" t="s">
        <v>35</v>
      </c>
      <c r="T141" s="13" t="s">
        <v>35</v>
      </c>
      <c r="U141" s="13" t="s">
        <v>35</v>
      </c>
      <c r="V141" s="13" t="s">
        <v>35</v>
      </c>
      <c r="W141" s="13" t="s">
        <v>35</v>
      </c>
      <c r="X141" s="37" t="s">
        <v>35</v>
      </c>
      <c r="Y141" s="22"/>
      <c r="Z141" s="38">
        <v>10.66</v>
      </c>
      <c r="AA141" s="13">
        <v>20.309999999999999</v>
      </c>
      <c r="AB141" s="13">
        <v>47.28</v>
      </c>
      <c r="AC141" s="13">
        <v>45.84</v>
      </c>
      <c r="AD141" s="36">
        <v>363</v>
      </c>
      <c r="AE141" s="13">
        <v>13.4</v>
      </c>
      <c r="AF141" s="13">
        <v>96</v>
      </c>
      <c r="AG141" s="184">
        <v>2.0699999999999998</v>
      </c>
      <c r="AH141" s="45">
        <v>5.83</v>
      </c>
    </row>
    <row r="142" spans="1:34">
      <c r="A142" s="14">
        <f t="shared" si="63"/>
        <v>46094</v>
      </c>
      <c r="B142" s="11">
        <v>39.15</v>
      </c>
      <c r="C142" s="13">
        <v>26</v>
      </c>
      <c r="D142" s="12">
        <v>10.64</v>
      </c>
      <c r="E142" s="12">
        <v>19.350000000000001</v>
      </c>
      <c r="F142" s="12">
        <v>35.51</v>
      </c>
      <c r="G142" s="12">
        <v>45.04</v>
      </c>
      <c r="H142" s="12">
        <v>373</v>
      </c>
      <c r="I142" s="13">
        <v>7.6</v>
      </c>
      <c r="J142" s="13">
        <v>0.5</v>
      </c>
      <c r="K142" s="184">
        <v>2.0699999999999998</v>
      </c>
      <c r="L142" s="26">
        <v>6.55</v>
      </c>
      <c r="M142" s="22"/>
      <c r="N142" s="29" t="s">
        <v>35</v>
      </c>
      <c r="O142" s="13" t="s">
        <v>35</v>
      </c>
      <c r="P142" s="13" t="s">
        <v>35</v>
      </c>
      <c r="Q142" s="13" t="s">
        <v>35</v>
      </c>
      <c r="R142" s="13" t="s">
        <v>35</v>
      </c>
      <c r="S142" s="13" t="s">
        <v>35</v>
      </c>
      <c r="T142" s="13" t="s">
        <v>35</v>
      </c>
      <c r="U142" s="13" t="s">
        <v>35</v>
      </c>
      <c r="V142" s="13" t="s">
        <v>35</v>
      </c>
      <c r="W142" s="13" t="s">
        <v>35</v>
      </c>
      <c r="X142" s="37" t="s">
        <v>35</v>
      </c>
      <c r="Y142" s="22"/>
      <c r="Z142" s="38" t="s">
        <v>35</v>
      </c>
      <c r="AA142" s="13" t="s">
        <v>35</v>
      </c>
      <c r="AB142" s="13" t="s">
        <v>35</v>
      </c>
      <c r="AC142" s="13" t="s">
        <v>35</v>
      </c>
      <c r="AD142" s="36" t="s">
        <v>35</v>
      </c>
      <c r="AE142" s="13" t="s">
        <v>35</v>
      </c>
      <c r="AF142" s="13" t="s">
        <v>35</v>
      </c>
      <c r="AG142" s="184"/>
      <c r="AH142" s="45" t="s">
        <v>35</v>
      </c>
    </row>
    <row r="143" spans="1:34">
      <c r="A143" s="14">
        <f t="shared" si="63"/>
        <v>46095</v>
      </c>
      <c r="B143" s="11" t="s">
        <v>35</v>
      </c>
      <c r="C143" s="13" t="s">
        <v>35</v>
      </c>
      <c r="D143" s="12" t="s">
        <v>35</v>
      </c>
      <c r="E143" s="12" t="s">
        <v>35</v>
      </c>
      <c r="F143" s="13" t="s">
        <v>35</v>
      </c>
      <c r="G143" s="12" t="s">
        <v>35</v>
      </c>
      <c r="H143" s="12" t="s">
        <v>35</v>
      </c>
      <c r="I143" s="13" t="s">
        <v>35</v>
      </c>
      <c r="J143" s="13" t="s">
        <v>35</v>
      </c>
      <c r="K143" s="184"/>
      <c r="L143" s="26" t="s">
        <v>35</v>
      </c>
      <c r="M143" s="22"/>
      <c r="N143" s="29" t="s">
        <v>35</v>
      </c>
      <c r="O143" s="13" t="s">
        <v>35</v>
      </c>
      <c r="P143" s="13" t="s">
        <v>35</v>
      </c>
      <c r="Q143" s="13" t="s">
        <v>35</v>
      </c>
      <c r="R143" s="13" t="s">
        <v>35</v>
      </c>
      <c r="S143" s="13" t="s">
        <v>35</v>
      </c>
      <c r="T143" s="13" t="s">
        <v>35</v>
      </c>
      <c r="U143" s="13" t="s">
        <v>35</v>
      </c>
      <c r="V143" s="13" t="s">
        <v>35</v>
      </c>
      <c r="W143" s="13" t="s">
        <v>35</v>
      </c>
      <c r="X143" s="37" t="s">
        <v>35</v>
      </c>
      <c r="Y143" s="22"/>
      <c r="Z143" s="38" t="s">
        <v>35</v>
      </c>
      <c r="AA143" s="13" t="s">
        <v>35</v>
      </c>
      <c r="AB143" s="13" t="s">
        <v>35</v>
      </c>
      <c r="AC143" s="13" t="s">
        <v>35</v>
      </c>
      <c r="AD143" s="36" t="s">
        <v>35</v>
      </c>
      <c r="AE143" s="13" t="s">
        <v>35</v>
      </c>
      <c r="AF143" s="13" t="s">
        <v>35</v>
      </c>
      <c r="AG143" s="184"/>
      <c r="AH143" s="45" t="s">
        <v>35</v>
      </c>
    </row>
    <row r="144" spans="1:34">
      <c r="A144" s="14">
        <f t="shared" si="63"/>
        <v>46096</v>
      </c>
      <c r="B144" s="11">
        <v>37.42</v>
      </c>
      <c r="C144" s="13">
        <v>26</v>
      </c>
      <c r="D144" s="12">
        <v>11.93</v>
      </c>
      <c r="E144" s="12">
        <v>19.32</v>
      </c>
      <c r="F144" s="13">
        <v>30.84</v>
      </c>
      <c r="G144" s="12">
        <v>45.24</v>
      </c>
      <c r="H144" s="12">
        <v>378</v>
      </c>
      <c r="I144" s="12">
        <v>9.8000000000000007</v>
      </c>
      <c r="J144" s="13">
        <v>0.5</v>
      </c>
      <c r="K144" s="184">
        <v>2.056</v>
      </c>
      <c r="L144" s="26">
        <v>6.89</v>
      </c>
      <c r="M144" s="22"/>
      <c r="N144" s="29" t="s">
        <v>35</v>
      </c>
      <c r="O144" s="13" t="s">
        <v>35</v>
      </c>
      <c r="P144" s="13" t="s">
        <v>35</v>
      </c>
      <c r="Q144" s="13" t="s">
        <v>35</v>
      </c>
      <c r="R144" s="13" t="s">
        <v>35</v>
      </c>
      <c r="S144" s="13" t="s">
        <v>35</v>
      </c>
      <c r="T144" s="13" t="s">
        <v>35</v>
      </c>
      <c r="U144" s="13" t="s">
        <v>35</v>
      </c>
      <c r="V144" s="13" t="s">
        <v>35</v>
      </c>
      <c r="W144" s="13" t="s">
        <v>35</v>
      </c>
      <c r="X144" s="37" t="s">
        <v>35</v>
      </c>
      <c r="Y144" s="22"/>
      <c r="Z144" s="38">
        <v>11.64</v>
      </c>
      <c r="AA144" s="13">
        <v>20</v>
      </c>
      <c r="AB144" s="13">
        <v>30.89</v>
      </c>
      <c r="AC144" s="13">
        <v>45.86</v>
      </c>
      <c r="AD144" s="36">
        <v>351</v>
      </c>
      <c r="AE144" s="13">
        <v>9.68</v>
      </c>
      <c r="AF144" s="13">
        <v>0.5</v>
      </c>
      <c r="AG144" s="184">
        <v>2.0745</v>
      </c>
      <c r="AH144" s="37">
        <v>6.79</v>
      </c>
    </row>
    <row r="145" spans="1:34">
      <c r="A145" s="14">
        <f t="shared" si="63"/>
        <v>46097</v>
      </c>
      <c r="B145" s="11" t="s">
        <v>35</v>
      </c>
      <c r="C145" s="13" t="s">
        <v>35</v>
      </c>
      <c r="D145" s="12" t="s">
        <v>35</v>
      </c>
      <c r="E145" s="12" t="s">
        <v>35</v>
      </c>
      <c r="F145" s="13" t="s">
        <v>35</v>
      </c>
      <c r="G145" s="12" t="s">
        <v>35</v>
      </c>
      <c r="H145" s="12" t="s">
        <v>35</v>
      </c>
      <c r="I145" s="13" t="s">
        <v>35</v>
      </c>
      <c r="J145" s="13" t="s">
        <v>35</v>
      </c>
      <c r="K145" s="184"/>
      <c r="L145" s="26" t="s">
        <v>35</v>
      </c>
      <c r="M145" s="22"/>
      <c r="N145" s="29" t="s">
        <v>35</v>
      </c>
      <c r="O145" s="13" t="s">
        <v>35</v>
      </c>
      <c r="P145" s="13" t="s">
        <v>35</v>
      </c>
      <c r="Q145" s="13" t="s">
        <v>35</v>
      </c>
      <c r="R145" s="13" t="s">
        <v>35</v>
      </c>
      <c r="S145" s="13" t="s">
        <v>35</v>
      </c>
      <c r="T145" s="13" t="s">
        <v>35</v>
      </c>
      <c r="U145" s="13" t="s">
        <v>35</v>
      </c>
      <c r="V145" s="13" t="s">
        <v>35</v>
      </c>
      <c r="W145" s="13" t="s">
        <v>35</v>
      </c>
      <c r="X145" s="37" t="s">
        <v>35</v>
      </c>
      <c r="Y145" s="22"/>
      <c r="Z145" s="38" t="s">
        <v>35</v>
      </c>
      <c r="AA145" s="13" t="s">
        <v>35</v>
      </c>
      <c r="AB145" s="13" t="s">
        <v>35</v>
      </c>
      <c r="AC145" s="13" t="s">
        <v>35</v>
      </c>
      <c r="AD145" s="36" t="s">
        <v>35</v>
      </c>
      <c r="AE145" s="13" t="s">
        <v>35</v>
      </c>
      <c r="AF145" s="13" t="s">
        <v>35</v>
      </c>
      <c r="AG145" s="184"/>
      <c r="AH145" s="45" t="s">
        <v>35</v>
      </c>
    </row>
    <row r="146" spans="1:34">
      <c r="A146" s="14">
        <f t="shared" si="63"/>
        <v>46098</v>
      </c>
      <c r="B146" s="11">
        <v>35.93</v>
      </c>
      <c r="C146" s="13">
        <v>26.49</v>
      </c>
      <c r="D146" s="12">
        <v>12.13</v>
      </c>
      <c r="E146" s="12">
        <v>20.84</v>
      </c>
      <c r="F146" s="13">
        <v>30.36</v>
      </c>
      <c r="G146" s="12">
        <v>45.43</v>
      </c>
      <c r="H146" s="12">
        <v>416</v>
      </c>
      <c r="I146" s="12">
        <v>10.02</v>
      </c>
      <c r="J146" s="13">
        <v>1.5</v>
      </c>
      <c r="K146" s="184">
        <v>2.11</v>
      </c>
      <c r="L146" s="26">
        <v>7.88</v>
      </c>
      <c r="M146" s="22"/>
      <c r="N146" s="29" t="s">
        <v>35</v>
      </c>
      <c r="O146" s="13" t="s">
        <v>35</v>
      </c>
      <c r="P146" s="13" t="s">
        <v>35</v>
      </c>
      <c r="Q146" s="13" t="s">
        <v>35</v>
      </c>
      <c r="R146" s="13" t="s">
        <v>35</v>
      </c>
      <c r="S146" s="13" t="s">
        <v>35</v>
      </c>
      <c r="T146" s="13" t="s">
        <v>35</v>
      </c>
      <c r="U146" s="13" t="s">
        <v>35</v>
      </c>
      <c r="V146" s="13" t="s">
        <v>35</v>
      </c>
      <c r="W146" s="13" t="s">
        <v>35</v>
      </c>
      <c r="X146" s="37" t="s">
        <v>35</v>
      </c>
      <c r="Y146" s="22"/>
      <c r="Z146" s="38" t="s">
        <v>35</v>
      </c>
      <c r="AA146" s="13" t="s">
        <v>35</v>
      </c>
      <c r="AB146" s="13" t="s">
        <v>35</v>
      </c>
      <c r="AC146" s="13" t="s">
        <v>35</v>
      </c>
      <c r="AD146" s="36" t="s">
        <v>35</v>
      </c>
      <c r="AE146" s="13" t="s">
        <v>35</v>
      </c>
      <c r="AF146" s="13" t="s">
        <v>35</v>
      </c>
      <c r="AG146" s="184"/>
      <c r="AH146" s="45" t="s">
        <v>35</v>
      </c>
    </row>
    <row r="147" spans="1:34">
      <c r="A147" s="14">
        <f t="shared" si="63"/>
        <v>46099</v>
      </c>
      <c r="B147" s="11">
        <v>37.15</v>
      </c>
      <c r="C147" s="13">
        <v>23.68</v>
      </c>
      <c r="D147" s="12">
        <v>11.12</v>
      </c>
      <c r="E147" s="12">
        <v>22.95</v>
      </c>
      <c r="F147" s="13">
        <v>32.96</v>
      </c>
      <c r="G147" s="12">
        <v>44.42</v>
      </c>
      <c r="H147" s="12">
        <v>405</v>
      </c>
      <c r="I147" s="12">
        <v>9.52</v>
      </c>
      <c r="J147" s="13">
        <v>0.5</v>
      </c>
      <c r="K147" s="184">
        <v>1.99</v>
      </c>
      <c r="L147" s="26">
        <v>8.06</v>
      </c>
      <c r="M147" s="22"/>
      <c r="N147" s="29" t="s">
        <v>35</v>
      </c>
      <c r="O147" s="13" t="s">
        <v>35</v>
      </c>
      <c r="P147" s="13" t="s">
        <v>35</v>
      </c>
      <c r="Q147" s="13" t="s">
        <v>35</v>
      </c>
      <c r="R147" s="13" t="s">
        <v>35</v>
      </c>
      <c r="S147" s="13" t="s">
        <v>35</v>
      </c>
      <c r="T147" s="13" t="s">
        <v>35</v>
      </c>
      <c r="U147" s="13" t="s">
        <v>35</v>
      </c>
      <c r="V147" s="13" t="s">
        <v>35</v>
      </c>
      <c r="W147" s="13" t="s">
        <v>35</v>
      </c>
      <c r="X147" s="37" t="s">
        <v>35</v>
      </c>
      <c r="Y147" s="22"/>
      <c r="Z147" s="38">
        <v>12.48</v>
      </c>
      <c r="AA147" s="13">
        <v>23.23</v>
      </c>
      <c r="AB147" s="13">
        <v>32.299999999999997</v>
      </c>
      <c r="AC147" s="13">
        <v>45.21</v>
      </c>
      <c r="AD147" s="36">
        <v>398</v>
      </c>
      <c r="AE147" s="13">
        <v>10.199999999999999</v>
      </c>
      <c r="AF147" s="13">
        <v>0.5</v>
      </c>
      <c r="AG147" s="184">
        <v>1.98</v>
      </c>
      <c r="AH147" s="37">
        <v>6.17</v>
      </c>
    </row>
    <row r="148" spans="1:34">
      <c r="A148" s="14">
        <f t="shared" si="63"/>
        <v>46100</v>
      </c>
      <c r="B148" s="38" t="s">
        <v>35</v>
      </c>
      <c r="C148" s="13" t="s">
        <v>35</v>
      </c>
      <c r="D148" s="12" t="s">
        <v>35</v>
      </c>
      <c r="E148" s="12" t="s">
        <v>35</v>
      </c>
      <c r="F148" s="13" t="s">
        <v>35</v>
      </c>
      <c r="G148" s="12" t="s">
        <v>35</v>
      </c>
      <c r="H148" s="12" t="s">
        <v>35</v>
      </c>
      <c r="I148" s="12" t="s">
        <v>35</v>
      </c>
      <c r="J148" s="13" t="s">
        <v>35</v>
      </c>
      <c r="K148" s="184"/>
      <c r="L148" s="26" t="s">
        <v>35</v>
      </c>
      <c r="M148" s="22"/>
      <c r="N148" s="29" t="s">
        <v>35</v>
      </c>
      <c r="O148" s="13" t="s">
        <v>35</v>
      </c>
      <c r="P148" s="13" t="s">
        <v>35</v>
      </c>
      <c r="Q148" s="13" t="s">
        <v>35</v>
      </c>
      <c r="R148" s="13" t="s">
        <v>35</v>
      </c>
      <c r="S148" s="13" t="s">
        <v>35</v>
      </c>
      <c r="T148" s="13" t="s">
        <v>35</v>
      </c>
      <c r="U148" s="13" t="s">
        <v>35</v>
      </c>
      <c r="V148" s="13" t="s">
        <v>35</v>
      </c>
      <c r="W148" s="13" t="s">
        <v>35</v>
      </c>
      <c r="X148" s="37" t="s">
        <v>35</v>
      </c>
      <c r="Y148" s="22"/>
      <c r="Z148" s="38" t="s">
        <v>35</v>
      </c>
      <c r="AA148" s="13" t="s">
        <v>35</v>
      </c>
      <c r="AB148" s="13" t="s">
        <v>35</v>
      </c>
      <c r="AC148" s="13" t="s">
        <v>35</v>
      </c>
      <c r="AD148" s="36" t="s">
        <v>35</v>
      </c>
      <c r="AE148" s="13" t="s">
        <v>35</v>
      </c>
      <c r="AF148" s="13" t="s">
        <v>35</v>
      </c>
      <c r="AG148" s="184"/>
      <c r="AH148" s="37" t="s">
        <v>35</v>
      </c>
    </row>
    <row r="149" spans="1:34">
      <c r="A149" s="14">
        <f t="shared" si="63"/>
        <v>46101</v>
      </c>
      <c r="B149" s="38">
        <v>38.42</v>
      </c>
      <c r="C149" s="13">
        <v>23.11</v>
      </c>
      <c r="D149" s="12">
        <v>10.6</v>
      </c>
      <c r="E149" s="12">
        <v>19.440000000000001</v>
      </c>
      <c r="F149" s="13">
        <v>33.729999999999997</v>
      </c>
      <c r="G149" s="12">
        <v>45.32</v>
      </c>
      <c r="H149" s="12">
        <v>407</v>
      </c>
      <c r="I149" s="13">
        <v>12.56</v>
      </c>
      <c r="J149" s="13">
        <v>0.5</v>
      </c>
      <c r="K149" s="184">
        <v>2.2999999999999998</v>
      </c>
      <c r="L149" s="26">
        <v>7.09</v>
      </c>
      <c r="M149" s="22"/>
      <c r="N149" s="29">
        <v>38.22</v>
      </c>
      <c r="O149" s="13">
        <v>23.11</v>
      </c>
      <c r="P149" s="13">
        <v>9.6</v>
      </c>
      <c r="Q149" s="13">
        <v>18.43</v>
      </c>
      <c r="R149" s="13">
        <v>34.46</v>
      </c>
      <c r="S149" s="13">
        <v>45.77</v>
      </c>
      <c r="T149" s="36">
        <v>407</v>
      </c>
      <c r="U149" s="13">
        <v>12.56</v>
      </c>
      <c r="V149" s="13">
        <v>1</v>
      </c>
      <c r="W149" s="13">
        <v>2.33</v>
      </c>
      <c r="X149" s="37">
        <v>6.9</v>
      </c>
      <c r="Y149" s="22"/>
      <c r="Z149" s="38">
        <v>8.98</v>
      </c>
      <c r="AA149" s="13">
        <v>19.8</v>
      </c>
      <c r="AB149" s="13">
        <v>34.22</v>
      </c>
      <c r="AC149" s="13">
        <v>45.36</v>
      </c>
      <c r="AD149" s="36">
        <v>410</v>
      </c>
      <c r="AE149" s="13">
        <v>11.48</v>
      </c>
      <c r="AF149" s="13">
        <v>0.5</v>
      </c>
      <c r="AG149" s="184">
        <v>2.2930000000000001</v>
      </c>
      <c r="AH149" s="37">
        <v>6.53</v>
      </c>
    </row>
    <row r="150" spans="1:34">
      <c r="A150" s="14">
        <f t="shared" si="63"/>
        <v>46102</v>
      </c>
      <c r="B150" s="38" t="s">
        <v>35</v>
      </c>
      <c r="C150" s="13" t="s">
        <v>35</v>
      </c>
      <c r="D150" s="12" t="s">
        <v>35</v>
      </c>
      <c r="E150" s="12" t="s">
        <v>35</v>
      </c>
      <c r="F150" s="13" t="s">
        <v>35</v>
      </c>
      <c r="G150" s="13" t="s">
        <v>35</v>
      </c>
      <c r="H150" s="36" t="s">
        <v>35</v>
      </c>
      <c r="I150" s="12" t="s">
        <v>35</v>
      </c>
      <c r="J150" s="13" t="s">
        <v>35</v>
      </c>
      <c r="K150" s="184"/>
      <c r="L150" s="26" t="s">
        <v>35</v>
      </c>
      <c r="M150" s="22"/>
      <c r="N150" s="29" t="s">
        <v>35</v>
      </c>
      <c r="O150" s="13" t="s">
        <v>35</v>
      </c>
      <c r="P150" s="13" t="s">
        <v>35</v>
      </c>
      <c r="Q150" s="13" t="s">
        <v>35</v>
      </c>
      <c r="R150" s="13" t="s">
        <v>35</v>
      </c>
      <c r="S150" s="13" t="s">
        <v>35</v>
      </c>
      <c r="T150" s="13" t="s">
        <v>35</v>
      </c>
      <c r="U150" s="13" t="s">
        <v>35</v>
      </c>
      <c r="V150" s="13" t="s">
        <v>35</v>
      </c>
      <c r="W150" s="13" t="s">
        <v>35</v>
      </c>
      <c r="X150" s="37" t="s">
        <v>35</v>
      </c>
      <c r="Y150" s="22"/>
      <c r="Z150" s="38">
        <v>9.9</v>
      </c>
      <c r="AA150" s="13">
        <v>19.82</v>
      </c>
      <c r="AB150" s="13">
        <v>35.46</v>
      </c>
      <c r="AC150" s="13">
        <v>45.27</v>
      </c>
      <c r="AD150" s="36">
        <v>383</v>
      </c>
      <c r="AE150" s="13">
        <v>11.36</v>
      </c>
      <c r="AF150" s="13">
        <v>0.5</v>
      </c>
      <c r="AG150" s="184">
        <v>2.1</v>
      </c>
      <c r="AH150" s="37">
        <v>6.59</v>
      </c>
    </row>
    <row r="151" spans="1:34">
      <c r="A151" s="14">
        <f t="shared" si="63"/>
        <v>46103</v>
      </c>
      <c r="B151" s="38">
        <v>36.89</v>
      </c>
      <c r="C151" s="13">
        <v>23.02</v>
      </c>
      <c r="D151" s="12">
        <v>9.16</v>
      </c>
      <c r="E151" s="12">
        <v>18.440000000000001</v>
      </c>
      <c r="F151" s="13">
        <v>30.9</v>
      </c>
      <c r="G151" s="12">
        <v>45.77</v>
      </c>
      <c r="H151" s="12">
        <v>392</v>
      </c>
      <c r="I151" s="13">
        <v>10.44</v>
      </c>
      <c r="J151" s="13">
        <v>0.5</v>
      </c>
      <c r="K151" s="184">
        <v>2.0499999999999998</v>
      </c>
      <c r="L151" s="26">
        <v>8.2100000000000009</v>
      </c>
      <c r="M151" s="22"/>
      <c r="N151" s="29" t="s">
        <v>35</v>
      </c>
      <c r="O151" s="13" t="s">
        <v>35</v>
      </c>
      <c r="P151" s="13" t="s">
        <v>35</v>
      </c>
      <c r="Q151" s="13" t="s">
        <v>35</v>
      </c>
      <c r="R151" s="13" t="s">
        <v>35</v>
      </c>
      <c r="S151" s="13" t="s">
        <v>35</v>
      </c>
      <c r="T151" s="13" t="s">
        <v>35</v>
      </c>
      <c r="U151" s="13" t="s">
        <v>35</v>
      </c>
      <c r="V151" s="13" t="s">
        <v>35</v>
      </c>
      <c r="W151" s="13" t="s">
        <v>35</v>
      </c>
      <c r="X151" s="37" t="s">
        <v>35</v>
      </c>
      <c r="Y151" s="22"/>
      <c r="Z151" s="38">
        <v>10.14</v>
      </c>
      <c r="AA151" s="13">
        <v>18.440000000000001</v>
      </c>
      <c r="AB151" s="13">
        <v>32.97</v>
      </c>
      <c r="AC151" s="13">
        <v>46.34</v>
      </c>
      <c r="AD151" s="36">
        <v>384</v>
      </c>
      <c r="AE151" s="13">
        <v>11.52</v>
      </c>
      <c r="AF151" s="13">
        <v>0.5</v>
      </c>
      <c r="AG151" s="184">
        <v>2.34</v>
      </c>
      <c r="AH151" s="37">
        <v>6.91</v>
      </c>
    </row>
    <row r="152" spans="1:34">
      <c r="A152" s="14">
        <f t="shared" si="63"/>
        <v>46104</v>
      </c>
      <c r="B152" s="38" t="s">
        <v>35</v>
      </c>
      <c r="C152" s="13" t="s">
        <v>35</v>
      </c>
      <c r="D152" s="12" t="s">
        <v>35</v>
      </c>
      <c r="E152" s="12" t="s">
        <v>35</v>
      </c>
      <c r="F152" s="13" t="s">
        <v>35</v>
      </c>
      <c r="G152" s="12" t="s">
        <v>35</v>
      </c>
      <c r="H152" s="12" t="s">
        <v>35</v>
      </c>
      <c r="I152" s="12" t="s">
        <v>35</v>
      </c>
      <c r="J152" s="13" t="s">
        <v>35</v>
      </c>
      <c r="K152" s="184"/>
      <c r="L152" s="26" t="s">
        <v>35</v>
      </c>
      <c r="M152" s="22"/>
      <c r="N152" s="29">
        <v>38.22</v>
      </c>
      <c r="O152" s="13">
        <v>23.26</v>
      </c>
      <c r="P152" s="13">
        <v>9.5399999999999991</v>
      </c>
      <c r="Q152" s="13">
        <v>18.09</v>
      </c>
      <c r="R152" s="13">
        <v>31.36</v>
      </c>
      <c r="S152" s="13">
        <v>44.17</v>
      </c>
      <c r="T152" s="13">
        <v>387</v>
      </c>
      <c r="U152" s="13">
        <v>10.72</v>
      </c>
      <c r="V152" s="13">
        <v>0.5</v>
      </c>
      <c r="W152" s="13">
        <v>2.13</v>
      </c>
      <c r="X152" s="37">
        <v>8.32</v>
      </c>
      <c r="Y152" s="22"/>
      <c r="Z152" s="38">
        <v>10.28</v>
      </c>
      <c r="AA152" s="13">
        <v>19.03</v>
      </c>
      <c r="AB152" s="13">
        <v>32.94</v>
      </c>
      <c r="AC152" s="13">
        <v>46.08</v>
      </c>
      <c r="AD152" s="36">
        <v>342</v>
      </c>
      <c r="AE152" s="13">
        <v>13.64</v>
      </c>
      <c r="AF152" s="13">
        <v>0.5</v>
      </c>
      <c r="AG152" s="184">
        <v>2.23</v>
      </c>
      <c r="AH152" s="37">
        <v>7.58</v>
      </c>
    </row>
    <row r="153" spans="1:34">
      <c r="A153" s="14">
        <f t="shared" si="63"/>
        <v>46105</v>
      </c>
      <c r="B153" s="38" t="s">
        <v>35</v>
      </c>
      <c r="C153" s="13" t="s">
        <v>35</v>
      </c>
      <c r="D153" s="12" t="s">
        <v>35</v>
      </c>
      <c r="E153" s="12" t="s">
        <v>35</v>
      </c>
      <c r="F153" s="13" t="s">
        <v>35</v>
      </c>
      <c r="G153" s="12" t="s">
        <v>35</v>
      </c>
      <c r="H153" s="12" t="s">
        <v>35</v>
      </c>
      <c r="I153" s="12" t="s">
        <v>35</v>
      </c>
      <c r="J153" s="13" t="s">
        <v>35</v>
      </c>
      <c r="K153" s="184"/>
      <c r="L153" s="26" t="s">
        <v>35</v>
      </c>
      <c r="M153" s="22"/>
      <c r="N153" s="29" t="s">
        <v>35</v>
      </c>
      <c r="O153" s="13" t="s">
        <v>35</v>
      </c>
      <c r="P153" s="13" t="s">
        <v>35</v>
      </c>
      <c r="Q153" s="13" t="s">
        <v>35</v>
      </c>
      <c r="R153" s="13" t="s">
        <v>35</v>
      </c>
      <c r="S153" s="13" t="s">
        <v>35</v>
      </c>
      <c r="T153" s="13" t="s">
        <v>35</v>
      </c>
      <c r="U153" s="13" t="s">
        <v>35</v>
      </c>
      <c r="V153" s="13" t="s">
        <v>35</v>
      </c>
      <c r="W153" s="13" t="s">
        <v>35</v>
      </c>
      <c r="X153" s="37" t="s">
        <v>35</v>
      </c>
      <c r="Y153" s="22"/>
      <c r="Z153" s="38" t="s">
        <v>35</v>
      </c>
      <c r="AA153" s="13" t="s">
        <v>35</v>
      </c>
      <c r="AB153" s="13" t="s">
        <v>35</v>
      </c>
      <c r="AC153" s="13" t="s">
        <v>35</v>
      </c>
      <c r="AD153" s="36" t="s">
        <v>35</v>
      </c>
      <c r="AE153" s="13" t="s">
        <v>35</v>
      </c>
      <c r="AF153" s="13" t="s">
        <v>35</v>
      </c>
      <c r="AG153" s="195" t="s">
        <v>35</v>
      </c>
      <c r="AH153" s="37" t="s">
        <v>35</v>
      </c>
    </row>
    <row r="154" spans="1:34">
      <c r="A154" s="14">
        <f t="shared" si="63"/>
        <v>46106</v>
      </c>
      <c r="B154" s="38">
        <v>38.51</v>
      </c>
      <c r="C154" s="13">
        <v>25</v>
      </c>
      <c r="D154" s="13">
        <v>9.6999999999999993</v>
      </c>
      <c r="E154" s="13">
        <v>18.93</v>
      </c>
      <c r="F154" s="13">
        <v>31.92</v>
      </c>
      <c r="G154" s="13"/>
      <c r="H154" s="36">
        <v>394</v>
      </c>
      <c r="I154" s="13">
        <v>11.36</v>
      </c>
      <c r="J154" s="13">
        <v>1</v>
      </c>
      <c r="K154" s="184">
        <v>2.11</v>
      </c>
      <c r="L154" s="37">
        <v>5.76</v>
      </c>
      <c r="M154" s="22"/>
      <c r="N154" s="29" t="s">
        <v>35</v>
      </c>
      <c r="O154" s="13" t="s">
        <v>35</v>
      </c>
      <c r="P154" s="13" t="s">
        <v>35</v>
      </c>
      <c r="Q154" s="13" t="s">
        <v>35</v>
      </c>
      <c r="R154" s="13" t="s">
        <v>35</v>
      </c>
      <c r="S154" s="13" t="s">
        <v>35</v>
      </c>
      <c r="T154" s="13" t="s">
        <v>35</v>
      </c>
      <c r="U154" s="13" t="s">
        <v>35</v>
      </c>
      <c r="V154" s="13" t="s">
        <v>35</v>
      </c>
      <c r="W154" s="13" t="s">
        <v>35</v>
      </c>
      <c r="X154" s="37" t="s">
        <v>35</v>
      </c>
      <c r="Y154" s="22"/>
      <c r="Z154" s="38">
        <v>9.57</v>
      </c>
      <c r="AA154" s="13">
        <v>20.54</v>
      </c>
      <c r="AB154" s="13">
        <v>32.299999999999997</v>
      </c>
      <c r="AC154" s="13"/>
      <c r="AD154" s="36">
        <v>430</v>
      </c>
      <c r="AE154" s="13">
        <v>9.34</v>
      </c>
      <c r="AF154" s="13">
        <v>0.5</v>
      </c>
      <c r="AG154" s="184">
        <v>2.12</v>
      </c>
      <c r="AH154" s="37">
        <v>7.22</v>
      </c>
    </row>
    <row r="155" spans="1:34">
      <c r="A155" s="14">
        <f t="shared" si="63"/>
        <v>46107</v>
      </c>
      <c r="B155" s="11" t="s">
        <v>35</v>
      </c>
      <c r="C155" s="12" t="s">
        <v>35</v>
      </c>
      <c r="D155" s="12" t="s">
        <v>35</v>
      </c>
      <c r="E155" s="12" t="s">
        <v>35</v>
      </c>
      <c r="F155" s="12" t="s">
        <v>35</v>
      </c>
      <c r="G155" s="12" t="s">
        <v>35</v>
      </c>
      <c r="H155" s="12" t="s">
        <v>35</v>
      </c>
      <c r="I155" s="12" t="s">
        <v>35</v>
      </c>
      <c r="J155" s="13" t="s">
        <v>35</v>
      </c>
      <c r="K155" s="13" t="s">
        <v>35</v>
      </c>
      <c r="L155" s="26" t="s">
        <v>35</v>
      </c>
      <c r="M155" s="22"/>
      <c r="N155" s="29" t="s">
        <v>35</v>
      </c>
      <c r="O155" s="13" t="s">
        <v>35</v>
      </c>
      <c r="P155" s="13" t="s">
        <v>35</v>
      </c>
      <c r="Q155" s="13" t="s">
        <v>35</v>
      </c>
      <c r="R155" s="13" t="s">
        <v>35</v>
      </c>
      <c r="S155" s="13" t="s">
        <v>35</v>
      </c>
      <c r="T155" s="13" t="s">
        <v>35</v>
      </c>
      <c r="U155" s="13" t="s">
        <v>35</v>
      </c>
      <c r="V155" s="13" t="s">
        <v>35</v>
      </c>
      <c r="W155" s="13" t="s">
        <v>35</v>
      </c>
      <c r="X155" s="37" t="s">
        <v>35</v>
      </c>
      <c r="Y155" s="22"/>
      <c r="Z155" s="38">
        <v>10.4</v>
      </c>
      <c r="AA155" s="13">
        <v>20.420000000000002</v>
      </c>
      <c r="AB155" s="13">
        <v>32.93</v>
      </c>
      <c r="AC155" s="13"/>
      <c r="AD155" s="36">
        <v>435</v>
      </c>
      <c r="AE155" s="13">
        <v>9.9600000000000009</v>
      </c>
      <c r="AF155" s="13">
        <v>0.5</v>
      </c>
      <c r="AG155" s="184">
        <v>2.13</v>
      </c>
      <c r="AH155" s="37">
        <v>7.54</v>
      </c>
    </row>
    <row r="156" spans="1:34">
      <c r="A156" s="14">
        <f t="shared" si="63"/>
        <v>46108</v>
      </c>
      <c r="B156" s="38">
        <v>38.29</v>
      </c>
      <c r="C156" s="13">
        <v>25.4</v>
      </c>
      <c r="D156" s="13">
        <v>8.5</v>
      </c>
      <c r="E156" s="13">
        <v>19.73</v>
      </c>
      <c r="F156" s="13">
        <v>34.26</v>
      </c>
      <c r="G156" s="13"/>
      <c r="H156" s="36">
        <v>421</v>
      </c>
      <c r="I156" s="13">
        <v>10.96</v>
      </c>
      <c r="J156" s="13">
        <v>0.5</v>
      </c>
      <c r="K156" s="184">
        <v>2.36</v>
      </c>
      <c r="L156" s="26">
        <v>6.19</v>
      </c>
      <c r="M156" s="22"/>
      <c r="N156" s="29" t="s">
        <v>35</v>
      </c>
      <c r="O156" s="13" t="s">
        <v>35</v>
      </c>
      <c r="P156" s="13" t="s">
        <v>35</v>
      </c>
      <c r="Q156" s="13" t="s">
        <v>35</v>
      </c>
      <c r="R156" s="13" t="s">
        <v>35</v>
      </c>
      <c r="S156" s="13" t="s">
        <v>35</v>
      </c>
      <c r="T156" s="13" t="s">
        <v>35</v>
      </c>
      <c r="U156" s="13" t="s">
        <v>35</v>
      </c>
      <c r="V156" s="13" t="s">
        <v>35</v>
      </c>
      <c r="W156" s="13" t="s">
        <v>35</v>
      </c>
      <c r="X156" s="37" t="s">
        <v>35</v>
      </c>
      <c r="Y156" s="22"/>
      <c r="Z156" s="38" t="s">
        <v>35</v>
      </c>
      <c r="AA156" s="13" t="s">
        <v>35</v>
      </c>
      <c r="AB156" s="13" t="s">
        <v>35</v>
      </c>
      <c r="AC156" s="13" t="s">
        <v>35</v>
      </c>
      <c r="AD156" s="36" t="s">
        <v>35</v>
      </c>
      <c r="AE156" s="13" t="s">
        <v>35</v>
      </c>
      <c r="AF156" s="13" t="s">
        <v>35</v>
      </c>
      <c r="AG156" s="195" t="s">
        <v>35</v>
      </c>
      <c r="AH156" s="37" t="s">
        <v>35</v>
      </c>
    </row>
    <row r="157" spans="1:34">
      <c r="A157" s="14">
        <f t="shared" si="63"/>
        <v>46109</v>
      </c>
      <c r="B157" s="38">
        <v>36.880000000000003</v>
      </c>
      <c r="C157" s="13">
        <v>30</v>
      </c>
      <c r="D157" s="13">
        <v>9.58</v>
      </c>
      <c r="E157" s="13">
        <v>19.010000000000002</v>
      </c>
      <c r="F157" s="13">
        <v>32.99</v>
      </c>
      <c r="G157" s="12"/>
      <c r="H157" s="36">
        <v>346</v>
      </c>
      <c r="I157" s="13">
        <v>9.16</v>
      </c>
      <c r="J157" s="13">
        <v>1.5</v>
      </c>
      <c r="K157" s="184">
        <v>2.1</v>
      </c>
      <c r="L157" s="26">
        <v>7.2</v>
      </c>
      <c r="M157" s="22"/>
      <c r="N157" s="29" t="s">
        <v>35</v>
      </c>
      <c r="O157" s="13" t="s">
        <v>35</v>
      </c>
      <c r="P157" s="13" t="s">
        <v>35</v>
      </c>
      <c r="Q157" s="13" t="s">
        <v>35</v>
      </c>
      <c r="R157" s="13" t="s">
        <v>35</v>
      </c>
      <c r="S157" s="13" t="s">
        <v>35</v>
      </c>
      <c r="T157" s="13" t="s">
        <v>35</v>
      </c>
      <c r="U157" s="13" t="s">
        <v>35</v>
      </c>
      <c r="V157" s="13" t="s">
        <v>35</v>
      </c>
      <c r="W157" s="13" t="s">
        <v>35</v>
      </c>
      <c r="X157" s="37" t="s">
        <v>35</v>
      </c>
      <c r="Y157" s="22"/>
      <c r="Z157" s="38">
        <v>10.65</v>
      </c>
      <c r="AA157" s="13">
        <v>20.94</v>
      </c>
      <c r="AB157" s="13">
        <v>34.729999999999997</v>
      </c>
      <c r="AC157" s="13"/>
      <c r="AD157" s="36">
        <v>385</v>
      </c>
      <c r="AE157" s="13">
        <v>17.36</v>
      </c>
      <c r="AF157" s="13">
        <v>0.5</v>
      </c>
      <c r="AG157" s="184">
        <v>2.44</v>
      </c>
      <c r="AH157" s="37">
        <v>7.58</v>
      </c>
    </row>
    <row r="158" spans="1:34">
      <c r="A158" s="14">
        <f t="shared" si="63"/>
        <v>46110</v>
      </c>
      <c r="B158" s="38">
        <v>36.020000000000003</v>
      </c>
      <c r="C158" s="13">
        <v>28.12</v>
      </c>
      <c r="D158" s="13">
        <v>8.74</v>
      </c>
      <c r="E158" s="13">
        <v>19.02</v>
      </c>
      <c r="F158" s="13">
        <v>33.46</v>
      </c>
      <c r="G158" s="12"/>
      <c r="H158" s="36">
        <v>394</v>
      </c>
      <c r="I158" s="13">
        <v>11.8</v>
      </c>
      <c r="J158" s="13">
        <v>0.5</v>
      </c>
      <c r="K158" s="184">
        <v>1.68</v>
      </c>
      <c r="L158" s="26">
        <v>7.52</v>
      </c>
      <c r="M158" s="22"/>
      <c r="N158" s="29" t="s">
        <v>35</v>
      </c>
      <c r="O158" s="13" t="s">
        <v>35</v>
      </c>
      <c r="P158" s="13" t="s">
        <v>35</v>
      </c>
      <c r="Q158" s="13" t="s">
        <v>35</v>
      </c>
      <c r="R158" s="13" t="s">
        <v>35</v>
      </c>
      <c r="S158" s="13" t="s">
        <v>35</v>
      </c>
      <c r="T158" s="13" t="s">
        <v>35</v>
      </c>
      <c r="U158" s="13" t="s">
        <v>35</v>
      </c>
      <c r="V158" s="13" t="s">
        <v>35</v>
      </c>
      <c r="W158" s="13" t="s">
        <v>35</v>
      </c>
      <c r="X158" s="37" t="s">
        <v>35</v>
      </c>
      <c r="Y158" s="22"/>
      <c r="Z158" s="38">
        <v>9.2799999999999994</v>
      </c>
      <c r="AA158" s="13">
        <v>20.03</v>
      </c>
      <c r="AB158" s="13">
        <v>36.700000000000003</v>
      </c>
      <c r="AC158" s="13"/>
      <c r="AD158" s="36">
        <v>387</v>
      </c>
      <c r="AE158" s="13">
        <v>12.56</v>
      </c>
      <c r="AF158" s="13">
        <v>1</v>
      </c>
      <c r="AG158" s="184">
        <v>2.29</v>
      </c>
      <c r="AH158" s="37">
        <v>7.25</v>
      </c>
    </row>
    <row r="159" spans="1:34">
      <c r="A159" s="14">
        <f t="shared" si="63"/>
        <v>46111</v>
      </c>
      <c r="B159" s="38">
        <v>36</v>
      </c>
      <c r="C159" s="13">
        <v>25.99</v>
      </c>
      <c r="D159" s="13">
        <v>10.85</v>
      </c>
      <c r="E159" s="13">
        <v>18.010000000000002</v>
      </c>
      <c r="F159" s="13">
        <v>34.28</v>
      </c>
      <c r="G159" s="12"/>
      <c r="H159" s="36">
        <v>411</v>
      </c>
      <c r="I159" s="13">
        <v>11.56</v>
      </c>
      <c r="J159" s="13">
        <v>0.5</v>
      </c>
      <c r="K159" s="184">
        <v>2.0699999999999998</v>
      </c>
      <c r="L159" s="26">
        <v>6.83</v>
      </c>
      <c r="M159" s="22"/>
      <c r="N159" s="29" t="s">
        <v>35</v>
      </c>
      <c r="O159" s="13" t="s">
        <v>35</v>
      </c>
      <c r="P159" s="13" t="s">
        <v>35</v>
      </c>
      <c r="Q159" s="13" t="s">
        <v>35</v>
      </c>
      <c r="R159" s="13" t="s">
        <v>35</v>
      </c>
      <c r="S159" s="13" t="s">
        <v>35</v>
      </c>
      <c r="T159" s="13" t="s">
        <v>35</v>
      </c>
      <c r="U159" s="13" t="s">
        <v>35</v>
      </c>
      <c r="V159" s="13" t="s">
        <v>35</v>
      </c>
      <c r="W159" s="13" t="s">
        <v>35</v>
      </c>
      <c r="X159" s="37" t="s">
        <v>35</v>
      </c>
      <c r="Y159" s="22"/>
      <c r="Z159" s="38">
        <v>11.06</v>
      </c>
      <c r="AA159" s="13">
        <v>20.84</v>
      </c>
      <c r="AB159" s="13">
        <v>33.840000000000003</v>
      </c>
      <c r="AC159" s="13"/>
      <c r="AD159" s="36">
        <v>360</v>
      </c>
      <c r="AE159" s="13">
        <v>12.08</v>
      </c>
      <c r="AF159" s="13">
        <v>0.5</v>
      </c>
      <c r="AG159" s="184">
        <v>2.31</v>
      </c>
      <c r="AH159" s="37">
        <v>4.68</v>
      </c>
    </row>
    <row r="160" spans="1:34" ht="15.75" thickBot="1">
      <c r="A160" s="14">
        <f t="shared" si="63"/>
        <v>46112</v>
      </c>
      <c r="B160" s="11" t="s">
        <v>35</v>
      </c>
      <c r="C160" s="12" t="s">
        <v>35</v>
      </c>
      <c r="D160" s="12" t="s">
        <v>35</v>
      </c>
      <c r="E160" s="12" t="s">
        <v>35</v>
      </c>
      <c r="F160" s="12" t="s">
        <v>35</v>
      </c>
      <c r="G160" s="12" t="s">
        <v>35</v>
      </c>
      <c r="H160" s="12" t="s">
        <v>35</v>
      </c>
      <c r="I160" s="12" t="s">
        <v>35</v>
      </c>
      <c r="J160" s="13" t="s">
        <v>35</v>
      </c>
      <c r="K160" s="13" t="s">
        <v>35</v>
      </c>
      <c r="L160" s="26" t="s">
        <v>35</v>
      </c>
      <c r="M160" s="22"/>
      <c r="N160" s="29" t="s">
        <v>35</v>
      </c>
      <c r="O160" s="13" t="s">
        <v>35</v>
      </c>
      <c r="P160" s="13" t="s">
        <v>35</v>
      </c>
      <c r="Q160" s="13" t="s">
        <v>35</v>
      </c>
      <c r="R160" s="13" t="s">
        <v>35</v>
      </c>
      <c r="S160" s="13" t="s">
        <v>35</v>
      </c>
      <c r="T160" s="13" t="s">
        <v>35</v>
      </c>
      <c r="U160" s="13" t="s">
        <v>35</v>
      </c>
      <c r="V160" s="13" t="s">
        <v>35</v>
      </c>
      <c r="W160" s="13" t="s">
        <v>35</v>
      </c>
      <c r="X160" s="37" t="s">
        <v>35</v>
      </c>
      <c r="Y160" s="22"/>
      <c r="Z160" s="38" t="s">
        <v>35</v>
      </c>
      <c r="AA160" s="13" t="s">
        <v>35</v>
      </c>
      <c r="AB160" s="13" t="s">
        <v>35</v>
      </c>
      <c r="AC160" s="13" t="s">
        <v>35</v>
      </c>
      <c r="AD160" s="36" t="s">
        <v>35</v>
      </c>
      <c r="AE160" s="13" t="s">
        <v>35</v>
      </c>
      <c r="AF160" s="13" t="s">
        <v>35</v>
      </c>
      <c r="AG160" s="195" t="s">
        <v>35</v>
      </c>
      <c r="AH160" s="37" t="s">
        <v>35</v>
      </c>
    </row>
    <row r="161" spans="1:34">
      <c r="A161" s="16" t="s">
        <v>31</v>
      </c>
      <c r="B161" s="17">
        <f>MIN(B129:B160)</f>
        <v>34.659999999999997</v>
      </c>
      <c r="C161" s="17">
        <f>MIN(C129:C160)</f>
        <v>22.52</v>
      </c>
      <c r="D161" s="17">
        <f t="shared" ref="D161:L161" si="64">MIN(D129:D160)</f>
        <v>8.02</v>
      </c>
      <c r="E161" s="17">
        <f t="shared" si="64"/>
        <v>16.91</v>
      </c>
      <c r="F161" s="17">
        <f t="shared" si="64"/>
        <v>30.36</v>
      </c>
      <c r="G161" s="17">
        <f t="shared" si="64"/>
        <v>44.42</v>
      </c>
      <c r="H161" s="17">
        <f t="shared" si="64"/>
        <v>346</v>
      </c>
      <c r="I161" s="17">
        <f t="shared" si="64"/>
        <v>7.6</v>
      </c>
      <c r="J161" s="17">
        <f t="shared" si="64"/>
        <v>0.5</v>
      </c>
      <c r="K161" s="17">
        <f t="shared" si="64"/>
        <v>1.68</v>
      </c>
      <c r="L161" s="30">
        <f t="shared" si="64"/>
        <v>5.76</v>
      </c>
      <c r="M161" s="22"/>
      <c r="N161" s="17">
        <f>MIN(N129:N160)</f>
        <v>38.22</v>
      </c>
      <c r="O161" s="17">
        <f>MIN(O129:O160)</f>
        <v>23.11</v>
      </c>
      <c r="P161" s="17">
        <f t="shared" ref="P161:X161" si="65">MIN(P129:P160)</f>
        <v>9.5399999999999991</v>
      </c>
      <c r="Q161" s="17">
        <f t="shared" si="65"/>
        <v>18.09</v>
      </c>
      <c r="R161" s="17">
        <f t="shared" si="65"/>
        <v>31.36</v>
      </c>
      <c r="S161" s="17">
        <f t="shared" si="65"/>
        <v>44.17</v>
      </c>
      <c r="T161" s="17">
        <f t="shared" si="65"/>
        <v>387</v>
      </c>
      <c r="U161" s="17">
        <f t="shared" si="65"/>
        <v>10.72</v>
      </c>
      <c r="V161" s="17">
        <f t="shared" si="65"/>
        <v>0.5</v>
      </c>
      <c r="W161" s="17">
        <f t="shared" si="65"/>
        <v>2.13</v>
      </c>
      <c r="X161" s="30">
        <f t="shared" si="65"/>
        <v>6.9</v>
      </c>
      <c r="Z161" s="40">
        <f t="shared" ref="Z161:AH161" si="66">MIN(Z129:Z160)</f>
        <v>8.98</v>
      </c>
      <c r="AA161" s="17">
        <f t="shared" si="66"/>
        <v>16.260000000000002</v>
      </c>
      <c r="AB161" s="17">
        <f t="shared" si="66"/>
        <v>30.89</v>
      </c>
      <c r="AC161" s="17">
        <f t="shared" si="66"/>
        <v>44.38</v>
      </c>
      <c r="AD161" s="17">
        <f t="shared" si="66"/>
        <v>342</v>
      </c>
      <c r="AE161" s="17">
        <f t="shared" si="66"/>
        <v>6.4</v>
      </c>
      <c r="AF161" s="17">
        <f t="shared" si="66"/>
        <v>0.5</v>
      </c>
      <c r="AG161" s="17">
        <f t="shared" si="66"/>
        <v>1.98</v>
      </c>
      <c r="AH161" s="30">
        <f t="shared" si="66"/>
        <v>4.68</v>
      </c>
    </row>
    <row r="162" spans="1:34">
      <c r="A162" s="18" t="s">
        <v>33</v>
      </c>
      <c r="B162" s="19">
        <f>MAX(B129:B160)</f>
        <v>39.15</v>
      </c>
      <c r="C162" s="19">
        <f>MAX(C129:C160)</f>
        <v>30</v>
      </c>
      <c r="D162" s="19">
        <f t="shared" ref="D162:L162" si="67">MAX(D129:D160)</f>
        <v>12.13</v>
      </c>
      <c r="E162" s="19">
        <f t="shared" si="67"/>
        <v>22.95</v>
      </c>
      <c r="F162" s="19">
        <f t="shared" si="67"/>
        <v>35.590000000000003</v>
      </c>
      <c r="G162" s="19">
        <f t="shared" si="67"/>
        <v>46.82</v>
      </c>
      <c r="H162" s="19">
        <f t="shared" si="67"/>
        <v>442</v>
      </c>
      <c r="I162" s="19">
        <f t="shared" si="67"/>
        <v>12.56</v>
      </c>
      <c r="J162" s="19">
        <f t="shared" si="67"/>
        <v>1.5</v>
      </c>
      <c r="K162" s="19">
        <f t="shared" si="67"/>
        <v>2.5499999999999998</v>
      </c>
      <c r="L162" s="31">
        <f t="shared" si="67"/>
        <v>8.6999999999999993</v>
      </c>
      <c r="M162" s="22"/>
      <c r="N162" s="19">
        <f>MAX(N129:N160)</f>
        <v>38.22</v>
      </c>
      <c r="O162" s="19">
        <f>MAX(O129:O160)</f>
        <v>23.26</v>
      </c>
      <c r="P162" s="19">
        <f t="shared" ref="P162:X162" si="68">MAX(P129:P160)</f>
        <v>9.6</v>
      </c>
      <c r="Q162" s="19">
        <f t="shared" si="68"/>
        <v>18.43</v>
      </c>
      <c r="R162" s="19">
        <f t="shared" si="68"/>
        <v>34.46</v>
      </c>
      <c r="S162" s="19">
        <f t="shared" si="68"/>
        <v>45.77</v>
      </c>
      <c r="T162" s="19">
        <f t="shared" si="68"/>
        <v>407</v>
      </c>
      <c r="U162" s="19">
        <f t="shared" si="68"/>
        <v>12.56</v>
      </c>
      <c r="V162" s="19">
        <f t="shared" si="68"/>
        <v>1</v>
      </c>
      <c r="W162" s="19">
        <f t="shared" si="68"/>
        <v>2.33</v>
      </c>
      <c r="X162" s="31">
        <f t="shared" si="68"/>
        <v>8.32</v>
      </c>
      <c r="Z162" s="41">
        <f t="shared" ref="Z162:AH162" si="69">MAX(Z129:Z160)</f>
        <v>12.48</v>
      </c>
      <c r="AA162" s="19">
        <f t="shared" si="69"/>
        <v>23.23</v>
      </c>
      <c r="AB162" s="19">
        <f t="shared" si="69"/>
        <v>47.28</v>
      </c>
      <c r="AC162" s="19">
        <f t="shared" si="69"/>
        <v>47.53</v>
      </c>
      <c r="AD162" s="19">
        <f t="shared" si="69"/>
        <v>435</v>
      </c>
      <c r="AE162" s="19">
        <f t="shared" si="69"/>
        <v>17.36</v>
      </c>
      <c r="AF162" s="19">
        <f t="shared" si="69"/>
        <v>96</v>
      </c>
      <c r="AG162" s="19">
        <f t="shared" si="69"/>
        <v>2.74</v>
      </c>
      <c r="AH162" s="31">
        <f t="shared" si="69"/>
        <v>9.34</v>
      </c>
    </row>
    <row r="163" spans="1:34">
      <c r="A163" s="18" t="s">
        <v>36</v>
      </c>
      <c r="B163" s="19">
        <f t="shared" ref="B163:L163" si="70">AVERAGE(B129:B160)</f>
        <v>37.211578947368423</v>
      </c>
      <c r="C163" s="19">
        <f t="shared" si="70"/>
        <v>26.159473684210528</v>
      </c>
      <c r="D163" s="19">
        <f t="shared" si="70"/>
        <v>10.207894736842105</v>
      </c>
      <c r="E163" s="19">
        <f t="shared" si="70"/>
        <v>19.283157894736842</v>
      </c>
      <c r="F163" s="19">
        <f t="shared" si="70"/>
        <v>33.095263157894742</v>
      </c>
      <c r="G163" s="19">
        <f t="shared" si="70"/>
        <v>45.367142857142866</v>
      </c>
      <c r="H163" s="19">
        <f t="shared" si="70"/>
        <v>398.15789473684208</v>
      </c>
      <c r="I163" s="19">
        <f t="shared" si="70"/>
        <v>10.146315789473686</v>
      </c>
      <c r="J163" s="19">
        <f t="shared" si="70"/>
        <v>0.71052631578947367</v>
      </c>
      <c r="K163" s="19">
        <f t="shared" si="70"/>
        <v>2.1515263157894737</v>
      </c>
      <c r="L163" s="31">
        <f t="shared" si="70"/>
        <v>7.222631578947369</v>
      </c>
      <c r="M163" s="22"/>
      <c r="N163" s="19">
        <f t="shared" ref="N163:X163" si="71">AVERAGE(N129:N160)</f>
        <v>38.22</v>
      </c>
      <c r="O163" s="19">
        <f t="shared" si="71"/>
        <v>23.185000000000002</v>
      </c>
      <c r="P163" s="19">
        <f t="shared" si="71"/>
        <v>9.57</v>
      </c>
      <c r="Q163" s="19">
        <f t="shared" si="71"/>
        <v>18.259999999999998</v>
      </c>
      <c r="R163" s="19">
        <f t="shared" si="71"/>
        <v>32.909999999999997</v>
      </c>
      <c r="S163" s="19">
        <f t="shared" si="71"/>
        <v>44.97</v>
      </c>
      <c r="T163" s="19">
        <f t="shared" si="71"/>
        <v>397</v>
      </c>
      <c r="U163" s="19">
        <f t="shared" si="71"/>
        <v>11.64</v>
      </c>
      <c r="V163" s="19">
        <f t="shared" si="71"/>
        <v>0.75</v>
      </c>
      <c r="W163" s="19">
        <f t="shared" si="71"/>
        <v>2.23</v>
      </c>
      <c r="X163" s="31">
        <f t="shared" si="71"/>
        <v>7.61</v>
      </c>
      <c r="Z163" s="41">
        <f>AVERAGE(Z129:Z160)</f>
        <v>10.448421052631579</v>
      </c>
      <c r="AA163" s="19">
        <f t="shared" ref="AA163:AH163" si="72">AVERAGE(AA129:AA160)</f>
        <v>19.88</v>
      </c>
      <c r="AB163" s="19">
        <f t="shared" si="72"/>
        <v>34.647894736842112</v>
      </c>
      <c r="AC163" s="19">
        <f t="shared" si="72"/>
        <v>45.688571428571443</v>
      </c>
      <c r="AD163" s="19">
        <f t="shared" si="72"/>
        <v>397.15789473684208</v>
      </c>
      <c r="AE163" s="19">
        <f t="shared" si="72"/>
        <v>10.868421052631581</v>
      </c>
      <c r="AF163" s="19">
        <f t="shared" si="72"/>
        <v>5.6052631578947372</v>
      </c>
      <c r="AG163" s="19">
        <f t="shared" si="72"/>
        <v>2.2452894736842111</v>
      </c>
      <c r="AH163" s="31">
        <f t="shared" si="72"/>
        <v>7.1489473684210552</v>
      </c>
    </row>
    <row r="164" spans="1:34" ht="15.75" thickBot="1">
      <c r="A164" s="20" t="s">
        <v>130</v>
      </c>
      <c r="B164" s="21">
        <f>STDEV(B129:B160)</f>
        <v>1.2776639410262893</v>
      </c>
      <c r="C164" s="21">
        <f t="shared" ref="C164:L164" si="73">STDEV(C129:C160)</f>
        <v>2.2112502086783659</v>
      </c>
      <c r="D164" s="21">
        <f t="shared" si="73"/>
        <v>1.1580183214217938</v>
      </c>
      <c r="E164" s="21">
        <f t="shared" si="73"/>
        <v>1.2534044865954259</v>
      </c>
      <c r="F164" s="21">
        <f t="shared" si="73"/>
        <v>1.4560882467955509</v>
      </c>
      <c r="G164" s="21">
        <f t="shared" si="73"/>
        <v>0.53432097198116901</v>
      </c>
      <c r="H164" s="21">
        <f t="shared" si="73"/>
        <v>21.169325706719924</v>
      </c>
      <c r="I164" s="21">
        <f t="shared" si="73"/>
        <v>1.2406101121191886</v>
      </c>
      <c r="J164" s="21">
        <f t="shared" si="73"/>
        <v>0.34624130449106222</v>
      </c>
      <c r="K164" s="21">
        <f t="shared" si="73"/>
        <v>0.2048192613612338</v>
      </c>
      <c r="L164" s="32">
        <f t="shared" si="73"/>
        <v>0.71839204791180977</v>
      </c>
      <c r="M164" s="22"/>
      <c r="N164" s="21">
        <f>STDEV(N129:N160)</f>
        <v>0</v>
      </c>
      <c r="O164" s="21">
        <f t="shared" ref="O164:X164" si="74">STDEV(O129:O160)</f>
        <v>0.10606601717798363</v>
      </c>
      <c r="P164" s="21">
        <f t="shared" si="74"/>
        <v>4.2426406871193201E-2</v>
      </c>
      <c r="Q164" s="21">
        <f t="shared" si="74"/>
        <v>0.24041630560342606</v>
      </c>
      <c r="R164" s="21">
        <f t="shared" si="74"/>
        <v>2.1920310216782983</v>
      </c>
      <c r="S164" s="21">
        <f t="shared" si="74"/>
        <v>1.1313708498984771</v>
      </c>
      <c r="T164" s="21">
        <f t="shared" si="74"/>
        <v>14.142135623730951</v>
      </c>
      <c r="U164" s="21">
        <f t="shared" si="74"/>
        <v>1.3010764773832473</v>
      </c>
      <c r="V164" s="21">
        <f t="shared" si="74"/>
        <v>0.35355339059327379</v>
      </c>
      <c r="W164" s="21">
        <f t="shared" si="74"/>
        <v>0.14142135623730964</v>
      </c>
      <c r="X164" s="32">
        <f t="shared" si="74"/>
        <v>1.0040916292848974</v>
      </c>
      <c r="Z164" s="42">
        <f>STDEV(Z129:Z160)</f>
        <v>0.84901422025713491</v>
      </c>
      <c r="AA164" s="21">
        <f t="shared" ref="AA164:AH164" si="75">STDEV(AA129:AA160)</f>
        <v>1.4754810891517531</v>
      </c>
      <c r="AB164" s="21">
        <f t="shared" si="75"/>
        <v>3.5317914543745341</v>
      </c>
      <c r="AC164" s="21">
        <f t="shared" si="75"/>
        <v>0.76888387782708589</v>
      </c>
      <c r="AD164" s="21">
        <f t="shared" si="75"/>
        <v>28.1272172615279</v>
      </c>
      <c r="AE164" s="21">
        <f t="shared" si="75"/>
        <v>2.3658995544516142</v>
      </c>
      <c r="AF164" s="21">
        <f t="shared" si="75"/>
        <v>21.891512147258517</v>
      </c>
      <c r="AG164" s="21">
        <f t="shared" si="75"/>
        <v>0.16658942508366975</v>
      </c>
      <c r="AH164" s="32">
        <f t="shared" si="75"/>
        <v>1.0351430107147266</v>
      </c>
    </row>
    <row r="165" spans="1:34" ht="15.75" thickBot="1"/>
    <row r="166" spans="1:34" ht="15.75" thickBot="1">
      <c r="A166" s="1"/>
      <c r="B166" s="338" t="s">
        <v>0</v>
      </c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  <c r="M166" s="339"/>
      <c r="N166" s="339"/>
      <c r="O166" s="339"/>
      <c r="P166" s="339"/>
      <c r="Q166" s="339"/>
      <c r="R166" s="339"/>
      <c r="S166" s="339"/>
      <c r="T166" s="339"/>
      <c r="U166" s="339"/>
      <c r="V166" s="339"/>
      <c r="W166" s="339"/>
      <c r="X166" s="339"/>
      <c r="Y166" s="339"/>
      <c r="Z166" s="339"/>
      <c r="AA166" s="339"/>
      <c r="AB166" s="339"/>
      <c r="AC166" s="339"/>
      <c r="AD166" s="340"/>
      <c r="AE166" s="340"/>
      <c r="AF166" s="340"/>
      <c r="AG166" s="340"/>
      <c r="AH166" s="340"/>
    </row>
    <row r="167" spans="1:34" ht="15.75" thickBot="1">
      <c r="A167" s="1"/>
      <c r="B167" s="338" t="s">
        <v>160</v>
      </c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339"/>
      <c r="O167" s="339"/>
      <c r="P167" s="339"/>
      <c r="Q167" s="339"/>
      <c r="R167" s="339"/>
      <c r="S167" s="339"/>
      <c r="T167" s="339"/>
      <c r="U167" s="339"/>
      <c r="V167" s="339"/>
      <c r="W167" s="339"/>
      <c r="X167" s="339"/>
      <c r="Y167" s="339"/>
      <c r="Z167" s="339"/>
      <c r="AA167" s="339"/>
      <c r="AB167" s="339"/>
      <c r="AC167" s="339"/>
      <c r="AD167" s="4"/>
      <c r="AE167" s="43" t="s">
        <v>107</v>
      </c>
      <c r="AF167" s="341">
        <v>46113</v>
      </c>
      <c r="AG167" s="342"/>
      <c r="AH167" s="343"/>
    </row>
    <row r="168" spans="1:34">
      <c r="A168" s="344"/>
      <c r="B168" s="346" t="s">
        <v>132</v>
      </c>
      <c r="C168" s="347"/>
      <c r="D168" s="347"/>
      <c r="E168" s="347"/>
      <c r="F168" s="347"/>
      <c r="G168" s="347"/>
      <c r="H168" s="347"/>
      <c r="I168" s="347"/>
      <c r="J168" s="347"/>
      <c r="K168" s="348"/>
      <c r="L168" s="349"/>
      <c r="M168" s="22"/>
      <c r="N168" s="350" t="s">
        <v>133</v>
      </c>
      <c r="O168" s="347"/>
      <c r="P168" s="347"/>
      <c r="Q168" s="347"/>
      <c r="R168" s="347"/>
      <c r="S168" s="347"/>
      <c r="T168" s="347"/>
      <c r="U168" s="347"/>
      <c r="V168" s="347"/>
      <c r="W168" s="348"/>
      <c r="X168" s="349"/>
      <c r="Y168" s="22"/>
      <c r="Z168" s="346" t="s">
        <v>134</v>
      </c>
      <c r="AA168" s="347"/>
      <c r="AB168" s="347"/>
      <c r="AC168" s="347"/>
      <c r="AD168" s="347"/>
      <c r="AE168" s="347"/>
      <c r="AF168" s="347"/>
      <c r="AG168" s="348"/>
      <c r="AH168" s="349"/>
    </row>
    <row r="169" spans="1:34" ht="25.5">
      <c r="A169" s="345"/>
      <c r="B169" s="359" t="s">
        <v>135</v>
      </c>
      <c r="C169" s="361" t="s">
        <v>136</v>
      </c>
      <c r="D169" s="5" t="s">
        <v>137</v>
      </c>
      <c r="E169" s="5" t="s">
        <v>138</v>
      </c>
      <c r="F169" s="5" t="s">
        <v>139</v>
      </c>
      <c r="G169" s="5" t="s">
        <v>140</v>
      </c>
      <c r="H169" s="5" t="s">
        <v>141</v>
      </c>
      <c r="I169" s="5" t="s">
        <v>142</v>
      </c>
      <c r="J169" s="5" t="s">
        <v>143</v>
      </c>
      <c r="K169" s="181" t="s">
        <v>81</v>
      </c>
      <c r="L169" s="23" t="s">
        <v>144</v>
      </c>
      <c r="M169" s="22"/>
      <c r="N169" s="355" t="s">
        <v>135</v>
      </c>
      <c r="O169" s="357" t="s">
        <v>136</v>
      </c>
      <c r="P169" s="5" t="s">
        <v>137</v>
      </c>
      <c r="Q169" s="5" t="s">
        <v>138</v>
      </c>
      <c r="R169" s="5" t="s">
        <v>139</v>
      </c>
      <c r="S169" s="5" t="s">
        <v>140</v>
      </c>
      <c r="T169" s="5" t="s">
        <v>141</v>
      </c>
      <c r="U169" s="5" t="s">
        <v>142</v>
      </c>
      <c r="V169" s="5" t="s">
        <v>143</v>
      </c>
      <c r="W169" s="181" t="s">
        <v>81</v>
      </c>
      <c r="X169" s="23" t="s">
        <v>144</v>
      </c>
      <c r="Y169" s="22"/>
      <c r="Z169" s="33" t="s">
        <v>137</v>
      </c>
      <c r="AA169" s="5" t="s">
        <v>138</v>
      </c>
      <c r="AB169" s="5" t="s">
        <v>139</v>
      </c>
      <c r="AC169" s="5" t="s">
        <v>140</v>
      </c>
      <c r="AD169" s="5" t="s">
        <v>141</v>
      </c>
      <c r="AE169" s="5" t="s">
        <v>142</v>
      </c>
      <c r="AF169" s="5" t="s">
        <v>143</v>
      </c>
      <c r="AG169" s="181" t="s">
        <v>81</v>
      </c>
      <c r="AH169" s="23" t="s">
        <v>144</v>
      </c>
    </row>
    <row r="170" spans="1:34">
      <c r="A170" s="6" t="s">
        <v>145</v>
      </c>
      <c r="B170" s="360"/>
      <c r="C170" s="362"/>
      <c r="D170" s="5" t="s">
        <v>128</v>
      </c>
      <c r="E170" s="5" t="s">
        <v>128</v>
      </c>
      <c r="F170" s="5" t="s">
        <v>128</v>
      </c>
      <c r="G170" s="5" t="s">
        <v>128</v>
      </c>
      <c r="H170" s="5" t="s">
        <v>125</v>
      </c>
      <c r="I170" s="5" t="s">
        <v>146</v>
      </c>
      <c r="J170" s="5" t="s">
        <v>127</v>
      </c>
      <c r="K170" s="181" t="s">
        <v>53</v>
      </c>
      <c r="L170" s="23" t="s">
        <v>53</v>
      </c>
      <c r="M170" s="22"/>
      <c r="N170" s="356"/>
      <c r="O170" s="358"/>
      <c r="P170" s="5" t="s">
        <v>128</v>
      </c>
      <c r="Q170" s="5" t="s">
        <v>128</v>
      </c>
      <c r="R170" s="5" t="s">
        <v>128</v>
      </c>
      <c r="S170" s="5" t="s">
        <v>128</v>
      </c>
      <c r="T170" s="5" t="s">
        <v>125</v>
      </c>
      <c r="U170" s="5" t="s">
        <v>146</v>
      </c>
      <c r="V170" s="5" t="s">
        <v>127</v>
      </c>
      <c r="W170" s="181" t="s">
        <v>53</v>
      </c>
      <c r="X170" s="23" t="s">
        <v>53</v>
      </c>
      <c r="Y170" s="22"/>
      <c r="Z170" s="33" t="s">
        <v>128</v>
      </c>
      <c r="AA170" s="5" t="s">
        <v>128</v>
      </c>
      <c r="AB170" s="5" t="s">
        <v>128</v>
      </c>
      <c r="AC170" s="5" t="s">
        <v>128</v>
      </c>
      <c r="AD170" s="5" t="s">
        <v>125</v>
      </c>
      <c r="AE170" s="5" t="s">
        <v>146</v>
      </c>
      <c r="AF170" s="5" t="s">
        <v>127</v>
      </c>
      <c r="AG170" s="181" t="s">
        <v>53</v>
      </c>
      <c r="AH170" s="23" t="s">
        <v>53</v>
      </c>
    </row>
    <row r="171" spans="1:34" ht="39" thickBot="1">
      <c r="A171" s="7" t="s">
        <v>147</v>
      </c>
      <c r="B171" s="8" t="s">
        <v>148</v>
      </c>
      <c r="C171" s="9" t="s">
        <v>149</v>
      </c>
      <c r="D171" s="9" t="s">
        <v>161</v>
      </c>
      <c r="E171" s="9" t="s">
        <v>162</v>
      </c>
      <c r="F171" s="9" t="s">
        <v>163</v>
      </c>
      <c r="G171" s="9" t="s">
        <v>164</v>
      </c>
      <c r="H171" s="9" t="s">
        <v>154</v>
      </c>
      <c r="I171" s="24" t="s">
        <v>155</v>
      </c>
      <c r="J171" s="24" t="s">
        <v>156</v>
      </c>
      <c r="K171" s="24" t="s">
        <v>179</v>
      </c>
      <c r="L171" s="25" t="s">
        <v>157</v>
      </c>
      <c r="M171" s="22"/>
      <c r="N171" s="8" t="s">
        <v>148</v>
      </c>
      <c r="O171" s="9" t="s">
        <v>149</v>
      </c>
      <c r="P171" s="9" t="s">
        <v>161</v>
      </c>
      <c r="Q171" s="9" t="s">
        <v>162</v>
      </c>
      <c r="R171" s="9" t="s">
        <v>163</v>
      </c>
      <c r="S171" s="9" t="s">
        <v>164</v>
      </c>
      <c r="T171" s="9" t="s">
        <v>154</v>
      </c>
      <c r="U171" s="24" t="s">
        <v>155</v>
      </c>
      <c r="V171" s="24" t="s">
        <v>156</v>
      </c>
      <c r="W171" s="24" t="s">
        <v>179</v>
      </c>
      <c r="X171" s="25" t="s">
        <v>157</v>
      </c>
      <c r="Y171" s="22"/>
      <c r="Z171" s="8" t="s">
        <v>161</v>
      </c>
      <c r="AA171" s="9" t="s">
        <v>162</v>
      </c>
      <c r="AB171" s="9" t="s">
        <v>163</v>
      </c>
      <c r="AC171" s="9" t="s">
        <v>164</v>
      </c>
      <c r="AD171" s="9" t="s">
        <v>154</v>
      </c>
      <c r="AE171" s="9" t="s">
        <v>155</v>
      </c>
      <c r="AF171" s="9" t="s">
        <v>156</v>
      </c>
      <c r="AG171" s="24" t="s">
        <v>179</v>
      </c>
      <c r="AH171" s="23" t="s">
        <v>157</v>
      </c>
    </row>
    <row r="172" spans="1:34">
      <c r="A172" s="10">
        <f>AF167+0</f>
        <v>46113</v>
      </c>
      <c r="B172" s="11" t="s">
        <v>35</v>
      </c>
      <c r="C172" s="12" t="s">
        <v>35</v>
      </c>
      <c r="D172" s="12" t="s">
        <v>35</v>
      </c>
      <c r="E172" s="12" t="s">
        <v>35</v>
      </c>
      <c r="F172" s="12" t="s">
        <v>35</v>
      </c>
      <c r="G172" s="12" t="s">
        <v>35</v>
      </c>
      <c r="H172" s="12" t="s">
        <v>35</v>
      </c>
      <c r="I172" s="12" t="s">
        <v>35</v>
      </c>
      <c r="J172" s="13" t="s">
        <v>35</v>
      </c>
      <c r="K172" s="13" t="s">
        <v>35</v>
      </c>
      <c r="L172" s="26" t="s">
        <v>35</v>
      </c>
      <c r="M172" s="22"/>
      <c r="N172" s="29" t="s">
        <v>35</v>
      </c>
      <c r="O172" s="13" t="s">
        <v>35</v>
      </c>
      <c r="P172" s="13" t="s">
        <v>35</v>
      </c>
      <c r="Q172" s="13" t="s">
        <v>35</v>
      </c>
      <c r="R172" s="13" t="s">
        <v>35</v>
      </c>
      <c r="S172" s="13" t="s">
        <v>35</v>
      </c>
      <c r="T172" s="13" t="s">
        <v>35</v>
      </c>
      <c r="U172" s="13" t="s">
        <v>35</v>
      </c>
      <c r="V172" s="13" t="s">
        <v>35</v>
      </c>
      <c r="W172" s="183" t="s">
        <v>35</v>
      </c>
      <c r="X172" s="37" t="s">
        <v>35</v>
      </c>
      <c r="Y172" s="22"/>
      <c r="Z172" s="148">
        <v>10.55</v>
      </c>
      <c r="AA172" s="63">
        <v>19.48</v>
      </c>
      <c r="AB172" s="63">
        <v>33.15</v>
      </c>
      <c r="AC172" s="63"/>
      <c r="AD172" s="159">
        <v>398</v>
      </c>
      <c r="AE172" s="63">
        <v>9.3800000000000008</v>
      </c>
      <c r="AF172" s="63">
        <v>0.5</v>
      </c>
      <c r="AG172" s="183">
        <v>2.1760000000000002</v>
      </c>
      <c r="AH172" s="149">
        <v>8.1999999999999993</v>
      </c>
    </row>
    <row r="173" spans="1:34">
      <c r="A173" s="14">
        <f t="shared" ref="A173:A202" si="76">A172+1</f>
        <v>46114</v>
      </c>
      <c r="B173" s="11">
        <v>38.159999999999997</v>
      </c>
      <c r="C173" s="54">
        <v>25.99</v>
      </c>
      <c r="D173" s="54">
        <v>10.5</v>
      </c>
      <c r="E173" s="54">
        <v>21.58</v>
      </c>
      <c r="F173" s="54">
        <v>31.65</v>
      </c>
      <c r="G173" s="54"/>
      <c r="H173" s="54">
        <v>407</v>
      </c>
      <c r="I173" s="54">
        <v>12.2</v>
      </c>
      <c r="J173" s="54">
        <v>0.5</v>
      </c>
      <c r="K173" s="183">
        <v>2.37</v>
      </c>
      <c r="L173" s="55">
        <v>7.22</v>
      </c>
      <c r="M173" s="22"/>
      <c r="N173" s="29" t="s">
        <v>35</v>
      </c>
      <c r="O173" s="13" t="s">
        <v>35</v>
      </c>
      <c r="P173" s="13" t="s">
        <v>35</v>
      </c>
      <c r="Q173" s="13" t="s">
        <v>35</v>
      </c>
      <c r="R173" s="13" t="s">
        <v>35</v>
      </c>
      <c r="S173" s="13" t="s">
        <v>35</v>
      </c>
      <c r="T173" s="13" t="s">
        <v>35</v>
      </c>
      <c r="U173" s="13" t="s">
        <v>35</v>
      </c>
      <c r="V173" s="13" t="s">
        <v>35</v>
      </c>
      <c r="W173" s="183" t="s">
        <v>35</v>
      </c>
      <c r="X173" s="37" t="s">
        <v>35</v>
      </c>
      <c r="Y173" s="22"/>
      <c r="Z173" s="38">
        <v>9.31</v>
      </c>
      <c r="AA173" s="13">
        <v>19.52</v>
      </c>
      <c r="AB173" s="13">
        <v>32.590000000000003</v>
      </c>
      <c r="AC173" s="13"/>
      <c r="AD173" s="36">
        <v>417</v>
      </c>
      <c r="AE173" s="13">
        <v>9.08</v>
      </c>
      <c r="AF173" s="13">
        <v>0.5</v>
      </c>
      <c r="AG173" s="183">
        <v>2.3199999999999998</v>
      </c>
      <c r="AH173" s="45">
        <v>7.15</v>
      </c>
    </row>
    <row r="174" spans="1:34">
      <c r="A174" s="14">
        <f t="shared" si="76"/>
        <v>46115</v>
      </c>
      <c r="B174" s="11" t="s">
        <v>35</v>
      </c>
      <c r="C174" s="12" t="s">
        <v>35</v>
      </c>
      <c r="D174" s="12" t="s">
        <v>35</v>
      </c>
      <c r="E174" s="12" t="s">
        <v>35</v>
      </c>
      <c r="F174" s="12" t="s">
        <v>35</v>
      </c>
      <c r="G174" s="12" t="s">
        <v>35</v>
      </c>
      <c r="H174" s="12" t="s">
        <v>35</v>
      </c>
      <c r="I174" s="13" t="s">
        <v>35</v>
      </c>
      <c r="J174" s="13" t="s">
        <v>35</v>
      </c>
      <c r="K174" s="184" t="s">
        <v>35</v>
      </c>
      <c r="L174" s="26" t="s">
        <v>35</v>
      </c>
      <c r="M174" s="22"/>
      <c r="N174" s="29" t="s">
        <v>35</v>
      </c>
      <c r="O174" s="13" t="s">
        <v>35</v>
      </c>
      <c r="P174" s="13" t="s">
        <v>35</v>
      </c>
      <c r="Q174" s="13" t="s">
        <v>35</v>
      </c>
      <c r="R174" s="13" t="s">
        <v>35</v>
      </c>
      <c r="S174" s="13" t="s">
        <v>35</v>
      </c>
      <c r="T174" s="13" t="s">
        <v>35</v>
      </c>
      <c r="U174" s="13" t="s">
        <v>35</v>
      </c>
      <c r="V174" s="13" t="s">
        <v>35</v>
      </c>
      <c r="W174" s="183" t="s">
        <v>35</v>
      </c>
      <c r="X174" s="37" t="s">
        <v>35</v>
      </c>
      <c r="Y174" s="22"/>
      <c r="Z174" s="38">
        <v>10.99</v>
      </c>
      <c r="AA174" s="13">
        <v>20.22</v>
      </c>
      <c r="AB174" s="13">
        <v>32.25</v>
      </c>
      <c r="AC174" s="13"/>
      <c r="AD174" s="36">
        <v>404</v>
      </c>
      <c r="AE174" s="13">
        <v>9.92</v>
      </c>
      <c r="AF174" s="13">
        <v>0.5</v>
      </c>
      <c r="AG174" s="184">
        <v>1.89</v>
      </c>
      <c r="AH174" s="45">
        <v>8.31</v>
      </c>
    </row>
    <row r="175" spans="1:34">
      <c r="A175" s="14">
        <f t="shared" si="76"/>
        <v>46116</v>
      </c>
      <c r="B175" s="11" t="s">
        <v>35</v>
      </c>
      <c r="C175" s="12" t="s">
        <v>35</v>
      </c>
      <c r="D175" s="12" t="s">
        <v>35</v>
      </c>
      <c r="E175" s="12" t="s">
        <v>35</v>
      </c>
      <c r="F175" s="12" t="s">
        <v>35</v>
      </c>
      <c r="G175" s="12" t="s">
        <v>35</v>
      </c>
      <c r="H175" s="12" t="s">
        <v>35</v>
      </c>
      <c r="I175" s="13" t="s">
        <v>35</v>
      </c>
      <c r="J175" s="13" t="s">
        <v>35</v>
      </c>
      <c r="K175" s="184" t="s">
        <v>35</v>
      </c>
      <c r="L175" s="26" t="s">
        <v>35</v>
      </c>
      <c r="M175" s="22"/>
      <c r="N175" s="29" t="s">
        <v>35</v>
      </c>
      <c r="O175" s="13" t="s">
        <v>35</v>
      </c>
      <c r="P175" s="13" t="s">
        <v>35</v>
      </c>
      <c r="Q175" s="13" t="s">
        <v>35</v>
      </c>
      <c r="R175" s="13" t="s">
        <v>35</v>
      </c>
      <c r="S175" s="13" t="s">
        <v>35</v>
      </c>
      <c r="T175" s="13" t="s">
        <v>35</v>
      </c>
      <c r="U175" s="13" t="s">
        <v>35</v>
      </c>
      <c r="V175" s="13" t="s">
        <v>35</v>
      </c>
      <c r="W175" s="183" t="s">
        <v>35</v>
      </c>
      <c r="X175" s="37" t="s">
        <v>35</v>
      </c>
      <c r="Y175" s="22"/>
      <c r="Z175" s="38" t="s">
        <v>35</v>
      </c>
      <c r="AA175" s="13" t="s">
        <v>35</v>
      </c>
      <c r="AB175" s="13" t="s">
        <v>35</v>
      </c>
      <c r="AC175" s="13" t="s">
        <v>35</v>
      </c>
      <c r="AD175" s="13" t="s">
        <v>35</v>
      </c>
      <c r="AE175" s="13" t="s">
        <v>35</v>
      </c>
      <c r="AF175" s="13" t="s">
        <v>35</v>
      </c>
      <c r="AG175" s="184" t="s">
        <v>35</v>
      </c>
      <c r="AH175" s="45" t="s">
        <v>35</v>
      </c>
    </row>
    <row r="176" spans="1:34">
      <c r="A176" s="14">
        <f t="shared" si="76"/>
        <v>46117</v>
      </c>
      <c r="B176" s="11">
        <v>35.57</v>
      </c>
      <c r="C176" s="13">
        <v>25</v>
      </c>
      <c r="D176" s="12">
        <v>10.57</v>
      </c>
      <c r="E176" s="12">
        <v>19.91</v>
      </c>
      <c r="F176" s="12">
        <v>36.44</v>
      </c>
      <c r="G176" s="12"/>
      <c r="H176" s="12">
        <v>417</v>
      </c>
      <c r="I176" s="12">
        <v>12.08</v>
      </c>
      <c r="J176" s="13">
        <v>0.5</v>
      </c>
      <c r="K176" s="184">
        <v>2.25</v>
      </c>
      <c r="L176" s="26">
        <v>8.32</v>
      </c>
      <c r="M176" s="22"/>
      <c r="N176" s="29" t="s">
        <v>35</v>
      </c>
      <c r="O176" s="13" t="s">
        <v>35</v>
      </c>
      <c r="P176" s="13" t="s">
        <v>35</v>
      </c>
      <c r="Q176" s="13" t="s">
        <v>35</v>
      </c>
      <c r="R176" s="13" t="s">
        <v>35</v>
      </c>
      <c r="S176" s="13" t="s">
        <v>35</v>
      </c>
      <c r="T176" s="13" t="s">
        <v>35</v>
      </c>
      <c r="U176" s="13" t="s">
        <v>35</v>
      </c>
      <c r="V176" s="13" t="s">
        <v>35</v>
      </c>
      <c r="W176" s="183" t="s">
        <v>35</v>
      </c>
      <c r="X176" s="37" t="s">
        <v>35</v>
      </c>
      <c r="Y176" s="22"/>
      <c r="Z176" s="38">
        <v>8.8800000000000008</v>
      </c>
      <c r="AA176" s="13">
        <v>18.34</v>
      </c>
      <c r="AB176" s="13">
        <v>33.81</v>
      </c>
      <c r="AC176" s="13"/>
      <c r="AD176" s="36">
        <v>401</v>
      </c>
      <c r="AE176" s="13">
        <v>12.48</v>
      </c>
      <c r="AF176" s="13">
        <v>0.5</v>
      </c>
      <c r="AG176" s="184">
        <v>2.7</v>
      </c>
      <c r="AH176" s="46">
        <v>9.18</v>
      </c>
    </row>
    <row r="177" spans="1:34">
      <c r="A177" s="14">
        <f t="shared" si="76"/>
        <v>46118</v>
      </c>
      <c r="B177" s="11" t="s">
        <v>35</v>
      </c>
      <c r="C177" s="12" t="s">
        <v>35</v>
      </c>
      <c r="D177" s="12" t="s">
        <v>35</v>
      </c>
      <c r="E177" s="12" t="s">
        <v>35</v>
      </c>
      <c r="F177" s="12" t="s">
        <v>35</v>
      </c>
      <c r="G177" s="12" t="s">
        <v>35</v>
      </c>
      <c r="H177" s="12" t="s">
        <v>35</v>
      </c>
      <c r="I177" s="12" t="s">
        <v>35</v>
      </c>
      <c r="J177" s="13" t="s">
        <v>35</v>
      </c>
      <c r="K177" s="184" t="s">
        <v>35</v>
      </c>
      <c r="L177" s="26" t="s">
        <v>35</v>
      </c>
      <c r="M177" s="22"/>
      <c r="N177" s="29" t="s">
        <v>35</v>
      </c>
      <c r="O177" s="13" t="s">
        <v>35</v>
      </c>
      <c r="P177" s="13" t="s">
        <v>35</v>
      </c>
      <c r="Q177" s="13" t="s">
        <v>35</v>
      </c>
      <c r="R177" s="13" t="s">
        <v>35</v>
      </c>
      <c r="S177" s="13" t="s">
        <v>35</v>
      </c>
      <c r="T177" s="13" t="s">
        <v>35</v>
      </c>
      <c r="U177" s="13" t="s">
        <v>35</v>
      </c>
      <c r="V177" s="13" t="s">
        <v>35</v>
      </c>
      <c r="W177" s="184" t="s">
        <v>35</v>
      </c>
      <c r="X177" s="37" t="s">
        <v>35</v>
      </c>
      <c r="Y177" s="22"/>
      <c r="Z177" s="38">
        <v>9.23</v>
      </c>
      <c r="AA177" s="13">
        <v>19.11</v>
      </c>
      <c r="AB177" s="13">
        <v>31.55</v>
      </c>
      <c r="AC177" s="13"/>
      <c r="AD177" s="36">
        <v>414</v>
      </c>
      <c r="AE177" s="13">
        <v>11.36</v>
      </c>
      <c r="AF177" s="13"/>
      <c r="AG177" s="184">
        <v>2.21</v>
      </c>
      <c r="AH177" s="45">
        <v>8.9700000000000006</v>
      </c>
    </row>
    <row r="178" spans="1:34">
      <c r="A178" s="14">
        <f t="shared" si="76"/>
        <v>46119</v>
      </c>
      <c r="B178" s="11" t="s">
        <v>35</v>
      </c>
      <c r="C178" s="12" t="s">
        <v>35</v>
      </c>
      <c r="D178" s="12" t="s">
        <v>35</v>
      </c>
      <c r="E178" s="12" t="s">
        <v>35</v>
      </c>
      <c r="F178" s="12" t="s">
        <v>35</v>
      </c>
      <c r="G178" s="12" t="s">
        <v>35</v>
      </c>
      <c r="H178" s="12" t="s">
        <v>35</v>
      </c>
      <c r="I178" s="12" t="s">
        <v>35</v>
      </c>
      <c r="J178" s="13" t="s">
        <v>35</v>
      </c>
      <c r="K178" s="184" t="s">
        <v>35</v>
      </c>
      <c r="L178" s="26" t="s">
        <v>35</v>
      </c>
      <c r="M178" s="22"/>
      <c r="N178" s="29" t="s">
        <v>35</v>
      </c>
      <c r="O178" s="13" t="s">
        <v>35</v>
      </c>
      <c r="P178" s="13" t="s">
        <v>35</v>
      </c>
      <c r="Q178" s="13" t="s">
        <v>35</v>
      </c>
      <c r="R178" s="13" t="s">
        <v>35</v>
      </c>
      <c r="S178" s="13" t="s">
        <v>35</v>
      </c>
      <c r="T178" s="13" t="s">
        <v>35</v>
      </c>
      <c r="U178" s="13" t="s">
        <v>35</v>
      </c>
      <c r="V178" s="13" t="s">
        <v>35</v>
      </c>
      <c r="W178" s="184" t="s">
        <v>35</v>
      </c>
      <c r="X178" s="37" t="s">
        <v>35</v>
      </c>
      <c r="Y178" s="22"/>
      <c r="Z178" s="38" t="s">
        <v>35</v>
      </c>
      <c r="AA178" s="13" t="s">
        <v>35</v>
      </c>
      <c r="AB178" s="13" t="s">
        <v>35</v>
      </c>
      <c r="AC178" s="13" t="s">
        <v>35</v>
      </c>
      <c r="AD178" s="13" t="s">
        <v>35</v>
      </c>
      <c r="AE178" s="13" t="s">
        <v>35</v>
      </c>
      <c r="AF178" s="13" t="s">
        <v>35</v>
      </c>
      <c r="AG178" s="184" t="s">
        <v>35</v>
      </c>
      <c r="AH178" s="45" t="s">
        <v>35</v>
      </c>
    </row>
    <row r="179" spans="1:34">
      <c r="A179" s="14">
        <f t="shared" si="76"/>
        <v>46120</v>
      </c>
      <c r="B179" s="11">
        <v>36.979999999999997</v>
      </c>
      <c r="C179" s="12">
        <v>27</v>
      </c>
      <c r="D179" s="12">
        <v>10.62</v>
      </c>
      <c r="E179" s="12">
        <v>20.25</v>
      </c>
      <c r="F179" s="12">
        <v>31.3</v>
      </c>
      <c r="G179" s="12" t="s">
        <v>35</v>
      </c>
      <c r="H179" s="12">
        <v>384</v>
      </c>
      <c r="I179" s="12">
        <v>11.16</v>
      </c>
      <c r="J179" s="13">
        <v>12.5</v>
      </c>
      <c r="K179" s="184">
        <v>2.52</v>
      </c>
      <c r="L179" s="26">
        <v>7.45</v>
      </c>
      <c r="M179" s="22"/>
      <c r="N179" s="29" t="s">
        <v>35</v>
      </c>
      <c r="O179" s="13" t="s">
        <v>35</v>
      </c>
      <c r="P179" s="13" t="s">
        <v>35</v>
      </c>
      <c r="Q179" s="13" t="s">
        <v>35</v>
      </c>
      <c r="R179" s="13" t="s">
        <v>35</v>
      </c>
      <c r="S179" s="13" t="s">
        <v>35</v>
      </c>
      <c r="T179" s="13" t="s">
        <v>35</v>
      </c>
      <c r="U179" s="13" t="s">
        <v>35</v>
      </c>
      <c r="V179" s="13" t="s">
        <v>35</v>
      </c>
      <c r="W179" s="184" t="s">
        <v>35</v>
      </c>
      <c r="X179" s="37" t="s">
        <v>35</v>
      </c>
      <c r="Y179" s="22"/>
      <c r="Z179" s="38" t="s">
        <v>35</v>
      </c>
      <c r="AA179" s="13" t="s">
        <v>35</v>
      </c>
      <c r="AB179" s="13" t="s">
        <v>35</v>
      </c>
      <c r="AC179" s="13" t="s">
        <v>35</v>
      </c>
      <c r="AD179" s="13" t="s">
        <v>35</v>
      </c>
      <c r="AE179" s="13" t="s">
        <v>35</v>
      </c>
      <c r="AF179" s="13" t="s">
        <v>35</v>
      </c>
      <c r="AG179" s="184" t="s">
        <v>35</v>
      </c>
      <c r="AH179" s="45" t="s">
        <v>35</v>
      </c>
    </row>
    <row r="180" spans="1:34">
      <c r="A180" s="14">
        <f t="shared" si="76"/>
        <v>46121</v>
      </c>
      <c r="B180" s="11" t="s">
        <v>35</v>
      </c>
      <c r="C180" s="12" t="s">
        <v>35</v>
      </c>
      <c r="D180" s="12" t="s">
        <v>35</v>
      </c>
      <c r="E180" s="12" t="s">
        <v>35</v>
      </c>
      <c r="F180" s="12" t="s">
        <v>35</v>
      </c>
      <c r="G180" s="12" t="s">
        <v>35</v>
      </c>
      <c r="H180" s="12" t="s">
        <v>35</v>
      </c>
      <c r="I180" s="12" t="s">
        <v>35</v>
      </c>
      <c r="J180" s="13" t="s">
        <v>35</v>
      </c>
      <c r="K180" s="184" t="s">
        <v>35</v>
      </c>
      <c r="L180" s="26" t="s">
        <v>35</v>
      </c>
      <c r="M180" s="22"/>
      <c r="N180" s="29">
        <v>34.659999999999997</v>
      </c>
      <c r="O180" s="13">
        <v>27</v>
      </c>
      <c r="P180" s="13">
        <v>8.42</v>
      </c>
      <c r="Q180" s="13">
        <v>16.48</v>
      </c>
      <c r="R180" s="13">
        <v>29.44</v>
      </c>
      <c r="S180" s="13"/>
      <c r="T180" s="36">
        <v>368</v>
      </c>
      <c r="U180" s="13">
        <v>16.239999999999998</v>
      </c>
      <c r="V180" s="13">
        <v>35</v>
      </c>
      <c r="W180" s="184">
        <v>2.06</v>
      </c>
      <c r="X180" s="37">
        <v>8.66</v>
      </c>
      <c r="Y180" s="22"/>
      <c r="Z180" s="38">
        <v>11.78</v>
      </c>
      <c r="AA180" s="13">
        <v>22.85</v>
      </c>
      <c r="AB180" s="13">
        <v>31.66</v>
      </c>
      <c r="AC180" s="13"/>
      <c r="AD180" s="36">
        <v>354</v>
      </c>
      <c r="AE180" s="13">
        <v>12.4</v>
      </c>
      <c r="AF180" s="13">
        <v>0.5</v>
      </c>
      <c r="AG180" s="184">
        <v>2.14</v>
      </c>
      <c r="AH180" s="45">
        <v>7.45</v>
      </c>
    </row>
    <row r="181" spans="1:34">
      <c r="A181" s="14">
        <f t="shared" si="76"/>
        <v>46122</v>
      </c>
      <c r="B181" s="11" t="s">
        <v>35</v>
      </c>
      <c r="C181" s="12" t="s">
        <v>35</v>
      </c>
      <c r="D181" s="12" t="s">
        <v>35</v>
      </c>
      <c r="E181" s="12" t="s">
        <v>35</v>
      </c>
      <c r="F181" s="12" t="s">
        <v>35</v>
      </c>
      <c r="G181" s="12" t="s">
        <v>35</v>
      </c>
      <c r="H181" s="12" t="s">
        <v>35</v>
      </c>
      <c r="I181" s="12" t="s">
        <v>35</v>
      </c>
      <c r="J181" s="13" t="s">
        <v>35</v>
      </c>
      <c r="K181" s="184" t="s">
        <v>35</v>
      </c>
      <c r="L181" s="26" t="s">
        <v>35</v>
      </c>
      <c r="M181" s="22"/>
      <c r="N181" s="29">
        <v>37.979999999999997</v>
      </c>
      <c r="O181" s="13">
        <v>29.23</v>
      </c>
      <c r="P181" s="13">
        <v>9.25</v>
      </c>
      <c r="Q181" s="13">
        <v>17.98</v>
      </c>
      <c r="R181" s="13">
        <v>28.99</v>
      </c>
      <c r="S181" s="13"/>
      <c r="T181" s="36">
        <v>369</v>
      </c>
      <c r="U181" s="13">
        <v>14.84</v>
      </c>
      <c r="V181" s="13">
        <v>16</v>
      </c>
      <c r="W181" s="184">
        <v>2.12</v>
      </c>
      <c r="X181" s="37">
        <v>9.3800000000000008</v>
      </c>
      <c r="Y181" s="22"/>
      <c r="Z181" s="38">
        <v>11.29</v>
      </c>
      <c r="AA181" s="13">
        <v>20.56</v>
      </c>
      <c r="AB181" s="13">
        <v>33.01</v>
      </c>
      <c r="AC181" s="13"/>
      <c r="AD181" s="36">
        <v>362</v>
      </c>
      <c r="AE181" s="13">
        <v>13.08</v>
      </c>
      <c r="AF181" s="13">
        <v>6.5</v>
      </c>
      <c r="AG181" s="184">
        <v>2.09</v>
      </c>
      <c r="AH181" s="45">
        <v>7.81</v>
      </c>
    </row>
    <row r="182" spans="1:34">
      <c r="A182" s="14">
        <f t="shared" si="76"/>
        <v>46123</v>
      </c>
      <c r="B182" s="11" t="s">
        <v>35</v>
      </c>
      <c r="C182" s="12" t="s">
        <v>35</v>
      </c>
      <c r="D182" s="12" t="s">
        <v>35</v>
      </c>
      <c r="E182" s="12" t="s">
        <v>35</v>
      </c>
      <c r="F182" s="12" t="s">
        <v>35</v>
      </c>
      <c r="G182" s="12" t="s">
        <v>35</v>
      </c>
      <c r="H182" s="12" t="s">
        <v>35</v>
      </c>
      <c r="I182" s="12" t="s">
        <v>35</v>
      </c>
      <c r="J182" s="13" t="s">
        <v>35</v>
      </c>
      <c r="K182" s="184" t="s">
        <v>35</v>
      </c>
      <c r="L182" s="26" t="s">
        <v>35</v>
      </c>
      <c r="M182" s="22"/>
      <c r="N182" s="29" t="s">
        <v>35</v>
      </c>
      <c r="O182" s="13" t="s">
        <v>35</v>
      </c>
      <c r="P182" s="13" t="s">
        <v>35</v>
      </c>
      <c r="Q182" s="13" t="s">
        <v>35</v>
      </c>
      <c r="R182" s="13" t="s">
        <v>35</v>
      </c>
      <c r="S182" s="13" t="s">
        <v>35</v>
      </c>
      <c r="T182" s="13" t="s">
        <v>35</v>
      </c>
      <c r="U182" s="13" t="s">
        <v>35</v>
      </c>
      <c r="V182" s="13" t="s">
        <v>35</v>
      </c>
      <c r="W182" s="184" t="s">
        <v>35</v>
      </c>
      <c r="X182" s="37" t="s">
        <v>35</v>
      </c>
      <c r="Y182" s="22"/>
      <c r="Z182" s="38" t="s">
        <v>35</v>
      </c>
      <c r="AA182" s="13" t="s">
        <v>35</v>
      </c>
      <c r="AB182" s="13" t="s">
        <v>35</v>
      </c>
      <c r="AC182" s="13" t="s">
        <v>35</v>
      </c>
      <c r="AD182" s="13" t="s">
        <v>35</v>
      </c>
      <c r="AE182" s="13" t="s">
        <v>35</v>
      </c>
      <c r="AF182" s="13" t="s">
        <v>35</v>
      </c>
      <c r="AG182" s="184" t="s">
        <v>35</v>
      </c>
      <c r="AH182" s="45" t="s">
        <v>35</v>
      </c>
    </row>
    <row r="183" spans="1:34">
      <c r="A183" s="14">
        <f t="shared" si="76"/>
        <v>46124</v>
      </c>
      <c r="B183" s="11" t="s">
        <v>35</v>
      </c>
      <c r="C183" s="12" t="s">
        <v>35</v>
      </c>
      <c r="D183" s="12" t="s">
        <v>35</v>
      </c>
      <c r="E183" s="12" t="s">
        <v>35</v>
      </c>
      <c r="F183" s="12" t="s">
        <v>35</v>
      </c>
      <c r="G183" s="12" t="s">
        <v>35</v>
      </c>
      <c r="H183" s="12" t="s">
        <v>35</v>
      </c>
      <c r="I183" s="12" t="s">
        <v>35</v>
      </c>
      <c r="J183" s="13" t="s">
        <v>35</v>
      </c>
      <c r="K183" s="184" t="s">
        <v>35</v>
      </c>
      <c r="L183" s="26" t="s">
        <v>35</v>
      </c>
      <c r="M183" s="22"/>
      <c r="N183" s="29" t="s">
        <v>35</v>
      </c>
      <c r="O183" s="13" t="s">
        <v>35</v>
      </c>
      <c r="P183" s="13" t="s">
        <v>35</v>
      </c>
      <c r="Q183" s="13" t="s">
        <v>35</v>
      </c>
      <c r="R183" s="13" t="s">
        <v>35</v>
      </c>
      <c r="S183" s="13" t="s">
        <v>35</v>
      </c>
      <c r="T183" s="13" t="s">
        <v>35</v>
      </c>
      <c r="U183" s="13" t="s">
        <v>35</v>
      </c>
      <c r="V183" s="13" t="s">
        <v>35</v>
      </c>
      <c r="W183" s="184" t="s">
        <v>35</v>
      </c>
      <c r="X183" s="37" t="s">
        <v>35</v>
      </c>
      <c r="Y183" s="22"/>
      <c r="Z183" s="38">
        <v>8.86</v>
      </c>
      <c r="AA183" s="13">
        <v>19.25</v>
      </c>
      <c r="AB183" s="13">
        <v>36.130000000000003</v>
      </c>
      <c r="AC183" s="13"/>
      <c r="AD183" s="36">
        <v>380</v>
      </c>
      <c r="AE183" s="13">
        <v>10.72</v>
      </c>
      <c r="AF183" s="13">
        <v>0.5</v>
      </c>
      <c r="AG183" s="184">
        <v>2.25</v>
      </c>
      <c r="AH183" s="45">
        <v>9</v>
      </c>
    </row>
    <row r="184" spans="1:34">
      <c r="A184" s="14">
        <f t="shared" si="76"/>
        <v>46125</v>
      </c>
      <c r="B184" s="11" t="s">
        <v>35</v>
      </c>
      <c r="C184" s="12" t="s">
        <v>35</v>
      </c>
      <c r="D184" s="12" t="s">
        <v>35</v>
      </c>
      <c r="E184" s="12" t="s">
        <v>35</v>
      </c>
      <c r="F184" s="12" t="s">
        <v>35</v>
      </c>
      <c r="G184" s="12" t="s">
        <v>35</v>
      </c>
      <c r="H184" s="12" t="s">
        <v>35</v>
      </c>
      <c r="I184" s="12" t="s">
        <v>35</v>
      </c>
      <c r="J184" s="13" t="s">
        <v>35</v>
      </c>
      <c r="K184" s="184" t="s">
        <v>35</v>
      </c>
      <c r="L184" s="26" t="s">
        <v>35</v>
      </c>
      <c r="M184" s="22"/>
      <c r="N184" s="29" t="s">
        <v>35</v>
      </c>
      <c r="O184" s="13" t="s">
        <v>35</v>
      </c>
      <c r="P184" s="13" t="s">
        <v>35</v>
      </c>
      <c r="Q184" s="13" t="s">
        <v>35</v>
      </c>
      <c r="R184" s="13" t="s">
        <v>35</v>
      </c>
      <c r="S184" s="13" t="s">
        <v>35</v>
      </c>
      <c r="T184" s="13" t="s">
        <v>35</v>
      </c>
      <c r="U184" s="13" t="s">
        <v>35</v>
      </c>
      <c r="V184" s="13" t="s">
        <v>35</v>
      </c>
      <c r="W184" s="184" t="s">
        <v>35</v>
      </c>
      <c r="X184" s="37" t="s">
        <v>35</v>
      </c>
      <c r="Y184" s="22"/>
      <c r="Z184" s="38">
        <v>11.98</v>
      </c>
      <c r="AA184" s="13">
        <v>20.37</v>
      </c>
      <c r="AB184" s="13">
        <v>32.49</v>
      </c>
      <c r="AC184" s="13"/>
      <c r="AD184" s="36">
        <v>381</v>
      </c>
      <c r="AE184" s="13">
        <v>9.56</v>
      </c>
      <c r="AF184" s="13">
        <v>0.5</v>
      </c>
      <c r="AG184" s="184">
        <v>2.35</v>
      </c>
      <c r="AH184" s="45">
        <v>9.15</v>
      </c>
    </row>
    <row r="185" spans="1:34">
      <c r="A185" s="14">
        <f t="shared" si="76"/>
        <v>46126</v>
      </c>
      <c r="B185" s="11" t="s">
        <v>35</v>
      </c>
      <c r="C185" s="12" t="s">
        <v>35</v>
      </c>
      <c r="D185" s="12" t="s">
        <v>35</v>
      </c>
      <c r="E185" s="12" t="s">
        <v>35</v>
      </c>
      <c r="F185" s="12" t="s">
        <v>35</v>
      </c>
      <c r="G185" s="12" t="s">
        <v>35</v>
      </c>
      <c r="H185" s="12" t="s">
        <v>35</v>
      </c>
      <c r="I185" s="12" t="s">
        <v>35</v>
      </c>
      <c r="J185" s="13" t="s">
        <v>35</v>
      </c>
      <c r="K185" s="184" t="s">
        <v>35</v>
      </c>
      <c r="L185" s="26" t="s">
        <v>35</v>
      </c>
      <c r="M185" s="22"/>
      <c r="N185" s="29" t="s">
        <v>35</v>
      </c>
      <c r="O185" s="13" t="s">
        <v>35</v>
      </c>
      <c r="P185" s="13" t="s">
        <v>35</v>
      </c>
      <c r="Q185" s="13" t="s">
        <v>35</v>
      </c>
      <c r="R185" s="13" t="s">
        <v>35</v>
      </c>
      <c r="S185" s="13" t="s">
        <v>35</v>
      </c>
      <c r="T185" s="13" t="s">
        <v>35</v>
      </c>
      <c r="U185" s="13" t="s">
        <v>35</v>
      </c>
      <c r="V185" s="13" t="s">
        <v>35</v>
      </c>
      <c r="W185" s="184" t="s">
        <v>35</v>
      </c>
      <c r="X185" s="37" t="s">
        <v>35</v>
      </c>
      <c r="Y185" s="22"/>
      <c r="Z185" s="38">
        <v>10.54</v>
      </c>
      <c r="AA185" s="13">
        <v>20.37</v>
      </c>
      <c r="AB185" s="13"/>
      <c r="AC185" s="13"/>
      <c r="AD185" s="36">
        <v>384</v>
      </c>
      <c r="AE185" s="13">
        <v>12.5</v>
      </c>
      <c r="AF185" s="13">
        <v>0.5</v>
      </c>
      <c r="AG185" s="184">
        <v>2.35</v>
      </c>
      <c r="AH185" s="45">
        <v>8.0299999999999994</v>
      </c>
    </row>
    <row r="186" spans="1:34">
      <c r="A186" s="14">
        <f t="shared" si="76"/>
        <v>46127</v>
      </c>
      <c r="B186" s="11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3" t="s">
        <v>35</v>
      </c>
      <c r="K186" s="184" t="s">
        <v>35</v>
      </c>
      <c r="L186" s="26" t="s">
        <v>35</v>
      </c>
      <c r="M186" s="22"/>
      <c r="N186" s="29">
        <v>35.090000000000003</v>
      </c>
      <c r="O186" s="13">
        <v>26</v>
      </c>
      <c r="P186" s="13">
        <v>11.22</v>
      </c>
      <c r="Q186" s="13">
        <v>20.89</v>
      </c>
      <c r="R186" s="13"/>
      <c r="S186" s="13"/>
      <c r="T186" s="36">
        <v>414</v>
      </c>
      <c r="U186" s="13">
        <v>10.06</v>
      </c>
      <c r="V186" s="13">
        <v>26.5</v>
      </c>
      <c r="W186" s="184">
        <v>1.96</v>
      </c>
      <c r="X186" s="37">
        <v>8.4700000000000006</v>
      </c>
      <c r="Y186" s="22"/>
      <c r="Z186" s="38" t="s">
        <v>35</v>
      </c>
      <c r="AA186" s="13" t="s">
        <v>35</v>
      </c>
      <c r="AB186" s="13" t="s">
        <v>35</v>
      </c>
      <c r="AC186" s="13" t="s">
        <v>35</v>
      </c>
      <c r="AD186" s="13" t="s">
        <v>35</v>
      </c>
      <c r="AE186" s="13" t="s">
        <v>35</v>
      </c>
      <c r="AF186" s="13" t="s">
        <v>35</v>
      </c>
      <c r="AG186" s="184" t="s">
        <v>35</v>
      </c>
      <c r="AH186" s="45" t="s">
        <v>35</v>
      </c>
    </row>
    <row r="187" spans="1:34">
      <c r="A187" s="14">
        <f t="shared" si="76"/>
        <v>46128</v>
      </c>
      <c r="B187" s="11" t="s">
        <v>35</v>
      </c>
      <c r="C187" s="12" t="s">
        <v>35</v>
      </c>
      <c r="D187" s="12" t="s">
        <v>35</v>
      </c>
      <c r="E187" s="12" t="s">
        <v>35</v>
      </c>
      <c r="F187" s="12" t="s">
        <v>35</v>
      </c>
      <c r="G187" s="12" t="s">
        <v>35</v>
      </c>
      <c r="H187" s="12" t="s">
        <v>35</v>
      </c>
      <c r="I187" s="12" t="s">
        <v>35</v>
      </c>
      <c r="J187" s="13" t="s">
        <v>35</v>
      </c>
      <c r="K187" s="184" t="s">
        <v>35</v>
      </c>
      <c r="L187" s="26" t="s">
        <v>35</v>
      </c>
      <c r="M187" s="22"/>
      <c r="N187" s="29">
        <v>37.42</v>
      </c>
      <c r="O187" s="13">
        <v>26.5</v>
      </c>
      <c r="P187" s="13">
        <v>11.88</v>
      </c>
      <c r="Q187" s="13">
        <v>20.36</v>
      </c>
      <c r="R187" s="13"/>
      <c r="S187" s="13"/>
      <c r="T187" s="13">
        <v>417</v>
      </c>
      <c r="U187" s="13">
        <v>10.08</v>
      </c>
      <c r="V187" s="13">
        <v>3.5</v>
      </c>
      <c r="W187" s="184">
        <v>2.14</v>
      </c>
      <c r="X187" s="37">
        <v>9.91</v>
      </c>
      <c r="Y187" s="22"/>
      <c r="Z187" s="38" t="s">
        <v>35</v>
      </c>
      <c r="AA187" s="13" t="s">
        <v>35</v>
      </c>
      <c r="AB187" s="13" t="s">
        <v>35</v>
      </c>
      <c r="AC187" s="13" t="s">
        <v>35</v>
      </c>
      <c r="AD187" s="13" t="s">
        <v>35</v>
      </c>
      <c r="AE187" s="13" t="s">
        <v>35</v>
      </c>
      <c r="AF187" s="13" t="s">
        <v>35</v>
      </c>
      <c r="AG187" s="184" t="s">
        <v>35</v>
      </c>
      <c r="AH187" s="45" t="s">
        <v>35</v>
      </c>
    </row>
    <row r="188" spans="1:34">
      <c r="A188" s="14">
        <f t="shared" si="76"/>
        <v>46129</v>
      </c>
      <c r="B188" s="11" t="s">
        <v>35</v>
      </c>
      <c r="C188" s="13" t="s">
        <v>35</v>
      </c>
      <c r="D188" s="12" t="s">
        <v>35</v>
      </c>
      <c r="E188" s="12" t="s">
        <v>35</v>
      </c>
      <c r="F188" s="13" t="s">
        <v>35</v>
      </c>
      <c r="G188" s="12" t="s">
        <v>35</v>
      </c>
      <c r="H188" s="12" t="s">
        <v>35</v>
      </c>
      <c r="I188" s="12" t="s">
        <v>35</v>
      </c>
      <c r="J188" s="13" t="s">
        <v>35</v>
      </c>
      <c r="K188" s="184" t="s">
        <v>35</v>
      </c>
      <c r="L188" s="26" t="s">
        <v>35</v>
      </c>
      <c r="M188" s="22"/>
      <c r="N188" s="29" t="s">
        <v>35</v>
      </c>
      <c r="O188" s="13" t="s">
        <v>35</v>
      </c>
      <c r="P188" s="13" t="s">
        <v>35</v>
      </c>
      <c r="Q188" s="13" t="s">
        <v>35</v>
      </c>
      <c r="R188" s="13" t="s">
        <v>35</v>
      </c>
      <c r="S188" s="13" t="s">
        <v>35</v>
      </c>
      <c r="T188" s="13" t="s">
        <v>35</v>
      </c>
      <c r="U188" s="13" t="s">
        <v>35</v>
      </c>
      <c r="V188" s="13" t="s">
        <v>35</v>
      </c>
      <c r="W188" s="184" t="s">
        <v>35</v>
      </c>
      <c r="X188" s="37" t="s">
        <v>35</v>
      </c>
      <c r="Y188" s="22"/>
      <c r="Z188" s="38" t="s">
        <v>35</v>
      </c>
      <c r="AA188" s="13" t="s">
        <v>35</v>
      </c>
      <c r="AB188" s="13" t="s">
        <v>35</v>
      </c>
      <c r="AC188" s="13" t="s">
        <v>35</v>
      </c>
      <c r="AD188" s="13" t="s">
        <v>35</v>
      </c>
      <c r="AE188" s="13" t="s">
        <v>35</v>
      </c>
      <c r="AF188" s="13" t="s">
        <v>35</v>
      </c>
      <c r="AG188" s="184" t="s">
        <v>35</v>
      </c>
      <c r="AH188" s="45" t="s">
        <v>35</v>
      </c>
    </row>
    <row r="189" spans="1:34">
      <c r="A189" s="14">
        <f t="shared" si="76"/>
        <v>46130</v>
      </c>
      <c r="B189" s="11" t="s">
        <v>35</v>
      </c>
      <c r="C189" s="13" t="s">
        <v>35</v>
      </c>
      <c r="D189" s="12" t="s">
        <v>35</v>
      </c>
      <c r="E189" s="12" t="s">
        <v>35</v>
      </c>
      <c r="F189" s="13" t="s">
        <v>35</v>
      </c>
      <c r="G189" s="12" t="s">
        <v>35</v>
      </c>
      <c r="H189" s="12" t="s">
        <v>35</v>
      </c>
      <c r="I189" s="12" t="s">
        <v>35</v>
      </c>
      <c r="J189" s="13" t="s">
        <v>35</v>
      </c>
      <c r="K189" s="184" t="s">
        <v>35</v>
      </c>
      <c r="L189" s="26" t="s">
        <v>35</v>
      </c>
      <c r="M189" s="22"/>
      <c r="N189" s="29" t="s">
        <v>35</v>
      </c>
      <c r="O189" s="13" t="s">
        <v>35</v>
      </c>
      <c r="P189" s="13" t="s">
        <v>35</v>
      </c>
      <c r="Q189" s="13" t="s">
        <v>35</v>
      </c>
      <c r="R189" s="13" t="s">
        <v>35</v>
      </c>
      <c r="S189" s="13" t="s">
        <v>35</v>
      </c>
      <c r="T189" s="13" t="s">
        <v>35</v>
      </c>
      <c r="U189" s="13" t="s">
        <v>35</v>
      </c>
      <c r="V189" s="13" t="s">
        <v>35</v>
      </c>
      <c r="W189" s="184" t="s">
        <v>35</v>
      </c>
      <c r="X189" s="37" t="s">
        <v>35</v>
      </c>
      <c r="Y189" s="22"/>
      <c r="Z189" s="38">
        <v>11.75</v>
      </c>
      <c r="AA189" s="13">
        <v>21.97</v>
      </c>
      <c r="AB189" s="13"/>
      <c r="AC189" s="13"/>
      <c r="AD189" s="36">
        <v>467</v>
      </c>
      <c r="AE189" s="13">
        <v>9.68</v>
      </c>
      <c r="AF189" s="13">
        <v>1.5</v>
      </c>
      <c r="AG189" s="184">
        <v>2.2599999999999998</v>
      </c>
      <c r="AH189" s="37">
        <v>11.06</v>
      </c>
    </row>
    <row r="190" spans="1:34">
      <c r="A190" s="14">
        <f t="shared" si="76"/>
        <v>46131</v>
      </c>
      <c r="B190" s="38">
        <v>38.51</v>
      </c>
      <c r="C190" s="13">
        <v>27</v>
      </c>
      <c r="D190" s="12">
        <v>10.68</v>
      </c>
      <c r="E190" s="12"/>
      <c r="F190" s="13"/>
      <c r="G190" s="12"/>
      <c r="H190" s="12">
        <v>408</v>
      </c>
      <c r="I190" s="12">
        <v>11.96</v>
      </c>
      <c r="J190" s="13">
        <v>16</v>
      </c>
      <c r="K190" s="184">
        <v>2.06</v>
      </c>
      <c r="L190" s="26">
        <v>9.99</v>
      </c>
      <c r="M190" s="22"/>
      <c r="N190" s="29" t="s">
        <v>35</v>
      </c>
      <c r="O190" s="13" t="s">
        <v>35</v>
      </c>
      <c r="P190" s="13" t="s">
        <v>35</v>
      </c>
      <c r="Q190" s="13" t="s">
        <v>35</v>
      </c>
      <c r="R190" s="13" t="s">
        <v>35</v>
      </c>
      <c r="S190" s="13" t="s">
        <v>35</v>
      </c>
      <c r="T190" s="13" t="s">
        <v>35</v>
      </c>
      <c r="U190" s="13" t="s">
        <v>35</v>
      </c>
      <c r="V190" s="13" t="s">
        <v>35</v>
      </c>
      <c r="W190" s="184" t="s">
        <v>35</v>
      </c>
      <c r="X190" s="37" t="s">
        <v>35</v>
      </c>
      <c r="Y190" s="22"/>
      <c r="Z190" s="38" t="s">
        <v>35</v>
      </c>
      <c r="AA190" s="13" t="s">
        <v>35</v>
      </c>
      <c r="AB190" s="13" t="s">
        <v>35</v>
      </c>
      <c r="AC190" s="13" t="s">
        <v>35</v>
      </c>
      <c r="AD190" s="36" t="s">
        <v>35</v>
      </c>
      <c r="AE190" s="13" t="s">
        <v>35</v>
      </c>
      <c r="AF190" s="13" t="s">
        <v>35</v>
      </c>
      <c r="AG190" s="184" t="s">
        <v>35</v>
      </c>
      <c r="AH190" s="37" t="s">
        <v>35</v>
      </c>
    </row>
    <row r="191" spans="1:34">
      <c r="A191" s="14">
        <f t="shared" si="76"/>
        <v>46132</v>
      </c>
      <c r="B191" s="38" t="s">
        <v>35</v>
      </c>
      <c r="C191" s="13" t="s">
        <v>35</v>
      </c>
      <c r="D191" s="12" t="s">
        <v>35</v>
      </c>
      <c r="E191" s="12" t="s">
        <v>35</v>
      </c>
      <c r="F191" s="13" t="s">
        <v>35</v>
      </c>
      <c r="G191" s="12" t="s">
        <v>35</v>
      </c>
      <c r="H191" s="12" t="s">
        <v>35</v>
      </c>
      <c r="I191" s="13" t="s">
        <v>35</v>
      </c>
      <c r="J191" s="13" t="s">
        <v>35</v>
      </c>
      <c r="K191" s="184" t="s">
        <v>35</v>
      </c>
      <c r="L191" s="26" t="s">
        <v>35</v>
      </c>
      <c r="M191" s="22"/>
      <c r="N191" s="29" t="s">
        <v>35</v>
      </c>
      <c r="O191" s="13" t="s">
        <v>35</v>
      </c>
      <c r="P191" s="13" t="s">
        <v>35</v>
      </c>
      <c r="Q191" s="13" t="s">
        <v>35</v>
      </c>
      <c r="R191" s="13" t="s">
        <v>35</v>
      </c>
      <c r="S191" s="13" t="s">
        <v>35</v>
      </c>
      <c r="T191" s="13" t="s">
        <v>35</v>
      </c>
      <c r="U191" s="13" t="s">
        <v>35</v>
      </c>
      <c r="V191" s="13" t="s">
        <v>35</v>
      </c>
      <c r="W191" s="184" t="s">
        <v>35</v>
      </c>
      <c r="X191" s="37" t="s">
        <v>35</v>
      </c>
      <c r="Y191" s="22"/>
      <c r="Z191" s="38" t="s">
        <v>35</v>
      </c>
      <c r="AA191" s="13" t="s">
        <v>35</v>
      </c>
      <c r="AB191" s="13" t="s">
        <v>35</v>
      </c>
      <c r="AC191" s="13" t="s">
        <v>35</v>
      </c>
      <c r="AD191" s="36" t="s">
        <v>35</v>
      </c>
      <c r="AE191" s="13" t="s">
        <v>35</v>
      </c>
      <c r="AF191" s="13" t="s">
        <v>35</v>
      </c>
      <c r="AG191" s="184" t="s">
        <v>35</v>
      </c>
      <c r="AH191" s="37" t="s">
        <v>35</v>
      </c>
    </row>
    <row r="192" spans="1:34">
      <c r="A192" s="14">
        <f t="shared" si="76"/>
        <v>46133</v>
      </c>
      <c r="B192" s="38"/>
      <c r="C192" s="13"/>
      <c r="D192" s="12"/>
      <c r="E192" s="12"/>
      <c r="F192" s="13"/>
      <c r="G192" s="13"/>
      <c r="H192" s="36"/>
      <c r="I192" s="12"/>
      <c r="J192" s="13"/>
      <c r="K192" s="184"/>
      <c r="L192" s="26"/>
      <c r="M192" s="22"/>
      <c r="N192" s="29"/>
      <c r="O192" s="13"/>
      <c r="P192" s="13"/>
      <c r="Q192" s="13"/>
      <c r="R192" s="13"/>
      <c r="S192" s="13"/>
      <c r="T192" s="13"/>
      <c r="U192" s="13"/>
      <c r="V192" s="13"/>
      <c r="W192" s="184"/>
      <c r="X192" s="37"/>
      <c r="Y192" s="22"/>
      <c r="Z192" s="38"/>
      <c r="AA192" s="13"/>
      <c r="AB192" s="13"/>
      <c r="AC192" s="13"/>
      <c r="AD192" s="36"/>
      <c r="AE192" s="13"/>
      <c r="AF192" s="13"/>
      <c r="AG192" s="184"/>
      <c r="AH192" s="37"/>
    </row>
    <row r="193" spans="1:34">
      <c r="A193" s="14">
        <f t="shared" si="76"/>
        <v>46134</v>
      </c>
      <c r="B193" s="38"/>
      <c r="C193" s="13"/>
      <c r="D193" s="12"/>
      <c r="E193" s="12"/>
      <c r="F193" s="13"/>
      <c r="G193" s="12"/>
      <c r="H193" s="12"/>
      <c r="I193" s="13"/>
      <c r="J193" s="13"/>
      <c r="K193" s="184"/>
      <c r="L193" s="26"/>
      <c r="M193" s="22"/>
      <c r="N193" s="29"/>
      <c r="O193" s="13"/>
      <c r="P193" s="13"/>
      <c r="Q193" s="13"/>
      <c r="R193" s="13"/>
      <c r="S193" s="13"/>
      <c r="T193" s="13"/>
      <c r="U193" s="13"/>
      <c r="V193" s="13"/>
      <c r="W193" s="184"/>
      <c r="X193" s="37"/>
      <c r="Y193" s="22"/>
      <c r="Z193" s="38"/>
      <c r="AA193" s="13"/>
      <c r="AB193" s="13"/>
      <c r="AC193" s="13"/>
      <c r="AD193" s="36"/>
      <c r="AE193" s="13"/>
      <c r="AF193" s="13"/>
      <c r="AG193" s="184"/>
      <c r="AH193" s="37"/>
    </row>
    <row r="194" spans="1:34">
      <c r="A194" s="14">
        <f t="shared" si="76"/>
        <v>46135</v>
      </c>
      <c r="B194" s="38"/>
      <c r="C194" s="13"/>
      <c r="D194" s="12"/>
      <c r="E194" s="12"/>
      <c r="F194" s="13"/>
      <c r="G194" s="12"/>
      <c r="H194" s="12"/>
      <c r="I194" s="12"/>
      <c r="J194" s="13"/>
      <c r="K194" s="184"/>
      <c r="L194" s="26"/>
      <c r="M194" s="22"/>
      <c r="N194" s="29"/>
      <c r="O194" s="13"/>
      <c r="P194" s="13"/>
      <c r="Q194" s="13"/>
      <c r="R194" s="13"/>
      <c r="S194" s="13"/>
      <c r="T194" s="13"/>
      <c r="U194" s="13"/>
      <c r="V194" s="13"/>
      <c r="W194" s="184"/>
      <c r="X194" s="37"/>
      <c r="Y194" s="22"/>
      <c r="Z194" s="38"/>
      <c r="AA194" s="13"/>
      <c r="AB194" s="13"/>
      <c r="AC194" s="13"/>
      <c r="AD194" s="36"/>
      <c r="AE194" s="13"/>
      <c r="AF194" s="13"/>
      <c r="AG194" s="184"/>
      <c r="AH194" s="37"/>
    </row>
    <row r="195" spans="1:34">
      <c r="A195" s="14">
        <f t="shared" si="76"/>
        <v>46136</v>
      </c>
      <c r="B195" s="38"/>
      <c r="C195" s="13"/>
      <c r="D195" s="13"/>
      <c r="E195" s="13"/>
      <c r="F195" s="13"/>
      <c r="G195" s="12"/>
      <c r="H195" s="12"/>
      <c r="I195" s="13"/>
      <c r="J195" s="13"/>
      <c r="K195" s="184"/>
      <c r="L195" s="26"/>
      <c r="M195" s="22"/>
      <c r="N195" s="29"/>
      <c r="O195" s="13"/>
      <c r="P195" s="13"/>
      <c r="Q195" s="13"/>
      <c r="R195" s="13"/>
      <c r="S195" s="13"/>
      <c r="T195" s="13"/>
      <c r="U195" s="13"/>
      <c r="V195" s="13"/>
      <c r="W195" s="184"/>
      <c r="X195" s="37"/>
      <c r="Y195" s="22"/>
      <c r="Z195" s="38"/>
      <c r="AA195" s="13"/>
      <c r="AB195" s="13"/>
      <c r="AC195" s="13"/>
      <c r="AD195" s="36"/>
      <c r="AE195" s="13"/>
      <c r="AF195" s="13"/>
      <c r="AG195" s="184"/>
      <c r="AH195" s="37"/>
    </row>
    <row r="196" spans="1:34">
      <c r="A196" s="14">
        <f t="shared" si="76"/>
        <v>46137</v>
      </c>
      <c r="B196" s="38"/>
      <c r="C196" s="13"/>
      <c r="D196" s="13"/>
      <c r="E196" s="13"/>
      <c r="F196" s="13"/>
      <c r="G196" s="13"/>
      <c r="H196" s="36"/>
      <c r="I196" s="13"/>
      <c r="J196" s="13"/>
      <c r="K196" s="184"/>
      <c r="L196" s="37"/>
      <c r="M196" s="22"/>
      <c r="N196" s="29"/>
      <c r="O196" s="13"/>
      <c r="P196" s="13"/>
      <c r="Q196" s="13"/>
      <c r="R196" s="13"/>
      <c r="S196" s="13"/>
      <c r="T196" s="13"/>
      <c r="U196" s="13"/>
      <c r="V196" s="13"/>
      <c r="W196" s="184"/>
      <c r="X196" s="37"/>
      <c r="Y196" s="22"/>
      <c r="Z196" s="38"/>
      <c r="AA196" s="13"/>
      <c r="AB196" s="13"/>
      <c r="AC196" s="13"/>
      <c r="AD196" s="36"/>
      <c r="AE196" s="13"/>
      <c r="AF196" s="13"/>
      <c r="AG196" s="184"/>
      <c r="AH196" s="37"/>
    </row>
    <row r="197" spans="1:34">
      <c r="A197" s="14">
        <f t="shared" si="76"/>
        <v>46138</v>
      </c>
      <c r="B197" s="11"/>
      <c r="C197" s="12"/>
      <c r="D197" s="12"/>
      <c r="E197" s="12"/>
      <c r="F197" s="12"/>
      <c r="G197" s="12"/>
      <c r="H197" s="12"/>
      <c r="I197" s="12"/>
      <c r="J197" s="13"/>
      <c r="K197" s="184"/>
      <c r="L197" s="26"/>
      <c r="M197" s="22"/>
      <c r="N197" s="29"/>
      <c r="O197" s="13"/>
      <c r="P197" s="13"/>
      <c r="Q197" s="13"/>
      <c r="R197" s="13"/>
      <c r="S197" s="13"/>
      <c r="T197" s="13"/>
      <c r="U197" s="13"/>
      <c r="V197" s="13"/>
      <c r="W197" s="184"/>
      <c r="X197" s="37"/>
      <c r="Y197" s="22"/>
      <c r="Z197" s="38"/>
      <c r="AA197" s="13"/>
      <c r="AB197" s="13"/>
      <c r="AC197" s="13"/>
      <c r="AD197" s="36"/>
      <c r="AE197" s="13"/>
      <c r="AF197" s="13"/>
      <c r="AG197" s="184"/>
      <c r="AH197" s="37"/>
    </row>
    <row r="198" spans="1:34">
      <c r="A198" s="14">
        <f t="shared" si="76"/>
        <v>46139</v>
      </c>
      <c r="B198" s="38"/>
      <c r="C198" s="13"/>
      <c r="D198" s="13"/>
      <c r="E198" s="13"/>
      <c r="F198" s="13"/>
      <c r="G198" s="13"/>
      <c r="H198" s="36"/>
      <c r="I198" s="13"/>
      <c r="J198" s="13"/>
      <c r="K198" s="184"/>
      <c r="L198" s="26"/>
      <c r="M198" s="22"/>
      <c r="N198" s="29"/>
      <c r="O198" s="13"/>
      <c r="P198" s="13"/>
      <c r="Q198" s="13"/>
      <c r="R198" s="13"/>
      <c r="S198" s="13"/>
      <c r="T198" s="13"/>
      <c r="U198" s="13"/>
      <c r="V198" s="13"/>
      <c r="W198" s="184"/>
      <c r="X198" s="37"/>
      <c r="Y198" s="22"/>
      <c r="Z198" s="38"/>
      <c r="AA198" s="13"/>
      <c r="AB198" s="13"/>
      <c r="AC198" s="13"/>
      <c r="AD198" s="36"/>
      <c r="AE198" s="13"/>
      <c r="AF198" s="13"/>
      <c r="AG198" s="184"/>
      <c r="AH198" s="37"/>
    </row>
    <row r="199" spans="1:34">
      <c r="A199" s="14">
        <f t="shared" si="76"/>
        <v>46140</v>
      </c>
      <c r="B199" s="38"/>
      <c r="C199" s="13"/>
      <c r="D199" s="13"/>
      <c r="E199" s="13"/>
      <c r="F199" s="13"/>
      <c r="G199" s="12"/>
      <c r="H199" s="36"/>
      <c r="I199" s="13"/>
      <c r="J199" s="13"/>
      <c r="K199" s="184"/>
      <c r="L199" s="26"/>
      <c r="M199" s="22"/>
      <c r="N199" s="29"/>
      <c r="O199" s="13"/>
      <c r="P199" s="13"/>
      <c r="Q199" s="13"/>
      <c r="R199" s="13"/>
      <c r="S199" s="13"/>
      <c r="T199" s="13"/>
      <c r="U199" s="13"/>
      <c r="V199" s="13"/>
      <c r="W199" s="184"/>
      <c r="X199" s="37"/>
      <c r="Y199" s="22"/>
      <c r="Z199" s="38"/>
      <c r="AA199" s="13"/>
      <c r="AB199" s="13"/>
      <c r="AC199" s="13"/>
      <c r="AD199" s="36"/>
      <c r="AE199" s="13"/>
      <c r="AF199" s="13"/>
      <c r="AG199" s="184"/>
      <c r="AH199" s="37"/>
    </row>
    <row r="200" spans="1:34">
      <c r="A200" s="14">
        <f t="shared" si="76"/>
        <v>46141</v>
      </c>
      <c r="B200" s="38"/>
      <c r="C200" s="13"/>
      <c r="D200" s="13"/>
      <c r="E200" s="13"/>
      <c r="F200" s="13"/>
      <c r="G200" s="12"/>
      <c r="H200" s="36"/>
      <c r="I200" s="13"/>
      <c r="J200" s="13"/>
      <c r="K200" s="184"/>
      <c r="L200" s="26"/>
      <c r="M200" s="22"/>
      <c r="N200" s="29"/>
      <c r="O200" s="13"/>
      <c r="P200" s="13"/>
      <c r="Q200" s="13"/>
      <c r="R200" s="13"/>
      <c r="S200" s="13"/>
      <c r="T200" s="13"/>
      <c r="U200" s="13"/>
      <c r="V200" s="13"/>
      <c r="W200" s="184"/>
      <c r="X200" s="37"/>
      <c r="Y200" s="22"/>
      <c r="Z200" s="38"/>
      <c r="AA200" s="13"/>
      <c r="AB200" s="13"/>
      <c r="AC200" s="13"/>
      <c r="AD200" s="36"/>
      <c r="AE200" s="13"/>
      <c r="AF200" s="13"/>
      <c r="AG200" s="184"/>
      <c r="AH200" s="37"/>
    </row>
    <row r="201" spans="1:34">
      <c r="A201" s="14">
        <f t="shared" si="76"/>
        <v>46142</v>
      </c>
      <c r="B201" s="38"/>
      <c r="C201" s="13"/>
      <c r="D201" s="13"/>
      <c r="E201" s="13"/>
      <c r="F201" s="13"/>
      <c r="G201" s="12"/>
      <c r="H201" s="36"/>
      <c r="I201" s="13"/>
      <c r="J201" s="13"/>
      <c r="K201" s="184"/>
      <c r="L201" s="26"/>
      <c r="M201" s="22"/>
      <c r="N201" s="29"/>
      <c r="O201" s="13"/>
      <c r="P201" s="13"/>
      <c r="Q201" s="13"/>
      <c r="R201" s="13"/>
      <c r="S201" s="13"/>
      <c r="T201" s="13"/>
      <c r="U201" s="13"/>
      <c r="V201" s="13"/>
      <c r="W201" s="184"/>
      <c r="X201" s="37"/>
      <c r="Y201" s="22"/>
      <c r="Z201" s="38"/>
      <c r="AA201" s="13"/>
      <c r="AB201" s="13"/>
      <c r="AC201" s="13"/>
      <c r="AD201" s="36"/>
      <c r="AE201" s="13"/>
      <c r="AF201" s="13"/>
      <c r="AG201" s="184"/>
      <c r="AH201" s="37"/>
    </row>
    <row r="202" spans="1:34" ht="15.75" thickBot="1">
      <c r="A202" s="14">
        <f t="shared" si="76"/>
        <v>46143</v>
      </c>
      <c r="B202" s="11"/>
      <c r="C202" s="13"/>
      <c r="D202" s="13"/>
      <c r="E202" s="13"/>
      <c r="F202" s="13"/>
      <c r="G202" s="12"/>
      <c r="H202" s="36"/>
      <c r="I202" s="13"/>
      <c r="J202" s="13"/>
      <c r="K202" s="184"/>
      <c r="L202" s="26"/>
      <c r="M202" s="22"/>
      <c r="N202" s="29"/>
      <c r="O202" s="13"/>
      <c r="P202" s="13"/>
      <c r="Q202" s="13"/>
      <c r="R202" s="13"/>
      <c r="S202" s="13"/>
      <c r="T202" s="13"/>
      <c r="U202" s="13"/>
      <c r="V202" s="13"/>
      <c r="W202" s="184"/>
      <c r="X202" s="37"/>
      <c r="Y202" s="22"/>
      <c r="Z202" s="38"/>
      <c r="AA202" s="13"/>
      <c r="AB202" s="13"/>
      <c r="AC202" s="13"/>
      <c r="AD202" s="36"/>
      <c r="AE202" s="13"/>
      <c r="AF202" s="13"/>
      <c r="AG202" s="184"/>
      <c r="AH202" s="37"/>
    </row>
    <row r="203" spans="1:34">
      <c r="A203" s="16" t="s">
        <v>31</v>
      </c>
      <c r="B203" s="17">
        <f>MIN(B171:B202)</f>
        <v>35.57</v>
      </c>
      <c r="C203" s="17">
        <f>MIN(C171:C202)</f>
        <v>25</v>
      </c>
      <c r="D203" s="17">
        <f t="shared" ref="D203:L203" si="77">MIN(D171:D202)</f>
        <v>10.5</v>
      </c>
      <c r="E203" s="17">
        <f t="shared" si="77"/>
        <v>19.91</v>
      </c>
      <c r="F203" s="17">
        <f t="shared" si="77"/>
        <v>31.3</v>
      </c>
      <c r="G203" s="17">
        <f t="shared" si="77"/>
        <v>0</v>
      </c>
      <c r="H203" s="17">
        <f t="shared" si="77"/>
        <v>384</v>
      </c>
      <c r="I203" s="17">
        <f t="shared" si="77"/>
        <v>11.16</v>
      </c>
      <c r="J203" s="17">
        <f t="shared" si="77"/>
        <v>0.5</v>
      </c>
      <c r="K203" s="17">
        <f t="shared" si="77"/>
        <v>2.06</v>
      </c>
      <c r="L203" s="30">
        <f t="shared" si="77"/>
        <v>7.22</v>
      </c>
      <c r="M203" s="22"/>
      <c r="N203" s="17">
        <f>MIN(N171:N202)</f>
        <v>34.659999999999997</v>
      </c>
      <c r="O203" s="17">
        <f>MIN(O171:O202)</f>
        <v>26</v>
      </c>
      <c r="P203" s="17">
        <f t="shared" ref="P203:X203" si="78">MIN(P171:P202)</f>
        <v>8.42</v>
      </c>
      <c r="Q203" s="17">
        <f t="shared" si="78"/>
        <v>16.48</v>
      </c>
      <c r="R203" s="17">
        <f t="shared" si="78"/>
        <v>28.99</v>
      </c>
      <c r="S203" s="17">
        <f t="shared" si="78"/>
        <v>0</v>
      </c>
      <c r="T203" s="17">
        <f t="shared" si="78"/>
        <v>368</v>
      </c>
      <c r="U203" s="17">
        <f t="shared" si="78"/>
        <v>10.06</v>
      </c>
      <c r="V203" s="17">
        <f t="shared" si="78"/>
        <v>3.5</v>
      </c>
      <c r="W203" s="17">
        <f t="shared" si="78"/>
        <v>1.96</v>
      </c>
      <c r="X203" s="30">
        <f t="shared" si="78"/>
        <v>8.4700000000000006</v>
      </c>
      <c r="Z203" s="40">
        <f t="shared" ref="Z203:AH203" si="79">MIN(Z171:Z202)</f>
        <v>8.86</v>
      </c>
      <c r="AA203" s="17">
        <f t="shared" si="79"/>
        <v>18.34</v>
      </c>
      <c r="AB203" s="17">
        <f t="shared" si="79"/>
        <v>31.55</v>
      </c>
      <c r="AC203" s="17">
        <f t="shared" si="79"/>
        <v>0</v>
      </c>
      <c r="AD203" s="17">
        <f t="shared" si="79"/>
        <v>354</v>
      </c>
      <c r="AE203" s="17">
        <f t="shared" si="79"/>
        <v>9.08</v>
      </c>
      <c r="AF203" s="17">
        <f t="shared" si="79"/>
        <v>0.5</v>
      </c>
      <c r="AG203" s="17">
        <f t="shared" si="79"/>
        <v>1.89</v>
      </c>
      <c r="AH203" s="30">
        <f t="shared" si="79"/>
        <v>7.15</v>
      </c>
    </row>
    <row r="204" spans="1:34">
      <c r="A204" s="18" t="s">
        <v>33</v>
      </c>
      <c r="B204" s="19">
        <f>MAX(B171:B202)</f>
        <v>38.51</v>
      </c>
      <c r="C204" s="19">
        <f>MAX(C171:C202)</f>
        <v>27</v>
      </c>
      <c r="D204" s="19">
        <f t="shared" ref="D204:L204" si="80">MAX(D171:D202)</f>
        <v>10.68</v>
      </c>
      <c r="E204" s="19">
        <f t="shared" si="80"/>
        <v>21.58</v>
      </c>
      <c r="F204" s="19">
        <f t="shared" si="80"/>
        <v>36.44</v>
      </c>
      <c r="G204" s="19">
        <f t="shared" si="80"/>
        <v>0</v>
      </c>
      <c r="H204" s="19">
        <f t="shared" si="80"/>
        <v>417</v>
      </c>
      <c r="I204" s="19">
        <f t="shared" si="80"/>
        <v>12.2</v>
      </c>
      <c r="J204" s="19">
        <f t="shared" si="80"/>
        <v>16</v>
      </c>
      <c r="K204" s="19">
        <f t="shared" si="80"/>
        <v>2.52</v>
      </c>
      <c r="L204" s="31">
        <f t="shared" si="80"/>
        <v>9.99</v>
      </c>
      <c r="M204" s="22"/>
      <c r="N204" s="19">
        <f>MAX(N171:N202)</f>
        <v>37.979999999999997</v>
      </c>
      <c r="O204" s="19">
        <f>MAX(O171:O202)</f>
        <v>29.23</v>
      </c>
      <c r="P204" s="19">
        <f t="shared" ref="P204:X204" si="81">MAX(P171:P202)</f>
        <v>11.88</v>
      </c>
      <c r="Q204" s="19">
        <f t="shared" si="81"/>
        <v>20.89</v>
      </c>
      <c r="R204" s="19">
        <f t="shared" si="81"/>
        <v>29.44</v>
      </c>
      <c r="S204" s="19">
        <f t="shared" si="81"/>
        <v>0</v>
      </c>
      <c r="T204" s="19">
        <f t="shared" si="81"/>
        <v>417</v>
      </c>
      <c r="U204" s="19">
        <f t="shared" si="81"/>
        <v>16.239999999999998</v>
      </c>
      <c r="V204" s="19">
        <f t="shared" si="81"/>
        <v>35</v>
      </c>
      <c r="W204" s="19">
        <f t="shared" si="81"/>
        <v>2.14</v>
      </c>
      <c r="X204" s="31">
        <f t="shared" si="81"/>
        <v>9.91</v>
      </c>
      <c r="Z204" s="41">
        <f t="shared" ref="Z204:AH204" si="82">MAX(Z171:Z202)</f>
        <v>11.98</v>
      </c>
      <c r="AA204" s="19">
        <f t="shared" si="82"/>
        <v>22.85</v>
      </c>
      <c r="AB204" s="19">
        <f t="shared" si="82"/>
        <v>36.130000000000003</v>
      </c>
      <c r="AC204" s="19">
        <f t="shared" si="82"/>
        <v>0</v>
      </c>
      <c r="AD204" s="19">
        <f t="shared" si="82"/>
        <v>467</v>
      </c>
      <c r="AE204" s="19">
        <f t="shared" si="82"/>
        <v>13.08</v>
      </c>
      <c r="AF204" s="19">
        <f t="shared" si="82"/>
        <v>6.5</v>
      </c>
      <c r="AG204" s="19">
        <f t="shared" si="82"/>
        <v>2.7</v>
      </c>
      <c r="AH204" s="31">
        <f t="shared" si="82"/>
        <v>11.06</v>
      </c>
    </row>
    <row r="205" spans="1:34">
      <c r="A205" s="18" t="s">
        <v>36</v>
      </c>
      <c r="B205" s="19">
        <f t="shared" ref="B205:L205" si="83">AVERAGE(B171:B202)</f>
        <v>37.304999999999993</v>
      </c>
      <c r="C205" s="19">
        <f t="shared" si="83"/>
        <v>26.247499999999999</v>
      </c>
      <c r="D205" s="19">
        <f t="shared" si="83"/>
        <v>10.592499999999999</v>
      </c>
      <c r="E205" s="19">
        <f t="shared" si="83"/>
        <v>20.58</v>
      </c>
      <c r="F205" s="19">
        <f t="shared" si="83"/>
        <v>33.130000000000003</v>
      </c>
      <c r="G205" s="19" t="e">
        <f t="shared" si="83"/>
        <v>#DIV/0!</v>
      </c>
      <c r="H205" s="19">
        <f t="shared" si="83"/>
        <v>404</v>
      </c>
      <c r="I205" s="19">
        <f t="shared" si="83"/>
        <v>11.85</v>
      </c>
      <c r="J205" s="19">
        <f t="shared" si="83"/>
        <v>7.375</v>
      </c>
      <c r="K205" s="19">
        <f t="shared" si="83"/>
        <v>2.3000000000000003</v>
      </c>
      <c r="L205" s="31">
        <f t="shared" si="83"/>
        <v>8.2449999999999992</v>
      </c>
      <c r="M205" s="22"/>
      <c r="N205" s="19">
        <f t="shared" ref="N205:X205" si="84">AVERAGE(N171:N202)</f>
        <v>36.287499999999994</v>
      </c>
      <c r="O205" s="19">
        <f t="shared" si="84"/>
        <v>27.182500000000001</v>
      </c>
      <c r="P205" s="19">
        <f t="shared" si="84"/>
        <v>10.192500000000001</v>
      </c>
      <c r="Q205" s="19">
        <f t="shared" si="84"/>
        <v>18.927500000000002</v>
      </c>
      <c r="R205" s="19">
        <f t="shared" si="84"/>
        <v>29.215</v>
      </c>
      <c r="S205" s="19" t="e">
        <f t="shared" si="84"/>
        <v>#DIV/0!</v>
      </c>
      <c r="T205" s="19">
        <f t="shared" si="84"/>
        <v>392</v>
      </c>
      <c r="U205" s="19">
        <f t="shared" si="84"/>
        <v>12.805</v>
      </c>
      <c r="V205" s="19">
        <f t="shared" si="84"/>
        <v>20.25</v>
      </c>
      <c r="W205" s="19">
        <f t="shared" si="84"/>
        <v>2.0699999999999998</v>
      </c>
      <c r="X205" s="31">
        <f t="shared" si="84"/>
        <v>9.1050000000000004</v>
      </c>
      <c r="Z205" s="41">
        <f>AVERAGE(Z171:Z202)</f>
        <v>10.469090909090909</v>
      </c>
      <c r="AA205" s="19">
        <f t="shared" ref="AA205:AH205" si="85">AVERAGE(AA171:AA202)</f>
        <v>20.185454545454547</v>
      </c>
      <c r="AB205" s="19">
        <f t="shared" si="85"/>
        <v>32.960000000000008</v>
      </c>
      <c r="AC205" s="19" t="e">
        <f t="shared" si="85"/>
        <v>#DIV/0!</v>
      </c>
      <c r="AD205" s="19">
        <f t="shared" si="85"/>
        <v>396.54545454545456</v>
      </c>
      <c r="AE205" s="19">
        <f t="shared" si="85"/>
        <v>10.923636363636364</v>
      </c>
      <c r="AF205" s="19">
        <f t="shared" si="85"/>
        <v>1.2</v>
      </c>
      <c r="AG205" s="19">
        <f t="shared" si="85"/>
        <v>2.2487272727272729</v>
      </c>
      <c r="AH205" s="31">
        <f t="shared" si="85"/>
        <v>8.5736363636363659</v>
      </c>
    </row>
    <row r="206" spans="1:34" ht="15.75" thickBot="1">
      <c r="A206" s="20" t="s">
        <v>130</v>
      </c>
      <c r="B206" s="21">
        <f>STDEV(B171:B202)</f>
        <v>1.3290221969553393</v>
      </c>
      <c r="C206" s="21">
        <f t="shared" ref="C206:L206" si="86">STDEV(C171:C202)</f>
        <v>0.95831014464698927</v>
      </c>
      <c r="D206" s="21">
        <f t="shared" si="86"/>
        <v>7.6321687612368502E-2</v>
      </c>
      <c r="E206" s="21">
        <f t="shared" si="86"/>
        <v>0.88255311454891949</v>
      </c>
      <c r="F206" s="21">
        <f t="shared" si="86"/>
        <v>2.8718809167512487</v>
      </c>
      <c r="G206" s="21" t="e">
        <f t="shared" si="86"/>
        <v>#DIV/0!</v>
      </c>
      <c r="H206" s="21">
        <f t="shared" si="86"/>
        <v>14.071247279470288</v>
      </c>
      <c r="I206" s="21">
        <f t="shared" si="86"/>
        <v>0.47031904065219371</v>
      </c>
      <c r="J206" s="21">
        <f t="shared" si="86"/>
        <v>8.066132902450839</v>
      </c>
      <c r="K206" s="21">
        <f t="shared" si="86"/>
        <v>0.1944222209522358</v>
      </c>
      <c r="L206" s="32">
        <f t="shared" si="86"/>
        <v>1.2560918225459077</v>
      </c>
      <c r="M206" s="22"/>
      <c r="N206" s="21">
        <f>STDEV(N171:N202)</f>
        <v>1.6562885215646053</v>
      </c>
      <c r="O206" s="21">
        <f t="shared" ref="O206:X206" si="87">STDEV(O171:O202)</f>
        <v>1.4247426668232646</v>
      </c>
      <c r="P206" s="21">
        <f t="shared" si="87"/>
        <v>1.6261893083730019</v>
      </c>
      <c r="Q206" s="21">
        <f t="shared" si="87"/>
        <v>2.0649031454283757</v>
      </c>
      <c r="R206" s="21">
        <f t="shared" si="87"/>
        <v>0.31819805153394842</v>
      </c>
      <c r="S206" s="21" t="e">
        <f t="shared" si="87"/>
        <v>#DIV/0!</v>
      </c>
      <c r="T206" s="21">
        <f t="shared" si="87"/>
        <v>27.166155414412248</v>
      </c>
      <c r="U206" s="21">
        <f t="shared" si="87"/>
        <v>3.209418431221875</v>
      </c>
      <c r="V206" s="21">
        <f t="shared" si="87"/>
        <v>13.604533558095012</v>
      </c>
      <c r="W206" s="21">
        <f t="shared" si="87"/>
        <v>8.0829037686547672E-2</v>
      </c>
      <c r="X206" s="32">
        <f t="shared" si="87"/>
        <v>0.66455498894623699</v>
      </c>
      <c r="Z206" s="42">
        <f>STDEV(Z171:Z202)</f>
        <v>1.2079772725134768</v>
      </c>
      <c r="AA206" s="21">
        <f t="shared" ref="AA206:AH206" si="88">STDEV(AA171:AA202)</f>
        <v>1.2989177313160649</v>
      </c>
      <c r="AB206" s="21">
        <f t="shared" si="88"/>
        <v>1.3851895177195075</v>
      </c>
      <c r="AC206" s="21" t="e">
        <f t="shared" si="88"/>
        <v>#DIV/0!</v>
      </c>
      <c r="AD206" s="21">
        <f t="shared" si="88"/>
        <v>30.725766504234311</v>
      </c>
      <c r="AE206" s="21">
        <f t="shared" si="88"/>
        <v>1.488752986410264</v>
      </c>
      <c r="AF206" s="21">
        <f t="shared" si="88"/>
        <v>1.8885620632287059</v>
      </c>
      <c r="AG206" s="21">
        <f t="shared" si="88"/>
        <v>0.20046400719784638</v>
      </c>
      <c r="AH206" s="32">
        <f t="shared" si="88"/>
        <v>1.0769333565942891</v>
      </c>
    </row>
    <row r="207" spans="1:34" ht="15.75" thickBot="1"/>
    <row r="208" spans="1:34" ht="15.75" thickBot="1">
      <c r="A208" s="1"/>
      <c r="B208" s="338" t="s">
        <v>0</v>
      </c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339"/>
      <c r="N208" s="339"/>
      <c r="O208" s="339"/>
      <c r="P208" s="339"/>
      <c r="Q208" s="339"/>
      <c r="R208" s="339"/>
      <c r="S208" s="339"/>
      <c r="T208" s="339"/>
      <c r="U208" s="339"/>
      <c r="V208" s="339"/>
      <c r="W208" s="339"/>
      <c r="X208" s="339"/>
      <c r="Y208" s="339"/>
      <c r="Z208" s="339"/>
      <c r="AA208" s="339"/>
      <c r="AB208" s="339"/>
      <c r="AC208" s="339"/>
      <c r="AD208" s="340"/>
      <c r="AE208" s="340"/>
      <c r="AF208" s="340"/>
      <c r="AG208" s="340"/>
      <c r="AH208" s="340"/>
    </row>
    <row r="209" spans="1:34" ht="15.75" thickBot="1">
      <c r="A209" s="1"/>
      <c r="B209" s="338" t="s">
        <v>160</v>
      </c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  <c r="AA209" s="339"/>
      <c r="AB209" s="339"/>
      <c r="AC209" s="339"/>
      <c r="AD209" s="4"/>
      <c r="AE209" s="43" t="s">
        <v>107</v>
      </c>
      <c r="AF209" s="341">
        <v>46143</v>
      </c>
      <c r="AG209" s="342"/>
      <c r="AH209" s="343"/>
    </row>
    <row r="210" spans="1:34">
      <c r="A210" s="344"/>
      <c r="B210" s="346" t="s">
        <v>132</v>
      </c>
      <c r="C210" s="347"/>
      <c r="D210" s="347"/>
      <c r="E210" s="347"/>
      <c r="F210" s="347"/>
      <c r="G210" s="347"/>
      <c r="H210" s="347"/>
      <c r="I210" s="347"/>
      <c r="J210" s="347"/>
      <c r="K210" s="348"/>
      <c r="L210" s="349"/>
      <c r="M210" s="22"/>
      <c r="N210" s="350" t="s">
        <v>133</v>
      </c>
      <c r="O210" s="347"/>
      <c r="P210" s="347"/>
      <c r="Q210" s="347"/>
      <c r="R210" s="347"/>
      <c r="S210" s="347"/>
      <c r="T210" s="347"/>
      <c r="U210" s="347"/>
      <c r="V210" s="347"/>
      <c r="W210" s="348"/>
      <c r="X210" s="349"/>
      <c r="Y210" s="22"/>
      <c r="Z210" s="346" t="s">
        <v>134</v>
      </c>
      <c r="AA210" s="347"/>
      <c r="AB210" s="347"/>
      <c r="AC210" s="347"/>
      <c r="AD210" s="347"/>
      <c r="AE210" s="347"/>
      <c r="AF210" s="347"/>
      <c r="AG210" s="348"/>
      <c r="AH210" s="349"/>
    </row>
    <row r="211" spans="1:34" ht="25.5">
      <c r="A211" s="345"/>
      <c r="B211" s="359" t="s">
        <v>135</v>
      </c>
      <c r="C211" s="361" t="s">
        <v>136</v>
      </c>
      <c r="D211" s="5" t="s">
        <v>137</v>
      </c>
      <c r="E211" s="5" t="s">
        <v>138</v>
      </c>
      <c r="F211" s="5" t="s">
        <v>139</v>
      </c>
      <c r="G211" s="5" t="s">
        <v>140</v>
      </c>
      <c r="H211" s="5" t="s">
        <v>141</v>
      </c>
      <c r="I211" s="5" t="s">
        <v>142</v>
      </c>
      <c r="J211" s="5" t="s">
        <v>143</v>
      </c>
      <c r="K211" s="181" t="s">
        <v>81</v>
      </c>
      <c r="L211" s="23" t="s">
        <v>144</v>
      </c>
      <c r="M211" s="22"/>
      <c r="N211" s="355" t="s">
        <v>135</v>
      </c>
      <c r="O211" s="357" t="s">
        <v>136</v>
      </c>
      <c r="P211" s="5" t="s">
        <v>137</v>
      </c>
      <c r="Q211" s="5" t="s">
        <v>138</v>
      </c>
      <c r="R211" s="5" t="s">
        <v>139</v>
      </c>
      <c r="S211" s="5" t="s">
        <v>140</v>
      </c>
      <c r="T211" s="5" t="s">
        <v>141</v>
      </c>
      <c r="U211" s="5" t="s">
        <v>142</v>
      </c>
      <c r="V211" s="5" t="s">
        <v>143</v>
      </c>
      <c r="W211" s="181" t="s">
        <v>81</v>
      </c>
      <c r="X211" s="23" t="s">
        <v>144</v>
      </c>
      <c r="Y211" s="22"/>
      <c r="Z211" s="33" t="s">
        <v>137</v>
      </c>
      <c r="AA211" s="5" t="s">
        <v>138</v>
      </c>
      <c r="AB211" s="5" t="s">
        <v>139</v>
      </c>
      <c r="AC211" s="5" t="s">
        <v>140</v>
      </c>
      <c r="AD211" s="5" t="s">
        <v>141</v>
      </c>
      <c r="AE211" s="5" t="s">
        <v>142</v>
      </c>
      <c r="AF211" s="5" t="s">
        <v>143</v>
      </c>
      <c r="AG211" s="181" t="s">
        <v>81</v>
      </c>
      <c r="AH211" s="23" t="s">
        <v>144</v>
      </c>
    </row>
    <row r="212" spans="1:34">
      <c r="A212" s="6" t="s">
        <v>145</v>
      </c>
      <c r="B212" s="360"/>
      <c r="C212" s="362"/>
      <c r="D212" s="5" t="s">
        <v>128</v>
      </c>
      <c r="E212" s="5" t="s">
        <v>128</v>
      </c>
      <c r="F212" s="5" t="s">
        <v>128</v>
      </c>
      <c r="G212" s="5" t="s">
        <v>128</v>
      </c>
      <c r="H212" s="5" t="s">
        <v>125</v>
      </c>
      <c r="I212" s="5" t="s">
        <v>146</v>
      </c>
      <c r="J212" s="5" t="s">
        <v>127</v>
      </c>
      <c r="K212" s="181" t="s">
        <v>53</v>
      </c>
      <c r="L212" s="23" t="s">
        <v>53</v>
      </c>
      <c r="M212" s="22"/>
      <c r="N212" s="356"/>
      <c r="O212" s="358"/>
      <c r="P212" s="5" t="s">
        <v>128</v>
      </c>
      <c r="Q212" s="5" t="s">
        <v>128</v>
      </c>
      <c r="R212" s="5" t="s">
        <v>128</v>
      </c>
      <c r="S212" s="5" t="s">
        <v>128</v>
      </c>
      <c r="T212" s="5" t="s">
        <v>125</v>
      </c>
      <c r="U212" s="5" t="s">
        <v>146</v>
      </c>
      <c r="V212" s="5" t="s">
        <v>127</v>
      </c>
      <c r="W212" s="181" t="s">
        <v>53</v>
      </c>
      <c r="X212" s="23" t="s">
        <v>53</v>
      </c>
      <c r="Y212" s="22"/>
      <c r="Z212" s="33" t="s">
        <v>128</v>
      </c>
      <c r="AA212" s="5" t="s">
        <v>128</v>
      </c>
      <c r="AB212" s="5" t="s">
        <v>128</v>
      </c>
      <c r="AC212" s="5" t="s">
        <v>128</v>
      </c>
      <c r="AD212" s="5" t="s">
        <v>125</v>
      </c>
      <c r="AE212" s="5" t="s">
        <v>146</v>
      </c>
      <c r="AF212" s="5" t="s">
        <v>127</v>
      </c>
      <c r="AG212" s="181" t="s">
        <v>53</v>
      </c>
      <c r="AH212" s="23" t="s">
        <v>53</v>
      </c>
    </row>
    <row r="213" spans="1:34" ht="39" thickBot="1">
      <c r="A213" s="7" t="s">
        <v>147</v>
      </c>
      <c r="B213" s="8" t="s">
        <v>148</v>
      </c>
      <c r="C213" s="9" t="s">
        <v>149</v>
      </c>
      <c r="D213" s="9" t="s">
        <v>161</v>
      </c>
      <c r="E213" s="9" t="s">
        <v>162</v>
      </c>
      <c r="F213" s="9" t="s">
        <v>163</v>
      </c>
      <c r="G213" s="9" t="s">
        <v>164</v>
      </c>
      <c r="H213" s="9" t="s">
        <v>154</v>
      </c>
      <c r="I213" s="24" t="s">
        <v>155</v>
      </c>
      <c r="J213" s="24" t="s">
        <v>156</v>
      </c>
      <c r="K213" s="24" t="s">
        <v>179</v>
      </c>
      <c r="L213" s="25" t="s">
        <v>157</v>
      </c>
      <c r="M213" s="22"/>
      <c r="N213" s="8" t="s">
        <v>148</v>
      </c>
      <c r="O213" s="9" t="s">
        <v>149</v>
      </c>
      <c r="P213" s="9" t="s">
        <v>161</v>
      </c>
      <c r="Q213" s="9" t="s">
        <v>162</v>
      </c>
      <c r="R213" s="9" t="s">
        <v>163</v>
      </c>
      <c r="S213" s="9" t="s">
        <v>164</v>
      </c>
      <c r="T213" s="9" t="s">
        <v>154</v>
      </c>
      <c r="U213" s="24" t="s">
        <v>155</v>
      </c>
      <c r="V213" s="24" t="s">
        <v>156</v>
      </c>
      <c r="W213" s="24" t="s">
        <v>179</v>
      </c>
      <c r="X213" s="25" t="s">
        <v>157</v>
      </c>
      <c r="Y213" s="22"/>
      <c r="Z213" s="8" t="s">
        <v>161</v>
      </c>
      <c r="AA213" s="9" t="s">
        <v>162</v>
      </c>
      <c r="AB213" s="9" t="s">
        <v>163</v>
      </c>
      <c r="AC213" s="9" t="s">
        <v>164</v>
      </c>
      <c r="AD213" s="9" t="s">
        <v>154</v>
      </c>
      <c r="AE213" s="9" t="s">
        <v>155</v>
      </c>
      <c r="AF213" s="9" t="s">
        <v>156</v>
      </c>
      <c r="AG213" s="24" t="s">
        <v>179</v>
      </c>
      <c r="AH213" s="23" t="s">
        <v>157</v>
      </c>
    </row>
    <row r="214" spans="1:34">
      <c r="A214" s="10">
        <f>AF209+0</f>
        <v>46143</v>
      </c>
      <c r="B214" s="11"/>
      <c r="C214" s="54"/>
      <c r="D214" s="54"/>
      <c r="E214" s="54"/>
      <c r="F214" s="54"/>
      <c r="G214" s="54"/>
      <c r="H214" s="54"/>
      <c r="I214" s="54"/>
      <c r="J214" s="54"/>
      <c r="K214" s="183"/>
      <c r="L214" s="55"/>
      <c r="M214" s="22"/>
      <c r="N214" s="29"/>
      <c r="O214" s="13"/>
      <c r="P214" s="13"/>
      <c r="Q214" s="13"/>
      <c r="R214" s="13"/>
      <c r="S214" s="13"/>
      <c r="T214" s="13"/>
      <c r="U214" s="13"/>
      <c r="V214" s="13"/>
      <c r="W214" s="183"/>
      <c r="X214" s="37"/>
      <c r="Y214" s="22"/>
      <c r="Z214" s="148"/>
      <c r="AA214" s="63"/>
      <c r="AB214" s="63"/>
      <c r="AC214" s="63"/>
      <c r="AD214" s="63"/>
      <c r="AE214" s="63"/>
      <c r="AF214" s="63"/>
      <c r="AG214" s="183"/>
      <c r="AH214" s="149"/>
    </row>
    <row r="215" spans="1:34">
      <c r="A215" s="14">
        <f t="shared" ref="A215:A244" si="89">A214+1</f>
        <v>46144</v>
      </c>
      <c r="B215" s="11"/>
      <c r="C215" s="54"/>
      <c r="D215" s="54"/>
      <c r="E215" s="54"/>
      <c r="F215" s="54"/>
      <c r="G215" s="54"/>
      <c r="H215" s="54"/>
      <c r="I215" s="54"/>
      <c r="J215" s="54"/>
      <c r="K215" s="183"/>
      <c r="L215" s="55"/>
      <c r="M215" s="22"/>
      <c r="N215" s="29"/>
      <c r="O215" s="13"/>
      <c r="P215" s="13"/>
      <c r="Q215" s="13"/>
      <c r="R215" s="13"/>
      <c r="S215" s="13"/>
      <c r="T215" s="13"/>
      <c r="U215" s="13"/>
      <c r="V215" s="13"/>
      <c r="W215" s="183"/>
      <c r="X215" s="37"/>
      <c r="Y215" s="22"/>
      <c r="Z215" s="38"/>
      <c r="AA215" s="13"/>
      <c r="AB215" s="13"/>
      <c r="AC215" s="13"/>
      <c r="AD215" s="13"/>
      <c r="AE215" s="13"/>
      <c r="AF215" s="13"/>
      <c r="AG215" s="183"/>
      <c r="AH215" s="45"/>
    </row>
    <row r="216" spans="1:34">
      <c r="A216" s="14">
        <f t="shared" si="89"/>
        <v>46145</v>
      </c>
      <c r="B216" s="11"/>
      <c r="C216" s="12"/>
      <c r="D216" s="12"/>
      <c r="E216" s="12"/>
      <c r="F216" s="12"/>
      <c r="G216" s="12"/>
      <c r="H216" s="12"/>
      <c r="I216" s="13"/>
      <c r="J216" s="13"/>
      <c r="K216" s="184"/>
      <c r="L216" s="26"/>
      <c r="M216" s="22"/>
      <c r="N216" s="29"/>
      <c r="O216" s="13"/>
      <c r="P216" s="13"/>
      <c r="Q216" s="13"/>
      <c r="R216" s="13"/>
      <c r="S216" s="13"/>
      <c r="T216" s="13"/>
      <c r="U216" s="13"/>
      <c r="V216" s="13"/>
      <c r="W216" s="184"/>
      <c r="X216" s="37"/>
      <c r="Y216" s="22"/>
      <c r="Z216" s="38"/>
      <c r="AA216" s="13"/>
      <c r="AB216" s="13"/>
      <c r="AC216" s="13"/>
      <c r="AD216" s="13"/>
      <c r="AE216" s="13"/>
      <c r="AF216" s="13"/>
      <c r="AG216" s="184"/>
      <c r="AH216" s="45"/>
    </row>
    <row r="217" spans="1:34">
      <c r="A217" s="14">
        <f t="shared" si="89"/>
        <v>46146</v>
      </c>
      <c r="B217" s="11"/>
      <c r="C217" s="12"/>
      <c r="D217" s="12"/>
      <c r="E217" s="12"/>
      <c r="F217" s="12"/>
      <c r="G217" s="12"/>
      <c r="H217" s="12"/>
      <c r="I217" s="12"/>
      <c r="J217" s="13"/>
      <c r="K217" s="184"/>
      <c r="L217" s="26"/>
      <c r="M217" s="22"/>
      <c r="N217" s="29"/>
      <c r="O217" s="13"/>
      <c r="P217" s="13"/>
      <c r="Q217" s="13"/>
      <c r="R217" s="13"/>
      <c r="S217" s="13"/>
      <c r="T217" s="13"/>
      <c r="U217" s="13"/>
      <c r="V217" s="13"/>
      <c r="W217" s="184"/>
      <c r="X217" s="37"/>
      <c r="Y217" s="22"/>
      <c r="Z217" s="38"/>
      <c r="AA217" s="13"/>
      <c r="AB217" s="13"/>
      <c r="AC217" s="13"/>
      <c r="AD217" s="13"/>
      <c r="AE217" s="13"/>
      <c r="AF217" s="13"/>
      <c r="AG217" s="184"/>
      <c r="AH217" s="45"/>
    </row>
    <row r="218" spans="1:34">
      <c r="A218" s="14">
        <f t="shared" si="89"/>
        <v>46147</v>
      </c>
      <c r="B218" s="11"/>
      <c r="C218" s="12"/>
      <c r="D218" s="12"/>
      <c r="E218" s="12"/>
      <c r="F218" s="12"/>
      <c r="G218" s="12"/>
      <c r="H218" s="12"/>
      <c r="I218" s="12"/>
      <c r="J218" s="13"/>
      <c r="K218" s="184"/>
      <c r="L218" s="26"/>
      <c r="M218" s="22"/>
      <c r="N218" s="29"/>
      <c r="O218" s="13"/>
      <c r="P218" s="13"/>
      <c r="Q218" s="13"/>
      <c r="R218" s="13"/>
      <c r="S218" s="13"/>
      <c r="T218" s="13"/>
      <c r="U218" s="13"/>
      <c r="V218" s="13"/>
      <c r="W218" s="184"/>
      <c r="X218" s="37"/>
      <c r="Y218" s="22"/>
      <c r="Z218" s="38"/>
      <c r="AA218" s="13"/>
      <c r="AB218" s="13"/>
      <c r="AC218" s="13"/>
      <c r="AD218" s="36"/>
      <c r="AE218" s="13"/>
      <c r="AF218" s="13"/>
      <c r="AG218" s="184"/>
      <c r="AH218" s="46"/>
    </row>
    <row r="219" spans="1:34">
      <c r="A219" s="14">
        <f t="shared" si="89"/>
        <v>46148</v>
      </c>
      <c r="B219" s="11"/>
      <c r="C219" s="12"/>
      <c r="D219" s="12"/>
      <c r="E219" s="12"/>
      <c r="F219" s="12"/>
      <c r="G219" s="12"/>
      <c r="H219" s="12"/>
      <c r="I219" s="12"/>
      <c r="J219" s="13"/>
      <c r="K219" s="184"/>
      <c r="L219" s="26"/>
      <c r="M219" s="22"/>
      <c r="N219" s="29"/>
      <c r="O219" s="13"/>
      <c r="P219" s="13"/>
      <c r="Q219" s="13"/>
      <c r="R219" s="13"/>
      <c r="S219" s="13"/>
      <c r="T219" s="13"/>
      <c r="U219" s="13"/>
      <c r="V219" s="13"/>
      <c r="W219" s="184"/>
      <c r="X219" s="37"/>
      <c r="Y219" s="22"/>
      <c r="Z219" s="38"/>
      <c r="AA219" s="13"/>
      <c r="AB219" s="13"/>
      <c r="AC219" s="13"/>
      <c r="AD219" s="13"/>
      <c r="AE219" s="13"/>
      <c r="AF219" s="13"/>
      <c r="AG219" s="184"/>
      <c r="AH219" s="45"/>
    </row>
    <row r="220" spans="1:34">
      <c r="A220" s="14">
        <f t="shared" si="89"/>
        <v>46149</v>
      </c>
      <c r="B220" s="11"/>
      <c r="C220" s="12"/>
      <c r="D220" s="12"/>
      <c r="E220" s="12"/>
      <c r="F220" s="12"/>
      <c r="G220" s="12"/>
      <c r="H220" s="12"/>
      <c r="I220" s="12"/>
      <c r="J220" s="13"/>
      <c r="K220" s="184"/>
      <c r="L220" s="26"/>
      <c r="M220" s="22"/>
      <c r="N220" s="29"/>
      <c r="O220" s="13"/>
      <c r="P220" s="13"/>
      <c r="Q220" s="13"/>
      <c r="R220" s="13"/>
      <c r="S220" s="13"/>
      <c r="T220" s="13"/>
      <c r="U220" s="13"/>
      <c r="V220" s="13"/>
      <c r="W220" s="184"/>
      <c r="X220" s="37"/>
      <c r="Y220" s="22"/>
      <c r="Z220" s="38"/>
      <c r="AA220" s="13"/>
      <c r="AB220" s="13"/>
      <c r="AC220" s="13"/>
      <c r="AD220" s="13"/>
      <c r="AE220" s="13"/>
      <c r="AF220" s="13"/>
      <c r="AG220" s="184"/>
      <c r="AH220" s="45"/>
    </row>
    <row r="221" spans="1:34">
      <c r="A221" s="14">
        <f t="shared" si="89"/>
        <v>46150</v>
      </c>
      <c r="B221" s="11"/>
      <c r="C221" s="12"/>
      <c r="D221" s="12"/>
      <c r="E221" s="12"/>
      <c r="F221" s="12"/>
      <c r="G221" s="12"/>
      <c r="H221" s="12"/>
      <c r="I221" s="12"/>
      <c r="J221" s="13"/>
      <c r="K221" s="184"/>
      <c r="L221" s="26"/>
      <c r="M221" s="22"/>
      <c r="N221" s="29"/>
      <c r="O221" s="13"/>
      <c r="P221" s="13"/>
      <c r="Q221" s="13"/>
      <c r="R221" s="13"/>
      <c r="S221" s="13"/>
      <c r="T221" s="13"/>
      <c r="U221" s="13"/>
      <c r="V221" s="13"/>
      <c r="W221" s="184"/>
      <c r="X221" s="37"/>
      <c r="Y221" s="22"/>
      <c r="Z221" s="38"/>
      <c r="AA221" s="13"/>
      <c r="AB221" s="13"/>
      <c r="AC221" s="13"/>
      <c r="AD221" s="13"/>
      <c r="AE221" s="13"/>
      <c r="AF221" s="13"/>
      <c r="AG221" s="184"/>
      <c r="AH221" s="45"/>
    </row>
    <row r="222" spans="1:34">
      <c r="A222" s="14">
        <f t="shared" si="89"/>
        <v>46151</v>
      </c>
      <c r="B222" s="11"/>
      <c r="C222" s="12"/>
      <c r="D222" s="12"/>
      <c r="E222" s="12"/>
      <c r="F222" s="12"/>
      <c r="G222" s="12"/>
      <c r="H222" s="12"/>
      <c r="I222" s="12"/>
      <c r="J222" s="13"/>
      <c r="K222" s="184"/>
      <c r="L222" s="26"/>
      <c r="M222" s="22"/>
      <c r="N222" s="29"/>
      <c r="O222" s="13"/>
      <c r="P222" s="13"/>
      <c r="Q222" s="13"/>
      <c r="R222" s="13"/>
      <c r="S222" s="13"/>
      <c r="T222" s="13"/>
      <c r="U222" s="13"/>
      <c r="V222" s="13"/>
      <c r="W222" s="184"/>
      <c r="X222" s="37"/>
      <c r="Y222" s="22"/>
      <c r="Z222" s="38"/>
      <c r="AA222" s="13"/>
      <c r="AB222" s="13"/>
      <c r="AC222" s="13"/>
      <c r="AD222" s="13"/>
      <c r="AE222" s="13"/>
      <c r="AF222" s="13"/>
      <c r="AG222" s="184"/>
      <c r="AH222" s="45"/>
    </row>
    <row r="223" spans="1:34">
      <c r="A223" s="14">
        <f t="shared" si="89"/>
        <v>46152</v>
      </c>
      <c r="B223" s="11"/>
      <c r="C223" s="12"/>
      <c r="D223" s="12"/>
      <c r="E223" s="12"/>
      <c r="F223" s="12"/>
      <c r="G223" s="12"/>
      <c r="H223" s="12"/>
      <c r="I223" s="12"/>
      <c r="J223" s="13"/>
      <c r="K223" s="184"/>
      <c r="L223" s="26"/>
      <c r="M223" s="22"/>
      <c r="N223" s="29"/>
      <c r="O223" s="13"/>
      <c r="P223" s="13"/>
      <c r="Q223" s="13"/>
      <c r="R223" s="13"/>
      <c r="S223" s="13"/>
      <c r="T223" s="13"/>
      <c r="U223" s="13"/>
      <c r="V223" s="13"/>
      <c r="W223" s="184"/>
      <c r="X223" s="37"/>
      <c r="Y223" s="22"/>
      <c r="Z223" s="38"/>
      <c r="AA223" s="13"/>
      <c r="AB223" s="13"/>
      <c r="AC223" s="13"/>
      <c r="AD223" s="13"/>
      <c r="AE223" s="13"/>
      <c r="AF223" s="13"/>
      <c r="AG223" s="184"/>
      <c r="AH223" s="45"/>
    </row>
    <row r="224" spans="1:34">
      <c r="A224" s="14">
        <f t="shared" si="89"/>
        <v>46153</v>
      </c>
      <c r="B224" s="11"/>
      <c r="C224" s="12"/>
      <c r="D224" s="12"/>
      <c r="E224" s="12"/>
      <c r="F224" s="12"/>
      <c r="G224" s="12"/>
      <c r="H224" s="12"/>
      <c r="I224" s="12"/>
      <c r="J224" s="13"/>
      <c r="K224" s="184"/>
      <c r="L224" s="26"/>
      <c r="M224" s="22"/>
      <c r="N224" s="29"/>
      <c r="O224" s="13"/>
      <c r="P224" s="13"/>
      <c r="Q224" s="13"/>
      <c r="R224" s="13"/>
      <c r="S224" s="13"/>
      <c r="T224" s="13"/>
      <c r="U224" s="13"/>
      <c r="V224" s="13"/>
      <c r="W224" s="184"/>
      <c r="X224" s="37"/>
      <c r="Y224" s="22"/>
      <c r="Z224" s="38"/>
      <c r="AA224" s="13"/>
      <c r="AB224" s="13"/>
      <c r="AC224" s="13"/>
      <c r="AD224" s="13"/>
      <c r="AE224" s="13"/>
      <c r="AF224" s="13"/>
      <c r="AG224" s="184"/>
      <c r="AH224" s="45"/>
    </row>
    <row r="225" spans="1:34">
      <c r="A225" s="14">
        <f t="shared" si="89"/>
        <v>46154</v>
      </c>
      <c r="B225" s="11"/>
      <c r="C225" s="12"/>
      <c r="D225" s="12"/>
      <c r="E225" s="12"/>
      <c r="F225" s="12"/>
      <c r="G225" s="12"/>
      <c r="H225" s="12"/>
      <c r="I225" s="12"/>
      <c r="J225" s="13"/>
      <c r="K225" s="184"/>
      <c r="L225" s="26"/>
      <c r="M225" s="22"/>
      <c r="N225" s="29"/>
      <c r="O225" s="13"/>
      <c r="P225" s="13"/>
      <c r="Q225" s="13"/>
      <c r="R225" s="13"/>
      <c r="S225" s="13"/>
      <c r="T225" s="13"/>
      <c r="U225" s="13"/>
      <c r="V225" s="13"/>
      <c r="W225" s="184"/>
      <c r="X225" s="37"/>
      <c r="Y225" s="22"/>
      <c r="Z225" s="38"/>
      <c r="AA225" s="13"/>
      <c r="AB225" s="13"/>
      <c r="AC225" s="13"/>
      <c r="AD225" s="36"/>
      <c r="AE225" s="13"/>
      <c r="AF225" s="13"/>
      <c r="AG225" s="184"/>
      <c r="AH225" s="45"/>
    </row>
    <row r="226" spans="1:34">
      <c r="A226" s="14">
        <f t="shared" si="89"/>
        <v>46155</v>
      </c>
      <c r="B226" s="11"/>
      <c r="C226" s="12"/>
      <c r="D226" s="12"/>
      <c r="E226" s="12"/>
      <c r="F226" s="12"/>
      <c r="G226" s="12"/>
      <c r="H226" s="12"/>
      <c r="I226" s="12"/>
      <c r="J226" s="13"/>
      <c r="K226" s="184"/>
      <c r="L226" s="26"/>
      <c r="M226" s="22"/>
      <c r="N226" s="29"/>
      <c r="O226" s="13"/>
      <c r="P226" s="13"/>
      <c r="Q226" s="13"/>
      <c r="R226" s="13"/>
      <c r="S226" s="13"/>
      <c r="T226" s="13"/>
      <c r="U226" s="13"/>
      <c r="V226" s="13"/>
      <c r="W226" s="184"/>
      <c r="X226" s="37"/>
      <c r="Y226" s="22"/>
      <c r="Z226" s="38"/>
      <c r="AA226" s="13"/>
      <c r="AB226" s="13"/>
      <c r="AC226" s="13"/>
      <c r="AD226" s="13"/>
      <c r="AE226" s="13"/>
      <c r="AF226" s="13"/>
      <c r="AG226" s="184"/>
      <c r="AH226" s="45"/>
    </row>
    <row r="227" spans="1:34">
      <c r="A227" s="14">
        <f t="shared" si="89"/>
        <v>46156</v>
      </c>
      <c r="B227" s="11"/>
      <c r="C227" s="13"/>
      <c r="D227" s="12"/>
      <c r="E227" s="12"/>
      <c r="F227" s="13"/>
      <c r="G227" s="12"/>
      <c r="H227" s="12"/>
      <c r="I227" s="13"/>
      <c r="J227" s="13"/>
      <c r="K227" s="184"/>
      <c r="L227" s="26"/>
      <c r="M227" s="22"/>
      <c r="N227" s="29"/>
      <c r="O227" s="13"/>
      <c r="P227" s="13"/>
      <c r="Q227" s="13"/>
      <c r="R227" s="13"/>
      <c r="S227" s="13"/>
      <c r="T227" s="13"/>
      <c r="U227" s="13"/>
      <c r="V227" s="13"/>
      <c r="W227" s="184"/>
      <c r="X227" s="37"/>
      <c r="Y227" s="22"/>
      <c r="Z227" s="38"/>
      <c r="AA227" s="13"/>
      <c r="AB227" s="13"/>
      <c r="AC227" s="13"/>
      <c r="AD227" s="13"/>
      <c r="AE227" s="13"/>
      <c r="AF227" s="13"/>
      <c r="AG227" s="184"/>
      <c r="AH227" s="45"/>
    </row>
    <row r="228" spans="1:34">
      <c r="A228" s="14">
        <f t="shared" si="89"/>
        <v>46157</v>
      </c>
      <c r="B228" s="11"/>
      <c r="C228" s="13"/>
      <c r="D228" s="12"/>
      <c r="E228" s="12"/>
      <c r="F228" s="13"/>
      <c r="G228" s="12"/>
      <c r="H228" s="12"/>
      <c r="I228" s="12"/>
      <c r="J228" s="13"/>
      <c r="K228" s="184"/>
      <c r="L228" s="26"/>
      <c r="M228" s="22"/>
      <c r="N228" s="29"/>
      <c r="O228" s="13"/>
      <c r="P228" s="13"/>
      <c r="Q228" s="13"/>
      <c r="R228" s="13"/>
      <c r="S228" s="13"/>
      <c r="T228" s="13"/>
      <c r="U228" s="13"/>
      <c r="V228" s="13"/>
      <c r="W228" s="184"/>
      <c r="X228" s="37"/>
      <c r="Y228" s="22"/>
      <c r="Z228" s="38"/>
      <c r="AA228" s="13"/>
      <c r="AB228" s="13"/>
      <c r="AC228" s="13"/>
      <c r="AD228" s="36"/>
      <c r="AE228" s="13"/>
      <c r="AF228" s="13"/>
      <c r="AG228" s="184"/>
      <c r="AH228" s="37"/>
    </row>
    <row r="229" spans="1:34">
      <c r="A229" s="14">
        <f t="shared" si="89"/>
        <v>46158</v>
      </c>
      <c r="B229" s="11"/>
      <c r="C229" s="13"/>
      <c r="D229" s="12"/>
      <c r="E229" s="12"/>
      <c r="F229" s="13"/>
      <c r="G229" s="12"/>
      <c r="H229" s="12"/>
      <c r="I229" s="12"/>
      <c r="J229" s="13"/>
      <c r="K229" s="184"/>
      <c r="L229" s="26"/>
      <c r="M229" s="22"/>
      <c r="N229" s="29"/>
      <c r="O229" s="13"/>
      <c r="P229" s="13"/>
      <c r="Q229" s="13"/>
      <c r="R229" s="13"/>
      <c r="S229" s="13"/>
      <c r="T229" s="13"/>
      <c r="U229" s="13"/>
      <c r="V229" s="13"/>
      <c r="W229" s="184"/>
      <c r="X229" s="37"/>
      <c r="Y229" s="22"/>
      <c r="Z229" s="38"/>
      <c r="AA229" s="13"/>
      <c r="AB229" s="13"/>
      <c r="AC229" s="13"/>
      <c r="AD229" s="36"/>
      <c r="AE229" s="13"/>
      <c r="AF229" s="13"/>
      <c r="AG229" s="184"/>
      <c r="AH229" s="37"/>
    </row>
    <row r="230" spans="1:34">
      <c r="A230" s="14">
        <f t="shared" si="89"/>
        <v>46159</v>
      </c>
      <c r="B230" s="11"/>
      <c r="C230" s="13"/>
      <c r="D230" s="12"/>
      <c r="E230" s="12"/>
      <c r="F230" s="13"/>
      <c r="G230" s="12"/>
      <c r="H230" s="12"/>
      <c r="I230" s="12"/>
      <c r="J230" s="13"/>
      <c r="K230" s="184"/>
      <c r="L230" s="26"/>
      <c r="M230" s="22"/>
      <c r="N230" s="29"/>
      <c r="O230" s="13"/>
      <c r="P230" s="13"/>
      <c r="Q230" s="13"/>
      <c r="R230" s="13"/>
      <c r="S230" s="13"/>
      <c r="T230" s="13"/>
      <c r="U230" s="13"/>
      <c r="V230" s="13"/>
      <c r="W230" s="184"/>
      <c r="X230" s="37"/>
      <c r="Y230" s="22"/>
      <c r="Z230" s="38"/>
      <c r="AA230" s="13"/>
      <c r="AB230" s="13"/>
      <c r="AC230" s="13"/>
      <c r="AD230" s="36"/>
      <c r="AE230" s="13"/>
      <c r="AF230" s="13"/>
      <c r="AG230" s="184"/>
      <c r="AH230" s="37"/>
    </row>
    <row r="231" spans="1:34">
      <c r="A231" s="14">
        <f t="shared" si="89"/>
        <v>46160</v>
      </c>
      <c r="B231" s="11"/>
      <c r="C231" s="13"/>
      <c r="D231" s="12"/>
      <c r="E231" s="12"/>
      <c r="F231" s="13"/>
      <c r="G231" s="12"/>
      <c r="H231" s="12"/>
      <c r="I231" s="12"/>
      <c r="J231" s="13"/>
      <c r="K231" s="184"/>
      <c r="L231" s="26"/>
      <c r="M231" s="22"/>
      <c r="N231" s="29"/>
      <c r="O231" s="13"/>
      <c r="P231" s="13"/>
      <c r="Q231" s="13"/>
      <c r="R231" s="13"/>
      <c r="S231" s="13"/>
      <c r="T231" s="13"/>
      <c r="U231" s="13"/>
      <c r="V231" s="13"/>
      <c r="W231" s="184"/>
      <c r="X231" s="37"/>
      <c r="Y231" s="22"/>
      <c r="Z231" s="38"/>
      <c r="AA231" s="13"/>
      <c r="AB231" s="13"/>
      <c r="AC231" s="13"/>
      <c r="AD231" s="36"/>
      <c r="AE231" s="13"/>
      <c r="AF231" s="13"/>
      <c r="AG231" s="184"/>
      <c r="AH231" s="37"/>
    </row>
    <row r="232" spans="1:34">
      <c r="A232" s="14">
        <f t="shared" si="89"/>
        <v>46161</v>
      </c>
      <c r="B232" s="38"/>
      <c r="C232" s="13"/>
      <c r="D232" s="12"/>
      <c r="E232" s="12"/>
      <c r="F232" s="13"/>
      <c r="G232" s="12"/>
      <c r="H232" s="12"/>
      <c r="I232" s="12"/>
      <c r="J232" s="13"/>
      <c r="K232" s="184"/>
      <c r="L232" s="26"/>
      <c r="M232" s="22"/>
      <c r="N232" s="29"/>
      <c r="O232" s="13"/>
      <c r="P232" s="13"/>
      <c r="Q232" s="13"/>
      <c r="R232" s="13"/>
      <c r="S232" s="13"/>
      <c r="T232" s="13"/>
      <c r="U232" s="13"/>
      <c r="V232" s="13"/>
      <c r="W232" s="184"/>
      <c r="X232" s="37"/>
      <c r="Y232" s="22"/>
      <c r="Z232" s="38"/>
      <c r="AA232" s="13"/>
      <c r="AB232" s="13"/>
      <c r="AC232" s="13"/>
      <c r="AD232" s="36"/>
      <c r="AE232" s="13"/>
      <c r="AF232" s="13"/>
      <c r="AG232" s="184"/>
      <c r="AH232" s="37"/>
    </row>
    <row r="233" spans="1:34">
      <c r="A233" s="14">
        <f t="shared" si="89"/>
        <v>46162</v>
      </c>
      <c r="B233" s="38"/>
      <c r="C233" s="13"/>
      <c r="D233" s="12"/>
      <c r="E233" s="12"/>
      <c r="F233" s="13"/>
      <c r="G233" s="12"/>
      <c r="H233" s="12"/>
      <c r="I233" s="13"/>
      <c r="J233" s="13"/>
      <c r="K233" s="184"/>
      <c r="L233" s="26"/>
      <c r="M233" s="22"/>
      <c r="N233" s="29"/>
      <c r="O233" s="13"/>
      <c r="P233" s="13"/>
      <c r="Q233" s="13"/>
      <c r="R233" s="13"/>
      <c r="S233" s="13"/>
      <c r="T233" s="13"/>
      <c r="U233" s="13"/>
      <c r="V233" s="13"/>
      <c r="W233" s="184"/>
      <c r="X233" s="37"/>
      <c r="Y233" s="22"/>
      <c r="Z233" s="38"/>
      <c r="AA233" s="13"/>
      <c r="AB233" s="13"/>
      <c r="AC233" s="13"/>
      <c r="AD233" s="36"/>
      <c r="AE233" s="13"/>
      <c r="AF233" s="13"/>
      <c r="AG233" s="184"/>
      <c r="AH233" s="37"/>
    </row>
    <row r="234" spans="1:34">
      <c r="A234" s="14">
        <f t="shared" si="89"/>
        <v>46163</v>
      </c>
      <c r="B234" s="38"/>
      <c r="C234" s="13"/>
      <c r="D234" s="12"/>
      <c r="E234" s="12"/>
      <c r="F234" s="13"/>
      <c r="G234" s="13"/>
      <c r="H234" s="36"/>
      <c r="I234" s="12"/>
      <c r="J234" s="13"/>
      <c r="K234" s="184"/>
      <c r="L234" s="26"/>
      <c r="M234" s="22"/>
      <c r="N234" s="29"/>
      <c r="O234" s="13"/>
      <c r="P234" s="13"/>
      <c r="Q234" s="13"/>
      <c r="R234" s="13"/>
      <c r="S234" s="13"/>
      <c r="T234" s="13"/>
      <c r="U234" s="13"/>
      <c r="V234" s="13"/>
      <c r="W234" s="184"/>
      <c r="X234" s="37"/>
      <c r="Y234" s="22"/>
      <c r="Z234" s="38"/>
      <c r="AA234" s="13"/>
      <c r="AB234" s="13"/>
      <c r="AC234" s="13"/>
      <c r="AD234" s="36"/>
      <c r="AE234" s="13"/>
      <c r="AF234" s="13"/>
      <c r="AG234" s="184"/>
      <c r="AH234" s="37"/>
    </row>
    <row r="235" spans="1:34">
      <c r="A235" s="14">
        <f t="shared" si="89"/>
        <v>46164</v>
      </c>
      <c r="B235" s="38"/>
      <c r="C235" s="13"/>
      <c r="D235" s="12"/>
      <c r="E235" s="12"/>
      <c r="F235" s="13"/>
      <c r="G235" s="12"/>
      <c r="H235" s="12"/>
      <c r="I235" s="13"/>
      <c r="J235" s="13"/>
      <c r="K235" s="184"/>
      <c r="L235" s="26"/>
      <c r="M235" s="22"/>
      <c r="N235" s="29"/>
      <c r="O235" s="13"/>
      <c r="P235" s="13"/>
      <c r="Q235" s="13"/>
      <c r="R235" s="13"/>
      <c r="S235" s="13"/>
      <c r="T235" s="13"/>
      <c r="U235" s="13"/>
      <c r="V235" s="13"/>
      <c r="W235" s="184"/>
      <c r="X235" s="37"/>
      <c r="Y235" s="22"/>
      <c r="Z235" s="38"/>
      <c r="AA235" s="13"/>
      <c r="AB235" s="13"/>
      <c r="AC235" s="13"/>
      <c r="AD235" s="36"/>
      <c r="AE235" s="13"/>
      <c r="AF235" s="13"/>
      <c r="AG235" s="184"/>
      <c r="AH235" s="37"/>
    </row>
    <row r="236" spans="1:34">
      <c r="A236" s="14">
        <f t="shared" si="89"/>
        <v>46165</v>
      </c>
      <c r="B236" s="38"/>
      <c r="C236" s="13"/>
      <c r="D236" s="12"/>
      <c r="E236" s="12"/>
      <c r="F236" s="13"/>
      <c r="G236" s="12"/>
      <c r="H236" s="12"/>
      <c r="I236" s="12"/>
      <c r="J236" s="13"/>
      <c r="K236" s="184"/>
      <c r="L236" s="26"/>
      <c r="M236" s="22"/>
      <c r="N236" s="29"/>
      <c r="O236" s="13"/>
      <c r="P236" s="13"/>
      <c r="Q236" s="13"/>
      <c r="R236" s="13"/>
      <c r="S236" s="13"/>
      <c r="T236" s="13"/>
      <c r="U236" s="13"/>
      <c r="V236" s="13"/>
      <c r="W236" s="184"/>
      <c r="X236" s="37"/>
      <c r="Y236" s="22"/>
      <c r="Z236" s="38"/>
      <c r="AA236" s="13"/>
      <c r="AB236" s="13"/>
      <c r="AC236" s="13"/>
      <c r="AD236" s="36"/>
      <c r="AE236" s="13"/>
      <c r="AF236" s="13"/>
      <c r="AG236" s="184"/>
      <c r="AH236" s="37"/>
    </row>
    <row r="237" spans="1:34">
      <c r="A237" s="14">
        <f t="shared" si="89"/>
        <v>46166</v>
      </c>
      <c r="B237" s="38"/>
      <c r="C237" s="13"/>
      <c r="D237" s="13"/>
      <c r="E237" s="13"/>
      <c r="F237" s="13"/>
      <c r="G237" s="12"/>
      <c r="H237" s="12"/>
      <c r="I237" s="13"/>
      <c r="J237" s="13"/>
      <c r="K237" s="184"/>
      <c r="L237" s="26"/>
      <c r="M237" s="22"/>
      <c r="N237" s="29"/>
      <c r="O237" s="13"/>
      <c r="P237" s="13"/>
      <c r="Q237" s="13"/>
      <c r="R237" s="13"/>
      <c r="S237" s="13"/>
      <c r="T237" s="13"/>
      <c r="U237" s="13"/>
      <c r="V237" s="13"/>
      <c r="W237" s="184"/>
      <c r="X237" s="37"/>
      <c r="Y237" s="22"/>
      <c r="Z237" s="38"/>
      <c r="AA237" s="13"/>
      <c r="AB237" s="13"/>
      <c r="AC237" s="13"/>
      <c r="AD237" s="36"/>
      <c r="AE237" s="13"/>
      <c r="AF237" s="13"/>
      <c r="AG237" s="184"/>
      <c r="AH237" s="37"/>
    </row>
    <row r="238" spans="1:34">
      <c r="A238" s="14">
        <f t="shared" si="89"/>
        <v>46167</v>
      </c>
      <c r="B238" s="38"/>
      <c r="C238" s="13"/>
      <c r="D238" s="13"/>
      <c r="E238" s="13"/>
      <c r="F238" s="13"/>
      <c r="G238" s="13"/>
      <c r="H238" s="36"/>
      <c r="I238" s="13"/>
      <c r="J238" s="13"/>
      <c r="K238" s="184"/>
      <c r="L238" s="37"/>
      <c r="M238" s="22"/>
      <c r="N238" s="29"/>
      <c r="O238" s="13"/>
      <c r="P238" s="13"/>
      <c r="Q238" s="13"/>
      <c r="R238" s="13"/>
      <c r="S238" s="13"/>
      <c r="T238" s="13"/>
      <c r="U238" s="13"/>
      <c r="V238" s="13"/>
      <c r="W238" s="184"/>
      <c r="X238" s="37"/>
      <c r="Y238" s="22"/>
      <c r="Z238" s="38"/>
      <c r="AA238" s="13"/>
      <c r="AB238" s="13"/>
      <c r="AC238" s="13"/>
      <c r="AD238" s="36"/>
      <c r="AE238" s="13"/>
      <c r="AF238" s="13"/>
      <c r="AG238" s="184"/>
      <c r="AH238" s="37"/>
    </row>
    <row r="239" spans="1:34">
      <c r="A239" s="14">
        <f t="shared" si="89"/>
        <v>46168</v>
      </c>
      <c r="B239" s="11"/>
      <c r="C239" s="12"/>
      <c r="D239" s="12"/>
      <c r="E239" s="12"/>
      <c r="F239" s="12"/>
      <c r="G239" s="12"/>
      <c r="H239" s="12"/>
      <c r="I239" s="12"/>
      <c r="J239" s="13"/>
      <c r="K239" s="184"/>
      <c r="L239" s="26"/>
      <c r="M239" s="22"/>
      <c r="N239" s="29"/>
      <c r="O239" s="13"/>
      <c r="P239" s="13"/>
      <c r="Q239" s="13"/>
      <c r="R239" s="13"/>
      <c r="S239" s="13"/>
      <c r="T239" s="13"/>
      <c r="U239" s="13"/>
      <c r="V239" s="13"/>
      <c r="W239" s="184"/>
      <c r="X239" s="37"/>
      <c r="Y239" s="22"/>
      <c r="Z239" s="38"/>
      <c r="AA239" s="13"/>
      <c r="AB239" s="13"/>
      <c r="AC239" s="13"/>
      <c r="AD239" s="36"/>
      <c r="AE239" s="13"/>
      <c r="AF239" s="13"/>
      <c r="AG239" s="184"/>
      <c r="AH239" s="37"/>
    </row>
    <row r="240" spans="1:34">
      <c r="A240" s="14">
        <f t="shared" si="89"/>
        <v>46169</v>
      </c>
      <c r="B240" s="38"/>
      <c r="C240" s="13"/>
      <c r="D240" s="13"/>
      <c r="E240" s="13"/>
      <c r="F240" s="13"/>
      <c r="G240" s="13"/>
      <c r="H240" s="36"/>
      <c r="I240" s="13"/>
      <c r="J240" s="13"/>
      <c r="K240" s="184"/>
      <c r="L240" s="26"/>
      <c r="M240" s="22"/>
      <c r="N240" s="29"/>
      <c r="O240" s="13"/>
      <c r="P240" s="13"/>
      <c r="Q240" s="13"/>
      <c r="R240" s="13"/>
      <c r="S240" s="13"/>
      <c r="T240" s="13"/>
      <c r="U240" s="13"/>
      <c r="V240" s="13"/>
      <c r="W240" s="184"/>
      <c r="X240" s="37"/>
      <c r="Y240" s="22"/>
      <c r="Z240" s="38"/>
      <c r="AA240" s="13"/>
      <c r="AB240" s="13"/>
      <c r="AC240" s="13"/>
      <c r="AD240" s="36"/>
      <c r="AE240" s="13"/>
      <c r="AF240" s="13"/>
      <c r="AG240" s="184"/>
      <c r="AH240" s="37"/>
    </row>
    <row r="241" spans="1:34">
      <c r="A241" s="14">
        <f t="shared" si="89"/>
        <v>46170</v>
      </c>
      <c r="B241" s="38"/>
      <c r="C241" s="13"/>
      <c r="D241" s="13"/>
      <c r="E241" s="13"/>
      <c r="F241" s="13"/>
      <c r="G241" s="12"/>
      <c r="H241" s="36"/>
      <c r="I241" s="13"/>
      <c r="J241" s="13"/>
      <c r="K241" s="184"/>
      <c r="L241" s="26"/>
      <c r="M241" s="22"/>
      <c r="N241" s="29"/>
      <c r="O241" s="13"/>
      <c r="P241" s="13"/>
      <c r="Q241" s="13"/>
      <c r="R241" s="13"/>
      <c r="S241" s="13"/>
      <c r="T241" s="13"/>
      <c r="U241" s="13"/>
      <c r="V241" s="13"/>
      <c r="W241" s="184"/>
      <c r="X241" s="37"/>
      <c r="Y241" s="22"/>
      <c r="Z241" s="38"/>
      <c r="AA241" s="13"/>
      <c r="AB241" s="13"/>
      <c r="AC241" s="13"/>
      <c r="AD241" s="36"/>
      <c r="AE241" s="13"/>
      <c r="AF241" s="13"/>
      <c r="AG241" s="184"/>
      <c r="AH241" s="37"/>
    </row>
    <row r="242" spans="1:34">
      <c r="A242" s="14">
        <f t="shared" si="89"/>
        <v>46171</v>
      </c>
      <c r="B242" s="38"/>
      <c r="C242" s="13"/>
      <c r="D242" s="13"/>
      <c r="E242" s="13"/>
      <c r="F242" s="13"/>
      <c r="G242" s="12"/>
      <c r="H242" s="36"/>
      <c r="I242" s="13"/>
      <c r="J242" s="13"/>
      <c r="K242" s="184"/>
      <c r="L242" s="26"/>
      <c r="M242" s="22"/>
      <c r="N242" s="29"/>
      <c r="O242" s="13"/>
      <c r="P242" s="13"/>
      <c r="Q242" s="13"/>
      <c r="R242" s="13"/>
      <c r="S242" s="13"/>
      <c r="T242" s="13"/>
      <c r="U242" s="13"/>
      <c r="V242" s="13"/>
      <c r="W242" s="184"/>
      <c r="X242" s="37"/>
      <c r="Y242" s="22"/>
      <c r="Z242" s="38"/>
      <c r="AA242" s="13"/>
      <c r="AB242" s="13"/>
      <c r="AC242" s="13"/>
      <c r="AD242" s="36"/>
      <c r="AE242" s="13"/>
      <c r="AF242" s="13"/>
      <c r="AG242" s="184"/>
      <c r="AH242" s="37"/>
    </row>
    <row r="243" spans="1:34">
      <c r="A243" s="14">
        <f t="shared" si="89"/>
        <v>46172</v>
      </c>
      <c r="B243" s="38"/>
      <c r="C243" s="13"/>
      <c r="D243" s="13"/>
      <c r="E243" s="13"/>
      <c r="F243" s="13"/>
      <c r="G243" s="12"/>
      <c r="H243" s="36"/>
      <c r="I243" s="13"/>
      <c r="J243" s="13"/>
      <c r="K243" s="184"/>
      <c r="L243" s="26"/>
      <c r="M243" s="22"/>
      <c r="N243" s="29"/>
      <c r="O243" s="13"/>
      <c r="P243" s="13"/>
      <c r="Q243" s="13"/>
      <c r="R243" s="13"/>
      <c r="S243" s="13"/>
      <c r="T243" s="13"/>
      <c r="U243" s="13"/>
      <c r="V243" s="13"/>
      <c r="W243" s="184"/>
      <c r="X243" s="37"/>
      <c r="Y243" s="22"/>
      <c r="Z243" s="38"/>
      <c r="AA243" s="13"/>
      <c r="AB243" s="13"/>
      <c r="AC243" s="13"/>
      <c r="AD243" s="36"/>
      <c r="AE243" s="13"/>
      <c r="AF243" s="13"/>
      <c r="AG243" s="184"/>
      <c r="AH243" s="37"/>
    </row>
    <row r="244" spans="1:34" ht="15.75" thickBot="1">
      <c r="A244" s="14">
        <f t="shared" si="89"/>
        <v>46173</v>
      </c>
      <c r="B244" s="11"/>
      <c r="C244" s="13"/>
      <c r="D244" s="13"/>
      <c r="E244" s="13"/>
      <c r="F244" s="13"/>
      <c r="G244" s="12"/>
      <c r="H244" s="36"/>
      <c r="I244" s="13"/>
      <c r="J244" s="13"/>
      <c r="K244" s="184"/>
      <c r="L244" s="26"/>
      <c r="M244" s="22"/>
      <c r="N244" s="29"/>
      <c r="O244" s="13"/>
      <c r="P244" s="13"/>
      <c r="Q244" s="13"/>
      <c r="R244" s="13"/>
      <c r="S244" s="13"/>
      <c r="T244" s="13"/>
      <c r="U244" s="13"/>
      <c r="V244" s="13"/>
      <c r="W244" s="184"/>
      <c r="X244" s="37"/>
      <c r="Y244" s="22"/>
      <c r="Z244" s="38"/>
      <c r="AA244" s="13"/>
      <c r="AB244" s="13"/>
      <c r="AC244" s="13"/>
      <c r="AD244" s="36"/>
      <c r="AE244" s="13"/>
      <c r="AF244" s="13"/>
      <c r="AG244" s="184"/>
      <c r="AH244" s="37"/>
    </row>
    <row r="245" spans="1:34">
      <c r="A245" s="16" t="s">
        <v>31</v>
      </c>
      <c r="B245" s="17">
        <f>MIN(B213:B244)</f>
        <v>0</v>
      </c>
      <c r="C245" s="17">
        <f>MIN(C213:C244)</f>
        <v>0</v>
      </c>
      <c r="D245" s="17">
        <f t="shared" ref="D245:L245" si="90">MIN(D213:D244)</f>
        <v>0</v>
      </c>
      <c r="E245" s="17">
        <f t="shared" si="90"/>
        <v>0</v>
      </c>
      <c r="F245" s="17">
        <f t="shared" si="90"/>
        <v>0</v>
      </c>
      <c r="G245" s="17">
        <f t="shared" si="90"/>
        <v>0</v>
      </c>
      <c r="H245" s="17">
        <f t="shared" si="90"/>
        <v>0</v>
      </c>
      <c r="I245" s="17">
        <f t="shared" si="90"/>
        <v>0</v>
      </c>
      <c r="J245" s="17">
        <f t="shared" si="90"/>
        <v>0</v>
      </c>
      <c r="K245" s="17">
        <f t="shared" si="90"/>
        <v>0</v>
      </c>
      <c r="L245" s="30">
        <f t="shared" si="90"/>
        <v>0</v>
      </c>
      <c r="M245" s="22"/>
      <c r="N245" s="17">
        <f>MIN(N213:N244)</f>
        <v>0</v>
      </c>
      <c r="O245" s="17">
        <f>MIN(O213:O244)</f>
        <v>0</v>
      </c>
      <c r="P245" s="17">
        <f t="shared" ref="P245:X245" si="91">MIN(P213:P244)</f>
        <v>0</v>
      </c>
      <c r="Q245" s="17">
        <f t="shared" si="91"/>
        <v>0</v>
      </c>
      <c r="R245" s="17">
        <f t="shared" si="91"/>
        <v>0</v>
      </c>
      <c r="S245" s="17">
        <f t="shared" si="91"/>
        <v>0</v>
      </c>
      <c r="T245" s="17">
        <f t="shared" si="91"/>
        <v>0</v>
      </c>
      <c r="U245" s="17">
        <f t="shared" si="91"/>
        <v>0</v>
      </c>
      <c r="V245" s="17">
        <f t="shared" si="91"/>
        <v>0</v>
      </c>
      <c r="W245" s="17">
        <f t="shared" si="91"/>
        <v>0</v>
      </c>
      <c r="X245" s="30">
        <f t="shared" si="91"/>
        <v>0</v>
      </c>
      <c r="Z245" s="40">
        <f t="shared" ref="Z245:AH245" si="92">MIN(Z213:Z244)</f>
        <v>0</v>
      </c>
      <c r="AA245" s="17">
        <f t="shared" si="92"/>
        <v>0</v>
      </c>
      <c r="AB245" s="17">
        <f t="shared" si="92"/>
        <v>0</v>
      </c>
      <c r="AC245" s="17">
        <f t="shared" si="92"/>
        <v>0</v>
      </c>
      <c r="AD245" s="17">
        <f t="shared" si="92"/>
        <v>0</v>
      </c>
      <c r="AE245" s="17">
        <f t="shared" si="92"/>
        <v>0</v>
      </c>
      <c r="AF245" s="17">
        <f t="shared" si="92"/>
        <v>0</v>
      </c>
      <c r="AG245" s="17">
        <f t="shared" si="92"/>
        <v>0</v>
      </c>
      <c r="AH245" s="30">
        <f t="shared" si="92"/>
        <v>0</v>
      </c>
    </row>
    <row r="246" spans="1:34">
      <c r="A246" s="18" t="s">
        <v>33</v>
      </c>
      <c r="B246" s="19">
        <f>MAX(B213:B244)</f>
        <v>0</v>
      </c>
      <c r="C246" s="19">
        <f>MAX(C213:C244)</f>
        <v>0</v>
      </c>
      <c r="D246" s="19">
        <f t="shared" ref="D246:L246" si="93">MAX(D213:D244)</f>
        <v>0</v>
      </c>
      <c r="E246" s="19">
        <f t="shared" si="93"/>
        <v>0</v>
      </c>
      <c r="F246" s="19">
        <f t="shared" si="93"/>
        <v>0</v>
      </c>
      <c r="G246" s="19">
        <f t="shared" si="93"/>
        <v>0</v>
      </c>
      <c r="H246" s="19">
        <f t="shared" si="93"/>
        <v>0</v>
      </c>
      <c r="I246" s="19">
        <f t="shared" si="93"/>
        <v>0</v>
      </c>
      <c r="J246" s="19">
        <f t="shared" si="93"/>
        <v>0</v>
      </c>
      <c r="K246" s="19">
        <f t="shared" si="93"/>
        <v>0</v>
      </c>
      <c r="L246" s="31">
        <f t="shared" si="93"/>
        <v>0</v>
      </c>
      <c r="M246" s="22"/>
      <c r="N246" s="19">
        <f>MAX(N213:N244)</f>
        <v>0</v>
      </c>
      <c r="O246" s="19">
        <f>MAX(O213:O244)</f>
        <v>0</v>
      </c>
      <c r="P246" s="19">
        <f t="shared" ref="P246:X246" si="94">MAX(P213:P244)</f>
        <v>0</v>
      </c>
      <c r="Q246" s="19">
        <f t="shared" si="94"/>
        <v>0</v>
      </c>
      <c r="R246" s="19">
        <f t="shared" si="94"/>
        <v>0</v>
      </c>
      <c r="S246" s="19">
        <f t="shared" si="94"/>
        <v>0</v>
      </c>
      <c r="T246" s="19">
        <f t="shared" si="94"/>
        <v>0</v>
      </c>
      <c r="U246" s="19">
        <f t="shared" si="94"/>
        <v>0</v>
      </c>
      <c r="V246" s="19">
        <f t="shared" si="94"/>
        <v>0</v>
      </c>
      <c r="W246" s="19">
        <f t="shared" si="94"/>
        <v>0</v>
      </c>
      <c r="X246" s="31">
        <f t="shared" si="94"/>
        <v>0</v>
      </c>
      <c r="Z246" s="41">
        <f t="shared" ref="Z246:AH246" si="95">MAX(Z213:Z244)</f>
        <v>0</v>
      </c>
      <c r="AA246" s="19">
        <f t="shared" si="95"/>
        <v>0</v>
      </c>
      <c r="AB246" s="19">
        <f t="shared" si="95"/>
        <v>0</v>
      </c>
      <c r="AC246" s="19">
        <f t="shared" si="95"/>
        <v>0</v>
      </c>
      <c r="AD246" s="19">
        <f t="shared" si="95"/>
        <v>0</v>
      </c>
      <c r="AE246" s="19">
        <f t="shared" si="95"/>
        <v>0</v>
      </c>
      <c r="AF246" s="19">
        <f t="shared" si="95"/>
        <v>0</v>
      </c>
      <c r="AG246" s="19">
        <f t="shared" si="95"/>
        <v>0</v>
      </c>
      <c r="AH246" s="31">
        <f t="shared" si="95"/>
        <v>0</v>
      </c>
    </row>
    <row r="247" spans="1:34">
      <c r="A247" s="18" t="s">
        <v>36</v>
      </c>
      <c r="B247" s="19" t="e">
        <f t="shared" ref="B247:L247" si="96">AVERAGE(B213:B244)</f>
        <v>#DIV/0!</v>
      </c>
      <c r="C247" s="19" t="e">
        <f t="shared" si="96"/>
        <v>#DIV/0!</v>
      </c>
      <c r="D247" s="19" t="e">
        <f t="shared" si="96"/>
        <v>#DIV/0!</v>
      </c>
      <c r="E247" s="19" t="e">
        <f t="shared" si="96"/>
        <v>#DIV/0!</v>
      </c>
      <c r="F247" s="19" t="e">
        <f t="shared" si="96"/>
        <v>#DIV/0!</v>
      </c>
      <c r="G247" s="19" t="e">
        <f t="shared" si="96"/>
        <v>#DIV/0!</v>
      </c>
      <c r="H247" s="19" t="e">
        <f t="shared" si="96"/>
        <v>#DIV/0!</v>
      </c>
      <c r="I247" s="19" t="e">
        <f t="shared" si="96"/>
        <v>#DIV/0!</v>
      </c>
      <c r="J247" s="19" t="e">
        <f t="shared" si="96"/>
        <v>#DIV/0!</v>
      </c>
      <c r="K247" s="19" t="e">
        <f t="shared" si="96"/>
        <v>#DIV/0!</v>
      </c>
      <c r="L247" s="31" t="e">
        <f t="shared" si="96"/>
        <v>#DIV/0!</v>
      </c>
      <c r="M247" s="22"/>
      <c r="N247" s="19" t="e">
        <f t="shared" ref="N247:X247" si="97">AVERAGE(N213:N244)</f>
        <v>#DIV/0!</v>
      </c>
      <c r="O247" s="19" t="e">
        <f t="shared" si="97"/>
        <v>#DIV/0!</v>
      </c>
      <c r="P247" s="19" t="e">
        <f t="shared" si="97"/>
        <v>#DIV/0!</v>
      </c>
      <c r="Q247" s="19" t="e">
        <f t="shared" si="97"/>
        <v>#DIV/0!</v>
      </c>
      <c r="R247" s="19" t="e">
        <f t="shared" si="97"/>
        <v>#DIV/0!</v>
      </c>
      <c r="S247" s="19" t="e">
        <f t="shared" si="97"/>
        <v>#DIV/0!</v>
      </c>
      <c r="T247" s="19" t="e">
        <f t="shared" si="97"/>
        <v>#DIV/0!</v>
      </c>
      <c r="U247" s="19" t="e">
        <f t="shared" si="97"/>
        <v>#DIV/0!</v>
      </c>
      <c r="V247" s="19" t="e">
        <f t="shared" si="97"/>
        <v>#DIV/0!</v>
      </c>
      <c r="W247" s="19" t="e">
        <f t="shared" si="97"/>
        <v>#DIV/0!</v>
      </c>
      <c r="X247" s="31" t="e">
        <f t="shared" si="97"/>
        <v>#DIV/0!</v>
      </c>
      <c r="Z247" s="41" t="e">
        <f>AVERAGE(Z213:Z244)</f>
        <v>#DIV/0!</v>
      </c>
      <c r="AA247" s="19" t="e">
        <f t="shared" ref="AA247:AH247" si="98">AVERAGE(AA213:AA244)</f>
        <v>#DIV/0!</v>
      </c>
      <c r="AB247" s="19" t="e">
        <f t="shared" si="98"/>
        <v>#DIV/0!</v>
      </c>
      <c r="AC247" s="19" t="e">
        <f t="shared" si="98"/>
        <v>#DIV/0!</v>
      </c>
      <c r="AD247" s="19" t="e">
        <f t="shared" si="98"/>
        <v>#DIV/0!</v>
      </c>
      <c r="AE247" s="19" t="e">
        <f t="shared" si="98"/>
        <v>#DIV/0!</v>
      </c>
      <c r="AF247" s="19" t="e">
        <f t="shared" si="98"/>
        <v>#DIV/0!</v>
      </c>
      <c r="AG247" s="19" t="e">
        <f t="shared" si="98"/>
        <v>#DIV/0!</v>
      </c>
      <c r="AH247" s="31" t="e">
        <f t="shared" si="98"/>
        <v>#DIV/0!</v>
      </c>
    </row>
    <row r="248" spans="1:34" ht="15.75" thickBot="1">
      <c r="A248" s="20" t="s">
        <v>130</v>
      </c>
      <c r="B248" s="21" t="e">
        <f>STDEV(B213:B244)</f>
        <v>#DIV/0!</v>
      </c>
      <c r="C248" s="21" t="e">
        <f t="shared" ref="C248:L248" si="99">STDEV(C213:C244)</f>
        <v>#DIV/0!</v>
      </c>
      <c r="D248" s="21" t="e">
        <f t="shared" si="99"/>
        <v>#DIV/0!</v>
      </c>
      <c r="E248" s="21" t="e">
        <f t="shared" si="99"/>
        <v>#DIV/0!</v>
      </c>
      <c r="F248" s="21" t="e">
        <f t="shared" si="99"/>
        <v>#DIV/0!</v>
      </c>
      <c r="G248" s="21" t="e">
        <f t="shared" si="99"/>
        <v>#DIV/0!</v>
      </c>
      <c r="H248" s="21" t="e">
        <f t="shared" si="99"/>
        <v>#DIV/0!</v>
      </c>
      <c r="I248" s="21" t="e">
        <f t="shared" si="99"/>
        <v>#DIV/0!</v>
      </c>
      <c r="J248" s="21" t="e">
        <f t="shared" si="99"/>
        <v>#DIV/0!</v>
      </c>
      <c r="K248" s="21" t="e">
        <f t="shared" si="99"/>
        <v>#DIV/0!</v>
      </c>
      <c r="L248" s="32" t="e">
        <f t="shared" si="99"/>
        <v>#DIV/0!</v>
      </c>
      <c r="M248" s="22"/>
      <c r="N248" s="21" t="e">
        <f>STDEV(N213:N244)</f>
        <v>#DIV/0!</v>
      </c>
      <c r="O248" s="21" t="e">
        <f t="shared" ref="O248:X248" si="100">STDEV(O213:O244)</f>
        <v>#DIV/0!</v>
      </c>
      <c r="P248" s="21" t="e">
        <f t="shared" si="100"/>
        <v>#DIV/0!</v>
      </c>
      <c r="Q248" s="21" t="e">
        <f t="shared" si="100"/>
        <v>#DIV/0!</v>
      </c>
      <c r="R248" s="21" t="e">
        <f t="shared" si="100"/>
        <v>#DIV/0!</v>
      </c>
      <c r="S248" s="21" t="e">
        <f t="shared" si="100"/>
        <v>#DIV/0!</v>
      </c>
      <c r="T248" s="21" t="e">
        <f t="shared" si="100"/>
        <v>#DIV/0!</v>
      </c>
      <c r="U248" s="21" t="e">
        <f t="shared" si="100"/>
        <v>#DIV/0!</v>
      </c>
      <c r="V248" s="21" t="e">
        <f t="shared" si="100"/>
        <v>#DIV/0!</v>
      </c>
      <c r="W248" s="21" t="e">
        <f t="shared" si="100"/>
        <v>#DIV/0!</v>
      </c>
      <c r="X248" s="32" t="e">
        <f t="shared" si="100"/>
        <v>#DIV/0!</v>
      </c>
      <c r="Z248" s="42" t="e">
        <f>STDEV(Z213:Z244)</f>
        <v>#DIV/0!</v>
      </c>
      <c r="AA248" s="21" t="e">
        <f t="shared" ref="AA248:AH248" si="101">STDEV(AA213:AA244)</f>
        <v>#DIV/0!</v>
      </c>
      <c r="AB248" s="21" t="e">
        <f t="shared" si="101"/>
        <v>#DIV/0!</v>
      </c>
      <c r="AC248" s="21" t="e">
        <f t="shared" si="101"/>
        <v>#DIV/0!</v>
      </c>
      <c r="AD248" s="21" t="e">
        <f t="shared" si="101"/>
        <v>#DIV/0!</v>
      </c>
      <c r="AE248" s="21" t="e">
        <f t="shared" si="101"/>
        <v>#DIV/0!</v>
      </c>
      <c r="AF248" s="21" t="e">
        <f t="shared" si="101"/>
        <v>#DIV/0!</v>
      </c>
      <c r="AG248" s="21" t="e">
        <f t="shared" si="101"/>
        <v>#DIV/0!</v>
      </c>
      <c r="AH248" s="32" t="e">
        <f t="shared" si="101"/>
        <v>#DIV/0!</v>
      </c>
    </row>
    <row r="249" spans="1:34" ht="15.75" thickBot="1"/>
    <row r="250" spans="1:34" ht="15.75" thickBot="1">
      <c r="A250" s="1"/>
      <c r="B250" s="338" t="s">
        <v>0</v>
      </c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  <c r="AA250" s="339"/>
      <c r="AB250" s="339"/>
      <c r="AC250" s="339"/>
      <c r="AD250" s="340"/>
      <c r="AE250" s="340"/>
      <c r="AF250" s="340"/>
      <c r="AG250" s="340"/>
      <c r="AH250" s="340"/>
    </row>
    <row r="251" spans="1:34" ht="15.75" thickBot="1">
      <c r="A251" s="1"/>
      <c r="B251" s="338" t="s">
        <v>160</v>
      </c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  <c r="AA251" s="339"/>
      <c r="AB251" s="339"/>
      <c r="AC251" s="339"/>
      <c r="AD251" s="4"/>
      <c r="AE251" s="43" t="s">
        <v>107</v>
      </c>
      <c r="AF251" s="341">
        <v>46174</v>
      </c>
      <c r="AG251" s="342"/>
      <c r="AH251" s="343"/>
    </row>
    <row r="252" spans="1:34">
      <c r="A252" s="344"/>
      <c r="B252" s="346" t="s">
        <v>132</v>
      </c>
      <c r="C252" s="347"/>
      <c r="D252" s="347"/>
      <c r="E252" s="347"/>
      <c r="F252" s="347"/>
      <c r="G252" s="347"/>
      <c r="H252" s="347"/>
      <c r="I252" s="347"/>
      <c r="J252" s="347"/>
      <c r="K252" s="348"/>
      <c r="L252" s="349"/>
      <c r="M252" s="22"/>
      <c r="N252" s="350" t="s">
        <v>133</v>
      </c>
      <c r="O252" s="347"/>
      <c r="P252" s="347"/>
      <c r="Q252" s="347"/>
      <c r="R252" s="347"/>
      <c r="S252" s="347"/>
      <c r="T252" s="347"/>
      <c r="U252" s="347"/>
      <c r="V252" s="347"/>
      <c r="W252" s="348"/>
      <c r="X252" s="349"/>
      <c r="Y252" s="22"/>
      <c r="Z252" s="346" t="s">
        <v>134</v>
      </c>
      <c r="AA252" s="347"/>
      <c r="AB252" s="347"/>
      <c r="AC252" s="347"/>
      <c r="AD252" s="347"/>
      <c r="AE252" s="347"/>
      <c r="AF252" s="347"/>
      <c r="AG252" s="348"/>
      <c r="AH252" s="349"/>
    </row>
    <row r="253" spans="1:34" ht="25.5">
      <c r="A253" s="345"/>
      <c r="B253" s="359" t="s">
        <v>135</v>
      </c>
      <c r="C253" s="361" t="s">
        <v>136</v>
      </c>
      <c r="D253" s="5" t="s">
        <v>137</v>
      </c>
      <c r="E253" s="5" t="s">
        <v>138</v>
      </c>
      <c r="F253" s="5" t="s">
        <v>139</v>
      </c>
      <c r="G253" s="5" t="s">
        <v>140</v>
      </c>
      <c r="H253" s="5" t="s">
        <v>141</v>
      </c>
      <c r="I253" s="5" t="s">
        <v>142</v>
      </c>
      <c r="J253" s="5" t="s">
        <v>143</v>
      </c>
      <c r="K253" s="181" t="s">
        <v>81</v>
      </c>
      <c r="L253" s="23" t="s">
        <v>144</v>
      </c>
      <c r="M253" s="22"/>
      <c r="N253" s="355" t="s">
        <v>135</v>
      </c>
      <c r="O253" s="357" t="s">
        <v>136</v>
      </c>
      <c r="P253" s="5" t="s">
        <v>137</v>
      </c>
      <c r="Q253" s="5" t="s">
        <v>138</v>
      </c>
      <c r="R253" s="5" t="s">
        <v>139</v>
      </c>
      <c r="S253" s="5" t="s">
        <v>140</v>
      </c>
      <c r="T253" s="5" t="s">
        <v>141</v>
      </c>
      <c r="U253" s="5" t="s">
        <v>142</v>
      </c>
      <c r="V253" s="5" t="s">
        <v>143</v>
      </c>
      <c r="W253" s="181" t="s">
        <v>81</v>
      </c>
      <c r="X253" s="23" t="s">
        <v>144</v>
      </c>
      <c r="Y253" s="22"/>
      <c r="Z253" s="33" t="s">
        <v>137</v>
      </c>
      <c r="AA253" s="5" t="s">
        <v>138</v>
      </c>
      <c r="AB253" s="5" t="s">
        <v>139</v>
      </c>
      <c r="AC253" s="5" t="s">
        <v>140</v>
      </c>
      <c r="AD253" s="5" t="s">
        <v>141</v>
      </c>
      <c r="AE253" s="5" t="s">
        <v>142</v>
      </c>
      <c r="AF253" s="5" t="s">
        <v>143</v>
      </c>
      <c r="AG253" s="181" t="s">
        <v>81</v>
      </c>
      <c r="AH253" s="23" t="s">
        <v>144</v>
      </c>
    </row>
    <row r="254" spans="1:34">
      <c r="A254" s="6" t="s">
        <v>145</v>
      </c>
      <c r="B254" s="360"/>
      <c r="C254" s="362"/>
      <c r="D254" s="5" t="s">
        <v>128</v>
      </c>
      <c r="E254" s="5" t="s">
        <v>128</v>
      </c>
      <c r="F254" s="5" t="s">
        <v>128</v>
      </c>
      <c r="G254" s="5" t="s">
        <v>128</v>
      </c>
      <c r="H254" s="5" t="s">
        <v>125</v>
      </c>
      <c r="I254" s="5" t="s">
        <v>146</v>
      </c>
      <c r="J254" s="5" t="s">
        <v>127</v>
      </c>
      <c r="K254" s="181" t="s">
        <v>53</v>
      </c>
      <c r="L254" s="23" t="s">
        <v>53</v>
      </c>
      <c r="M254" s="22"/>
      <c r="N254" s="356"/>
      <c r="O254" s="358"/>
      <c r="P254" s="5" t="s">
        <v>128</v>
      </c>
      <c r="Q254" s="5" t="s">
        <v>128</v>
      </c>
      <c r="R254" s="5" t="s">
        <v>128</v>
      </c>
      <c r="S254" s="5" t="s">
        <v>128</v>
      </c>
      <c r="T254" s="5" t="s">
        <v>125</v>
      </c>
      <c r="U254" s="5" t="s">
        <v>146</v>
      </c>
      <c r="V254" s="5" t="s">
        <v>127</v>
      </c>
      <c r="W254" s="181" t="s">
        <v>53</v>
      </c>
      <c r="X254" s="23" t="s">
        <v>53</v>
      </c>
      <c r="Y254" s="22"/>
      <c r="Z254" s="33" t="s">
        <v>128</v>
      </c>
      <c r="AA254" s="5" t="s">
        <v>128</v>
      </c>
      <c r="AB254" s="5" t="s">
        <v>128</v>
      </c>
      <c r="AC254" s="5" t="s">
        <v>128</v>
      </c>
      <c r="AD254" s="5" t="s">
        <v>125</v>
      </c>
      <c r="AE254" s="5" t="s">
        <v>146</v>
      </c>
      <c r="AF254" s="5" t="s">
        <v>127</v>
      </c>
      <c r="AG254" s="181" t="s">
        <v>53</v>
      </c>
      <c r="AH254" s="23" t="s">
        <v>53</v>
      </c>
    </row>
    <row r="255" spans="1:34" ht="39" thickBot="1">
      <c r="A255" s="7" t="s">
        <v>147</v>
      </c>
      <c r="B255" s="8" t="s">
        <v>148</v>
      </c>
      <c r="C255" s="9" t="s">
        <v>149</v>
      </c>
      <c r="D255" s="9" t="s">
        <v>161</v>
      </c>
      <c r="E255" s="9" t="s">
        <v>162</v>
      </c>
      <c r="F255" s="9" t="s">
        <v>163</v>
      </c>
      <c r="G255" s="9" t="s">
        <v>164</v>
      </c>
      <c r="H255" s="9" t="s">
        <v>154</v>
      </c>
      <c r="I255" s="24" t="s">
        <v>155</v>
      </c>
      <c r="J255" s="24" t="s">
        <v>156</v>
      </c>
      <c r="K255" s="24" t="s">
        <v>179</v>
      </c>
      <c r="L255" s="25" t="s">
        <v>157</v>
      </c>
      <c r="M255" s="22"/>
      <c r="N255" s="8" t="s">
        <v>148</v>
      </c>
      <c r="O255" s="9" t="s">
        <v>149</v>
      </c>
      <c r="P255" s="9" t="s">
        <v>161</v>
      </c>
      <c r="Q255" s="9" t="s">
        <v>162</v>
      </c>
      <c r="R255" s="9" t="s">
        <v>163</v>
      </c>
      <c r="S255" s="9" t="s">
        <v>164</v>
      </c>
      <c r="T255" s="9" t="s">
        <v>154</v>
      </c>
      <c r="U255" s="24" t="s">
        <v>155</v>
      </c>
      <c r="V255" s="24" t="s">
        <v>156</v>
      </c>
      <c r="W255" s="24" t="s">
        <v>179</v>
      </c>
      <c r="X255" s="25" t="s">
        <v>157</v>
      </c>
      <c r="Y255" s="22"/>
      <c r="Z255" s="8" t="s">
        <v>161</v>
      </c>
      <c r="AA255" s="9" t="s">
        <v>162</v>
      </c>
      <c r="AB255" s="9" t="s">
        <v>163</v>
      </c>
      <c r="AC255" s="9" t="s">
        <v>164</v>
      </c>
      <c r="AD255" s="9" t="s">
        <v>154</v>
      </c>
      <c r="AE255" s="9" t="s">
        <v>155</v>
      </c>
      <c r="AF255" s="9" t="s">
        <v>156</v>
      </c>
      <c r="AG255" s="24" t="s">
        <v>179</v>
      </c>
      <c r="AH255" s="23" t="s">
        <v>157</v>
      </c>
    </row>
    <row r="256" spans="1:34">
      <c r="A256" s="10">
        <f>AF251+0</f>
        <v>46174</v>
      </c>
      <c r="B256" s="11"/>
      <c r="C256" s="54"/>
      <c r="D256" s="54"/>
      <c r="E256" s="54"/>
      <c r="F256" s="54"/>
      <c r="G256" s="54"/>
      <c r="H256" s="54"/>
      <c r="I256" s="54"/>
      <c r="J256" s="54"/>
      <c r="K256" s="183"/>
      <c r="L256" s="55"/>
      <c r="M256" s="22"/>
      <c r="N256" s="29"/>
      <c r="O256" s="13"/>
      <c r="P256" s="13"/>
      <c r="Q256" s="13"/>
      <c r="R256" s="13"/>
      <c r="S256" s="13"/>
      <c r="T256" s="13"/>
      <c r="U256" s="13"/>
      <c r="V256" s="13"/>
      <c r="W256" s="183"/>
      <c r="X256" s="37"/>
      <c r="Y256" s="22"/>
      <c r="Z256" s="148"/>
      <c r="AA256" s="63"/>
      <c r="AB256" s="63"/>
      <c r="AC256" s="63"/>
      <c r="AD256" s="63"/>
      <c r="AE256" s="63"/>
      <c r="AF256" s="63"/>
      <c r="AG256" s="183"/>
      <c r="AH256" s="149"/>
    </row>
    <row r="257" spans="1:34">
      <c r="A257" s="14">
        <f t="shared" ref="A257:A286" si="102">A256+1</f>
        <v>46175</v>
      </c>
      <c r="B257" s="11"/>
      <c r="C257" s="54"/>
      <c r="D257" s="54"/>
      <c r="E257" s="54"/>
      <c r="F257" s="54"/>
      <c r="G257" s="54"/>
      <c r="H257" s="54"/>
      <c r="I257" s="54"/>
      <c r="J257" s="54"/>
      <c r="K257" s="183"/>
      <c r="L257" s="55"/>
      <c r="M257" s="22"/>
      <c r="N257" s="29"/>
      <c r="O257" s="13"/>
      <c r="P257" s="13"/>
      <c r="Q257" s="13"/>
      <c r="R257" s="13"/>
      <c r="S257" s="13"/>
      <c r="T257" s="13"/>
      <c r="U257" s="13"/>
      <c r="V257" s="13"/>
      <c r="W257" s="183"/>
      <c r="X257" s="37"/>
      <c r="Y257" s="22"/>
      <c r="Z257" s="38"/>
      <c r="AA257" s="13"/>
      <c r="AB257" s="13"/>
      <c r="AC257" s="13"/>
      <c r="AD257" s="13"/>
      <c r="AE257" s="13"/>
      <c r="AF257" s="13"/>
      <c r="AG257" s="183"/>
      <c r="AH257" s="45"/>
    </row>
    <row r="258" spans="1:34">
      <c r="A258" s="14">
        <f t="shared" si="102"/>
        <v>46176</v>
      </c>
      <c r="B258" s="11"/>
      <c r="C258" s="12"/>
      <c r="D258" s="12"/>
      <c r="E258" s="12"/>
      <c r="F258" s="12"/>
      <c r="G258" s="12"/>
      <c r="H258" s="12"/>
      <c r="I258" s="13"/>
      <c r="J258" s="13"/>
      <c r="K258" s="184"/>
      <c r="L258" s="26"/>
      <c r="M258" s="22"/>
      <c r="N258" s="29"/>
      <c r="O258" s="13"/>
      <c r="P258" s="13"/>
      <c r="Q258" s="13"/>
      <c r="R258" s="13"/>
      <c r="S258" s="13"/>
      <c r="T258" s="13"/>
      <c r="U258" s="13"/>
      <c r="V258" s="13"/>
      <c r="W258" s="184"/>
      <c r="X258" s="37"/>
      <c r="Y258" s="22"/>
      <c r="Z258" s="38"/>
      <c r="AA258" s="13"/>
      <c r="AB258" s="13"/>
      <c r="AC258" s="13"/>
      <c r="AD258" s="13"/>
      <c r="AE258" s="13"/>
      <c r="AF258" s="13"/>
      <c r="AG258" s="184"/>
      <c r="AH258" s="45"/>
    </row>
    <row r="259" spans="1:34">
      <c r="A259" s="14">
        <f t="shared" si="102"/>
        <v>46177</v>
      </c>
      <c r="B259" s="11"/>
      <c r="C259" s="12"/>
      <c r="D259" s="12"/>
      <c r="E259" s="12"/>
      <c r="F259" s="12"/>
      <c r="G259" s="12"/>
      <c r="H259" s="12"/>
      <c r="I259" s="12"/>
      <c r="J259" s="13"/>
      <c r="K259" s="184"/>
      <c r="L259" s="26"/>
      <c r="M259" s="22"/>
      <c r="N259" s="29"/>
      <c r="O259" s="13"/>
      <c r="P259" s="13"/>
      <c r="Q259" s="13"/>
      <c r="R259" s="13"/>
      <c r="S259" s="13"/>
      <c r="T259" s="13"/>
      <c r="U259" s="13"/>
      <c r="V259" s="13"/>
      <c r="W259" s="184"/>
      <c r="X259" s="37"/>
      <c r="Y259" s="22"/>
      <c r="Z259" s="38"/>
      <c r="AA259" s="13"/>
      <c r="AB259" s="13"/>
      <c r="AC259" s="13"/>
      <c r="AD259" s="13"/>
      <c r="AE259" s="13"/>
      <c r="AF259" s="13"/>
      <c r="AG259" s="184"/>
      <c r="AH259" s="45"/>
    </row>
    <row r="260" spans="1:34">
      <c r="A260" s="14">
        <f t="shared" si="102"/>
        <v>46178</v>
      </c>
      <c r="B260" s="11"/>
      <c r="C260" s="12"/>
      <c r="D260" s="12"/>
      <c r="E260" s="12"/>
      <c r="F260" s="12"/>
      <c r="G260" s="12"/>
      <c r="H260" s="12"/>
      <c r="I260" s="12"/>
      <c r="J260" s="13"/>
      <c r="K260" s="184"/>
      <c r="L260" s="26"/>
      <c r="M260" s="22"/>
      <c r="N260" s="29"/>
      <c r="O260" s="13"/>
      <c r="P260" s="13"/>
      <c r="Q260" s="13"/>
      <c r="R260" s="13"/>
      <c r="S260" s="13"/>
      <c r="T260" s="13"/>
      <c r="U260" s="13"/>
      <c r="V260" s="13"/>
      <c r="W260" s="184"/>
      <c r="X260" s="37"/>
      <c r="Y260" s="22"/>
      <c r="Z260" s="38"/>
      <c r="AA260" s="13"/>
      <c r="AB260" s="13"/>
      <c r="AC260" s="13"/>
      <c r="AD260" s="36"/>
      <c r="AE260" s="13"/>
      <c r="AF260" s="13"/>
      <c r="AG260" s="184"/>
      <c r="AH260" s="46"/>
    </row>
    <row r="261" spans="1:34">
      <c r="A261" s="14">
        <f t="shared" si="102"/>
        <v>46179</v>
      </c>
      <c r="B261" s="11"/>
      <c r="C261" s="12"/>
      <c r="D261" s="12"/>
      <c r="E261" s="12"/>
      <c r="F261" s="12"/>
      <c r="G261" s="12"/>
      <c r="H261" s="12"/>
      <c r="I261" s="12"/>
      <c r="J261" s="13"/>
      <c r="K261" s="184"/>
      <c r="L261" s="26"/>
      <c r="M261" s="22"/>
      <c r="N261" s="29"/>
      <c r="O261" s="13"/>
      <c r="P261" s="13"/>
      <c r="Q261" s="13"/>
      <c r="R261" s="13"/>
      <c r="S261" s="13"/>
      <c r="T261" s="13"/>
      <c r="U261" s="13"/>
      <c r="V261" s="13"/>
      <c r="W261" s="184"/>
      <c r="X261" s="37"/>
      <c r="Y261" s="22"/>
      <c r="Z261" s="38"/>
      <c r="AA261" s="13"/>
      <c r="AB261" s="13"/>
      <c r="AC261" s="13"/>
      <c r="AD261" s="13"/>
      <c r="AE261" s="13"/>
      <c r="AF261" s="13"/>
      <c r="AG261" s="184"/>
      <c r="AH261" s="45"/>
    </row>
    <row r="262" spans="1:34">
      <c r="A262" s="14">
        <f t="shared" si="102"/>
        <v>46180</v>
      </c>
      <c r="B262" s="11"/>
      <c r="C262" s="12"/>
      <c r="D262" s="12"/>
      <c r="E262" s="12"/>
      <c r="F262" s="12"/>
      <c r="G262" s="12"/>
      <c r="H262" s="12"/>
      <c r="I262" s="12"/>
      <c r="J262" s="13"/>
      <c r="K262" s="184"/>
      <c r="L262" s="26"/>
      <c r="M262" s="22"/>
      <c r="N262" s="29"/>
      <c r="O262" s="13"/>
      <c r="P262" s="13"/>
      <c r="Q262" s="13"/>
      <c r="R262" s="13"/>
      <c r="S262" s="13"/>
      <c r="T262" s="13"/>
      <c r="U262" s="13"/>
      <c r="V262" s="13"/>
      <c r="W262" s="184"/>
      <c r="X262" s="37"/>
      <c r="Y262" s="22"/>
      <c r="Z262" s="38"/>
      <c r="AA262" s="13"/>
      <c r="AB262" s="13"/>
      <c r="AC262" s="13"/>
      <c r="AD262" s="13"/>
      <c r="AE262" s="13"/>
      <c r="AF262" s="13"/>
      <c r="AG262" s="184"/>
      <c r="AH262" s="45"/>
    </row>
    <row r="263" spans="1:34">
      <c r="A263" s="14">
        <f t="shared" si="102"/>
        <v>46181</v>
      </c>
      <c r="B263" s="11"/>
      <c r="C263" s="12"/>
      <c r="D263" s="12"/>
      <c r="E263" s="12"/>
      <c r="F263" s="12"/>
      <c r="G263" s="12"/>
      <c r="H263" s="12"/>
      <c r="I263" s="12"/>
      <c r="J263" s="13"/>
      <c r="K263" s="184"/>
      <c r="L263" s="26"/>
      <c r="M263" s="22"/>
      <c r="N263" s="29"/>
      <c r="O263" s="13"/>
      <c r="P263" s="13"/>
      <c r="Q263" s="13"/>
      <c r="R263" s="13"/>
      <c r="S263" s="13"/>
      <c r="T263" s="13"/>
      <c r="U263" s="13"/>
      <c r="V263" s="13"/>
      <c r="W263" s="184"/>
      <c r="X263" s="37"/>
      <c r="Y263" s="22"/>
      <c r="Z263" s="38"/>
      <c r="AA263" s="13"/>
      <c r="AB263" s="13"/>
      <c r="AC263" s="13"/>
      <c r="AD263" s="13"/>
      <c r="AE263" s="13"/>
      <c r="AF263" s="13"/>
      <c r="AG263" s="184"/>
      <c r="AH263" s="45"/>
    </row>
    <row r="264" spans="1:34">
      <c r="A264" s="14">
        <f t="shared" si="102"/>
        <v>46182</v>
      </c>
      <c r="B264" s="11"/>
      <c r="C264" s="12"/>
      <c r="D264" s="12"/>
      <c r="E264" s="12"/>
      <c r="F264" s="12"/>
      <c r="G264" s="12"/>
      <c r="H264" s="12"/>
      <c r="I264" s="12"/>
      <c r="J264" s="13"/>
      <c r="K264" s="184"/>
      <c r="L264" s="26"/>
      <c r="M264" s="22"/>
      <c r="N264" s="29"/>
      <c r="O264" s="13"/>
      <c r="P264" s="13"/>
      <c r="Q264" s="13"/>
      <c r="R264" s="13"/>
      <c r="S264" s="13"/>
      <c r="T264" s="13"/>
      <c r="U264" s="13"/>
      <c r="V264" s="13"/>
      <c r="W264" s="184"/>
      <c r="X264" s="37"/>
      <c r="Y264" s="22"/>
      <c r="Z264" s="38"/>
      <c r="AA264" s="13"/>
      <c r="AB264" s="13"/>
      <c r="AC264" s="13"/>
      <c r="AD264" s="13"/>
      <c r="AE264" s="13"/>
      <c r="AF264" s="13"/>
      <c r="AG264" s="184"/>
      <c r="AH264" s="45"/>
    </row>
    <row r="265" spans="1:34">
      <c r="A265" s="14">
        <f t="shared" si="102"/>
        <v>46183</v>
      </c>
      <c r="B265" s="11"/>
      <c r="C265" s="12"/>
      <c r="D265" s="12"/>
      <c r="E265" s="12"/>
      <c r="F265" s="12"/>
      <c r="G265" s="12"/>
      <c r="H265" s="12"/>
      <c r="I265" s="12"/>
      <c r="J265" s="13"/>
      <c r="K265" s="184"/>
      <c r="L265" s="26"/>
      <c r="M265" s="22"/>
      <c r="N265" s="29"/>
      <c r="O265" s="13"/>
      <c r="P265" s="13"/>
      <c r="Q265" s="13"/>
      <c r="R265" s="13"/>
      <c r="S265" s="13"/>
      <c r="T265" s="13"/>
      <c r="U265" s="13"/>
      <c r="V265" s="13"/>
      <c r="W265" s="184"/>
      <c r="X265" s="37"/>
      <c r="Y265" s="22"/>
      <c r="Z265" s="38"/>
      <c r="AA265" s="13"/>
      <c r="AB265" s="13"/>
      <c r="AC265" s="13"/>
      <c r="AD265" s="13"/>
      <c r="AE265" s="13"/>
      <c r="AF265" s="13"/>
      <c r="AG265" s="184"/>
      <c r="AH265" s="45"/>
    </row>
    <row r="266" spans="1:34">
      <c r="A266" s="14">
        <f t="shared" si="102"/>
        <v>46184</v>
      </c>
      <c r="B266" s="11"/>
      <c r="C266" s="12"/>
      <c r="D266" s="12"/>
      <c r="E266" s="12"/>
      <c r="F266" s="12"/>
      <c r="G266" s="12"/>
      <c r="H266" s="12"/>
      <c r="I266" s="12"/>
      <c r="J266" s="13"/>
      <c r="K266" s="184"/>
      <c r="L266" s="26"/>
      <c r="M266" s="22"/>
      <c r="N266" s="29"/>
      <c r="O266" s="13"/>
      <c r="P266" s="13"/>
      <c r="Q266" s="13"/>
      <c r="R266" s="13"/>
      <c r="S266" s="13"/>
      <c r="T266" s="13"/>
      <c r="U266" s="13"/>
      <c r="V266" s="13"/>
      <c r="W266" s="184"/>
      <c r="X266" s="37"/>
      <c r="Y266" s="22"/>
      <c r="Z266" s="38"/>
      <c r="AA266" s="13"/>
      <c r="AB266" s="13"/>
      <c r="AC266" s="13"/>
      <c r="AD266" s="13"/>
      <c r="AE266" s="13"/>
      <c r="AF266" s="13"/>
      <c r="AG266" s="184"/>
      <c r="AH266" s="45"/>
    </row>
    <row r="267" spans="1:34">
      <c r="A267" s="14">
        <f t="shared" si="102"/>
        <v>46185</v>
      </c>
      <c r="B267" s="11"/>
      <c r="C267" s="12"/>
      <c r="D267" s="12"/>
      <c r="E267" s="12"/>
      <c r="F267" s="12"/>
      <c r="G267" s="12"/>
      <c r="H267" s="12"/>
      <c r="I267" s="12"/>
      <c r="J267" s="13"/>
      <c r="K267" s="184"/>
      <c r="L267" s="26"/>
      <c r="M267" s="22"/>
      <c r="N267" s="29"/>
      <c r="O267" s="13"/>
      <c r="P267" s="13"/>
      <c r="Q267" s="13"/>
      <c r="R267" s="13"/>
      <c r="S267" s="13"/>
      <c r="T267" s="13"/>
      <c r="U267" s="13"/>
      <c r="V267" s="13"/>
      <c r="W267" s="184"/>
      <c r="X267" s="37"/>
      <c r="Y267" s="22"/>
      <c r="Z267" s="38"/>
      <c r="AA267" s="13"/>
      <c r="AB267" s="13"/>
      <c r="AC267" s="13"/>
      <c r="AD267" s="36"/>
      <c r="AE267" s="13"/>
      <c r="AF267" s="13"/>
      <c r="AG267" s="184"/>
      <c r="AH267" s="45"/>
    </row>
    <row r="268" spans="1:34">
      <c r="A268" s="14">
        <f t="shared" si="102"/>
        <v>46186</v>
      </c>
      <c r="B268" s="11"/>
      <c r="C268" s="12"/>
      <c r="D268" s="12"/>
      <c r="E268" s="12"/>
      <c r="F268" s="12"/>
      <c r="G268" s="12"/>
      <c r="H268" s="12"/>
      <c r="I268" s="12"/>
      <c r="J268" s="13"/>
      <c r="K268" s="184"/>
      <c r="L268" s="26"/>
      <c r="M268" s="22"/>
      <c r="N268" s="29"/>
      <c r="O268" s="13"/>
      <c r="P268" s="13"/>
      <c r="Q268" s="13"/>
      <c r="R268" s="13"/>
      <c r="S268" s="13"/>
      <c r="T268" s="13"/>
      <c r="U268" s="13"/>
      <c r="V268" s="13"/>
      <c r="W268" s="184"/>
      <c r="X268" s="37"/>
      <c r="Y268" s="22"/>
      <c r="Z268" s="38"/>
      <c r="AA268" s="13"/>
      <c r="AB268" s="13"/>
      <c r="AC268" s="13"/>
      <c r="AD268" s="13"/>
      <c r="AE268" s="13"/>
      <c r="AF268" s="13"/>
      <c r="AG268" s="184"/>
      <c r="AH268" s="45"/>
    </row>
    <row r="269" spans="1:34">
      <c r="A269" s="14">
        <f t="shared" si="102"/>
        <v>46187</v>
      </c>
      <c r="B269" s="11"/>
      <c r="C269" s="13"/>
      <c r="D269" s="12"/>
      <c r="E269" s="12"/>
      <c r="F269" s="13"/>
      <c r="G269" s="12"/>
      <c r="H269" s="12"/>
      <c r="I269" s="13"/>
      <c r="J269" s="13"/>
      <c r="K269" s="184"/>
      <c r="L269" s="26"/>
      <c r="M269" s="22"/>
      <c r="N269" s="29"/>
      <c r="O269" s="13"/>
      <c r="P269" s="13"/>
      <c r="Q269" s="13"/>
      <c r="R269" s="13"/>
      <c r="S269" s="13"/>
      <c r="T269" s="13"/>
      <c r="U269" s="13"/>
      <c r="V269" s="13"/>
      <c r="W269" s="184"/>
      <c r="X269" s="37"/>
      <c r="Y269" s="22"/>
      <c r="Z269" s="38"/>
      <c r="AA269" s="13"/>
      <c r="AB269" s="13"/>
      <c r="AC269" s="13"/>
      <c r="AD269" s="13"/>
      <c r="AE269" s="13"/>
      <c r="AF269" s="13"/>
      <c r="AG269" s="184"/>
      <c r="AH269" s="45"/>
    </row>
    <row r="270" spans="1:34">
      <c r="A270" s="14">
        <f t="shared" si="102"/>
        <v>46188</v>
      </c>
      <c r="B270" s="11"/>
      <c r="C270" s="13"/>
      <c r="D270" s="12"/>
      <c r="E270" s="12"/>
      <c r="F270" s="13"/>
      <c r="G270" s="12"/>
      <c r="H270" s="12"/>
      <c r="I270" s="12"/>
      <c r="J270" s="13"/>
      <c r="K270" s="184"/>
      <c r="L270" s="26"/>
      <c r="M270" s="22"/>
      <c r="N270" s="29"/>
      <c r="O270" s="13"/>
      <c r="P270" s="13"/>
      <c r="Q270" s="13"/>
      <c r="R270" s="13"/>
      <c r="S270" s="13"/>
      <c r="T270" s="13"/>
      <c r="U270" s="13"/>
      <c r="V270" s="13"/>
      <c r="W270" s="184"/>
      <c r="X270" s="37"/>
      <c r="Y270" s="22"/>
      <c r="Z270" s="38"/>
      <c r="AA270" s="13"/>
      <c r="AB270" s="13"/>
      <c r="AC270" s="13"/>
      <c r="AD270" s="36"/>
      <c r="AE270" s="13"/>
      <c r="AF270" s="13"/>
      <c r="AG270" s="184"/>
      <c r="AH270" s="37"/>
    </row>
    <row r="271" spans="1:34">
      <c r="A271" s="14">
        <f t="shared" si="102"/>
        <v>46189</v>
      </c>
      <c r="B271" s="11"/>
      <c r="C271" s="13"/>
      <c r="D271" s="12"/>
      <c r="E271" s="12"/>
      <c r="F271" s="13"/>
      <c r="G271" s="12"/>
      <c r="H271" s="12"/>
      <c r="I271" s="12"/>
      <c r="J271" s="13"/>
      <c r="K271" s="184"/>
      <c r="L271" s="26"/>
      <c r="M271" s="22"/>
      <c r="N271" s="29"/>
      <c r="O271" s="13"/>
      <c r="P271" s="13"/>
      <c r="Q271" s="13"/>
      <c r="R271" s="13"/>
      <c r="S271" s="13"/>
      <c r="T271" s="13"/>
      <c r="U271" s="13"/>
      <c r="V271" s="13"/>
      <c r="W271" s="184"/>
      <c r="X271" s="37"/>
      <c r="Y271" s="22"/>
      <c r="Z271" s="38"/>
      <c r="AA271" s="13"/>
      <c r="AB271" s="13"/>
      <c r="AC271" s="13"/>
      <c r="AD271" s="36"/>
      <c r="AE271" s="13"/>
      <c r="AF271" s="13"/>
      <c r="AG271" s="184"/>
      <c r="AH271" s="37"/>
    </row>
    <row r="272" spans="1:34">
      <c r="A272" s="14">
        <f t="shared" si="102"/>
        <v>46190</v>
      </c>
      <c r="B272" s="11"/>
      <c r="C272" s="13"/>
      <c r="D272" s="12"/>
      <c r="E272" s="12"/>
      <c r="F272" s="13"/>
      <c r="G272" s="12"/>
      <c r="H272" s="12"/>
      <c r="I272" s="12"/>
      <c r="J272" s="13"/>
      <c r="K272" s="184"/>
      <c r="L272" s="26"/>
      <c r="M272" s="22"/>
      <c r="N272" s="29"/>
      <c r="O272" s="13"/>
      <c r="P272" s="13"/>
      <c r="Q272" s="13"/>
      <c r="R272" s="13"/>
      <c r="S272" s="13"/>
      <c r="T272" s="13"/>
      <c r="U272" s="13"/>
      <c r="V272" s="13"/>
      <c r="W272" s="184"/>
      <c r="X272" s="37"/>
      <c r="Y272" s="22"/>
      <c r="Z272" s="38"/>
      <c r="AA272" s="13"/>
      <c r="AB272" s="13"/>
      <c r="AC272" s="13"/>
      <c r="AD272" s="36"/>
      <c r="AE272" s="13"/>
      <c r="AF272" s="13"/>
      <c r="AG272" s="184"/>
      <c r="AH272" s="37"/>
    </row>
    <row r="273" spans="1:34">
      <c r="A273" s="14">
        <f t="shared" si="102"/>
        <v>46191</v>
      </c>
      <c r="B273" s="11"/>
      <c r="C273" s="13"/>
      <c r="D273" s="12"/>
      <c r="E273" s="12"/>
      <c r="F273" s="13"/>
      <c r="G273" s="12"/>
      <c r="H273" s="12"/>
      <c r="I273" s="12"/>
      <c r="J273" s="13"/>
      <c r="K273" s="184"/>
      <c r="L273" s="26"/>
      <c r="M273" s="22"/>
      <c r="N273" s="29"/>
      <c r="O273" s="13"/>
      <c r="P273" s="13"/>
      <c r="Q273" s="13"/>
      <c r="R273" s="13"/>
      <c r="S273" s="13"/>
      <c r="T273" s="13"/>
      <c r="U273" s="13"/>
      <c r="V273" s="13"/>
      <c r="W273" s="184"/>
      <c r="X273" s="37"/>
      <c r="Y273" s="22"/>
      <c r="Z273" s="38"/>
      <c r="AA273" s="13"/>
      <c r="AB273" s="13"/>
      <c r="AC273" s="13"/>
      <c r="AD273" s="36"/>
      <c r="AE273" s="13"/>
      <c r="AF273" s="13"/>
      <c r="AG273" s="184"/>
      <c r="AH273" s="37"/>
    </row>
    <row r="274" spans="1:34">
      <c r="A274" s="14">
        <f t="shared" si="102"/>
        <v>46192</v>
      </c>
      <c r="B274" s="38"/>
      <c r="C274" s="13"/>
      <c r="D274" s="12"/>
      <c r="E274" s="12"/>
      <c r="F274" s="13"/>
      <c r="G274" s="12"/>
      <c r="H274" s="12"/>
      <c r="I274" s="12"/>
      <c r="J274" s="13"/>
      <c r="K274" s="184"/>
      <c r="L274" s="26"/>
      <c r="M274" s="22"/>
      <c r="N274" s="29"/>
      <c r="O274" s="13"/>
      <c r="P274" s="13"/>
      <c r="Q274" s="13"/>
      <c r="R274" s="13"/>
      <c r="S274" s="13"/>
      <c r="T274" s="13"/>
      <c r="U274" s="13"/>
      <c r="V274" s="13"/>
      <c r="W274" s="184"/>
      <c r="X274" s="37"/>
      <c r="Y274" s="22"/>
      <c r="Z274" s="38"/>
      <c r="AA274" s="13"/>
      <c r="AB274" s="13"/>
      <c r="AC274" s="13"/>
      <c r="AD274" s="36"/>
      <c r="AE274" s="13"/>
      <c r="AF274" s="13"/>
      <c r="AG274" s="184"/>
      <c r="AH274" s="37"/>
    </row>
    <row r="275" spans="1:34">
      <c r="A275" s="14">
        <f t="shared" si="102"/>
        <v>46193</v>
      </c>
      <c r="B275" s="38"/>
      <c r="C275" s="13"/>
      <c r="D275" s="12"/>
      <c r="E275" s="12"/>
      <c r="F275" s="13"/>
      <c r="G275" s="12"/>
      <c r="H275" s="12"/>
      <c r="I275" s="13"/>
      <c r="J275" s="13"/>
      <c r="K275" s="184"/>
      <c r="L275" s="26"/>
      <c r="M275" s="22"/>
      <c r="N275" s="29"/>
      <c r="O275" s="13"/>
      <c r="P275" s="13"/>
      <c r="Q275" s="13"/>
      <c r="R275" s="13"/>
      <c r="S275" s="13"/>
      <c r="T275" s="13"/>
      <c r="U275" s="13"/>
      <c r="V275" s="13"/>
      <c r="W275" s="184"/>
      <c r="X275" s="37"/>
      <c r="Y275" s="22"/>
      <c r="Z275" s="38"/>
      <c r="AA275" s="13"/>
      <c r="AB275" s="13"/>
      <c r="AC275" s="13"/>
      <c r="AD275" s="36"/>
      <c r="AE275" s="13"/>
      <c r="AF275" s="13"/>
      <c r="AG275" s="184"/>
      <c r="AH275" s="37"/>
    </row>
    <row r="276" spans="1:34">
      <c r="A276" s="14">
        <f t="shared" si="102"/>
        <v>46194</v>
      </c>
      <c r="B276" s="38"/>
      <c r="C276" s="13"/>
      <c r="D276" s="12"/>
      <c r="E276" s="12"/>
      <c r="F276" s="13"/>
      <c r="G276" s="13"/>
      <c r="H276" s="36"/>
      <c r="I276" s="12"/>
      <c r="J276" s="13"/>
      <c r="K276" s="184"/>
      <c r="L276" s="26"/>
      <c r="M276" s="22"/>
      <c r="N276" s="29"/>
      <c r="O276" s="13"/>
      <c r="P276" s="13"/>
      <c r="Q276" s="13"/>
      <c r="R276" s="13"/>
      <c r="S276" s="13"/>
      <c r="T276" s="13"/>
      <c r="U276" s="13"/>
      <c r="V276" s="13"/>
      <c r="W276" s="184"/>
      <c r="X276" s="37"/>
      <c r="Y276" s="22"/>
      <c r="Z276" s="38"/>
      <c r="AA276" s="13"/>
      <c r="AB276" s="13"/>
      <c r="AC276" s="13"/>
      <c r="AD276" s="36"/>
      <c r="AE276" s="13"/>
      <c r="AF276" s="13"/>
      <c r="AG276" s="184"/>
      <c r="AH276" s="37"/>
    </row>
    <row r="277" spans="1:34">
      <c r="A277" s="14">
        <f t="shared" si="102"/>
        <v>46195</v>
      </c>
      <c r="B277" s="38"/>
      <c r="C277" s="13"/>
      <c r="D277" s="12"/>
      <c r="E277" s="12"/>
      <c r="F277" s="13"/>
      <c r="G277" s="12"/>
      <c r="H277" s="12"/>
      <c r="I277" s="13"/>
      <c r="J277" s="13"/>
      <c r="K277" s="184"/>
      <c r="L277" s="26"/>
      <c r="M277" s="22"/>
      <c r="N277" s="29"/>
      <c r="O277" s="13"/>
      <c r="P277" s="13"/>
      <c r="Q277" s="13"/>
      <c r="R277" s="13"/>
      <c r="S277" s="13"/>
      <c r="T277" s="13"/>
      <c r="U277" s="13"/>
      <c r="V277" s="13"/>
      <c r="W277" s="184"/>
      <c r="X277" s="37"/>
      <c r="Y277" s="22"/>
      <c r="Z277" s="38"/>
      <c r="AA277" s="13"/>
      <c r="AB277" s="13"/>
      <c r="AC277" s="13"/>
      <c r="AD277" s="36"/>
      <c r="AE277" s="13"/>
      <c r="AF277" s="13"/>
      <c r="AG277" s="184"/>
      <c r="AH277" s="37"/>
    </row>
    <row r="278" spans="1:34">
      <c r="A278" s="14">
        <f t="shared" si="102"/>
        <v>46196</v>
      </c>
      <c r="B278" s="38"/>
      <c r="C278" s="13"/>
      <c r="D278" s="12"/>
      <c r="E278" s="12"/>
      <c r="F278" s="13"/>
      <c r="G278" s="12"/>
      <c r="H278" s="12"/>
      <c r="I278" s="12"/>
      <c r="J278" s="13"/>
      <c r="K278" s="184"/>
      <c r="L278" s="26"/>
      <c r="M278" s="22"/>
      <c r="N278" s="29"/>
      <c r="O278" s="13"/>
      <c r="P278" s="13"/>
      <c r="Q278" s="13"/>
      <c r="R278" s="13"/>
      <c r="S278" s="13"/>
      <c r="T278" s="13"/>
      <c r="U278" s="13"/>
      <c r="V278" s="13"/>
      <c r="W278" s="184"/>
      <c r="X278" s="37"/>
      <c r="Y278" s="22"/>
      <c r="Z278" s="38"/>
      <c r="AA278" s="13"/>
      <c r="AB278" s="13"/>
      <c r="AC278" s="13"/>
      <c r="AD278" s="36"/>
      <c r="AE278" s="13"/>
      <c r="AF278" s="13"/>
      <c r="AG278" s="184"/>
      <c r="AH278" s="37"/>
    </row>
    <row r="279" spans="1:34">
      <c r="A279" s="14">
        <f t="shared" si="102"/>
        <v>46197</v>
      </c>
      <c r="B279" s="38"/>
      <c r="C279" s="13"/>
      <c r="D279" s="13"/>
      <c r="E279" s="13"/>
      <c r="F279" s="13"/>
      <c r="G279" s="12"/>
      <c r="H279" s="12"/>
      <c r="I279" s="13"/>
      <c r="J279" s="13"/>
      <c r="K279" s="184"/>
      <c r="L279" s="26"/>
      <c r="M279" s="22"/>
      <c r="N279" s="29"/>
      <c r="O279" s="13"/>
      <c r="P279" s="13"/>
      <c r="Q279" s="13"/>
      <c r="R279" s="13"/>
      <c r="S279" s="13"/>
      <c r="T279" s="13"/>
      <c r="U279" s="13"/>
      <c r="V279" s="13"/>
      <c r="W279" s="184"/>
      <c r="X279" s="37"/>
      <c r="Y279" s="22"/>
      <c r="Z279" s="38"/>
      <c r="AA279" s="13"/>
      <c r="AB279" s="13"/>
      <c r="AC279" s="13"/>
      <c r="AD279" s="36"/>
      <c r="AE279" s="13"/>
      <c r="AF279" s="13"/>
      <c r="AG279" s="184"/>
      <c r="AH279" s="37"/>
    </row>
    <row r="280" spans="1:34">
      <c r="A280" s="14">
        <f t="shared" si="102"/>
        <v>46198</v>
      </c>
      <c r="B280" s="38"/>
      <c r="C280" s="13"/>
      <c r="D280" s="13"/>
      <c r="E280" s="13"/>
      <c r="F280" s="13"/>
      <c r="G280" s="13"/>
      <c r="H280" s="36"/>
      <c r="I280" s="13"/>
      <c r="J280" s="13"/>
      <c r="K280" s="184"/>
      <c r="L280" s="37"/>
      <c r="M280" s="22"/>
      <c r="N280" s="29"/>
      <c r="O280" s="13"/>
      <c r="P280" s="13"/>
      <c r="Q280" s="13"/>
      <c r="R280" s="13"/>
      <c r="S280" s="13"/>
      <c r="T280" s="13"/>
      <c r="U280" s="13"/>
      <c r="V280" s="13"/>
      <c r="W280" s="184"/>
      <c r="X280" s="37"/>
      <c r="Y280" s="22"/>
      <c r="Z280" s="38"/>
      <c r="AA280" s="13"/>
      <c r="AB280" s="13"/>
      <c r="AC280" s="13"/>
      <c r="AD280" s="36"/>
      <c r="AE280" s="13"/>
      <c r="AF280" s="13"/>
      <c r="AG280" s="184"/>
      <c r="AH280" s="37"/>
    </row>
    <row r="281" spans="1:34">
      <c r="A281" s="14">
        <f t="shared" si="102"/>
        <v>46199</v>
      </c>
      <c r="B281" s="11"/>
      <c r="C281" s="12"/>
      <c r="D281" s="12"/>
      <c r="E281" s="12"/>
      <c r="F281" s="12"/>
      <c r="G281" s="12"/>
      <c r="H281" s="12"/>
      <c r="I281" s="12"/>
      <c r="J281" s="13"/>
      <c r="K281" s="184"/>
      <c r="L281" s="26"/>
      <c r="M281" s="22"/>
      <c r="N281" s="29"/>
      <c r="O281" s="13"/>
      <c r="P281" s="13"/>
      <c r="Q281" s="13"/>
      <c r="R281" s="13"/>
      <c r="S281" s="13"/>
      <c r="T281" s="13"/>
      <c r="U281" s="13"/>
      <c r="V281" s="13"/>
      <c r="W281" s="184"/>
      <c r="X281" s="37"/>
      <c r="Y281" s="22"/>
      <c r="Z281" s="38"/>
      <c r="AA281" s="13"/>
      <c r="AB281" s="13"/>
      <c r="AC281" s="13"/>
      <c r="AD281" s="36"/>
      <c r="AE281" s="13"/>
      <c r="AF281" s="13"/>
      <c r="AG281" s="184"/>
      <c r="AH281" s="37"/>
    </row>
    <row r="282" spans="1:34">
      <c r="A282" s="14">
        <f t="shared" si="102"/>
        <v>46200</v>
      </c>
      <c r="B282" s="38"/>
      <c r="C282" s="13"/>
      <c r="D282" s="13"/>
      <c r="E282" s="13"/>
      <c r="F282" s="13"/>
      <c r="G282" s="13"/>
      <c r="H282" s="36"/>
      <c r="I282" s="13"/>
      <c r="J282" s="13"/>
      <c r="K282" s="184"/>
      <c r="L282" s="26"/>
      <c r="M282" s="22"/>
      <c r="N282" s="29"/>
      <c r="O282" s="13"/>
      <c r="P282" s="13"/>
      <c r="Q282" s="13"/>
      <c r="R282" s="13"/>
      <c r="S282" s="13"/>
      <c r="T282" s="13"/>
      <c r="U282" s="13"/>
      <c r="V282" s="13"/>
      <c r="W282" s="184"/>
      <c r="X282" s="37"/>
      <c r="Y282" s="22"/>
      <c r="Z282" s="38"/>
      <c r="AA282" s="13"/>
      <c r="AB282" s="13"/>
      <c r="AC282" s="13"/>
      <c r="AD282" s="36"/>
      <c r="AE282" s="13"/>
      <c r="AF282" s="13"/>
      <c r="AG282" s="184"/>
      <c r="AH282" s="37"/>
    </row>
    <row r="283" spans="1:34">
      <c r="A283" s="14">
        <f t="shared" si="102"/>
        <v>46201</v>
      </c>
      <c r="B283" s="38"/>
      <c r="C283" s="13"/>
      <c r="D283" s="13"/>
      <c r="E283" s="13"/>
      <c r="F283" s="13"/>
      <c r="G283" s="12"/>
      <c r="H283" s="36"/>
      <c r="I283" s="13"/>
      <c r="J283" s="13"/>
      <c r="K283" s="184"/>
      <c r="L283" s="26"/>
      <c r="M283" s="22"/>
      <c r="N283" s="29"/>
      <c r="O283" s="13"/>
      <c r="P283" s="13"/>
      <c r="Q283" s="13"/>
      <c r="R283" s="13"/>
      <c r="S283" s="13"/>
      <c r="T283" s="13"/>
      <c r="U283" s="13"/>
      <c r="V283" s="13"/>
      <c r="W283" s="184"/>
      <c r="X283" s="37"/>
      <c r="Y283" s="22"/>
      <c r="Z283" s="38"/>
      <c r="AA283" s="13"/>
      <c r="AB283" s="13"/>
      <c r="AC283" s="13"/>
      <c r="AD283" s="36"/>
      <c r="AE283" s="13"/>
      <c r="AF283" s="13"/>
      <c r="AG283" s="184"/>
      <c r="AH283" s="37"/>
    </row>
    <row r="284" spans="1:34">
      <c r="A284" s="14">
        <f t="shared" si="102"/>
        <v>46202</v>
      </c>
      <c r="B284" s="38"/>
      <c r="C284" s="13"/>
      <c r="D284" s="13"/>
      <c r="E284" s="13"/>
      <c r="F284" s="13"/>
      <c r="G284" s="12"/>
      <c r="H284" s="36"/>
      <c r="I284" s="13"/>
      <c r="J284" s="13"/>
      <c r="K284" s="184"/>
      <c r="L284" s="26"/>
      <c r="M284" s="22"/>
      <c r="N284" s="29"/>
      <c r="O284" s="13"/>
      <c r="P284" s="13"/>
      <c r="Q284" s="13"/>
      <c r="R284" s="13"/>
      <c r="S284" s="13"/>
      <c r="T284" s="13"/>
      <c r="U284" s="13"/>
      <c r="V284" s="13"/>
      <c r="W284" s="184"/>
      <c r="X284" s="37"/>
      <c r="Y284" s="22"/>
      <c r="Z284" s="38"/>
      <c r="AA284" s="13"/>
      <c r="AB284" s="13"/>
      <c r="AC284" s="13"/>
      <c r="AD284" s="36"/>
      <c r="AE284" s="13"/>
      <c r="AF284" s="13"/>
      <c r="AG284" s="184"/>
      <c r="AH284" s="37"/>
    </row>
    <row r="285" spans="1:34">
      <c r="A285" s="14">
        <f t="shared" si="102"/>
        <v>46203</v>
      </c>
      <c r="B285" s="38"/>
      <c r="C285" s="13"/>
      <c r="D285" s="13"/>
      <c r="E285" s="13"/>
      <c r="F285" s="13"/>
      <c r="G285" s="12"/>
      <c r="H285" s="36"/>
      <c r="I285" s="13"/>
      <c r="J285" s="13"/>
      <c r="K285" s="184"/>
      <c r="L285" s="26"/>
      <c r="M285" s="22"/>
      <c r="N285" s="29"/>
      <c r="O285" s="13"/>
      <c r="P285" s="13"/>
      <c r="Q285" s="13"/>
      <c r="R285" s="13"/>
      <c r="S285" s="13"/>
      <c r="T285" s="13"/>
      <c r="U285" s="13"/>
      <c r="V285" s="13"/>
      <c r="W285" s="184"/>
      <c r="X285" s="37"/>
      <c r="Y285" s="22"/>
      <c r="Z285" s="38"/>
      <c r="AA285" s="13"/>
      <c r="AB285" s="13"/>
      <c r="AC285" s="13"/>
      <c r="AD285" s="36"/>
      <c r="AE285" s="13"/>
      <c r="AF285" s="13"/>
      <c r="AG285" s="184"/>
      <c r="AH285" s="37"/>
    </row>
    <row r="286" spans="1:34" ht="15.75" thickBot="1">
      <c r="A286" s="14">
        <f t="shared" si="102"/>
        <v>46204</v>
      </c>
      <c r="B286" s="11"/>
      <c r="C286" s="13"/>
      <c r="D286" s="13"/>
      <c r="E286" s="13"/>
      <c r="F286" s="13"/>
      <c r="G286" s="12"/>
      <c r="H286" s="36"/>
      <c r="I286" s="13"/>
      <c r="J286" s="13"/>
      <c r="K286" s="184"/>
      <c r="L286" s="26"/>
      <c r="M286" s="22"/>
      <c r="N286" s="29"/>
      <c r="O286" s="13"/>
      <c r="P286" s="13"/>
      <c r="Q286" s="13"/>
      <c r="R286" s="13"/>
      <c r="S286" s="13"/>
      <c r="T286" s="13"/>
      <c r="U286" s="13"/>
      <c r="V286" s="13"/>
      <c r="W286" s="184"/>
      <c r="X286" s="37"/>
      <c r="Y286" s="22"/>
      <c r="Z286" s="38"/>
      <c r="AA286" s="13"/>
      <c r="AB286" s="13"/>
      <c r="AC286" s="13"/>
      <c r="AD286" s="36"/>
      <c r="AE286" s="13"/>
      <c r="AF286" s="13"/>
      <c r="AG286" s="184"/>
      <c r="AH286" s="37"/>
    </row>
    <row r="287" spans="1:34">
      <c r="A287" s="16" t="s">
        <v>31</v>
      </c>
      <c r="B287" s="17">
        <f>MIN(B255:B286)</f>
        <v>0</v>
      </c>
      <c r="C287" s="17">
        <f>MIN(C255:C286)</f>
        <v>0</v>
      </c>
      <c r="D287" s="17">
        <f t="shared" ref="D287:L287" si="103">MIN(D255:D286)</f>
        <v>0</v>
      </c>
      <c r="E287" s="17">
        <f t="shared" si="103"/>
        <v>0</v>
      </c>
      <c r="F287" s="17">
        <f t="shared" si="103"/>
        <v>0</v>
      </c>
      <c r="G287" s="17">
        <f t="shared" si="103"/>
        <v>0</v>
      </c>
      <c r="H287" s="17">
        <f t="shared" si="103"/>
        <v>0</v>
      </c>
      <c r="I287" s="17">
        <f t="shared" si="103"/>
        <v>0</v>
      </c>
      <c r="J287" s="17">
        <f t="shared" si="103"/>
        <v>0</v>
      </c>
      <c r="K287" s="17">
        <f t="shared" si="103"/>
        <v>0</v>
      </c>
      <c r="L287" s="30">
        <f t="shared" si="103"/>
        <v>0</v>
      </c>
      <c r="M287" s="22"/>
      <c r="N287" s="17">
        <f>MIN(N255:N286)</f>
        <v>0</v>
      </c>
      <c r="O287" s="17">
        <f>MIN(O255:O286)</f>
        <v>0</v>
      </c>
      <c r="P287" s="17">
        <f t="shared" ref="P287:X287" si="104">MIN(P255:P286)</f>
        <v>0</v>
      </c>
      <c r="Q287" s="17">
        <f t="shared" si="104"/>
        <v>0</v>
      </c>
      <c r="R287" s="17">
        <f t="shared" si="104"/>
        <v>0</v>
      </c>
      <c r="S287" s="17">
        <f t="shared" si="104"/>
        <v>0</v>
      </c>
      <c r="T287" s="17">
        <f t="shared" si="104"/>
        <v>0</v>
      </c>
      <c r="U287" s="17">
        <f t="shared" si="104"/>
        <v>0</v>
      </c>
      <c r="V287" s="17">
        <f t="shared" si="104"/>
        <v>0</v>
      </c>
      <c r="W287" s="17">
        <f t="shared" si="104"/>
        <v>0</v>
      </c>
      <c r="X287" s="30">
        <f t="shared" si="104"/>
        <v>0</v>
      </c>
      <c r="Z287" s="40">
        <f t="shared" ref="Z287:AH287" si="105">MIN(Z255:Z286)</f>
        <v>0</v>
      </c>
      <c r="AA287" s="17">
        <f t="shared" si="105"/>
        <v>0</v>
      </c>
      <c r="AB287" s="17">
        <f t="shared" si="105"/>
        <v>0</v>
      </c>
      <c r="AC287" s="17">
        <f t="shared" si="105"/>
        <v>0</v>
      </c>
      <c r="AD287" s="17">
        <f t="shared" si="105"/>
        <v>0</v>
      </c>
      <c r="AE287" s="17">
        <f t="shared" si="105"/>
        <v>0</v>
      </c>
      <c r="AF287" s="17">
        <f t="shared" si="105"/>
        <v>0</v>
      </c>
      <c r="AG287" s="17">
        <f t="shared" si="105"/>
        <v>0</v>
      </c>
      <c r="AH287" s="30">
        <f t="shared" si="105"/>
        <v>0</v>
      </c>
    </row>
    <row r="288" spans="1:34">
      <c r="A288" s="18" t="s">
        <v>33</v>
      </c>
      <c r="B288" s="19">
        <f>MAX(B255:B286)</f>
        <v>0</v>
      </c>
      <c r="C288" s="19">
        <f>MAX(C255:C286)</f>
        <v>0</v>
      </c>
      <c r="D288" s="19">
        <f t="shared" ref="D288:L288" si="106">MAX(D255:D286)</f>
        <v>0</v>
      </c>
      <c r="E288" s="19">
        <f t="shared" si="106"/>
        <v>0</v>
      </c>
      <c r="F288" s="19">
        <f t="shared" si="106"/>
        <v>0</v>
      </c>
      <c r="G288" s="19">
        <f t="shared" si="106"/>
        <v>0</v>
      </c>
      <c r="H288" s="19">
        <f t="shared" si="106"/>
        <v>0</v>
      </c>
      <c r="I288" s="19">
        <f t="shared" si="106"/>
        <v>0</v>
      </c>
      <c r="J288" s="19">
        <f t="shared" si="106"/>
        <v>0</v>
      </c>
      <c r="K288" s="19">
        <f t="shared" si="106"/>
        <v>0</v>
      </c>
      <c r="L288" s="31">
        <f t="shared" si="106"/>
        <v>0</v>
      </c>
      <c r="M288" s="22"/>
      <c r="N288" s="19">
        <f>MAX(N255:N286)</f>
        <v>0</v>
      </c>
      <c r="O288" s="19">
        <f>MAX(O255:O286)</f>
        <v>0</v>
      </c>
      <c r="P288" s="19">
        <f t="shared" ref="P288:X288" si="107">MAX(P255:P286)</f>
        <v>0</v>
      </c>
      <c r="Q288" s="19">
        <f t="shared" si="107"/>
        <v>0</v>
      </c>
      <c r="R288" s="19">
        <f t="shared" si="107"/>
        <v>0</v>
      </c>
      <c r="S288" s="19">
        <f t="shared" si="107"/>
        <v>0</v>
      </c>
      <c r="T288" s="19">
        <f t="shared" si="107"/>
        <v>0</v>
      </c>
      <c r="U288" s="19">
        <f t="shared" si="107"/>
        <v>0</v>
      </c>
      <c r="V288" s="19">
        <f t="shared" si="107"/>
        <v>0</v>
      </c>
      <c r="W288" s="19">
        <f t="shared" si="107"/>
        <v>0</v>
      </c>
      <c r="X288" s="31">
        <f t="shared" si="107"/>
        <v>0</v>
      </c>
      <c r="Z288" s="41">
        <f t="shared" ref="Z288:AH288" si="108">MAX(Z255:Z286)</f>
        <v>0</v>
      </c>
      <c r="AA288" s="19">
        <f t="shared" si="108"/>
        <v>0</v>
      </c>
      <c r="AB288" s="19">
        <f t="shared" si="108"/>
        <v>0</v>
      </c>
      <c r="AC288" s="19">
        <f t="shared" si="108"/>
        <v>0</v>
      </c>
      <c r="AD288" s="19">
        <f t="shared" si="108"/>
        <v>0</v>
      </c>
      <c r="AE288" s="19">
        <f t="shared" si="108"/>
        <v>0</v>
      </c>
      <c r="AF288" s="19">
        <f t="shared" si="108"/>
        <v>0</v>
      </c>
      <c r="AG288" s="19">
        <f t="shared" si="108"/>
        <v>0</v>
      </c>
      <c r="AH288" s="31">
        <f t="shared" si="108"/>
        <v>0</v>
      </c>
    </row>
    <row r="289" spans="1:34">
      <c r="A289" s="18" t="s">
        <v>36</v>
      </c>
      <c r="B289" s="19" t="e">
        <f t="shared" ref="B289:L289" si="109">AVERAGE(B255:B286)</f>
        <v>#DIV/0!</v>
      </c>
      <c r="C289" s="19" t="e">
        <f t="shared" si="109"/>
        <v>#DIV/0!</v>
      </c>
      <c r="D289" s="19" t="e">
        <f t="shared" si="109"/>
        <v>#DIV/0!</v>
      </c>
      <c r="E289" s="19" t="e">
        <f t="shared" si="109"/>
        <v>#DIV/0!</v>
      </c>
      <c r="F289" s="19" t="e">
        <f t="shared" si="109"/>
        <v>#DIV/0!</v>
      </c>
      <c r="G289" s="19" t="e">
        <f t="shared" si="109"/>
        <v>#DIV/0!</v>
      </c>
      <c r="H289" s="19" t="e">
        <f t="shared" si="109"/>
        <v>#DIV/0!</v>
      </c>
      <c r="I289" s="19" t="e">
        <f t="shared" si="109"/>
        <v>#DIV/0!</v>
      </c>
      <c r="J289" s="19" t="e">
        <f t="shared" si="109"/>
        <v>#DIV/0!</v>
      </c>
      <c r="K289" s="19" t="e">
        <f t="shared" si="109"/>
        <v>#DIV/0!</v>
      </c>
      <c r="L289" s="31" t="e">
        <f t="shared" si="109"/>
        <v>#DIV/0!</v>
      </c>
      <c r="M289" s="22"/>
      <c r="N289" s="19" t="e">
        <f t="shared" ref="N289:X289" si="110">AVERAGE(N255:N286)</f>
        <v>#DIV/0!</v>
      </c>
      <c r="O289" s="19" t="e">
        <f t="shared" si="110"/>
        <v>#DIV/0!</v>
      </c>
      <c r="P289" s="19" t="e">
        <f t="shared" si="110"/>
        <v>#DIV/0!</v>
      </c>
      <c r="Q289" s="19" t="e">
        <f t="shared" si="110"/>
        <v>#DIV/0!</v>
      </c>
      <c r="R289" s="19" t="e">
        <f t="shared" si="110"/>
        <v>#DIV/0!</v>
      </c>
      <c r="S289" s="19" t="e">
        <f t="shared" si="110"/>
        <v>#DIV/0!</v>
      </c>
      <c r="T289" s="19" t="e">
        <f t="shared" si="110"/>
        <v>#DIV/0!</v>
      </c>
      <c r="U289" s="19" t="e">
        <f t="shared" si="110"/>
        <v>#DIV/0!</v>
      </c>
      <c r="V289" s="19" t="e">
        <f t="shared" si="110"/>
        <v>#DIV/0!</v>
      </c>
      <c r="W289" s="19" t="e">
        <f t="shared" si="110"/>
        <v>#DIV/0!</v>
      </c>
      <c r="X289" s="31" t="e">
        <f t="shared" si="110"/>
        <v>#DIV/0!</v>
      </c>
      <c r="Z289" s="41" t="e">
        <f>AVERAGE(Z255:Z286)</f>
        <v>#DIV/0!</v>
      </c>
      <c r="AA289" s="19" t="e">
        <f t="shared" ref="AA289:AH289" si="111">AVERAGE(AA255:AA286)</f>
        <v>#DIV/0!</v>
      </c>
      <c r="AB289" s="19" t="e">
        <f t="shared" si="111"/>
        <v>#DIV/0!</v>
      </c>
      <c r="AC289" s="19" t="e">
        <f t="shared" si="111"/>
        <v>#DIV/0!</v>
      </c>
      <c r="AD289" s="19" t="e">
        <f t="shared" si="111"/>
        <v>#DIV/0!</v>
      </c>
      <c r="AE289" s="19" t="e">
        <f t="shared" si="111"/>
        <v>#DIV/0!</v>
      </c>
      <c r="AF289" s="19" t="e">
        <f t="shared" si="111"/>
        <v>#DIV/0!</v>
      </c>
      <c r="AG289" s="19" t="e">
        <f t="shared" si="111"/>
        <v>#DIV/0!</v>
      </c>
      <c r="AH289" s="31" t="e">
        <f t="shared" si="111"/>
        <v>#DIV/0!</v>
      </c>
    </row>
    <row r="290" spans="1:34" ht="15.75" thickBot="1">
      <c r="A290" s="20" t="s">
        <v>130</v>
      </c>
      <c r="B290" s="21" t="e">
        <f>STDEV(B255:B286)</f>
        <v>#DIV/0!</v>
      </c>
      <c r="C290" s="21" t="e">
        <f t="shared" ref="C290:L290" si="112">STDEV(C255:C286)</f>
        <v>#DIV/0!</v>
      </c>
      <c r="D290" s="21" t="e">
        <f t="shared" si="112"/>
        <v>#DIV/0!</v>
      </c>
      <c r="E290" s="21" t="e">
        <f t="shared" si="112"/>
        <v>#DIV/0!</v>
      </c>
      <c r="F290" s="21" t="e">
        <f t="shared" si="112"/>
        <v>#DIV/0!</v>
      </c>
      <c r="G290" s="21" t="e">
        <f t="shared" si="112"/>
        <v>#DIV/0!</v>
      </c>
      <c r="H290" s="21" t="e">
        <f t="shared" si="112"/>
        <v>#DIV/0!</v>
      </c>
      <c r="I290" s="21" t="e">
        <f t="shared" si="112"/>
        <v>#DIV/0!</v>
      </c>
      <c r="J290" s="21" t="e">
        <f t="shared" si="112"/>
        <v>#DIV/0!</v>
      </c>
      <c r="K290" s="21" t="e">
        <f t="shared" si="112"/>
        <v>#DIV/0!</v>
      </c>
      <c r="L290" s="32" t="e">
        <f t="shared" si="112"/>
        <v>#DIV/0!</v>
      </c>
      <c r="M290" s="22"/>
      <c r="N290" s="21" t="e">
        <f>STDEV(N255:N286)</f>
        <v>#DIV/0!</v>
      </c>
      <c r="O290" s="21" t="e">
        <f t="shared" ref="O290:X290" si="113">STDEV(O255:O286)</f>
        <v>#DIV/0!</v>
      </c>
      <c r="P290" s="21" t="e">
        <f t="shared" si="113"/>
        <v>#DIV/0!</v>
      </c>
      <c r="Q290" s="21" t="e">
        <f t="shared" si="113"/>
        <v>#DIV/0!</v>
      </c>
      <c r="R290" s="21" t="e">
        <f t="shared" si="113"/>
        <v>#DIV/0!</v>
      </c>
      <c r="S290" s="21" t="e">
        <f t="shared" si="113"/>
        <v>#DIV/0!</v>
      </c>
      <c r="T290" s="21" t="e">
        <f t="shared" si="113"/>
        <v>#DIV/0!</v>
      </c>
      <c r="U290" s="21" t="e">
        <f t="shared" si="113"/>
        <v>#DIV/0!</v>
      </c>
      <c r="V290" s="21" t="e">
        <f t="shared" si="113"/>
        <v>#DIV/0!</v>
      </c>
      <c r="W290" s="21" t="e">
        <f t="shared" si="113"/>
        <v>#DIV/0!</v>
      </c>
      <c r="X290" s="32" t="e">
        <f t="shared" si="113"/>
        <v>#DIV/0!</v>
      </c>
      <c r="Z290" s="42" t="e">
        <f>STDEV(Z255:Z286)</f>
        <v>#DIV/0!</v>
      </c>
      <c r="AA290" s="21" t="e">
        <f t="shared" ref="AA290:AH290" si="114">STDEV(AA255:AA286)</f>
        <v>#DIV/0!</v>
      </c>
      <c r="AB290" s="21" t="e">
        <f t="shared" si="114"/>
        <v>#DIV/0!</v>
      </c>
      <c r="AC290" s="21" t="e">
        <f t="shared" si="114"/>
        <v>#DIV/0!</v>
      </c>
      <c r="AD290" s="21" t="e">
        <f t="shared" si="114"/>
        <v>#DIV/0!</v>
      </c>
      <c r="AE290" s="21" t="e">
        <f t="shared" si="114"/>
        <v>#DIV/0!</v>
      </c>
      <c r="AF290" s="21" t="e">
        <f t="shared" si="114"/>
        <v>#DIV/0!</v>
      </c>
      <c r="AG290" s="21" t="e">
        <f t="shared" si="114"/>
        <v>#DIV/0!</v>
      </c>
      <c r="AH290" s="32" t="e">
        <f t="shared" si="114"/>
        <v>#DIV/0!</v>
      </c>
    </row>
    <row r="291" spans="1:34" ht="15.75" thickBot="1"/>
    <row r="292" spans="1:34" ht="15.75" thickBot="1">
      <c r="A292" s="1"/>
      <c r="B292" s="338" t="s">
        <v>0</v>
      </c>
      <c r="C292" s="339"/>
      <c r="D292" s="339"/>
      <c r="E292" s="339"/>
      <c r="F292" s="339"/>
      <c r="G292" s="339"/>
      <c r="H292" s="339"/>
      <c r="I292" s="339"/>
      <c r="J292" s="339"/>
      <c r="K292" s="339"/>
      <c r="L292" s="339"/>
      <c r="M292" s="339"/>
      <c r="N292" s="339"/>
      <c r="O292" s="339"/>
      <c r="P292" s="339"/>
      <c r="Q292" s="339"/>
      <c r="R292" s="339"/>
      <c r="S292" s="339"/>
      <c r="T292" s="339"/>
      <c r="U292" s="339"/>
      <c r="V292" s="339"/>
      <c r="W292" s="339"/>
      <c r="X292" s="339"/>
      <c r="Y292" s="339"/>
      <c r="Z292" s="339"/>
      <c r="AA292" s="339"/>
      <c r="AB292" s="339"/>
      <c r="AC292" s="339"/>
      <c r="AD292" s="340"/>
      <c r="AE292" s="340"/>
      <c r="AF292" s="340"/>
      <c r="AG292" s="340"/>
      <c r="AH292" s="340"/>
    </row>
    <row r="293" spans="1:34" ht="15.75" thickBot="1">
      <c r="A293" s="1"/>
      <c r="B293" s="338" t="s">
        <v>160</v>
      </c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39"/>
      <c r="N293" s="339"/>
      <c r="O293" s="339"/>
      <c r="P293" s="339"/>
      <c r="Q293" s="339"/>
      <c r="R293" s="339"/>
      <c r="S293" s="339"/>
      <c r="T293" s="339"/>
      <c r="U293" s="339"/>
      <c r="V293" s="339"/>
      <c r="W293" s="339"/>
      <c r="X293" s="339"/>
      <c r="Y293" s="339"/>
      <c r="Z293" s="339"/>
      <c r="AA293" s="339"/>
      <c r="AB293" s="339"/>
      <c r="AC293" s="339"/>
      <c r="AD293" s="4"/>
      <c r="AE293" s="43" t="s">
        <v>107</v>
      </c>
      <c r="AF293" s="341">
        <v>46204</v>
      </c>
      <c r="AG293" s="342"/>
      <c r="AH293" s="343"/>
    </row>
    <row r="294" spans="1:34">
      <c r="A294" s="344"/>
      <c r="B294" s="346" t="s">
        <v>132</v>
      </c>
      <c r="C294" s="347"/>
      <c r="D294" s="347"/>
      <c r="E294" s="347"/>
      <c r="F294" s="347"/>
      <c r="G294" s="347"/>
      <c r="H294" s="347"/>
      <c r="I294" s="347"/>
      <c r="J294" s="347"/>
      <c r="K294" s="348"/>
      <c r="L294" s="349"/>
      <c r="M294" s="22"/>
      <c r="N294" s="350" t="s">
        <v>133</v>
      </c>
      <c r="O294" s="347"/>
      <c r="P294" s="347"/>
      <c r="Q294" s="347"/>
      <c r="R294" s="347"/>
      <c r="S294" s="347"/>
      <c r="T294" s="347"/>
      <c r="U294" s="347"/>
      <c r="V294" s="347"/>
      <c r="W294" s="348"/>
      <c r="X294" s="349"/>
      <c r="Y294" s="22"/>
      <c r="Z294" s="346" t="s">
        <v>134</v>
      </c>
      <c r="AA294" s="347"/>
      <c r="AB294" s="347"/>
      <c r="AC294" s="347"/>
      <c r="AD294" s="347"/>
      <c r="AE294" s="347"/>
      <c r="AF294" s="347"/>
      <c r="AG294" s="348"/>
      <c r="AH294" s="349"/>
    </row>
    <row r="295" spans="1:34" ht="25.5">
      <c r="A295" s="345"/>
      <c r="B295" s="359" t="s">
        <v>135</v>
      </c>
      <c r="C295" s="361" t="s">
        <v>136</v>
      </c>
      <c r="D295" s="5" t="s">
        <v>137</v>
      </c>
      <c r="E295" s="5" t="s">
        <v>138</v>
      </c>
      <c r="F295" s="5" t="s">
        <v>139</v>
      </c>
      <c r="G295" s="5" t="s">
        <v>140</v>
      </c>
      <c r="H295" s="5" t="s">
        <v>141</v>
      </c>
      <c r="I295" s="5" t="s">
        <v>142</v>
      </c>
      <c r="J295" s="5" t="s">
        <v>143</v>
      </c>
      <c r="K295" s="181" t="s">
        <v>81</v>
      </c>
      <c r="L295" s="23" t="s">
        <v>144</v>
      </c>
      <c r="M295" s="22"/>
      <c r="N295" s="355" t="s">
        <v>135</v>
      </c>
      <c r="O295" s="357" t="s">
        <v>136</v>
      </c>
      <c r="P295" s="5" t="s">
        <v>137</v>
      </c>
      <c r="Q295" s="5" t="s">
        <v>138</v>
      </c>
      <c r="R295" s="5" t="s">
        <v>139</v>
      </c>
      <c r="S295" s="5" t="s">
        <v>140</v>
      </c>
      <c r="T295" s="5" t="s">
        <v>141</v>
      </c>
      <c r="U295" s="5" t="s">
        <v>142</v>
      </c>
      <c r="V295" s="5" t="s">
        <v>143</v>
      </c>
      <c r="W295" s="181" t="s">
        <v>81</v>
      </c>
      <c r="X295" s="23" t="s">
        <v>144</v>
      </c>
      <c r="Y295" s="22"/>
      <c r="Z295" s="33" t="s">
        <v>137</v>
      </c>
      <c r="AA295" s="5" t="s">
        <v>138</v>
      </c>
      <c r="AB295" s="5" t="s">
        <v>139</v>
      </c>
      <c r="AC295" s="5" t="s">
        <v>140</v>
      </c>
      <c r="AD295" s="5" t="s">
        <v>141</v>
      </c>
      <c r="AE295" s="5" t="s">
        <v>142</v>
      </c>
      <c r="AF295" s="5" t="s">
        <v>143</v>
      </c>
      <c r="AG295" s="181" t="s">
        <v>81</v>
      </c>
      <c r="AH295" s="23" t="s">
        <v>144</v>
      </c>
    </row>
    <row r="296" spans="1:34">
      <c r="A296" s="6" t="s">
        <v>145</v>
      </c>
      <c r="B296" s="360"/>
      <c r="C296" s="362"/>
      <c r="D296" s="5" t="s">
        <v>128</v>
      </c>
      <c r="E296" s="5" t="s">
        <v>128</v>
      </c>
      <c r="F296" s="5" t="s">
        <v>128</v>
      </c>
      <c r="G296" s="5" t="s">
        <v>128</v>
      </c>
      <c r="H296" s="5" t="s">
        <v>125</v>
      </c>
      <c r="I296" s="5" t="s">
        <v>146</v>
      </c>
      <c r="J296" s="5" t="s">
        <v>127</v>
      </c>
      <c r="K296" s="181" t="s">
        <v>53</v>
      </c>
      <c r="L296" s="23" t="s">
        <v>53</v>
      </c>
      <c r="M296" s="22"/>
      <c r="N296" s="356"/>
      <c r="O296" s="358"/>
      <c r="P296" s="5" t="s">
        <v>128</v>
      </c>
      <c r="Q296" s="5" t="s">
        <v>128</v>
      </c>
      <c r="R296" s="5" t="s">
        <v>128</v>
      </c>
      <c r="S296" s="5" t="s">
        <v>128</v>
      </c>
      <c r="T296" s="5" t="s">
        <v>125</v>
      </c>
      <c r="U296" s="5" t="s">
        <v>146</v>
      </c>
      <c r="V296" s="5" t="s">
        <v>127</v>
      </c>
      <c r="W296" s="181" t="s">
        <v>53</v>
      </c>
      <c r="X296" s="23" t="s">
        <v>53</v>
      </c>
      <c r="Y296" s="22"/>
      <c r="Z296" s="33" t="s">
        <v>128</v>
      </c>
      <c r="AA296" s="5" t="s">
        <v>128</v>
      </c>
      <c r="AB296" s="5" t="s">
        <v>128</v>
      </c>
      <c r="AC296" s="5" t="s">
        <v>128</v>
      </c>
      <c r="AD296" s="5" t="s">
        <v>125</v>
      </c>
      <c r="AE296" s="5" t="s">
        <v>146</v>
      </c>
      <c r="AF296" s="5" t="s">
        <v>127</v>
      </c>
      <c r="AG296" s="181" t="s">
        <v>53</v>
      </c>
      <c r="AH296" s="23" t="s">
        <v>53</v>
      </c>
    </row>
    <row r="297" spans="1:34" ht="39" thickBot="1">
      <c r="A297" s="7" t="s">
        <v>147</v>
      </c>
      <c r="B297" s="8" t="s">
        <v>148</v>
      </c>
      <c r="C297" s="9" t="s">
        <v>149</v>
      </c>
      <c r="D297" s="9" t="s">
        <v>161</v>
      </c>
      <c r="E297" s="9" t="s">
        <v>162</v>
      </c>
      <c r="F297" s="9" t="s">
        <v>163</v>
      </c>
      <c r="G297" s="9" t="s">
        <v>164</v>
      </c>
      <c r="H297" s="9" t="s">
        <v>154</v>
      </c>
      <c r="I297" s="24" t="s">
        <v>155</v>
      </c>
      <c r="J297" s="24" t="s">
        <v>156</v>
      </c>
      <c r="K297" s="24" t="s">
        <v>179</v>
      </c>
      <c r="L297" s="25" t="s">
        <v>157</v>
      </c>
      <c r="M297" s="22"/>
      <c r="N297" s="8" t="s">
        <v>148</v>
      </c>
      <c r="O297" s="9" t="s">
        <v>149</v>
      </c>
      <c r="P297" s="9" t="s">
        <v>161</v>
      </c>
      <c r="Q297" s="9" t="s">
        <v>162</v>
      </c>
      <c r="R297" s="9" t="s">
        <v>163</v>
      </c>
      <c r="S297" s="9" t="s">
        <v>164</v>
      </c>
      <c r="T297" s="9" t="s">
        <v>154</v>
      </c>
      <c r="U297" s="24" t="s">
        <v>155</v>
      </c>
      <c r="V297" s="24" t="s">
        <v>156</v>
      </c>
      <c r="W297" s="24" t="s">
        <v>179</v>
      </c>
      <c r="X297" s="25" t="s">
        <v>157</v>
      </c>
      <c r="Y297" s="22"/>
      <c r="Z297" s="8" t="s">
        <v>161</v>
      </c>
      <c r="AA297" s="9" t="s">
        <v>162</v>
      </c>
      <c r="AB297" s="9" t="s">
        <v>163</v>
      </c>
      <c r="AC297" s="9" t="s">
        <v>164</v>
      </c>
      <c r="AD297" s="9" t="s">
        <v>154</v>
      </c>
      <c r="AE297" s="9" t="s">
        <v>155</v>
      </c>
      <c r="AF297" s="9" t="s">
        <v>156</v>
      </c>
      <c r="AG297" s="24" t="s">
        <v>179</v>
      </c>
      <c r="AH297" s="23" t="s">
        <v>157</v>
      </c>
    </row>
    <row r="298" spans="1:34">
      <c r="A298" s="10">
        <f>AF293+0</f>
        <v>46204</v>
      </c>
      <c r="B298" s="11"/>
      <c r="C298" s="54"/>
      <c r="D298" s="54"/>
      <c r="E298" s="54"/>
      <c r="F298" s="54"/>
      <c r="G298" s="54"/>
      <c r="H298" s="54"/>
      <c r="I298" s="54"/>
      <c r="J298" s="54"/>
      <c r="K298" s="183"/>
      <c r="L298" s="55"/>
      <c r="M298" s="22"/>
      <c r="N298" s="29"/>
      <c r="O298" s="13"/>
      <c r="P298" s="13"/>
      <c r="Q298" s="13"/>
      <c r="R298" s="13"/>
      <c r="S298" s="13"/>
      <c r="T298" s="13"/>
      <c r="U298" s="13"/>
      <c r="V298" s="13"/>
      <c r="W298" s="183"/>
      <c r="X298" s="37"/>
      <c r="Y298" s="22"/>
      <c r="Z298" s="148"/>
      <c r="AA298" s="63"/>
      <c r="AB298" s="63"/>
      <c r="AC298" s="63"/>
      <c r="AD298" s="63"/>
      <c r="AE298" s="63"/>
      <c r="AF298" s="63"/>
      <c r="AG298" s="183"/>
      <c r="AH298" s="149"/>
    </row>
    <row r="299" spans="1:34">
      <c r="A299" s="14">
        <f t="shared" ref="A299:A328" si="115">A298+1</f>
        <v>46205</v>
      </c>
      <c r="B299" s="11"/>
      <c r="C299" s="54"/>
      <c r="D299" s="54"/>
      <c r="E299" s="54"/>
      <c r="F299" s="54"/>
      <c r="G299" s="54"/>
      <c r="H299" s="54"/>
      <c r="I299" s="54"/>
      <c r="J299" s="54"/>
      <c r="K299" s="183"/>
      <c r="L299" s="55"/>
      <c r="M299" s="22"/>
      <c r="N299" s="29"/>
      <c r="O299" s="13"/>
      <c r="P299" s="13"/>
      <c r="Q299" s="13"/>
      <c r="R299" s="13"/>
      <c r="S299" s="13"/>
      <c r="T299" s="13"/>
      <c r="U299" s="13"/>
      <c r="V299" s="13"/>
      <c r="W299" s="183"/>
      <c r="X299" s="37"/>
      <c r="Y299" s="22"/>
      <c r="Z299" s="38"/>
      <c r="AA299" s="13"/>
      <c r="AB299" s="13"/>
      <c r="AC299" s="13"/>
      <c r="AD299" s="13"/>
      <c r="AE299" s="13"/>
      <c r="AF299" s="13"/>
      <c r="AG299" s="183"/>
      <c r="AH299" s="45"/>
    </row>
    <row r="300" spans="1:34">
      <c r="A300" s="14">
        <f t="shared" si="115"/>
        <v>46206</v>
      </c>
      <c r="B300" s="11"/>
      <c r="C300" s="12"/>
      <c r="D300" s="12"/>
      <c r="E300" s="12"/>
      <c r="F300" s="12"/>
      <c r="G300" s="12"/>
      <c r="H300" s="12"/>
      <c r="I300" s="13"/>
      <c r="J300" s="13"/>
      <c r="K300" s="184"/>
      <c r="L300" s="26"/>
      <c r="M300" s="22"/>
      <c r="N300" s="29"/>
      <c r="O300" s="13"/>
      <c r="P300" s="13"/>
      <c r="Q300" s="13"/>
      <c r="R300" s="13"/>
      <c r="S300" s="13"/>
      <c r="T300" s="13"/>
      <c r="U300" s="13"/>
      <c r="V300" s="13"/>
      <c r="W300" s="184"/>
      <c r="X300" s="37"/>
      <c r="Y300" s="22"/>
      <c r="Z300" s="38"/>
      <c r="AA300" s="13"/>
      <c r="AB300" s="13"/>
      <c r="AC300" s="13"/>
      <c r="AD300" s="13"/>
      <c r="AE300" s="13"/>
      <c r="AF300" s="13"/>
      <c r="AG300" s="184"/>
      <c r="AH300" s="45"/>
    </row>
    <row r="301" spans="1:34">
      <c r="A301" s="14">
        <f t="shared" si="115"/>
        <v>46207</v>
      </c>
      <c r="B301" s="11"/>
      <c r="C301" s="12"/>
      <c r="D301" s="12"/>
      <c r="E301" s="12"/>
      <c r="F301" s="12"/>
      <c r="G301" s="12"/>
      <c r="H301" s="12"/>
      <c r="I301" s="12"/>
      <c r="J301" s="13"/>
      <c r="K301" s="184"/>
      <c r="L301" s="26"/>
      <c r="M301" s="22"/>
      <c r="N301" s="29"/>
      <c r="O301" s="13"/>
      <c r="P301" s="13"/>
      <c r="Q301" s="13"/>
      <c r="R301" s="13"/>
      <c r="S301" s="13"/>
      <c r="T301" s="13"/>
      <c r="U301" s="13"/>
      <c r="V301" s="13"/>
      <c r="W301" s="184"/>
      <c r="X301" s="37"/>
      <c r="Y301" s="22"/>
      <c r="Z301" s="38"/>
      <c r="AA301" s="13"/>
      <c r="AB301" s="13"/>
      <c r="AC301" s="13"/>
      <c r="AD301" s="13"/>
      <c r="AE301" s="13"/>
      <c r="AF301" s="13"/>
      <c r="AG301" s="184"/>
      <c r="AH301" s="45"/>
    </row>
    <row r="302" spans="1:34">
      <c r="A302" s="14">
        <f t="shared" si="115"/>
        <v>46208</v>
      </c>
      <c r="B302" s="11"/>
      <c r="C302" s="12"/>
      <c r="D302" s="12"/>
      <c r="E302" s="12"/>
      <c r="F302" s="12"/>
      <c r="G302" s="12"/>
      <c r="H302" s="12"/>
      <c r="I302" s="12"/>
      <c r="J302" s="13"/>
      <c r="K302" s="184"/>
      <c r="L302" s="26"/>
      <c r="M302" s="22"/>
      <c r="N302" s="29"/>
      <c r="O302" s="13"/>
      <c r="P302" s="13"/>
      <c r="Q302" s="13"/>
      <c r="R302" s="13"/>
      <c r="S302" s="13"/>
      <c r="T302" s="13"/>
      <c r="U302" s="13"/>
      <c r="V302" s="13"/>
      <c r="W302" s="184"/>
      <c r="X302" s="37"/>
      <c r="Y302" s="22"/>
      <c r="Z302" s="38"/>
      <c r="AA302" s="13"/>
      <c r="AB302" s="13"/>
      <c r="AC302" s="13"/>
      <c r="AD302" s="36"/>
      <c r="AE302" s="13"/>
      <c r="AF302" s="13"/>
      <c r="AG302" s="184"/>
      <c r="AH302" s="46"/>
    </row>
    <row r="303" spans="1:34">
      <c r="A303" s="14">
        <f t="shared" si="115"/>
        <v>46209</v>
      </c>
      <c r="B303" s="11"/>
      <c r="C303" s="12"/>
      <c r="D303" s="12"/>
      <c r="E303" s="12"/>
      <c r="F303" s="12"/>
      <c r="G303" s="12"/>
      <c r="H303" s="12"/>
      <c r="I303" s="12"/>
      <c r="J303" s="13"/>
      <c r="K303" s="184"/>
      <c r="L303" s="26"/>
      <c r="M303" s="22"/>
      <c r="N303" s="29"/>
      <c r="O303" s="13"/>
      <c r="P303" s="13"/>
      <c r="Q303" s="13"/>
      <c r="R303" s="13"/>
      <c r="S303" s="13"/>
      <c r="T303" s="13"/>
      <c r="U303" s="13"/>
      <c r="V303" s="13"/>
      <c r="W303" s="184"/>
      <c r="X303" s="37"/>
      <c r="Y303" s="22"/>
      <c r="Z303" s="38"/>
      <c r="AA303" s="13"/>
      <c r="AB303" s="13"/>
      <c r="AC303" s="13"/>
      <c r="AD303" s="13"/>
      <c r="AE303" s="13"/>
      <c r="AF303" s="13"/>
      <c r="AG303" s="184"/>
      <c r="AH303" s="45"/>
    </row>
    <row r="304" spans="1:34">
      <c r="A304" s="14">
        <f t="shared" si="115"/>
        <v>46210</v>
      </c>
      <c r="B304" s="11"/>
      <c r="C304" s="12"/>
      <c r="D304" s="12"/>
      <c r="E304" s="12"/>
      <c r="F304" s="12"/>
      <c r="G304" s="12"/>
      <c r="H304" s="12"/>
      <c r="I304" s="12"/>
      <c r="J304" s="13"/>
      <c r="K304" s="184"/>
      <c r="L304" s="26"/>
      <c r="M304" s="22"/>
      <c r="N304" s="29"/>
      <c r="O304" s="13"/>
      <c r="P304" s="13"/>
      <c r="Q304" s="13"/>
      <c r="R304" s="13"/>
      <c r="S304" s="13"/>
      <c r="T304" s="13"/>
      <c r="U304" s="13"/>
      <c r="V304" s="13"/>
      <c r="W304" s="184"/>
      <c r="X304" s="37"/>
      <c r="Y304" s="22"/>
      <c r="Z304" s="38"/>
      <c r="AA304" s="13"/>
      <c r="AB304" s="13"/>
      <c r="AC304" s="13"/>
      <c r="AD304" s="13"/>
      <c r="AE304" s="13"/>
      <c r="AF304" s="13"/>
      <c r="AG304" s="184"/>
      <c r="AH304" s="45"/>
    </row>
    <row r="305" spans="1:34">
      <c r="A305" s="14">
        <f t="shared" si="115"/>
        <v>46211</v>
      </c>
      <c r="B305" s="11"/>
      <c r="C305" s="12"/>
      <c r="D305" s="12"/>
      <c r="E305" s="12"/>
      <c r="F305" s="12"/>
      <c r="G305" s="12"/>
      <c r="H305" s="12"/>
      <c r="I305" s="12"/>
      <c r="J305" s="13"/>
      <c r="K305" s="184"/>
      <c r="L305" s="26"/>
      <c r="M305" s="22"/>
      <c r="N305" s="29"/>
      <c r="O305" s="13"/>
      <c r="P305" s="13"/>
      <c r="Q305" s="13"/>
      <c r="R305" s="13"/>
      <c r="S305" s="13"/>
      <c r="T305" s="13"/>
      <c r="U305" s="13"/>
      <c r="V305" s="13"/>
      <c r="W305" s="184"/>
      <c r="X305" s="37"/>
      <c r="Y305" s="22"/>
      <c r="Z305" s="38"/>
      <c r="AA305" s="13"/>
      <c r="AB305" s="13"/>
      <c r="AC305" s="13"/>
      <c r="AD305" s="13"/>
      <c r="AE305" s="13"/>
      <c r="AF305" s="13"/>
      <c r="AG305" s="184"/>
      <c r="AH305" s="45"/>
    </row>
    <row r="306" spans="1:34">
      <c r="A306" s="14">
        <f t="shared" si="115"/>
        <v>46212</v>
      </c>
      <c r="B306" s="11"/>
      <c r="C306" s="12"/>
      <c r="D306" s="12"/>
      <c r="E306" s="12"/>
      <c r="F306" s="12"/>
      <c r="G306" s="12"/>
      <c r="H306" s="12"/>
      <c r="I306" s="12"/>
      <c r="J306" s="13"/>
      <c r="K306" s="184"/>
      <c r="L306" s="26"/>
      <c r="M306" s="22"/>
      <c r="N306" s="29"/>
      <c r="O306" s="13"/>
      <c r="P306" s="13"/>
      <c r="Q306" s="13"/>
      <c r="R306" s="13"/>
      <c r="S306" s="13"/>
      <c r="T306" s="13"/>
      <c r="U306" s="13"/>
      <c r="V306" s="13"/>
      <c r="W306" s="184"/>
      <c r="X306" s="37"/>
      <c r="Y306" s="22"/>
      <c r="Z306" s="38"/>
      <c r="AA306" s="13"/>
      <c r="AB306" s="13"/>
      <c r="AC306" s="13"/>
      <c r="AD306" s="13"/>
      <c r="AE306" s="13"/>
      <c r="AF306" s="13"/>
      <c r="AG306" s="184"/>
      <c r="AH306" s="45"/>
    </row>
    <row r="307" spans="1:34">
      <c r="A307" s="14">
        <f t="shared" si="115"/>
        <v>46213</v>
      </c>
      <c r="B307" s="11"/>
      <c r="C307" s="12"/>
      <c r="D307" s="12"/>
      <c r="E307" s="12"/>
      <c r="F307" s="12"/>
      <c r="G307" s="12"/>
      <c r="H307" s="12"/>
      <c r="I307" s="12"/>
      <c r="J307" s="13"/>
      <c r="K307" s="184"/>
      <c r="L307" s="26"/>
      <c r="M307" s="22"/>
      <c r="N307" s="29"/>
      <c r="O307" s="13"/>
      <c r="P307" s="13"/>
      <c r="Q307" s="13"/>
      <c r="R307" s="13"/>
      <c r="S307" s="13"/>
      <c r="T307" s="13"/>
      <c r="U307" s="13"/>
      <c r="V307" s="13"/>
      <c r="W307" s="184"/>
      <c r="X307" s="37"/>
      <c r="Y307" s="22"/>
      <c r="Z307" s="38"/>
      <c r="AA307" s="13"/>
      <c r="AB307" s="13"/>
      <c r="AC307" s="13"/>
      <c r="AD307" s="13"/>
      <c r="AE307" s="13"/>
      <c r="AF307" s="13"/>
      <c r="AG307" s="184"/>
      <c r="AH307" s="45"/>
    </row>
    <row r="308" spans="1:34">
      <c r="A308" s="14">
        <f t="shared" si="115"/>
        <v>46214</v>
      </c>
      <c r="B308" s="11"/>
      <c r="C308" s="12"/>
      <c r="D308" s="12"/>
      <c r="E308" s="12"/>
      <c r="F308" s="12"/>
      <c r="G308" s="12"/>
      <c r="H308" s="12"/>
      <c r="I308" s="12"/>
      <c r="J308" s="13"/>
      <c r="K308" s="184"/>
      <c r="L308" s="26"/>
      <c r="M308" s="22"/>
      <c r="N308" s="29"/>
      <c r="O308" s="13"/>
      <c r="P308" s="13"/>
      <c r="Q308" s="13"/>
      <c r="R308" s="13"/>
      <c r="S308" s="13"/>
      <c r="T308" s="13"/>
      <c r="U308" s="13"/>
      <c r="V308" s="13"/>
      <c r="W308" s="184"/>
      <c r="X308" s="37"/>
      <c r="Y308" s="22"/>
      <c r="Z308" s="38"/>
      <c r="AA308" s="13"/>
      <c r="AB308" s="13"/>
      <c r="AC308" s="13"/>
      <c r="AD308" s="13"/>
      <c r="AE308" s="13"/>
      <c r="AF308" s="13"/>
      <c r="AG308" s="184"/>
      <c r="AH308" s="45"/>
    </row>
    <row r="309" spans="1:34">
      <c r="A309" s="14">
        <f t="shared" si="115"/>
        <v>46215</v>
      </c>
      <c r="B309" s="11"/>
      <c r="C309" s="12"/>
      <c r="D309" s="12"/>
      <c r="E309" s="12"/>
      <c r="F309" s="12"/>
      <c r="G309" s="12"/>
      <c r="H309" s="12"/>
      <c r="I309" s="12"/>
      <c r="J309" s="13"/>
      <c r="K309" s="184"/>
      <c r="L309" s="26"/>
      <c r="M309" s="22"/>
      <c r="N309" s="29"/>
      <c r="O309" s="13"/>
      <c r="P309" s="13"/>
      <c r="Q309" s="13"/>
      <c r="R309" s="13"/>
      <c r="S309" s="13"/>
      <c r="T309" s="13"/>
      <c r="U309" s="13"/>
      <c r="V309" s="13"/>
      <c r="W309" s="184"/>
      <c r="X309" s="37"/>
      <c r="Y309" s="22"/>
      <c r="Z309" s="38"/>
      <c r="AA309" s="13"/>
      <c r="AB309" s="13"/>
      <c r="AC309" s="13"/>
      <c r="AD309" s="36"/>
      <c r="AE309" s="13"/>
      <c r="AF309" s="13"/>
      <c r="AG309" s="184"/>
      <c r="AH309" s="45"/>
    </row>
    <row r="310" spans="1:34">
      <c r="A310" s="14">
        <f t="shared" si="115"/>
        <v>46216</v>
      </c>
      <c r="B310" s="11"/>
      <c r="C310" s="12"/>
      <c r="D310" s="12"/>
      <c r="E310" s="12"/>
      <c r="F310" s="12"/>
      <c r="G310" s="12"/>
      <c r="H310" s="12"/>
      <c r="I310" s="12"/>
      <c r="J310" s="13"/>
      <c r="K310" s="184"/>
      <c r="L310" s="26"/>
      <c r="M310" s="22"/>
      <c r="N310" s="29"/>
      <c r="O310" s="13"/>
      <c r="P310" s="13"/>
      <c r="Q310" s="13"/>
      <c r="R310" s="13"/>
      <c r="S310" s="13"/>
      <c r="T310" s="13"/>
      <c r="U310" s="13"/>
      <c r="V310" s="13"/>
      <c r="W310" s="184"/>
      <c r="X310" s="37"/>
      <c r="Y310" s="22"/>
      <c r="Z310" s="38"/>
      <c r="AA310" s="13"/>
      <c r="AB310" s="13"/>
      <c r="AC310" s="13"/>
      <c r="AD310" s="13"/>
      <c r="AE310" s="13"/>
      <c r="AF310" s="13"/>
      <c r="AG310" s="184"/>
      <c r="AH310" s="45"/>
    </row>
    <row r="311" spans="1:34">
      <c r="A311" s="14">
        <f t="shared" si="115"/>
        <v>46217</v>
      </c>
      <c r="B311" s="11"/>
      <c r="C311" s="13"/>
      <c r="D311" s="12"/>
      <c r="E311" s="12"/>
      <c r="F311" s="13"/>
      <c r="G311" s="12"/>
      <c r="H311" s="12"/>
      <c r="I311" s="13"/>
      <c r="J311" s="13"/>
      <c r="K311" s="184"/>
      <c r="L311" s="26"/>
      <c r="M311" s="22"/>
      <c r="N311" s="29"/>
      <c r="O311" s="13"/>
      <c r="P311" s="13"/>
      <c r="Q311" s="13"/>
      <c r="R311" s="13"/>
      <c r="S311" s="13"/>
      <c r="T311" s="13"/>
      <c r="U311" s="13"/>
      <c r="V311" s="13"/>
      <c r="W311" s="184"/>
      <c r="X311" s="37"/>
      <c r="Y311" s="22"/>
      <c r="Z311" s="38"/>
      <c r="AA311" s="13"/>
      <c r="AB311" s="13"/>
      <c r="AC311" s="13"/>
      <c r="AD311" s="13"/>
      <c r="AE311" s="13"/>
      <c r="AF311" s="13"/>
      <c r="AG311" s="184"/>
      <c r="AH311" s="45"/>
    </row>
    <row r="312" spans="1:34">
      <c r="A312" s="14">
        <f t="shared" si="115"/>
        <v>46218</v>
      </c>
      <c r="B312" s="11"/>
      <c r="C312" s="13"/>
      <c r="D312" s="12"/>
      <c r="E312" s="12"/>
      <c r="F312" s="13"/>
      <c r="G312" s="12"/>
      <c r="H312" s="12"/>
      <c r="I312" s="12"/>
      <c r="J312" s="13"/>
      <c r="K312" s="184"/>
      <c r="L312" s="26"/>
      <c r="M312" s="22"/>
      <c r="N312" s="29"/>
      <c r="O312" s="13"/>
      <c r="P312" s="13"/>
      <c r="Q312" s="13"/>
      <c r="R312" s="13"/>
      <c r="S312" s="13"/>
      <c r="T312" s="13"/>
      <c r="U312" s="13"/>
      <c r="V312" s="13"/>
      <c r="W312" s="184"/>
      <c r="X312" s="37"/>
      <c r="Y312" s="22"/>
      <c r="Z312" s="38"/>
      <c r="AA312" s="13"/>
      <c r="AB312" s="13"/>
      <c r="AC312" s="13"/>
      <c r="AD312" s="36"/>
      <c r="AE312" s="13"/>
      <c r="AF312" s="13"/>
      <c r="AG312" s="184"/>
      <c r="AH312" s="37"/>
    </row>
    <row r="313" spans="1:34">
      <c r="A313" s="14">
        <f t="shared" si="115"/>
        <v>46219</v>
      </c>
      <c r="B313" s="11"/>
      <c r="C313" s="13"/>
      <c r="D313" s="12"/>
      <c r="E313" s="12"/>
      <c r="F313" s="13"/>
      <c r="G313" s="12"/>
      <c r="H313" s="12"/>
      <c r="I313" s="12"/>
      <c r="J313" s="13"/>
      <c r="K313" s="184"/>
      <c r="L313" s="26"/>
      <c r="M313" s="22"/>
      <c r="N313" s="29"/>
      <c r="O313" s="13"/>
      <c r="P313" s="13"/>
      <c r="Q313" s="13"/>
      <c r="R313" s="13"/>
      <c r="S313" s="13"/>
      <c r="T313" s="13"/>
      <c r="U313" s="13"/>
      <c r="V313" s="13"/>
      <c r="W313" s="184"/>
      <c r="X313" s="37"/>
      <c r="Y313" s="22"/>
      <c r="Z313" s="38"/>
      <c r="AA313" s="13"/>
      <c r="AB313" s="13"/>
      <c r="AC313" s="13"/>
      <c r="AD313" s="36"/>
      <c r="AE313" s="13"/>
      <c r="AF313" s="13"/>
      <c r="AG313" s="184"/>
      <c r="AH313" s="37"/>
    </row>
    <row r="314" spans="1:34">
      <c r="A314" s="14">
        <f t="shared" si="115"/>
        <v>46220</v>
      </c>
      <c r="B314" s="11"/>
      <c r="C314" s="13"/>
      <c r="D314" s="12"/>
      <c r="E314" s="12"/>
      <c r="F314" s="13"/>
      <c r="G314" s="12"/>
      <c r="H314" s="12"/>
      <c r="I314" s="12"/>
      <c r="J314" s="13"/>
      <c r="K314" s="184"/>
      <c r="L314" s="26"/>
      <c r="M314" s="22"/>
      <c r="N314" s="29"/>
      <c r="O314" s="13"/>
      <c r="P314" s="13"/>
      <c r="Q314" s="13"/>
      <c r="R314" s="13"/>
      <c r="S314" s="13"/>
      <c r="T314" s="13"/>
      <c r="U314" s="13"/>
      <c r="V314" s="13"/>
      <c r="W314" s="184"/>
      <c r="X314" s="37"/>
      <c r="Y314" s="22"/>
      <c r="Z314" s="38"/>
      <c r="AA314" s="13"/>
      <c r="AB314" s="13"/>
      <c r="AC314" s="13"/>
      <c r="AD314" s="36"/>
      <c r="AE314" s="13"/>
      <c r="AF314" s="13"/>
      <c r="AG314" s="184"/>
      <c r="AH314" s="37"/>
    </row>
    <row r="315" spans="1:34">
      <c r="A315" s="14">
        <f t="shared" si="115"/>
        <v>46221</v>
      </c>
      <c r="B315" s="11"/>
      <c r="C315" s="13"/>
      <c r="D315" s="12"/>
      <c r="E315" s="12"/>
      <c r="F315" s="13"/>
      <c r="G315" s="12"/>
      <c r="H315" s="12"/>
      <c r="I315" s="12"/>
      <c r="J315" s="13"/>
      <c r="K315" s="184"/>
      <c r="L315" s="26"/>
      <c r="M315" s="22"/>
      <c r="N315" s="29"/>
      <c r="O315" s="13"/>
      <c r="P315" s="13"/>
      <c r="Q315" s="13"/>
      <c r="R315" s="13"/>
      <c r="S315" s="13"/>
      <c r="T315" s="13"/>
      <c r="U315" s="13"/>
      <c r="V315" s="13"/>
      <c r="W315" s="184"/>
      <c r="X315" s="37"/>
      <c r="Y315" s="22"/>
      <c r="Z315" s="38"/>
      <c r="AA315" s="13"/>
      <c r="AB315" s="13"/>
      <c r="AC315" s="13"/>
      <c r="AD315" s="36"/>
      <c r="AE315" s="13"/>
      <c r="AF315" s="13"/>
      <c r="AG315" s="184"/>
      <c r="AH315" s="37"/>
    </row>
    <row r="316" spans="1:34">
      <c r="A316" s="14">
        <f t="shared" si="115"/>
        <v>46222</v>
      </c>
      <c r="B316" s="38"/>
      <c r="C316" s="13"/>
      <c r="D316" s="12"/>
      <c r="E316" s="12"/>
      <c r="F316" s="13"/>
      <c r="G316" s="12"/>
      <c r="H316" s="12"/>
      <c r="I316" s="12"/>
      <c r="J316" s="13"/>
      <c r="K316" s="184"/>
      <c r="L316" s="26"/>
      <c r="M316" s="22"/>
      <c r="N316" s="29"/>
      <c r="O316" s="13"/>
      <c r="P316" s="13"/>
      <c r="Q316" s="13"/>
      <c r="R316" s="13"/>
      <c r="S316" s="13"/>
      <c r="T316" s="13"/>
      <c r="U316" s="13"/>
      <c r="V316" s="13"/>
      <c r="W316" s="184"/>
      <c r="X316" s="37"/>
      <c r="Y316" s="22"/>
      <c r="Z316" s="38"/>
      <c r="AA316" s="13"/>
      <c r="AB316" s="13"/>
      <c r="AC316" s="13"/>
      <c r="AD316" s="36"/>
      <c r="AE316" s="13"/>
      <c r="AF316" s="13"/>
      <c r="AG316" s="184"/>
      <c r="AH316" s="37"/>
    </row>
    <row r="317" spans="1:34">
      <c r="A317" s="14">
        <f t="shared" si="115"/>
        <v>46223</v>
      </c>
      <c r="B317" s="38"/>
      <c r="C317" s="13"/>
      <c r="D317" s="12"/>
      <c r="E317" s="12"/>
      <c r="F317" s="13"/>
      <c r="G317" s="12"/>
      <c r="H317" s="12"/>
      <c r="I317" s="13"/>
      <c r="J317" s="13"/>
      <c r="K317" s="184"/>
      <c r="L317" s="26"/>
      <c r="M317" s="22"/>
      <c r="N317" s="29"/>
      <c r="O317" s="13"/>
      <c r="P317" s="13"/>
      <c r="Q317" s="13"/>
      <c r="R317" s="13"/>
      <c r="S317" s="13"/>
      <c r="T317" s="13"/>
      <c r="U317" s="13"/>
      <c r="V317" s="13"/>
      <c r="W317" s="184"/>
      <c r="X317" s="37"/>
      <c r="Y317" s="22"/>
      <c r="Z317" s="38"/>
      <c r="AA317" s="13"/>
      <c r="AB317" s="13"/>
      <c r="AC317" s="13"/>
      <c r="AD317" s="36"/>
      <c r="AE317" s="13"/>
      <c r="AF317" s="13"/>
      <c r="AG317" s="184"/>
      <c r="AH317" s="37"/>
    </row>
    <row r="318" spans="1:34">
      <c r="A318" s="14">
        <f t="shared" si="115"/>
        <v>46224</v>
      </c>
      <c r="B318" s="38"/>
      <c r="C318" s="13"/>
      <c r="D318" s="12"/>
      <c r="E318" s="12"/>
      <c r="F318" s="13"/>
      <c r="G318" s="13"/>
      <c r="H318" s="36"/>
      <c r="I318" s="12"/>
      <c r="J318" s="13"/>
      <c r="K318" s="184"/>
      <c r="L318" s="26"/>
      <c r="M318" s="22"/>
      <c r="N318" s="29"/>
      <c r="O318" s="13"/>
      <c r="P318" s="13"/>
      <c r="Q318" s="13"/>
      <c r="R318" s="13"/>
      <c r="S318" s="13"/>
      <c r="T318" s="13"/>
      <c r="U318" s="13"/>
      <c r="V318" s="13"/>
      <c r="W318" s="184"/>
      <c r="X318" s="37"/>
      <c r="Y318" s="22"/>
      <c r="Z318" s="38"/>
      <c r="AA318" s="13"/>
      <c r="AB318" s="13"/>
      <c r="AC318" s="13"/>
      <c r="AD318" s="36"/>
      <c r="AE318" s="13"/>
      <c r="AF318" s="13"/>
      <c r="AG318" s="184"/>
      <c r="AH318" s="37"/>
    </row>
    <row r="319" spans="1:34">
      <c r="A319" s="14">
        <f t="shared" si="115"/>
        <v>46225</v>
      </c>
      <c r="B319" s="38"/>
      <c r="C319" s="13"/>
      <c r="D319" s="12"/>
      <c r="E319" s="12"/>
      <c r="F319" s="13"/>
      <c r="G319" s="12"/>
      <c r="H319" s="12"/>
      <c r="I319" s="13"/>
      <c r="J319" s="13"/>
      <c r="K319" s="184"/>
      <c r="L319" s="26"/>
      <c r="M319" s="22"/>
      <c r="N319" s="29"/>
      <c r="O319" s="13"/>
      <c r="P319" s="13"/>
      <c r="Q319" s="13"/>
      <c r="R319" s="13"/>
      <c r="S319" s="13"/>
      <c r="T319" s="13"/>
      <c r="U319" s="13"/>
      <c r="V319" s="13"/>
      <c r="W319" s="184"/>
      <c r="X319" s="37"/>
      <c r="Y319" s="22"/>
      <c r="Z319" s="38"/>
      <c r="AA319" s="13"/>
      <c r="AB319" s="13"/>
      <c r="AC319" s="13"/>
      <c r="AD319" s="36"/>
      <c r="AE319" s="13"/>
      <c r="AF319" s="13"/>
      <c r="AG319" s="184"/>
      <c r="AH319" s="37"/>
    </row>
    <row r="320" spans="1:34">
      <c r="A320" s="14">
        <f t="shared" si="115"/>
        <v>46226</v>
      </c>
      <c r="B320" s="38"/>
      <c r="C320" s="13"/>
      <c r="D320" s="12"/>
      <c r="E320" s="12"/>
      <c r="F320" s="13"/>
      <c r="G320" s="12"/>
      <c r="H320" s="12"/>
      <c r="I320" s="12"/>
      <c r="J320" s="13"/>
      <c r="K320" s="184"/>
      <c r="L320" s="26"/>
      <c r="M320" s="22"/>
      <c r="N320" s="29"/>
      <c r="O320" s="13"/>
      <c r="P320" s="13"/>
      <c r="Q320" s="13"/>
      <c r="R320" s="13"/>
      <c r="S320" s="13"/>
      <c r="T320" s="13"/>
      <c r="U320" s="13"/>
      <c r="V320" s="13"/>
      <c r="W320" s="184"/>
      <c r="X320" s="37"/>
      <c r="Y320" s="22"/>
      <c r="Z320" s="38"/>
      <c r="AA320" s="13"/>
      <c r="AB320" s="13"/>
      <c r="AC320" s="13"/>
      <c r="AD320" s="36"/>
      <c r="AE320" s="13"/>
      <c r="AF320" s="13"/>
      <c r="AG320" s="184"/>
      <c r="AH320" s="37"/>
    </row>
    <row r="321" spans="1:34">
      <c r="A321" s="14">
        <f t="shared" si="115"/>
        <v>46227</v>
      </c>
      <c r="B321" s="38"/>
      <c r="C321" s="13"/>
      <c r="D321" s="13"/>
      <c r="E321" s="13"/>
      <c r="F321" s="13"/>
      <c r="G321" s="12"/>
      <c r="H321" s="12"/>
      <c r="I321" s="13"/>
      <c r="J321" s="13"/>
      <c r="K321" s="184"/>
      <c r="L321" s="26"/>
      <c r="M321" s="22"/>
      <c r="N321" s="29"/>
      <c r="O321" s="13"/>
      <c r="P321" s="13"/>
      <c r="Q321" s="13"/>
      <c r="R321" s="13"/>
      <c r="S321" s="13"/>
      <c r="T321" s="13"/>
      <c r="U321" s="13"/>
      <c r="V321" s="13"/>
      <c r="W321" s="184"/>
      <c r="X321" s="37"/>
      <c r="Y321" s="22"/>
      <c r="Z321" s="38"/>
      <c r="AA321" s="13"/>
      <c r="AB321" s="13"/>
      <c r="AC321" s="13"/>
      <c r="AD321" s="36"/>
      <c r="AE321" s="13"/>
      <c r="AF321" s="13"/>
      <c r="AG321" s="184"/>
      <c r="AH321" s="37"/>
    </row>
    <row r="322" spans="1:34">
      <c r="A322" s="14">
        <f t="shared" si="115"/>
        <v>46228</v>
      </c>
      <c r="B322" s="38"/>
      <c r="C322" s="13"/>
      <c r="D322" s="13"/>
      <c r="E322" s="13"/>
      <c r="F322" s="13"/>
      <c r="G322" s="13"/>
      <c r="H322" s="36"/>
      <c r="I322" s="13"/>
      <c r="J322" s="13"/>
      <c r="K322" s="184"/>
      <c r="L322" s="37"/>
      <c r="M322" s="22"/>
      <c r="N322" s="29"/>
      <c r="O322" s="13"/>
      <c r="P322" s="13"/>
      <c r="Q322" s="13"/>
      <c r="R322" s="13"/>
      <c r="S322" s="13"/>
      <c r="T322" s="13"/>
      <c r="U322" s="13"/>
      <c r="V322" s="13"/>
      <c r="W322" s="184"/>
      <c r="X322" s="37"/>
      <c r="Y322" s="22"/>
      <c r="Z322" s="38"/>
      <c r="AA322" s="13"/>
      <c r="AB322" s="13"/>
      <c r="AC322" s="13"/>
      <c r="AD322" s="36"/>
      <c r="AE322" s="13"/>
      <c r="AF322" s="13"/>
      <c r="AG322" s="184"/>
      <c r="AH322" s="37"/>
    </row>
    <row r="323" spans="1:34">
      <c r="A323" s="14">
        <f t="shared" si="115"/>
        <v>46229</v>
      </c>
      <c r="B323" s="11"/>
      <c r="C323" s="12"/>
      <c r="D323" s="12"/>
      <c r="E323" s="12"/>
      <c r="F323" s="12"/>
      <c r="G323" s="12"/>
      <c r="H323" s="12"/>
      <c r="I323" s="12"/>
      <c r="J323" s="13"/>
      <c r="K323" s="184"/>
      <c r="L323" s="26"/>
      <c r="M323" s="22"/>
      <c r="N323" s="29"/>
      <c r="O323" s="13"/>
      <c r="P323" s="13"/>
      <c r="Q323" s="13"/>
      <c r="R323" s="13"/>
      <c r="S323" s="13"/>
      <c r="T323" s="13"/>
      <c r="U323" s="13"/>
      <c r="V323" s="13"/>
      <c r="W323" s="184"/>
      <c r="X323" s="37"/>
      <c r="Y323" s="22"/>
      <c r="Z323" s="38"/>
      <c r="AA323" s="13"/>
      <c r="AB323" s="13"/>
      <c r="AC323" s="13"/>
      <c r="AD323" s="36"/>
      <c r="AE323" s="13"/>
      <c r="AF323" s="13"/>
      <c r="AG323" s="184"/>
      <c r="AH323" s="37"/>
    </row>
    <row r="324" spans="1:34">
      <c r="A324" s="14">
        <f t="shared" si="115"/>
        <v>46230</v>
      </c>
      <c r="B324" s="38"/>
      <c r="C324" s="13"/>
      <c r="D324" s="13"/>
      <c r="E324" s="13"/>
      <c r="F324" s="13"/>
      <c r="G324" s="13"/>
      <c r="H324" s="36"/>
      <c r="I324" s="13"/>
      <c r="J324" s="13"/>
      <c r="K324" s="184"/>
      <c r="L324" s="26"/>
      <c r="M324" s="22"/>
      <c r="N324" s="29"/>
      <c r="O324" s="13"/>
      <c r="P324" s="13"/>
      <c r="Q324" s="13"/>
      <c r="R324" s="13"/>
      <c r="S324" s="13"/>
      <c r="T324" s="13"/>
      <c r="U324" s="13"/>
      <c r="V324" s="13"/>
      <c r="W324" s="184"/>
      <c r="X324" s="37"/>
      <c r="Y324" s="22"/>
      <c r="Z324" s="38"/>
      <c r="AA324" s="13"/>
      <c r="AB324" s="13"/>
      <c r="AC324" s="13"/>
      <c r="AD324" s="36"/>
      <c r="AE324" s="13"/>
      <c r="AF324" s="13"/>
      <c r="AG324" s="184"/>
      <c r="AH324" s="37"/>
    </row>
    <row r="325" spans="1:34">
      <c r="A325" s="14">
        <f t="shared" si="115"/>
        <v>46231</v>
      </c>
      <c r="B325" s="38"/>
      <c r="C325" s="13"/>
      <c r="D325" s="13"/>
      <c r="E325" s="13"/>
      <c r="F325" s="13"/>
      <c r="G325" s="12"/>
      <c r="H325" s="36"/>
      <c r="I325" s="13"/>
      <c r="J325" s="13"/>
      <c r="K325" s="184"/>
      <c r="L325" s="26"/>
      <c r="M325" s="22"/>
      <c r="N325" s="29"/>
      <c r="O325" s="13"/>
      <c r="P325" s="13"/>
      <c r="Q325" s="13"/>
      <c r="R325" s="13"/>
      <c r="S325" s="13"/>
      <c r="T325" s="13"/>
      <c r="U325" s="13"/>
      <c r="V325" s="13"/>
      <c r="W325" s="184"/>
      <c r="X325" s="37"/>
      <c r="Y325" s="22"/>
      <c r="Z325" s="38"/>
      <c r="AA325" s="13"/>
      <c r="AB325" s="13"/>
      <c r="AC325" s="13"/>
      <c r="AD325" s="36"/>
      <c r="AE325" s="13"/>
      <c r="AF325" s="13"/>
      <c r="AG325" s="184"/>
      <c r="AH325" s="37"/>
    </row>
    <row r="326" spans="1:34">
      <c r="A326" s="14">
        <f t="shared" si="115"/>
        <v>46232</v>
      </c>
      <c r="B326" s="38"/>
      <c r="C326" s="13"/>
      <c r="D326" s="13"/>
      <c r="E326" s="13"/>
      <c r="F326" s="13"/>
      <c r="G326" s="12"/>
      <c r="H326" s="36"/>
      <c r="I326" s="13"/>
      <c r="J326" s="13"/>
      <c r="K326" s="184"/>
      <c r="L326" s="26"/>
      <c r="M326" s="22"/>
      <c r="N326" s="29"/>
      <c r="O326" s="13"/>
      <c r="P326" s="13"/>
      <c r="Q326" s="13"/>
      <c r="R326" s="13"/>
      <c r="S326" s="13"/>
      <c r="T326" s="13"/>
      <c r="U326" s="13"/>
      <c r="V326" s="13"/>
      <c r="W326" s="184"/>
      <c r="X326" s="37"/>
      <c r="Y326" s="22"/>
      <c r="Z326" s="38"/>
      <c r="AA326" s="13"/>
      <c r="AB326" s="13"/>
      <c r="AC326" s="13"/>
      <c r="AD326" s="36"/>
      <c r="AE326" s="13"/>
      <c r="AF326" s="13"/>
      <c r="AG326" s="184"/>
      <c r="AH326" s="37"/>
    </row>
    <row r="327" spans="1:34">
      <c r="A327" s="14">
        <f t="shared" si="115"/>
        <v>46233</v>
      </c>
      <c r="B327" s="38"/>
      <c r="C327" s="13"/>
      <c r="D327" s="13"/>
      <c r="E327" s="13"/>
      <c r="F327" s="13"/>
      <c r="G327" s="12"/>
      <c r="H327" s="36"/>
      <c r="I327" s="13"/>
      <c r="J327" s="13"/>
      <c r="K327" s="184"/>
      <c r="L327" s="26"/>
      <c r="M327" s="22"/>
      <c r="N327" s="29"/>
      <c r="O327" s="13"/>
      <c r="P327" s="13"/>
      <c r="Q327" s="13"/>
      <c r="R327" s="13"/>
      <c r="S327" s="13"/>
      <c r="T327" s="13"/>
      <c r="U327" s="13"/>
      <c r="V327" s="13"/>
      <c r="W327" s="184"/>
      <c r="X327" s="37"/>
      <c r="Y327" s="22"/>
      <c r="Z327" s="38"/>
      <c r="AA327" s="13"/>
      <c r="AB327" s="13"/>
      <c r="AC327" s="13"/>
      <c r="AD327" s="36"/>
      <c r="AE327" s="13"/>
      <c r="AF327" s="13"/>
      <c r="AG327" s="184"/>
      <c r="AH327" s="37"/>
    </row>
    <row r="328" spans="1:34" ht="15.75" thickBot="1">
      <c r="A328" s="14">
        <f t="shared" si="115"/>
        <v>46234</v>
      </c>
      <c r="B328" s="11"/>
      <c r="C328" s="13"/>
      <c r="D328" s="13"/>
      <c r="E328" s="13"/>
      <c r="F328" s="13"/>
      <c r="G328" s="12"/>
      <c r="H328" s="36"/>
      <c r="I328" s="13"/>
      <c r="J328" s="13"/>
      <c r="K328" s="184"/>
      <c r="L328" s="26"/>
      <c r="M328" s="22"/>
      <c r="N328" s="29"/>
      <c r="O328" s="13"/>
      <c r="P328" s="13"/>
      <c r="Q328" s="13"/>
      <c r="R328" s="13"/>
      <c r="S328" s="13"/>
      <c r="T328" s="13"/>
      <c r="U328" s="13"/>
      <c r="V328" s="13"/>
      <c r="W328" s="184"/>
      <c r="X328" s="37"/>
      <c r="Y328" s="22"/>
      <c r="Z328" s="38"/>
      <c r="AA328" s="13"/>
      <c r="AB328" s="13"/>
      <c r="AC328" s="13"/>
      <c r="AD328" s="36"/>
      <c r="AE328" s="13"/>
      <c r="AF328" s="13"/>
      <c r="AG328" s="184"/>
      <c r="AH328" s="37"/>
    </row>
    <row r="329" spans="1:34">
      <c r="A329" s="16" t="s">
        <v>31</v>
      </c>
      <c r="B329" s="17">
        <f>MIN(B297:B328)</f>
        <v>0</v>
      </c>
      <c r="C329" s="17">
        <f>MIN(C297:C328)</f>
        <v>0</v>
      </c>
      <c r="D329" s="17">
        <f t="shared" ref="D329:L329" si="116">MIN(D297:D328)</f>
        <v>0</v>
      </c>
      <c r="E329" s="17">
        <f t="shared" si="116"/>
        <v>0</v>
      </c>
      <c r="F329" s="17">
        <f t="shared" si="116"/>
        <v>0</v>
      </c>
      <c r="G329" s="17">
        <f t="shared" si="116"/>
        <v>0</v>
      </c>
      <c r="H329" s="17">
        <f t="shared" si="116"/>
        <v>0</v>
      </c>
      <c r="I329" s="17">
        <f t="shared" si="116"/>
        <v>0</v>
      </c>
      <c r="J329" s="17">
        <f t="shared" si="116"/>
        <v>0</v>
      </c>
      <c r="K329" s="17">
        <f t="shared" si="116"/>
        <v>0</v>
      </c>
      <c r="L329" s="30">
        <f t="shared" si="116"/>
        <v>0</v>
      </c>
      <c r="M329" s="22"/>
      <c r="N329" s="17">
        <f>MIN(N297:N328)</f>
        <v>0</v>
      </c>
      <c r="O329" s="17">
        <f>MIN(O297:O328)</f>
        <v>0</v>
      </c>
      <c r="P329" s="17">
        <f t="shared" ref="P329:X329" si="117">MIN(P297:P328)</f>
        <v>0</v>
      </c>
      <c r="Q329" s="17">
        <f t="shared" si="117"/>
        <v>0</v>
      </c>
      <c r="R329" s="17">
        <f t="shared" si="117"/>
        <v>0</v>
      </c>
      <c r="S329" s="17">
        <f t="shared" si="117"/>
        <v>0</v>
      </c>
      <c r="T329" s="17">
        <f t="shared" si="117"/>
        <v>0</v>
      </c>
      <c r="U329" s="17">
        <f t="shared" si="117"/>
        <v>0</v>
      </c>
      <c r="V329" s="17">
        <f t="shared" si="117"/>
        <v>0</v>
      </c>
      <c r="W329" s="17">
        <f t="shared" si="117"/>
        <v>0</v>
      </c>
      <c r="X329" s="30">
        <f t="shared" si="117"/>
        <v>0</v>
      </c>
      <c r="Z329" s="40">
        <f t="shared" ref="Z329:AH329" si="118">MIN(Z297:Z328)</f>
        <v>0</v>
      </c>
      <c r="AA329" s="17">
        <f t="shared" si="118"/>
        <v>0</v>
      </c>
      <c r="AB329" s="17">
        <f t="shared" si="118"/>
        <v>0</v>
      </c>
      <c r="AC329" s="17">
        <f t="shared" si="118"/>
        <v>0</v>
      </c>
      <c r="AD329" s="17">
        <f t="shared" si="118"/>
        <v>0</v>
      </c>
      <c r="AE329" s="17">
        <f t="shared" si="118"/>
        <v>0</v>
      </c>
      <c r="AF329" s="17">
        <f t="shared" si="118"/>
        <v>0</v>
      </c>
      <c r="AG329" s="17">
        <f t="shared" si="118"/>
        <v>0</v>
      </c>
      <c r="AH329" s="30">
        <f t="shared" si="118"/>
        <v>0</v>
      </c>
    </row>
    <row r="330" spans="1:34">
      <c r="A330" s="18" t="s">
        <v>33</v>
      </c>
      <c r="B330" s="19">
        <f>MAX(B297:B328)</f>
        <v>0</v>
      </c>
      <c r="C330" s="19">
        <f>MAX(C297:C328)</f>
        <v>0</v>
      </c>
      <c r="D330" s="19">
        <f t="shared" ref="D330:L330" si="119">MAX(D297:D328)</f>
        <v>0</v>
      </c>
      <c r="E330" s="19">
        <f t="shared" si="119"/>
        <v>0</v>
      </c>
      <c r="F330" s="19">
        <f t="shared" si="119"/>
        <v>0</v>
      </c>
      <c r="G330" s="19">
        <f t="shared" si="119"/>
        <v>0</v>
      </c>
      <c r="H330" s="19">
        <f t="shared" si="119"/>
        <v>0</v>
      </c>
      <c r="I330" s="19">
        <f t="shared" si="119"/>
        <v>0</v>
      </c>
      <c r="J330" s="19">
        <f t="shared" si="119"/>
        <v>0</v>
      </c>
      <c r="K330" s="19">
        <f t="shared" si="119"/>
        <v>0</v>
      </c>
      <c r="L330" s="31">
        <f t="shared" si="119"/>
        <v>0</v>
      </c>
      <c r="M330" s="22"/>
      <c r="N330" s="19">
        <f>MAX(N297:N328)</f>
        <v>0</v>
      </c>
      <c r="O330" s="19">
        <f>MAX(O297:O328)</f>
        <v>0</v>
      </c>
      <c r="P330" s="19">
        <f t="shared" ref="P330:X330" si="120">MAX(P297:P328)</f>
        <v>0</v>
      </c>
      <c r="Q330" s="19">
        <f t="shared" si="120"/>
        <v>0</v>
      </c>
      <c r="R330" s="19">
        <f t="shared" si="120"/>
        <v>0</v>
      </c>
      <c r="S330" s="19">
        <f t="shared" si="120"/>
        <v>0</v>
      </c>
      <c r="T330" s="19">
        <f t="shared" si="120"/>
        <v>0</v>
      </c>
      <c r="U330" s="19">
        <f t="shared" si="120"/>
        <v>0</v>
      </c>
      <c r="V330" s="19">
        <f t="shared" si="120"/>
        <v>0</v>
      </c>
      <c r="W330" s="19">
        <f t="shared" si="120"/>
        <v>0</v>
      </c>
      <c r="X330" s="31">
        <f t="shared" si="120"/>
        <v>0</v>
      </c>
      <c r="Z330" s="41">
        <f t="shared" ref="Z330:AH330" si="121">MAX(Z297:Z328)</f>
        <v>0</v>
      </c>
      <c r="AA330" s="19">
        <f t="shared" si="121"/>
        <v>0</v>
      </c>
      <c r="AB330" s="19">
        <f t="shared" si="121"/>
        <v>0</v>
      </c>
      <c r="AC330" s="19">
        <f t="shared" si="121"/>
        <v>0</v>
      </c>
      <c r="AD330" s="19">
        <f t="shared" si="121"/>
        <v>0</v>
      </c>
      <c r="AE330" s="19">
        <f t="shared" si="121"/>
        <v>0</v>
      </c>
      <c r="AF330" s="19">
        <f t="shared" si="121"/>
        <v>0</v>
      </c>
      <c r="AG330" s="19">
        <f t="shared" si="121"/>
        <v>0</v>
      </c>
      <c r="AH330" s="31">
        <f t="shared" si="121"/>
        <v>0</v>
      </c>
    </row>
    <row r="331" spans="1:34">
      <c r="A331" s="18" t="s">
        <v>36</v>
      </c>
      <c r="B331" s="19" t="e">
        <f t="shared" ref="B331:L331" si="122">AVERAGE(B297:B328)</f>
        <v>#DIV/0!</v>
      </c>
      <c r="C331" s="19" t="e">
        <f t="shared" si="122"/>
        <v>#DIV/0!</v>
      </c>
      <c r="D331" s="19" t="e">
        <f t="shared" si="122"/>
        <v>#DIV/0!</v>
      </c>
      <c r="E331" s="19" t="e">
        <f t="shared" si="122"/>
        <v>#DIV/0!</v>
      </c>
      <c r="F331" s="19" t="e">
        <f t="shared" si="122"/>
        <v>#DIV/0!</v>
      </c>
      <c r="G331" s="19" t="e">
        <f t="shared" si="122"/>
        <v>#DIV/0!</v>
      </c>
      <c r="H331" s="19" t="e">
        <f t="shared" si="122"/>
        <v>#DIV/0!</v>
      </c>
      <c r="I331" s="19" t="e">
        <f t="shared" si="122"/>
        <v>#DIV/0!</v>
      </c>
      <c r="J331" s="19" t="e">
        <f t="shared" si="122"/>
        <v>#DIV/0!</v>
      </c>
      <c r="K331" s="19" t="e">
        <f t="shared" si="122"/>
        <v>#DIV/0!</v>
      </c>
      <c r="L331" s="31" t="e">
        <f t="shared" si="122"/>
        <v>#DIV/0!</v>
      </c>
      <c r="M331" s="22"/>
      <c r="N331" s="19" t="e">
        <f t="shared" ref="N331:X331" si="123">AVERAGE(N297:N328)</f>
        <v>#DIV/0!</v>
      </c>
      <c r="O331" s="19" t="e">
        <f t="shared" si="123"/>
        <v>#DIV/0!</v>
      </c>
      <c r="P331" s="19" t="e">
        <f t="shared" si="123"/>
        <v>#DIV/0!</v>
      </c>
      <c r="Q331" s="19" t="e">
        <f t="shared" si="123"/>
        <v>#DIV/0!</v>
      </c>
      <c r="R331" s="19" t="e">
        <f t="shared" si="123"/>
        <v>#DIV/0!</v>
      </c>
      <c r="S331" s="19" t="e">
        <f t="shared" si="123"/>
        <v>#DIV/0!</v>
      </c>
      <c r="T331" s="19" t="e">
        <f t="shared" si="123"/>
        <v>#DIV/0!</v>
      </c>
      <c r="U331" s="19" t="e">
        <f t="shared" si="123"/>
        <v>#DIV/0!</v>
      </c>
      <c r="V331" s="19" t="e">
        <f t="shared" si="123"/>
        <v>#DIV/0!</v>
      </c>
      <c r="W331" s="19" t="e">
        <f t="shared" si="123"/>
        <v>#DIV/0!</v>
      </c>
      <c r="X331" s="31" t="e">
        <f t="shared" si="123"/>
        <v>#DIV/0!</v>
      </c>
      <c r="Z331" s="41" t="e">
        <f>AVERAGE(Z297:Z328)</f>
        <v>#DIV/0!</v>
      </c>
      <c r="AA331" s="19" t="e">
        <f t="shared" ref="AA331:AH331" si="124">AVERAGE(AA297:AA328)</f>
        <v>#DIV/0!</v>
      </c>
      <c r="AB331" s="19" t="e">
        <f t="shared" si="124"/>
        <v>#DIV/0!</v>
      </c>
      <c r="AC331" s="19" t="e">
        <f t="shared" si="124"/>
        <v>#DIV/0!</v>
      </c>
      <c r="AD331" s="19" t="e">
        <f t="shared" si="124"/>
        <v>#DIV/0!</v>
      </c>
      <c r="AE331" s="19" t="e">
        <f t="shared" si="124"/>
        <v>#DIV/0!</v>
      </c>
      <c r="AF331" s="19" t="e">
        <f t="shared" si="124"/>
        <v>#DIV/0!</v>
      </c>
      <c r="AG331" s="19" t="e">
        <f t="shared" si="124"/>
        <v>#DIV/0!</v>
      </c>
      <c r="AH331" s="31" t="e">
        <f t="shared" si="124"/>
        <v>#DIV/0!</v>
      </c>
    </row>
    <row r="332" spans="1:34" ht="15.75" thickBot="1">
      <c r="A332" s="20" t="s">
        <v>130</v>
      </c>
      <c r="B332" s="21" t="e">
        <f>STDEV(B297:B328)</f>
        <v>#DIV/0!</v>
      </c>
      <c r="C332" s="21" t="e">
        <f t="shared" ref="C332:L332" si="125">STDEV(C297:C328)</f>
        <v>#DIV/0!</v>
      </c>
      <c r="D332" s="21" t="e">
        <f t="shared" si="125"/>
        <v>#DIV/0!</v>
      </c>
      <c r="E332" s="21" t="e">
        <f t="shared" si="125"/>
        <v>#DIV/0!</v>
      </c>
      <c r="F332" s="21" t="e">
        <f t="shared" si="125"/>
        <v>#DIV/0!</v>
      </c>
      <c r="G332" s="21" t="e">
        <f t="shared" si="125"/>
        <v>#DIV/0!</v>
      </c>
      <c r="H332" s="21" t="e">
        <f t="shared" si="125"/>
        <v>#DIV/0!</v>
      </c>
      <c r="I332" s="21" t="e">
        <f t="shared" si="125"/>
        <v>#DIV/0!</v>
      </c>
      <c r="J332" s="21" t="e">
        <f t="shared" si="125"/>
        <v>#DIV/0!</v>
      </c>
      <c r="K332" s="21" t="e">
        <f t="shared" si="125"/>
        <v>#DIV/0!</v>
      </c>
      <c r="L332" s="32" t="e">
        <f t="shared" si="125"/>
        <v>#DIV/0!</v>
      </c>
      <c r="M332" s="22"/>
      <c r="N332" s="21" t="e">
        <f>STDEV(N297:N328)</f>
        <v>#DIV/0!</v>
      </c>
      <c r="O332" s="21" t="e">
        <f t="shared" ref="O332:X332" si="126">STDEV(O297:O328)</f>
        <v>#DIV/0!</v>
      </c>
      <c r="P332" s="21" t="e">
        <f t="shared" si="126"/>
        <v>#DIV/0!</v>
      </c>
      <c r="Q332" s="21" t="e">
        <f t="shared" si="126"/>
        <v>#DIV/0!</v>
      </c>
      <c r="R332" s="21" t="e">
        <f t="shared" si="126"/>
        <v>#DIV/0!</v>
      </c>
      <c r="S332" s="21" t="e">
        <f t="shared" si="126"/>
        <v>#DIV/0!</v>
      </c>
      <c r="T332" s="21" t="e">
        <f t="shared" si="126"/>
        <v>#DIV/0!</v>
      </c>
      <c r="U332" s="21" t="e">
        <f t="shared" si="126"/>
        <v>#DIV/0!</v>
      </c>
      <c r="V332" s="21" t="e">
        <f t="shared" si="126"/>
        <v>#DIV/0!</v>
      </c>
      <c r="W332" s="21" t="e">
        <f t="shared" si="126"/>
        <v>#DIV/0!</v>
      </c>
      <c r="X332" s="32" t="e">
        <f t="shared" si="126"/>
        <v>#DIV/0!</v>
      </c>
      <c r="Z332" s="42" t="e">
        <f>STDEV(Z297:Z328)</f>
        <v>#DIV/0!</v>
      </c>
      <c r="AA332" s="21" t="e">
        <f t="shared" ref="AA332:AH332" si="127">STDEV(AA297:AA328)</f>
        <v>#DIV/0!</v>
      </c>
      <c r="AB332" s="21" t="e">
        <f t="shared" si="127"/>
        <v>#DIV/0!</v>
      </c>
      <c r="AC332" s="21" t="e">
        <f t="shared" si="127"/>
        <v>#DIV/0!</v>
      </c>
      <c r="AD332" s="21" t="e">
        <f t="shared" si="127"/>
        <v>#DIV/0!</v>
      </c>
      <c r="AE332" s="21" t="e">
        <f t="shared" si="127"/>
        <v>#DIV/0!</v>
      </c>
      <c r="AF332" s="21" t="e">
        <f t="shared" si="127"/>
        <v>#DIV/0!</v>
      </c>
      <c r="AG332" s="21" t="e">
        <f t="shared" si="127"/>
        <v>#DIV/0!</v>
      </c>
      <c r="AH332" s="32" t="e">
        <f t="shared" si="127"/>
        <v>#DIV/0!</v>
      </c>
    </row>
    <row r="333" spans="1:34" ht="15.75" thickBot="1"/>
    <row r="334" spans="1:34" ht="15.75" thickBot="1">
      <c r="A334" s="1"/>
      <c r="B334" s="338" t="s">
        <v>0</v>
      </c>
      <c r="C334" s="339"/>
      <c r="D334" s="339"/>
      <c r="E334" s="339"/>
      <c r="F334" s="339"/>
      <c r="G334" s="339"/>
      <c r="H334" s="339"/>
      <c r="I334" s="339"/>
      <c r="J334" s="339"/>
      <c r="K334" s="339"/>
      <c r="L334" s="339"/>
      <c r="M334" s="339"/>
      <c r="N334" s="339"/>
      <c r="O334" s="339"/>
      <c r="P334" s="339"/>
      <c r="Q334" s="339"/>
      <c r="R334" s="339"/>
      <c r="S334" s="339"/>
      <c r="T334" s="339"/>
      <c r="U334" s="339"/>
      <c r="V334" s="339"/>
      <c r="W334" s="339"/>
      <c r="X334" s="339"/>
      <c r="Y334" s="339"/>
      <c r="Z334" s="339"/>
      <c r="AA334" s="339"/>
      <c r="AB334" s="339"/>
      <c r="AC334" s="339"/>
      <c r="AD334" s="340"/>
      <c r="AE334" s="340"/>
      <c r="AF334" s="340"/>
      <c r="AG334" s="340"/>
      <c r="AH334" s="340"/>
    </row>
    <row r="335" spans="1:34" ht="15.75" thickBot="1">
      <c r="A335" s="1"/>
      <c r="B335" s="338" t="s">
        <v>160</v>
      </c>
      <c r="C335" s="339"/>
      <c r="D335" s="339"/>
      <c r="E335" s="339"/>
      <c r="F335" s="339"/>
      <c r="G335" s="339"/>
      <c r="H335" s="339"/>
      <c r="I335" s="339"/>
      <c r="J335" s="339"/>
      <c r="K335" s="339"/>
      <c r="L335" s="339"/>
      <c r="M335" s="339"/>
      <c r="N335" s="339"/>
      <c r="O335" s="339"/>
      <c r="P335" s="339"/>
      <c r="Q335" s="339"/>
      <c r="R335" s="339"/>
      <c r="S335" s="339"/>
      <c r="T335" s="339"/>
      <c r="U335" s="339"/>
      <c r="V335" s="339"/>
      <c r="W335" s="339"/>
      <c r="X335" s="339"/>
      <c r="Y335" s="339"/>
      <c r="Z335" s="339"/>
      <c r="AA335" s="339"/>
      <c r="AB335" s="339"/>
      <c r="AC335" s="339"/>
      <c r="AD335" s="4"/>
      <c r="AE335" s="43" t="s">
        <v>107</v>
      </c>
      <c r="AF335" s="341">
        <v>46235</v>
      </c>
      <c r="AG335" s="342"/>
      <c r="AH335" s="343"/>
    </row>
    <row r="336" spans="1:34">
      <c r="A336" s="344"/>
      <c r="B336" s="346" t="s">
        <v>132</v>
      </c>
      <c r="C336" s="347"/>
      <c r="D336" s="347"/>
      <c r="E336" s="347"/>
      <c r="F336" s="347"/>
      <c r="G336" s="347"/>
      <c r="H336" s="347"/>
      <c r="I336" s="347"/>
      <c r="J336" s="347"/>
      <c r="K336" s="348"/>
      <c r="L336" s="349"/>
      <c r="M336" s="22"/>
      <c r="N336" s="350" t="s">
        <v>133</v>
      </c>
      <c r="O336" s="347"/>
      <c r="P336" s="347"/>
      <c r="Q336" s="347"/>
      <c r="R336" s="347"/>
      <c r="S336" s="347"/>
      <c r="T336" s="347"/>
      <c r="U336" s="347"/>
      <c r="V336" s="347"/>
      <c r="W336" s="348"/>
      <c r="X336" s="349"/>
      <c r="Y336" s="22"/>
      <c r="Z336" s="346" t="s">
        <v>134</v>
      </c>
      <c r="AA336" s="347"/>
      <c r="AB336" s="347"/>
      <c r="AC336" s="347"/>
      <c r="AD336" s="347"/>
      <c r="AE336" s="347"/>
      <c r="AF336" s="347"/>
      <c r="AG336" s="348"/>
      <c r="AH336" s="349"/>
    </row>
    <row r="337" spans="1:34" ht="25.5">
      <c r="A337" s="345"/>
      <c r="B337" s="359" t="s">
        <v>135</v>
      </c>
      <c r="C337" s="361" t="s">
        <v>136</v>
      </c>
      <c r="D337" s="5" t="s">
        <v>137</v>
      </c>
      <c r="E337" s="5" t="s">
        <v>138</v>
      </c>
      <c r="F337" s="5" t="s">
        <v>139</v>
      </c>
      <c r="G337" s="5" t="s">
        <v>140</v>
      </c>
      <c r="H337" s="5" t="s">
        <v>141</v>
      </c>
      <c r="I337" s="5" t="s">
        <v>142</v>
      </c>
      <c r="J337" s="5" t="s">
        <v>143</v>
      </c>
      <c r="K337" s="181" t="s">
        <v>81</v>
      </c>
      <c r="L337" s="23" t="s">
        <v>144</v>
      </c>
      <c r="M337" s="22"/>
      <c r="N337" s="355" t="s">
        <v>135</v>
      </c>
      <c r="O337" s="357" t="s">
        <v>136</v>
      </c>
      <c r="P337" s="5" t="s">
        <v>137</v>
      </c>
      <c r="Q337" s="5" t="s">
        <v>138</v>
      </c>
      <c r="R337" s="5" t="s">
        <v>139</v>
      </c>
      <c r="S337" s="5" t="s">
        <v>140</v>
      </c>
      <c r="T337" s="5" t="s">
        <v>141</v>
      </c>
      <c r="U337" s="5" t="s">
        <v>142</v>
      </c>
      <c r="V337" s="5" t="s">
        <v>143</v>
      </c>
      <c r="W337" s="181" t="s">
        <v>81</v>
      </c>
      <c r="X337" s="23" t="s">
        <v>144</v>
      </c>
      <c r="Y337" s="22"/>
      <c r="Z337" s="33" t="s">
        <v>137</v>
      </c>
      <c r="AA337" s="5" t="s">
        <v>138</v>
      </c>
      <c r="AB337" s="5" t="s">
        <v>139</v>
      </c>
      <c r="AC337" s="5" t="s">
        <v>140</v>
      </c>
      <c r="AD337" s="5" t="s">
        <v>141</v>
      </c>
      <c r="AE337" s="5" t="s">
        <v>142</v>
      </c>
      <c r="AF337" s="5" t="s">
        <v>143</v>
      </c>
      <c r="AG337" s="181" t="s">
        <v>81</v>
      </c>
      <c r="AH337" s="23" t="s">
        <v>144</v>
      </c>
    </row>
    <row r="338" spans="1:34">
      <c r="A338" s="6" t="s">
        <v>145</v>
      </c>
      <c r="B338" s="360"/>
      <c r="C338" s="362"/>
      <c r="D338" s="5" t="s">
        <v>128</v>
      </c>
      <c r="E338" s="5" t="s">
        <v>128</v>
      </c>
      <c r="F338" s="5" t="s">
        <v>128</v>
      </c>
      <c r="G338" s="5" t="s">
        <v>128</v>
      </c>
      <c r="H338" s="5" t="s">
        <v>125</v>
      </c>
      <c r="I338" s="5" t="s">
        <v>146</v>
      </c>
      <c r="J338" s="5" t="s">
        <v>127</v>
      </c>
      <c r="K338" s="181" t="s">
        <v>53</v>
      </c>
      <c r="L338" s="23" t="s">
        <v>53</v>
      </c>
      <c r="M338" s="22"/>
      <c r="N338" s="356"/>
      <c r="O338" s="358"/>
      <c r="P338" s="5" t="s">
        <v>128</v>
      </c>
      <c r="Q338" s="5" t="s">
        <v>128</v>
      </c>
      <c r="R338" s="5" t="s">
        <v>128</v>
      </c>
      <c r="S338" s="5" t="s">
        <v>128</v>
      </c>
      <c r="T338" s="5" t="s">
        <v>125</v>
      </c>
      <c r="U338" s="5" t="s">
        <v>146</v>
      </c>
      <c r="V338" s="5" t="s">
        <v>127</v>
      </c>
      <c r="W338" s="181" t="s">
        <v>53</v>
      </c>
      <c r="X338" s="23" t="s">
        <v>53</v>
      </c>
      <c r="Y338" s="22"/>
      <c r="Z338" s="33" t="s">
        <v>128</v>
      </c>
      <c r="AA338" s="5" t="s">
        <v>128</v>
      </c>
      <c r="AB338" s="5" t="s">
        <v>128</v>
      </c>
      <c r="AC338" s="5" t="s">
        <v>128</v>
      </c>
      <c r="AD338" s="5" t="s">
        <v>125</v>
      </c>
      <c r="AE338" s="5" t="s">
        <v>146</v>
      </c>
      <c r="AF338" s="5" t="s">
        <v>127</v>
      </c>
      <c r="AG338" s="181" t="s">
        <v>53</v>
      </c>
      <c r="AH338" s="23" t="s">
        <v>53</v>
      </c>
    </row>
    <row r="339" spans="1:34" ht="39" thickBot="1">
      <c r="A339" s="7" t="s">
        <v>147</v>
      </c>
      <c r="B339" s="8" t="s">
        <v>148</v>
      </c>
      <c r="C339" s="9" t="s">
        <v>149</v>
      </c>
      <c r="D339" s="9" t="s">
        <v>161</v>
      </c>
      <c r="E339" s="9" t="s">
        <v>162</v>
      </c>
      <c r="F339" s="9" t="s">
        <v>163</v>
      </c>
      <c r="G339" s="9" t="s">
        <v>164</v>
      </c>
      <c r="H339" s="9" t="s">
        <v>154</v>
      </c>
      <c r="I339" s="24" t="s">
        <v>155</v>
      </c>
      <c r="J339" s="24" t="s">
        <v>156</v>
      </c>
      <c r="K339" s="24" t="s">
        <v>179</v>
      </c>
      <c r="L339" s="25" t="s">
        <v>157</v>
      </c>
      <c r="M339" s="22"/>
      <c r="N339" s="8" t="s">
        <v>148</v>
      </c>
      <c r="O339" s="9" t="s">
        <v>149</v>
      </c>
      <c r="P339" s="9" t="s">
        <v>161</v>
      </c>
      <c r="Q339" s="9" t="s">
        <v>162</v>
      </c>
      <c r="R339" s="9" t="s">
        <v>163</v>
      </c>
      <c r="S339" s="9" t="s">
        <v>164</v>
      </c>
      <c r="T339" s="9" t="s">
        <v>154</v>
      </c>
      <c r="U339" s="24" t="s">
        <v>155</v>
      </c>
      <c r="V339" s="24" t="s">
        <v>156</v>
      </c>
      <c r="W339" s="24" t="s">
        <v>179</v>
      </c>
      <c r="X339" s="25" t="s">
        <v>157</v>
      </c>
      <c r="Y339" s="22"/>
      <c r="Z339" s="8" t="s">
        <v>161</v>
      </c>
      <c r="AA339" s="9" t="s">
        <v>162</v>
      </c>
      <c r="AB339" s="9" t="s">
        <v>163</v>
      </c>
      <c r="AC339" s="9" t="s">
        <v>164</v>
      </c>
      <c r="AD339" s="9" t="s">
        <v>154</v>
      </c>
      <c r="AE339" s="9" t="s">
        <v>155</v>
      </c>
      <c r="AF339" s="9" t="s">
        <v>156</v>
      </c>
      <c r="AG339" s="24" t="s">
        <v>179</v>
      </c>
      <c r="AH339" s="23" t="s">
        <v>157</v>
      </c>
    </row>
    <row r="340" spans="1:34">
      <c r="A340" s="10">
        <f>AF335+0</f>
        <v>46235</v>
      </c>
      <c r="B340" s="11"/>
      <c r="C340" s="54"/>
      <c r="D340" s="54"/>
      <c r="E340" s="54"/>
      <c r="F340" s="54"/>
      <c r="G340" s="54"/>
      <c r="H340" s="54"/>
      <c r="I340" s="54"/>
      <c r="J340" s="54"/>
      <c r="K340" s="183"/>
      <c r="L340" s="55"/>
      <c r="M340" s="22"/>
      <c r="N340" s="29"/>
      <c r="O340" s="13"/>
      <c r="P340" s="13"/>
      <c r="Q340" s="13"/>
      <c r="R340" s="13"/>
      <c r="S340" s="13"/>
      <c r="T340" s="13"/>
      <c r="U340" s="13"/>
      <c r="V340" s="13"/>
      <c r="W340" s="183"/>
      <c r="X340" s="37"/>
      <c r="Y340" s="22"/>
      <c r="Z340" s="148"/>
      <c r="AA340" s="63"/>
      <c r="AB340" s="63"/>
      <c r="AC340" s="63"/>
      <c r="AD340" s="63"/>
      <c r="AE340" s="63"/>
      <c r="AF340" s="63"/>
      <c r="AG340" s="183"/>
      <c r="AH340" s="149"/>
    </row>
    <row r="341" spans="1:34">
      <c r="A341" s="14">
        <f t="shared" ref="A341:A370" si="128">A340+1</f>
        <v>46236</v>
      </c>
      <c r="B341" s="11"/>
      <c r="C341" s="54"/>
      <c r="D341" s="54"/>
      <c r="E341" s="54"/>
      <c r="F341" s="54"/>
      <c r="G341" s="54"/>
      <c r="H341" s="54"/>
      <c r="I341" s="54"/>
      <c r="J341" s="54"/>
      <c r="K341" s="183"/>
      <c r="L341" s="55"/>
      <c r="M341" s="22"/>
      <c r="N341" s="29"/>
      <c r="O341" s="13"/>
      <c r="P341" s="13"/>
      <c r="Q341" s="13"/>
      <c r="R341" s="13"/>
      <c r="S341" s="13"/>
      <c r="T341" s="13"/>
      <c r="U341" s="13"/>
      <c r="V341" s="13"/>
      <c r="W341" s="183"/>
      <c r="X341" s="37"/>
      <c r="Y341" s="22"/>
      <c r="Z341" s="38"/>
      <c r="AA341" s="13"/>
      <c r="AB341" s="13"/>
      <c r="AC341" s="13"/>
      <c r="AD341" s="13"/>
      <c r="AE341" s="13"/>
      <c r="AF341" s="13"/>
      <c r="AG341" s="183"/>
      <c r="AH341" s="45"/>
    </row>
    <row r="342" spans="1:34">
      <c r="A342" s="14">
        <f t="shared" si="128"/>
        <v>46237</v>
      </c>
      <c r="B342" s="11"/>
      <c r="C342" s="12"/>
      <c r="D342" s="12"/>
      <c r="E342" s="12"/>
      <c r="F342" s="12"/>
      <c r="G342" s="12"/>
      <c r="H342" s="12"/>
      <c r="I342" s="13"/>
      <c r="J342" s="13"/>
      <c r="K342" s="184"/>
      <c r="L342" s="26"/>
      <c r="M342" s="22"/>
      <c r="N342" s="29"/>
      <c r="O342" s="13"/>
      <c r="P342" s="13"/>
      <c r="Q342" s="13"/>
      <c r="R342" s="13"/>
      <c r="S342" s="13"/>
      <c r="T342" s="13"/>
      <c r="U342" s="13"/>
      <c r="V342" s="13"/>
      <c r="W342" s="184"/>
      <c r="X342" s="37"/>
      <c r="Y342" s="22"/>
      <c r="Z342" s="38"/>
      <c r="AA342" s="13"/>
      <c r="AB342" s="13"/>
      <c r="AC342" s="13"/>
      <c r="AD342" s="13"/>
      <c r="AE342" s="13"/>
      <c r="AF342" s="13"/>
      <c r="AG342" s="184"/>
      <c r="AH342" s="45"/>
    </row>
    <row r="343" spans="1:34">
      <c r="A343" s="14">
        <f t="shared" si="128"/>
        <v>46238</v>
      </c>
      <c r="B343" s="11"/>
      <c r="C343" s="12"/>
      <c r="D343" s="12"/>
      <c r="E343" s="12"/>
      <c r="F343" s="12"/>
      <c r="G343" s="12"/>
      <c r="H343" s="12"/>
      <c r="I343" s="12"/>
      <c r="J343" s="13"/>
      <c r="K343" s="184"/>
      <c r="L343" s="26"/>
      <c r="M343" s="22"/>
      <c r="N343" s="29"/>
      <c r="O343" s="13"/>
      <c r="P343" s="13"/>
      <c r="Q343" s="13"/>
      <c r="R343" s="13"/>
      <c r="S343" s="13"/>
      <c r="T343" s="13"/>
      <c r="U343" s="13"/>
      <c r="V343" s="13"/>
      <c r="W343" s="184"/>
      <c r="X343" s="37"/>
      <c r="Y343" s="22"/>
      <c r="Z343" s="38"/>
      <c r="AA343" s="13"/>
      <c r="AB343" s="13"/>
      <c r="AC343" s="13"/>
      <c r="AD343" s="13"/>
      <c r="AE343" s="13"/>
      <c r="AF343" s="13"/>
      <c r="AG343" s="184"/>
      <c r="AH343" s="45"/>
    </row>
    <row r="344" spans="1:34">
      <c r="A344" s="14">
        <f t="shared" si="128"/>
        <v>46239</v>
      </c>
      <c r="B344" s="11"/>
      <c r="C344" s="12"/>
      <c r="D344" s="12"/>
      <c r="E344" s="12"/>
      <c r="F344" s="12"/>
      <c r="G344" s="12"/>
      <c r="H344" s="12"/>
      <c r="I344" s="12"/>
      <c r="J344" s="13"/>
      <c r="K344" s="184"/>
      <c r="L344" s="26"/>
      <c r="M344" s="22"/>
      <c r="N344" s="29"/>
      <c r="O344" s="13"/>
      <c r="P344" s="13"/>
      <c r="Q344" s="13"/>
      <c r="R344" s="13"/>
      <c r="S344" s="13"/>
      <c r="T344" s="13"/>
      <c r="U344" s="13"/>
      <c r="V344" s="13"/>
      <c r="W344" s="184"/>
      <c r="X344" s="37"/>
      <c r="Y344" s="22"/>
      <c r="Z344" s="38"/>
      <c r="AA344" s="13"/>
      <c r="AB344" s="13"/>
      <c r="AC344" s="13"/>
      <c r="AD344" s="36"/>
      <c r="AE344" s="13"/>
      <c r="AF344" s="13"/>
      <c r="AG344" s="184"/>
      <c r="AH344" s="46"/>
    </row>
    <row r="345" spans="1:34">
      <c r="A345" s="14">
        <f t="shared" si="128"/>
        <v>46240</v>
      </c>
      <c r="B345" s="11"/>
      <c r="C345" s="12"/>
      <c r="D345" s="12"/>
      <c r="E345" s="12"/>
      <c r="F345" s="12"/>
      <c r="G345" s="12"/>
      <c r="H345" s="12"/>
      <c r="I345" s="12"/>
      <c r="J345" s="13"/>
      <c r="K345" s="184"/>
      <c r="L345" s="26"/>
      <c r="M345" s="22"/>
      <c r="N345" s="29"/>
      <c r="O345" s="13"/>
      <c r="P345" s="13"/>
      <c r="Q345" s="13"/>
      <c r="R345" s="13"/>
      <c r="S345" s="13"/>
      <c r="T345" s="13"/>
      <c r="U345" s="13"/>
      <c r="V345" s="13"/>
      <c r="W345" s="184"/>
      <c r="X345" s="37"/>
      <c r="Y345" s="22"/>
      <c r="Z345" s="38"/>
      <c r="AA345" s="13"/>
      <c r="AB345" s="13"/>
      <c r="AC345" s="13"/>
      <c r="AD345" s="13"/>
      <c r="AE345" s="13"/>
      <c r="AF345" s="13"/>
      <c r="AG345" s="184"/>
      <c r="AH345" s="45"/>
    </row>
    <row r="346" spans="1:34">
      <c r="A346" s="14">
        <f t="shared" si="128"/>
        <v>46241</v>
      </c>
      <c r="B346" s="11"/>
      <c r="C346" s="12"/>
      <c r="D346" s="12"/>
      <c r="E346" s="12"/>
      <c r="F346" s="12"/>
      <c r="G346" s="12"/>
      <c r="H346" s="12"/>
      <c r="I346" s="12"/>
      <c r="J346" s="13"/>
      <c r="K346" s="184"/>
      <c r="L346" s="26"/>
      <c r="M346" s="22"/>
      <c r="N346" s="29"/>
      <c r="O346" s="13"/>
      <c r="P346" s="13"/>
      <c r="Q346" s="13"/>
      <c r="R346" s="13"/>
      <c r="S346" s="13"/>
      <c r="T346" s="13"/>
      <c r="U346" s="13"/>
      <c r="V346" s="13"/>
      <c r="W346" s="184"/>
      <c r="X346" s="37"/>
      <c r="Y346" s="22"/>
      <c r="Z346" s="38"/>
      <c r="AA346" s="13"/>
      <c r="AB346" s="13"/>
      <c r="AC346" s="13"/>
      <c r="AD346" s="13"/>
      <c r="AE346" s="13"/>
      <c r="AF346" s="13"/>
      <c r="AG346" s="184"/>
      <c r="AH346" s="45"/>
    </row>
    <row r="347" spans="1:34">
      <c r="A347" s="14">
        <f t="shared" si="128"/>
        <v>46242</v>
      </c>
      <c r="B347" s="11"/>
      <c r="C347" s="12"/>
      <c r="D347" s="12"/>
      <c r="E347" s="12"/>
      <c r="F347" s="12"/>
      <c r="G347" s="12"/>
      <c r="H347" s="12"/>
      <c r="I347" s="12"/>
      <c r="J347" s="13"/>
      <c r="K347" s="184"/>
      <c r="L347" s="26"/>
      <c r="M347" s="22"/>
      <c r="N347" s="29"/>
      <c r="O347" s="13"/>
      <c r="P347" s="13"/>
      <c r="Q347" s="13"/>
      <c r="R347" s="13"/>
      <c r="S347" s="13"/>
      <c r="T347" s="13"/>
      <c r="U347" s="13"/>
      <c r="V347" s="13"/>
      <c r="W347" s="184"/>
      <c r="X347" s="37"/>
      <c r="Y347" s="22"/>
      <c r="Z347" s="38"/>
      <c r="AA347" s="13"/>
      <c r="AB347" s="13"/>
      <c r="AC347" s="13"/>
      <c r="AD347" s="13"/>
      <c r="AE347" s="13"/>
      <c r="AF347" s="13"/>
      <c r="AG347" s="184"/>
      <c r="AH347" s="45"/>
    </row>
    <row r="348" spans="1:34">
      <c r="A348" s="14">
        <f t="shared" si="128"/>
        <v>46243</v>
      </c>
      <c r="B348" s="11"/>
      <c r="C348" s="12"/>
      <c r="D348" s="12"/>
      <c r="E348" s="12"/>
      <c r="F348" s="12"/>
      <c r="G348" s="12"/>
      <c r="H348" s="12"/>
      <c r="I348" s="12"/>
      <c r="J348" s="13"/>
      <c r="K348" s="184"/>
      <c r="L348" s="26"/>
      <c r="M348" s="22"/>
      <c r="N348" s="29"/>
      <c r="O348" s="13"/>
      <c r="P348" s="13"/>
      <c r="Q348" s="13"/>
      <c r="R348" s="13"/>
      <c r="S348" s="13"/>
      <c r="T348" s="13"/>
      <c r="U348" s="13"/>
      <c r="V348" s="13"/>
      <c r="W348" s="184"/>
      <c r="X348" s="37"/>
      <c r="Y348" s="22"/>
      <c r="Z348" s="38"/>
      <c r="AA348" s="13"/>
      <c r="AB348" s="13"/>
      <c r="AC348" s="13"/>
      <c r="AD348" s="13"/>
      <c r="AE348" s="13"/>
      <c r="AF348" s="13"/>
      <c r="AG348" s="184"/>
      <c r="AH348" s="45"/>
    </row>
    <row r="349" spans="1:34">
      <c r="A349" s="14">
        <f t="shared" si="128"/>
        <v>46244</v>
      </c>
      <c r="B349" s="11"/>
      <c r="C349" s="12"/>
      <c r="D349" s="12"/>
      <c r="E349" s="12"/>
      <c r="F349" s="12"/>
      <c r="G349" s="12"/>
      <c r="H349" s="12"/>
      <c r="I349" s="12"/>
      <c r="J349" s="13"/>
      <c r="K349" s="184"/>
      <c r="L349" s="26"/>
      <c r="M349" s="22"/>
      <c r="N349" s="29"/>
      <c r="O349" s="13"/>
      <c r="P349" s="13"/>
      <c r="Q349" s="13"/>
      <c r="R349" s="13"/>
      <c r="S349" s="13"/>
      <c r="T349" s="13"/>
      <c r="U349" s="13"/>
      <c r="V349" s="13"/>
      <c r="W349" s="184"/>
      <c r="X349" s="37"/>
      <c r="Y349" s="22"/>
      <c r="Z349" s="38"/>
      <c r="AA349" s="13"/>
      <c r="AB349" s="13"/>
      <c r="AC349" s="13"/>
      <c r="AD349" s="13"/>
      <c r="AE349" s="13"/>
      <c r="AF349" s="13"/>
      <c r="AG349" s="184"/>
      <c r="AH349" s="45"/>
    </row>
    <row r="350" spans="1:34">
      <c r="A350" s="14">
        <f t="shared" si="128"/>
        <v>46245</v>
      </c>
      <c r="B350" s="11"/>
      <c r="C350" s="12"/>
      <c r="D350" s="12"/>
      <c r="E350" s="12"/>
      <c r="F350" s="12"/>
      <c r="G350" s="12"/>
      <c r="H350" s="12"/>
      <c r="I350" s="12"/>
      <c r="J350" s="13"/>
      <c r="K350" s="184"/>
      <c r="L350" s="26"/>
      <c r="M350" s="22"/>
      <c r="N350" s="29"/>
      <c r="O350" s="13"/>
      <c r="P350" s="13"/>
      <c r="Q350" s="13"/>
      <c r="R350" s="13"/>
      <c r="S350" s="13"/>
      <c r="T350" s="13"/>
      <c r="U350" s="13"/>
      <c r="V350" s="13"/>
      <c r="W350" s="184"/>
      <c r="X350" s="37"/>
      <c r="Y350" s="22"/>
      <c r="Z350" s="38"/>
      <c r="AA350" s="13"/>
      <c r="AB350" s="13"/>
      <c r="AC350" s="13"/>
      <c r="AD350" s="13"/>
      <c r="AE350" s="13"/>
      <c r="AF350" s="13"/>
      <c r="AG350" s="184"/>
      <c r="AH350" s="45"/>
    </row>
    <row r="351" spans="1:34">
      <c r="A351" s="14">
        <f t="shared" si="128"/>
        <v>46246</v>
      </c>
      <c r="B351" s="11"/>
      <c r="C351" s="12"/>
      <c r="D351" s="12"/>
      <c r="E351" s="12"/>
      <c r="F351" s="12"/>
      <c r="G351" s="12"/>
      <c r="H351" s="12"/>
      <c r="I351" s="12"/>
      <c r="J351" s="13"/>
      <c r="K351" s="184"/>
      <c r="L351" s="26"/>
      <c r="M351" s="22"/>
      <c r="N351" s="29"/>
      <c r="O351" s="13"/>
      <c r="P351" s="13"/>
      <c r="Q351" s="13"/>
      <c r="R351" s="13"/>
      <c r="S351" s="13"/>
      <c r="T351" s="13"/>
      <c r="U351" s="13"/>
      <c r="V351" s="13"/>
      <c r="W351" s="184"/>
      <c r="X351" s="37"/>
      <c r="Y351" s="22"/>
      <c r="Z351" s="38"/>
      <c r="AA351" s="13"/>
      <c r="AB351" s="13"/>
      <c r="AC351" s="13"/>
      <c r="AD351" s="36"/>
      <c r="AE351" s="13"/>
      <c r="AF351" s="13"/>
      <c r="AG351" s="184"/>
      <c r="AH351" s="45"/>
    </row>
    <row r="352" spans="1:34">
      <c r="A352" s="14">
        <f t="shared" si="128"/>
        <v>46247</v>
      </c>
      <c r="B352" s="11"/>
      <c r="C352" s="12"/>
      <c r="D352" s="12"/>
      <c r="E352" s="12"/>
      <c r="F352" s="12"/>
      <c r="G352" s="12"/>
      <c r="H352" s="12"/>
      <c r="I352" s="12"/>
      <c r="J352" s="13"/>
      <c r="K352" s="184"/>
      <c r="L352" s="26"/>
      <c r="M352" s="22"/>
      <c r="N352" s="29"/>
      <c r="O352" s="13"/>
      <c r="P352" s="13"/>
      <c r="Q352" s="13"/>
      <c r="R352" s="13"/>
      <c r="S352" s="13"/>
      <c r="T352" s="13"/>
      <c r="U352" s="13"/>
      <c r="V352" s="13"/>
      <c r="W352" s="184"/>
      <c r="X352" s="37"/>
      <c r="Y352" s="22"/>
      <c r="Z352" s="38"/>
      <c r="AA352" s="13"/>
      <c r="AB352" s="13"/>
      <c r="AC352" s="13"/>
      <c r="AD352" s="13"/>
      <c r="AE352" s="13"/>
      <c r="AF352" s="13"/>
      <c r="AG352" s="184"/>
      <c r="AH352" s="45"/>
    </row>
    <row r="353" spans="1:34">
      <c r="A353" s="14">
        <f t="shared" si="128"/>
        <v>46248</v>
      </c>
      <c r="B353" s="11"/>
      <c r="C353" s="13"/>
      <c r="D353" s="12"/>
      <c r="E353" s="12"/>
      <c r="F353" s="13"/>
      <c r="G353" s="12"/>
      <c r="H353" s="12"/>
      <c r="I353" s="13"/>
      <c r="J353" s="13"/>
      <c r="K353" s="184"/>
      <c r="L353" s="26"/>
      <c r="M353" s="22"/>
      <c r="N353" s="29"/>
      <c r="O353" s="13"/>
      <c r="P353" s="13"/>
      <c r="Q353" s="13"/>
      <c r="R353" s="13"/>
      <c r="S353" s="13"/>
      <c r="T353" s="13"/>
      <c r="U353" s="13"/>
      <c r="V353" s="13"/>
      <c r="W353" s="184"/>
      <c r="X353" s="37"/>
      <c r="Y353" s="22"/>
      <c r="Z353" s="38"/>
      <c r="AA353" s="13"/>
      <c r="AB353" s="13"/>
      <c r="AC353" s="13"/>
      <c r="AD353" s="13"/>
      <c r="AE353" s="13"/>
      <c r="AF353" s="13"/>
      <c r="AG353" s="184"/>
      <c r="AH353" s="45"/>
    </row>
    <row r="354" spans="1:34">
      <c r="A354" s="14">
        <f t="shared" si="128"/>
        <v>46249</v>
      </c>
      <c r="B354" s="11"/>
      <c r="C354" s="13"/>
      <c r="D354" s="12"/>
      <c r="E354" s="12"/>
      <c r="F354" s="13"/>
      <c r="G354" s="12"/>
      <c r="H354" s="12"/>
      <c r="I354" s="12"/>
      <c r="J354" s="13"/>
      <c r="K354" s="184"/>
      <c r="L354" s="26"/>
      <c r="M354" s="22"/>
      <c r="N354" s="29"/>
      <c r="O354" s="13"/>
      <c r="P354" s="13"/>
      <c r="Q354" s="13"/>
      <c r="R354" s="13"/>
      <c r="S354" s="13"/>
      <c r="T354" s="13"/>
      <c r="U354" s="13"/>
      <c r="V354" s="13"/>
      <c r="W354" s="184"/>
      <c r="X354" s="37"/>
      <c r="Y354" s="22"/>
      <c r="Z354" s="38"/>
      <c r="AA354" s="13"/>
      <c r="AB354" s="13"/>
      <c r="AC354" s="13"/>
      <c r="AD354" s="36"/>
      <c r="AE354" s="13"/>
      <c r="AF354" s="13"/>
      <c r="AG354" s="184"/>
      <c r="AH354" s="37"/>
    </row>
    <row r="355" spans="1:34">
      <c r="A355" s="14">
        <f t="shared" si="128"/>
        <v>46250</v>
      </c>
      <c r="B355" s="11"/>
      <c r="C355" s="13"/>
      <c r="D355" s="12"/>
      <c r="E355" s="12"/>
      <c r="F355" s="13"/>
      <c r="G355" s="12"/>
      <c r="H355" s="12"/>
      <c r="I355" s="12"/>
      <c r="J355" s="13"/>
      <c r="K355" s="184"/>
      <c r="L355" s="26"/>
      <c r="M355" s="22"/>
      <c r="N355" s="29"/>
      <c r="O355" s="13"/>
      <c r="P355" s="13"/>
      <c r="Q355" s="13"/>
      <c r="R355" s="13"/>
      <c r="S355" s="13"/>
      <c r="T355" s="13"/>
      <c r="U355" s="13"/>
      <c r="V355" s="13"/>
      <c r="W355" s="184"/>
      <c r="X355" s="37"/>
      <c r="Y355" s="22"/>
      <c r="Z355" s="38"/>
      <c r="AA355" s="13"/>
      <c r="AB355" s="13"/>
      <c r="AC355" s="13"/>
      <c r="AD355" s="36"/>
      <c r="AE355" s="13"/>
      <c r="AF355" s="13"/>
      <c r="AG355" s="184"/>
      <c r="AH355" s="37"/>
    </row>
    <row r="356" spans="1:34">
      <c r="A356" s="14">
        <f t="shared" si="128"/>
        <v>46251</v>
      </c>
      <c r="B356" s="11"/>
      <c r="C356" s="13"/>
      <c r="D356" s="12"/>
      <c r="E356" s="12"/>
      <c r="F356" s="13"/>
      <c r="G356" s="12"/>
      <c r="H356" s="12"/>
      <c r="I356" s="12"/>
      <c r="J356" s="13"/>
      <c r="K356" s="184"/>
      <c r="L356" s="26"/>
      <c r="M356" s="22"/>
      <c r="N356" s="29"/>
      <c r="O356" s="13"/>
      <c r="P356" s="13"/>
      <c r="Q356" s="13"/>
      <c r="R356" s="13"/>
      <c r="S356" s="13"/>
      <c r="T356" s="13"/>
      <c r="U356" s="13"/>
      <c r="V356" s="13"/>
      <c r="W356" s="184"/>
      <c r="X356" s="37"/>
      <c r="Y356" s="22"/>
      <c r="Z356" s="38"/>
      <c r="AA356" s="13"/>
      <c r="AB356" s="13"/>
      <c r="AC356" s="13"/>
      <c r="AD356" s="36"/>
      <c r="AE356" s="13"/>
      <c r="AF356" s="13"/>
      <c r="AG356" s="184"/>
      <c r="AH356" s="37"/>
    </row>
    <row r="357" spans="1:34">
      <c r="A357" s="14">
        <f t="shared" si="128"/>
        <v>46252</v>
      </c>
      <c r="B357" s="11"/>
      <c r="C357" s="13"/>
      <c r="D357" s="12"/>
      <c r="E357" s="12"/>
      <c r="F357" s="13"/>
      <c r="G357" s="12"/>
      <c r="H357" s="12"/>
      <c r="I357" s="12"/>
      <c r="J357" s="13"/>
      <c r="K357" s="184"/>
      <c r="L357" s="26"/>
      <c r="M357" s="22"/>
      <c r="N357" s="29"/>
      <c r="O357" s="13"/>
      <c r="P357" s="13"/>
      <c r="Q357" s="13"/>
      <c r="R357" s="13"/>
      <c r="S357" s="13"/>
      <c r="T357" s="13"/>
      <c r="U357" s="13"/>
      <c r="V357" s="13"/>
      <c r="W357" s="184"/>
      <c r="X357" s="37"/>
      <c r="Y357" s="22"/>
      <c r="Z357" s="38"/>
      <c r="AA357" s="13"/>
      <c r="AB357" s="13"/>
      <c r="AC357" s="13"/>
      <c r="AD357" s="36"/>
      <c r="AE357" s="13"/>
      <c r="AF357" s="13"/>
      <c r="AG357" s="184"/>
      <c r="AH357" s="37"/>
    </row>
    <row r="358" spans="1:34">
      <c r="A358" s="14">
        <f t="shared" si="128"/>
        <v>46253</v>
      </c>
      <c r="B358" s="38"/>
      <c r="C358" s="13"/>
      <c r="D358" s="12"/>
      <c r="E358" s="12"/>
      <c r="F358" s="13"/>
      <c r="G358" s="12"/>
      <c r="H358" s="12"/>
      <c r="I358" s="12"/>
      <c r="J358" s="13"/>
      <c r="K358" s="184"/>
      <c r="L358" s="26"/>
      <c r="M358" s="22"/>
      <c r="N358" s="29"/>
      <c r="O358" s="13"/>
      <c r="P358" s="13"/>
      <c r="Q358" s="13"/>
      <c r="R358" s="13"/>
      <c r="S358" s="13"/>
      <c r="T358" s="13"/>
      <c r="U358" s="13"/>
      <c r="V358" s="13"/>
      <c r="W358" s="184"/>
      <c r="X358" s="37"/>
      <c r="Y358" s="22"/>
      <c r="Z358" s="38"/>
      <c r="AA358" s="13"/>
      <c r="AB358" s="13"/>
      <c r="AC358" s="13"/>
      <c r="AD358" s="36"/>
      <c r="AE358" s="13"/>
      <c r="AF358" s="13"/>
      <c r="AG358" s="184"/>
      <c r="AH358" s="37"/>
    </row>
    <row r="359" spans="1:34">
      <c r="A359" s="14">
        <f t="shared" si="128"/>
        <v>46254</v>
      </c>
      <c r="B359" s="38"/>
      <c r="C359" s="13"/>
      <c r="D359" s="12"/>
      <c r="E359" s="12"/>
      <c r="F359" s="13"/>
      <c r="G359" s="12"/>
      <c r="H359" s="12"/>
      <c r="I359" s="13"/>
      <c r="J359" s="13"/>
      <c r="K359" s="184"/>
      <c r="L359" s="26"/>
      <c r="M359" s="22"/>
      <c r="N359" s="29"/>
      <c r="O359" s="13"/>
      <c r="P359" s="13"/>
      <c r="Q359" s="13"/>
      <c r="R359" s="13"/>
      <c r="S359" s="13"/>
      <c r="T359" s="13"/>
      <c r="U359" s="13"/>
      <c r="V359" s="13"/>
      <c r="W359" s="184"/>
      <c r="X359" s="37"/>
      <c r="Y359" s="22"/>
      <c r="Z359" s="38"/>
      <c r="AA359" s="13"/>
      <c r="AB359" s="13"/>
      <c r="AC359" s="13"/>
      <c r="AD359" s="36"/>
      <c r="AE359" s="13"/>
      <c r="AF359" s="13"/>
      <c r="AG359" s="184"/>
      <c r="AH359" s="37"/>
    </row>
    <row r="360" spans="1:34">
      <c r="A360" s="14">
        <f t="shared" si="128"/>
        <v>46255</v>
      </c>
      <c r="B360" s="38"/>
      <c r="C360" s="13"/>
      <c r="D360" s="12"/>
      <c r="E360" s="12"/>
      <c r="F360" s="13"/>
      <c r="G360" s="13"/>
      <c r="H360" s="36"/>
      <c r="I360" s="12"/>
      <c r="J360" s="13"/>
      <c r="K360" s="184"/>
      <c r="L360" s="26"/>
      <c r="M360" s="22"/>
      <c r="N360" s="29"/>
      <c r="O360" s="13"/>
      <c r="P360" s="13"/>
      <c r="Q360" s="13"/>
      <c r="R360" s="13"/>
      <c r="S360" s="13"/>
      <c r="T360" s="13"/>
      <c r="U360" s="13"/>
      <c r="V360" s="13"/>
      <c r="W360" s="184"/>
      <c r="X360" s="37"/>
      <c r="Y360" s="22"/>
      <c r="Z360" s="38"/>
      <c r="AA360" s="13"/>
      <c r="AB360" s="13"/>
      <c r="AC360" s="13"/>
      <c r="AD360" s="36"/>
      <c r="AE360" s="13"/>
      <c r="AF360" s="13"/>
      <c r="AG360" s="184"/>
      <c r="AH360" s="37"/>
    </row>
    <row r="361" spans="1:34">
      <c r="A361" s="14">
        <f t="shared" si="128"/>
        <v>46256</v>
      </c>
      <c r="B361" s="38"/>
      <c r="C361" s="13"/>
      <c r="D361" s="12"/>
      <c r="E361" s="12"/>
      <c r="F361" s="13"/>
      <c r="G361" s="12"/>
      <c r="H361" s="12"/>
      <c r="I361" s="13"/>
      <c r="J361" s="13"/>
      <c r="K361" s="184"/>
      <c r="L361" s="26"/>
      <c r="M361" s="22"/>
      <c r="N361" s="29"/>
      <c r="O361" s="13"/>
      <c r="P361" s="13"/>
      <c r="Q361" s="13"/>
      <c r="R361" s="13"/>
      <c r="S361" s="13"/>
      <c r="T361" s="13"/>
      <c r="U361" s="13"/>
      <c r="V361" s="13"/>
      <c r="W361" s="184"/>
      <c r="X361" s="37"/>
      <c r="Y361" s="22"/>
      <c r="Z361" s="38"/>
      <c r="AA361" s="13"/>
      <c r="AB361" s="13"/>
      <c r="AC361" s="13"/>
      <c r="AD361" s="36"/>
      <c r="AE361" s="13"/>
      <c r="AF361" s="13"/>
      <c r="AG361" s="184"/>
      <c r="AH361" s="37"/>
    </row>
    <row r="362" spans="1:34">
      <c r="A362" s="14">
        <f t="shared" si="128"/>
        <v>46257</v>
      </c>
      <c r="B362" s="38"/>
      <c r="C362" s="13"/>
      <c r="D362" s="12"/>
      <c r="E362" s="12"/>
      <c r="F362" s="13"/>
      <c r="G362" s="12"/>
      <c r="H362" s="12"/>
      <c r="I362" s="12"/>
      <c r="J362" s="13"/>
      <c r="K362" s="184"/>
      <c r="L362" s="26"/>
      <c r="M362" s="22"/>
      <c r="N362" s="29"/>
      <c r="O362" s="13"/>
      <c r="P362" s="13"/>
      <c r="Q362" s="13"/>
      <c r="R362" s="13"/>
      <c r="S362" s="13"/>
      <c r="T362" s="13"/>
      <c r="U362" s="13"/>
      <c r="V362" s="13"/>
      <c r="W362" s="184"/>
      <c r="X362" s="37"/>
      <c r="Y362" s="22"/>
      <c r="Z362" s="38"/>
      <c r="AA362" s="13"/>
      <c r="AB362" s="13"/>
      <c r="AC362" s="13"/>
      <c r="AD362" s="36"/>
      <c r="AE362" s="13"/>
      <c r="AF362" s="13"/>
      <c r="AG362" s="184"/>
      <c r="AH362" s="37"/>
    </row>
    <row r="363" spans="1:34">
      <c r="A363" s="14">
        <f t="shared" si="128"/>
        <v>46258</v>
      </c>
      <c r="B363" s="38"/>
      <c r="C363" s="13"/>
      <c r="D363" s="13"/>
      <c r="E363" s="13"/>
      <c r="F363" s="13"/>
      <c r="G363" s="12"/>
      <c r="H363" s="12"/>
      <c r="I363" s="13"/>
      <c r="J363" s="13"/>
      <c r="K363" s="184"/>
      <c r="L363" s="26"/>
      <c r="M363" s="22"/>
      <c r="N363" s="29"/>
      <c r="O363" s="13"/>
      <c r="P363" s="13"/>
      <c r="Q363" s="13"/>
      <c r="R363" s="13"/>
      <c r="S363" s="13"/>
      <c r="T363" s="13"/>
      <c r="U363" s="13"/>
      <c r="V363" s="13"/>
      <c r="W363" s="184"/>
      <c r="X363" s="37"/>
      <c r="Y363" s="22"/>
      <c r="Z363" s="38"/>
      <c r="AA363" s="13"/>
      <c r="AB363" s="13"/>
      <c r="AC363" s="13"/>
      <c r="AD363" s="36"/>
      <c r="AE363" s="13"/>
      <c r="AF363" s="13"/>
      <c r="AG363" s="184"/>
      <c r="AH363" s="37"/>
    </row>
    <row r="364" spans="1:34">
      <c r="A364" s="14">
        <f t="shared" si="128"/>
        <v>46259</v>
      </c>
      <c r="B364" s="38"/>
      <c r="C364" s="13"/>
      <c r="D364" s="13"/>
      <c r="E364" s="13"/>
      <c r="F364" s="13"/>
      <c r="G364" s="13"/>
      <c r="H364" s="36"/>
      <c r="I364" s="13"/>
      <c r="J364" s="13"/>
      <c r="K364" s="184"/>
      <c r="L364" s="37"/>
      <c r="M364" s="22"/>
      <c r="N364" s="29"/>
      <c r="O364" s="13"/>
      <c r="P364" s="13"/>
      <c r="Q364" s="13"/>
      <c r="R364" s="13"/>
      <c r="S364" s="13"/>
      <c r="T364" s="13"/>
      <c r="U364" s="13"/>
      <c r="V364" s="13"/>
      <c r="W364" s="184"/>
      <c r="X364" s="37"/>
      <c r="Y364" s="22"/>
      <c r="Z364" s="38"/>
      <c r="AA364" s="13"/>
      <c r="AB364" s="13"/>
      <c r="AC364" s="13"/>
      <c r="AD364" s="36"/>
      <c r="AE364" s="13"/>
      <c r="AF364" s="13"/>
      <c r="AG364" s="184"/>
      <c r="AH364" s="37"/>
    </row>
    <row r="365" spans="1:34">
      <c r="A365" s="14">
        <f t="shared" si="128"/>
        <v>46260</v>
      </c>
      <c r="B365" s="11"/>
      <c r="C365" s="12"/>
      <c r="D365" s="12"/>
      <c r="E365" s="12"/>
      <c r="F365" s="12"/>
      <c r="G365" s="12"/>
      <c r="H365" s="12"/>
      <c r="I365" s="12"/>
      <c r="J365" s="13"/>
      <c r="K365" s="184"/>
      <c r="L365" s="26"/>
      <c r="M365" s="22"/>
      <c r="N365" s="29"/>
      <c r="O365" s="13"/>
      <c r="P365" s="13"/>
      <c r="Q365" s="13"/>
      <c r="R365" s="13"/>
      <c r="S365" s="13"/>
      <c r="T365" s="13"/>
      <c r="U365" s="13"/>
      <c r="V365" s="13"/>
      <c r="W365" s="184"/>
      <c r="X365" s="37"/>
      <c r="Y365" s="22"/>
      <c r="Z365" s="38"/>
      <c r="AA365" s="13"/>
      <c r="AB365" s="13"/>
      <c r="AC365" s="13"/>
      <c r="AD365" s="36"/>
      <c r="AE365" s="13"/>
      <c r="AF365" s="13"/>
      <c r="AG365" s="184"/>
      <c r="AH365" s="37"/>
    </row>
    <row r="366" spans="1:34">
      <c r="A366" s="14">
        <f t="shared" si="128"/>
        <v>46261</v>
      </c>
      <c r="B366" s="38"/>
      <c r="C366" s="13"/>
      <c r="D366" s="13"/>
      <c r="E366" s="13"/>
      <c r="F366" s="13"/>
      <c r="G366" s="13"/>
      <c r="H366" s="36"/>
      <c r="I366" s="13"/>
      <c r="J366" s="13"/>
      <c r="K366" s="184"/>
      <c r="L366" s="26"/>
      <c r="M366" s="22"/>
      <c r="N366" s="29"/>
      <c r="O366" s="13"/>
      <c r="P366" s="13"/>
      <c r="Q366" s="13"/>
      <c r="R366" s="13"/>
      <c r="S366" s="13"/>
      <c r="T366" s="13"/>
      <c r="U366" s="13"/>
      <c r="V366" s="13"/>
      <c r="W366" s="184"/>
      <c r="X366" s="37"/>
      <c r="Y366" s="22"/>
      <c r="Z366" s="38"/>
      <c r="AA366" s="13"/>
      <c r="AB366" s="13"/>
      <c r="AC366" s="13"/>
      <c r="AD366" s="36"/>
      <c r="AE366" s="13"/>
      <c r="AF366" s="13"/>
      <c r="AG366" s="184"/>
      <c r="AH366" s="37"/>
    </row>
    <row r="367" spans="1:34">
      <c r="A367" s="14">
        <f t="shared" si="128"/>
        <v>46262</v>
      </c>
      <c r="B367" s="38"/>
      <c r="C367" s="13"/>
      <c r="D367" s="13"/>
      <c r="E367" s="13"/>
      <c r="F367" s="13"/>
      <c r="G367" s="12"/>
      <c r="H367" s="36"/>
      <c r="I367" s="13"/>
      <c r="J367" s="13"/>
      <c r="K367" s="184"/>
      <c r="L367" s="26"/>
      <c r="M367" s="22"/>
      <c r="N367" s="29"/>
      <c r="O367" s="13"/>
      <c r="P367" s="13"/>
      <c r="Q367" s="13"/>
      <c r="R367" s="13"/>
      <c r="S367" s="13"/>
      <c r="T367" s="13"/>
      <c r="U367" s="13"/>
      <c r="V367" s="13"/>
      <c r="W367" s="184"/>
      <c r="X367" s="37"/>
      <c r="Y367" s="22"/>
      <c r="Z367" s="38"/>
      <c r="AA367" s="13"/>
      <c r="AB367" s="13"/>
      <c r="AC367" s="13"/>
      <c r="AD367" s="36"/>
      <c r="AE367" s="13"/>
      <c r="AF367" s="13"/>
      <c r="AG367" s="184"/>
      <c r="AH367" s="37"/>
    </row>
    <row r="368" spans="1:34">
      <c r="A368" s="14">
        <f t="shared" si="128"/>
        <v>46263</v>
      </c>
      <c r="B368" s="38"/>
      <c r="C368" s="13"/>
      <c r="D368" s="13"/>
      <c r="E368" s="13"/>
      <c r="F368" s="13"/>
      <c r="G368" s="12"/>
      <c r="H368" s="36"/>
      <c r="I368" s="13"/>
      <c r="J368" s="13"/>
      <c r="K368" s="184"/>
      <c r="L368" s="26"/>
      <c r="M368" s="22"/>
      <c r="N368" s="29"/>
      <c r="O368" s="13"/>
      <c r="P368" s="13"/>
      <c r="Q368" s="13"/>
      <c r="R368" s="13"/>
      <c r="S368" s="13"/>
      <c r="T368" s="13"/>
      <c r="U368" s="13"/>
      <c r="V368" s="13"/>
      <c r="W368" s="184"/>
      <c r="X368" s="37"/>
      <c r="Y368" s="22"/>
      <c r="Z368" s="38"/>
      <c r="AA368" s="13"/>
      <c r="AB368" s="13"/>
      <c r="AC368" s="13"/>
      <c r="AD368" s="36"/>
      <c r="AE368" s="13"/>
      <c r="AF368" s="13"/>
      <c r="AG368" s="184"/>
      <c r="AH368" s="37"/>
    </row>
    <row r="369" spans="1:34">
      <c r="A369" s="14">
        <f t="shared" si="128"/>
        <v>46264</v>
      </c>
      <c r="B369" s="38"/>
      <c r="C369" s="13"/>
      <c r="D369" s="13"/>
      <c r="E369" s="13"/>
      <c r="F369" s="13"/>
      <c r="G369" s="12"/>
      <c r="H369" s="36"/>
      <c r="I369" s="13"/>
      <c r="J369" s="13"/>
      <c r="K369" s="184"/>
      <c r="L369" s="26"/>
      <c r="M369" s="22"/>
      <c r="N369" s="29"/>
      <c r="O369" s="13"/>
      <c r="P369" s="13"/>
      <c r="Q369" s="13"/>
      <c r="R369" s="13"/>
      <c r="S369" s="13"/>
      <c r="T369" s="13"/>
      <c r="U369" s="13"/>
      <c r="V369" s="13"/>
      <c r="W369" s="184"/>
      <c r="X369" s="37"/>
      <c r="Y369" s="22"/>
      <c r="Z369" s="38"/>
      <c r="AA369" s="13"/>
      <c r="AB369" s="13"/>
      <c r="AC369" s="13"/>
      <c r="AD369" s="36"/>
      <c r="AE369" s="13"/>
      <c r="AF369" s="13"/>
      <c r="AG369" s="184"/>
      <c r="AH369" s="37"/>
    </row>
    <row r="370" spans="1:34" ht="15.75" thickBot="1">
      <c r="A370" s="14">
        <f t="shared" si="128"/>
        <v>46265</v>
      </c>
      <c r="B370" s="11"/>
      <c r="C370" s="13"/>
      <c r="D370" s="13"/>
      <c r="E370" s="13"/>
      <c r="F370" s="13"/>
      <c r="G370" s="12"/>
      <c r="H370" s="36"/>
      <c r="I370" s="13"/>
      <c r="J370" s="13"/>
      <c r="K370" s="184"/>
      <c r="L370" s="26"/>
      <c r="M370" s="22"/>
      <c r="N370" s="29"/>
      <c r="O370" s="13"/>
      <c r="P370" s="13"/>
      <c r="Q370" s="13"/>
      <c r="R370" s="13"/>
      <c r="S370" s="13"/>
      <c r="T370" s="13"/>
      <c r="U370" s="13"/>
      <c r="V370" s="13"/>
      <c r="W370" s="184"/>
      <c r="X370" s="37"/>
      <c r="Y370" s="22"/>
      <c r="Z370" s="38"/>
      <c r="AA370" s="13"/>
      <c r="AB370" s="13"/>
      <c r="AC370" s="13"/>
      <c r="AD370" s="36"/>
      <c r="AE370" s="13"/>
      <c r="AF370" s="13"/>
      <c r="AG370" s="184"/>
      <c r="AH370" s="37"/>
    </row>
    <row r="371" spans="1:34">
      <c r="A371" s="16" t="s">
        <v>31</v>
      </c>
      <c r="B371" s="17">
        <f>MIN(B339:B370)</f>
        <v>0</v>
      </c>
      <c r="C371" s="17">
        <f>MIN(C339:C370)</f>
        <v>0</v>
      </c>
      <c r="D371" s="17">
        <f t="shared" ref="D371:L371" si="129">MIN(D339:D370)</f>
        <v>0</v>
      </c>
      <c r="E371" s="17">
        <f t="shared" si="129"/>
        <v>0</v>
      </c>
      <c r="F371" s="17">
        <f t="shared" si="129"/>
        <v>0</v>
      </c>
      <c r="G371" s="17">
        <f t="shared" si="129"/>
        <v>0</v>
      </c>
      <c r="H371" s="17">
        <f t="shared" si="129"/>
        <v>0</v>
      </c>
      <c r="I371" s="17">
        <f t="shared" si="129"/>
        <v>0</v>
      </c>
      <c r="J371" s="17">
        <f t="shared" si="129"/>
        <v>0</v>
      </c>
      <c r="K371" s="17">
        <f t="shared" si="129"/>
        <v>0</v>
      </c>
      <c r="L371" s="30">
        <f t="shared" si="129"/>
        <v>0</v>
      </c>
      <c r="M371" s="22"/>
      <c r="N371" s="17">
        <f>MIN(N339:N370)</f>
        <v>0</v>
      </c>
      <c r="O371" s="17">
        <f>MIN(O339:O370)</f>
        <v>0</v>
      </c>
      <c r="P371" s="17">
        <f t="shared" ref="P371:X371" si="130">MIN(P339:P370)</f>
        <v>0</v>
      </c>
      <c r="Q371" s="17">
        <f t="shared" si="130"/>
        <v>0</v>
      </c>
      <c r="R371" s="17">
        <f t="shared" si="130"/>
        <v>0</v>
      </c>
      <c r="S371" s="17">
        <f t="shared" si="130"/>
        <v>0</v>
      </c>
      <c r="T371" s="17">
        <f t="shared" si="130"/>
        <v>0</v>
      </c>
      <c r="U371" s="17">
        <f t="shared" si="130"/>
        <v>0</v>
      </c>
      <c r="V371" s="17">
        <f t="shared" si="130"/>
        <v>0</v>
      </c>
      <c r="W371" s="17">
        <f t="shared" si="130"/>
        <v>0</v>
      </c>
      <c r="X371" s="30">
        <f t="shared" si="130"/>
        <v>0</v>
      </c>
      <c r="Z371" s="40">
        <f t="shared" ref="Z371:AH371" si="131">MIN(Z339:Z370)</f>
        <v>0</v>
      </c>
      <c r="AA371" s="17">
        <f t="shared" si="131"/>
        <v>0</v>
      </c>
      <c r="AB371" s="17">
        <f t="shared" si="131"/>
        <v>0</v>
      </c>
      <c r="AC371" s="17">
        <f t="shared" si="131"/>
        <v>0</v>
      </c>
      <c r="AD371" s="17">
        <f t="shared" si="131"/>
        <v>0</v>
      </c>
      <c r="AE371" s="17">
        <f t="shared" si="131"/>
        <v>0</v>
      </c>
      <c r="AF371" s="17">
        <f t="shared" si="131"/>
        <v>0</v>
      </c>
      <c r="AG371" s="17">
        <f t="shared" si="131"/>
        <v>0</v>
      </c>
      <c r="AH371" s="30">
        <f t="shared" si="131"/>
        <v>0</v>
      </c>
    </row>
    <row r="372" spans="1:34">
      <c r="A372" s="18" t="s">
        <v>33</v>
      </c>
      <c r="B372" s="19">
        <f>MAX(B339:B370)</f>
        <v>0</v>
      </c>
      <c r="C372" s="19">
        <f>MAX(C339:C370)</f>
        <v>0</v>
      </c>
      <c r="D372" s="19">
        <f t="shared" ref="D372:L372" si="132">MAX(D339:D370)</f>
        <v>0</v>
      </c>
      <c r="E372" s="19">
        <f t="shared" si="132"/>
        <v>0</v>
      </c>
      <c r="F372" s="19">
        <f t="shared" si="132"/>
        <v>0</v>
      </c>
      <c r="G372" s="19">
        <f t="shared" si="132"/>
        <v>0</v>
      </c>
      <c r="H372" s="19">
        <f t="shared" si="132"/>
        <v>0</v>
      </c>
      <c r="I372" s="19">
        <f t="shared" si="132"/>
        <v>0</v>
      </c>
      <c r="J372" s="19">
        <f t="shared" si="132"/>
        <v>0</v>
      </c>
      <c r="K372" s="19">
        <f t="shared" si="132"/>
        <v>0</v>
      </c>
      <c r="L372" s="31">
        <f t="shared" si="132"/>
        <v>0</v>
      </c>
      <c r="M372" s="22"/>
      <c r="N372" s="19">
        <f>MAX(N339:N370)</f>
        <v>0</v>
      </c>
      <c r="O372" s="19">
        <f>MAX(O339:O370)</f>
        <v>0</v>
      </c>
      <c r="P372" s="19">
        <f t="shared" ref="P372:X372" si="133">MAX(P339:P370)</f>
        <v>0</v>
      </c>
      <c r="Q372" s="19">
        <f t="shared" si="133"/>
        <v>0</v>
      </c>
      <c r="R372" s="19">
        <f t="shared" si="133"/>
        <v>0</v>
      </c>
      <c r="S372" s="19">
        <f t="shared" si="133"/>
        <v>0</v>
      </c>
      <c r="T372" s="19">
        <f t="shared" si="133"/>
        <v>0</v>
      </c>
      <c r="U372" s="19">
        <f t="shared" si="133"/>
        <v>0</v>
      </c>
      <c r="V372" s="19">
        <f t="shared" si="133"/>
        <v>0</v>
      </c>
      <c r="W372" s="19">
        <f t="shared" si="133"/>
        <v>0</v>
      </c>
      <c r="X372" s="31">
        <f t="shared" si="133"/>
        <v>0</v>
      </c>
      <c r="Z372" s="41">
        <f t="shared" ref="Z372:AH372" si="134">MAX(Z339:Z370)</f>
        <v>0</v>
      </c>
      <c r="AA372" s="19">
        <f t="shared" si="134"/>
        <v>0</v>
      </c>
      <c r="AB372" s="19">
        <f t="shared" si="134"/>
        <v>0</v>
      </c>
      <c r="AC372" s="19">
        <f t="shared" si="134"/>
        <v>0</v>
      </c>
      <c r="AD372" s="19">
        <f t="shared" si="134"/>
        <v>0</v>
      </c>
      <c r="AE372" s="19">
        <f t="shared" si="134"/>
        <v>0</v>
      </c>
      <c r="AF372" s="19">
        <f t="shared" si="134"/>
        <v>0</v>
      </c>
      <c r="AG372" s="19">
        <f t="shared" si="134"/>
        <v>0</v>
      </c>
      <c r="AH372" s="31">
        <f t="shared" si="134"/>
        <v>0</v>
      </c>
    </row>
    <row r="373" spans="1:34">
      <c r="A373" s="18" t="s">
        <v>36</v>
      </c>
      <c r="B373" s="19" t="e">
        <f t="shared" ref="B373:L373" si="135">AVERAGE(B339:B370)</f>
        <v>#DIV/0!</v>
      </c>
      <c r="C373" s="19" t="e">
        <f t="shared" si="135"/>
        <v>#DIV/0!</v>
      </c>
      <c r="D373" s="19" t="e">
        <f t="shared" si="135"/>
        <v>#DIV/0!</v>
      </c>
      <c r="E373" s="19" t="e">
        <f t="shared" si="135"/>
        <v>#DIV/0!</v>
      </c>
      <c r="F373" s="19" t="e">
        <f t="shared" si="135"/>
        <v>#DIV/0!</v>
      </c>
      <c r="G373" s="19" t="e">
        <f t="shared" si="135"/>
        <v>#DIV/0!</v>
      </c>
      <c r="H373" s="19" t="e">
        <f t="shared" si="135"/>
        <v>#DIV/0!</v>
      </c>
      <c r="I373" s="19" t="e">
        <f t="shared" si="135"/>
        <v>#DIV/0!</v>
      </c>
      <c r="J373" s="19" t="e">
        <f t="shared" si="135"/>
        <v>#DIV/0!</v>
      </c>
      <c r="K373" s="19" t="e">
        <f t="shared" si="135"/>
        <v>#DIV/0!</v>
      </c>
      <c r="L373" s="31" t="e">
        <f t="shared" si="135"/>
        <v>#DIV/0!</v>
      </c>
      <c r="M373" s="22"/>
      <c r="N373" s="19" t="e">
        <f t="shared" ref="N373:X373" si="136">AVERAGE(N339:N370)</f>
        <v>#DIV/0!</v>
      </c>
      <c r="O373" s="19" t="e">
        <f t="shared" si="136"/>
        <v>#DIV/0!</v>
      </c>
      <c r="P373" s="19" t="e">
        <f t="shared" si="136"/>
        <v>#DIV/0!</v>
      </c>
      <c r="Q373" s="19" t="e">
        <f t="shared" si="136"/>
        <v>#DIV/0!</v>
      </c>
      <c r="R373" s="19" t="e">
        <f t="shared" si="136"/>
        <v>#DIV/0!</v>
      </c>
      <c r="S373" s="19" t="e">
        <f t="shared" si="136"/>
        <v>#DIV/0!</v>
      </c>
      <c r="T373" s="19" t="e">
        <f t="shared" si="136"/>
        <v>#DIV/0!</v>
      </c>
      <c r="U373" s="19" t="e">
        <f t="shared" si="136"/>
        <v>#DIV/0!</v>
      </c>
      <c r="V373" s="19" t="e">
        <f t="shared" si="136"/>
        <v>#DIV/0!</v>
      </c>
      <c r="W373" s="19" t="e">
        <f t="shared" si="136"/>
        <v>#DIV/0!</v>
      </c>
      <c r="X373" s="31" t="e">
        <f t="shared" si="136"/>
        <v>#DIV/0!</v>
      </c>
      <c r="Z373" s="41" t="e">
        <f>AVERAGE(Z339:Z370)</f>
        <v>#DIV/0!</v>
      </c>
      <c r="AA373" s="19" t="e">
        <f t="shared" ref="AA373:AH373" si="137">AVERAGE(AA339:AA370)</f>
        <v>#DIV/0!</v>
      </c>
      <c r="AB373" s="19" t="e">
        <f t="shared" si="137"/>
        <v>#DIV/0!</v>
      </c>
      <c r="AC373" s="19" t="e">
        <f t="shared" si="137"/>
        <v>#DIV/0!</v>
      </c>
      <c r="AD373" s="19" t="e">
        <f t="shared" si="137"/>
        <v>#DIV/0!</v>
      </c>
      <c r="AE373" s="19" t="e">
        <f t="shared" si="137"/>
        <v>#DIV/0!</v>
      </c>
      <c r="AF373" s="19" t="e">
        <f t="shared" si="137"/>
        <v>#DIV/0!</v>
      </c>
      <c r="AG373" s="19" t="e">
        <f t="shared" si="137"/>
        <v>#DIV/0!</v>
      </c>
      <c r="AH373" s="31" t="e">
        <f t="shared" si="137"/>
        <v>#DIV/0!</v>
      </c>
    </row>
    <row r="374" spans="1:34" ht="15.75" thickBot="1">
      <c r="A374" s="20" t="s">
        <v>130</v>
      </c>
      <c r="B374" s="21" t="e">
        <f>STDEV(B339:B370)</f>
        <v>#DIV/0!</v>
      </c>
      <c r="C374" s="21" t="e">
        <f t="shared" ref="C374:L374" si="138">STDEV(C339:C370)</f>
        <v>#DIV/0!</v>
      </c>
      <c r="D374" s="21" t="e">
        <f t="shared" si="138"/>
        <v>#DIV/0!</v>
      </c>
      <c r="E374" s="21" t="e">
        <f t="shared" si="138"/>
        <v>#DIV/0!</v>
      </c>
      <c r="F374" s="21" t="e">
        <f t="shared" si="138"/>
        <v>#DIV/0!</v>
      </c>
      <c r="G374" s="21" t="e">
        <f t="shared" si="138"/>
        <v>#DIV/0!</v>
      </c>
      <c r="H374" s="21" t="e">
        <f t="shared" si="138"/>
        <v>#DIV/0!</v>
      </c>
      <c r="I374" s="21" t="e">
        <f t="shared" si="138"/>
        <v>#DIV/0!</v>
      </c>
      <c r="J374" s="21" t="e">
        <f t="shared" si="138"/>
        <v>#DIV/0!</v>
      </c>
      <c r="K374" s="21" t="e">
        <f t="shared" si="138"/>
        <v>#DIV/0!</v>
      </c>
      <c r="L374" s="32" t="e">
        <f t="shared" si="138"/>
        <v>#DIV/0!</v>
      </c>
      <c r="M374" s="22"/>
      <c r="N374" s="21" t="e">
        <f>STDEV(N339:N370)</f>
        <v>#DIV/0!</v>
      </c>
      <c r="O374" s="21" t="e">
        <f t="shared" ref="O374:X374" si="139">STDEV(O339:O370)</f>
        <v>#DIV/0!</v>
      </c>
      <c r="P374" s="21" t="e">
        <f t="shared" si="139"/>
        <v>#DIV/0!</v>
      </c>
      <c r="Q374" s="21" t="e">
        <f t="shared" si="139"/>
        <v>#DIV/0!</v>
      </c>
      <c r="R374" s="21" t="e">
        <f t="shared" si="139"/>
        <v>#DIV/0!</v>
      </c>
      <c r="S374" s="21" t="e">
        <f t="shared" si="139"/>
        <v>#DIV/0!</v>
      </c>
      <c r="T374" s="21" t="e">
        <f t="shared" si="139"/>
        <v>#DIV/0!</v>
      </c>
      <c r="U374" s="21" t="e">
        <f t="shared" si="139"/>
        <v>#DIV/0!</v>
      </c>
      <c r="V374" s="21" t="e">
        <f t="shared" si="139"/>
        <v>#DIV/0!</v>
      </c>
      <c r="W374" s="21" t="e">
        <f t="shared" si="139"/>
        <v>#DIV/0!</v>
      </c>
      <c r="X374" s="32" t="e">
        <f t="shared" si="139"/>
        <v>#DIV/0!</v>
      </c>
      <c r="Z374" s="42" t="e">
        <f>STDEV(Z339:Z370)</f>
        <v>#DIV/0!</v>
      </c>
      <c r="AA374" s="21" t="e">
        <f t="shared" ref="AA374:AH374" si="140">STDEV(AA339:AA370)</f>
        <v>#DIV/0!</v>
      </c>
      <c r="AB374" s="21" t="e">
        <f t="shared" si="140"/>
        <v>#DIV/0!</v>
      </c>
      <c r="AC374" s="21" t="e">
        <f t="shared" si="140"/>
        <v>#DIV/0!</v>
      </c>
      <c r="AD374" s="21" t="e">
        <f t="shared" si="140"/>
        <v>#DIV/0!</v>
      </c>
      <c r="AE374" s="21" t="e">
        <f t="shared" si="140"/>
        <v>#DIV/0!</v>
      </c>
      <c r="AF374" s="21" t="e">
        <f t="shared" si="140"/>
        <v>#DIV/0!</v>
      </c>
      <c r="AG374" s="21" t="e">
        <f t="shared" si="140"/>
        <v>#DIV/0!</v>
      </c>
      <c r="AH374" s="32" t="e">
        <f t="shared" si="140"/>
        <v>#DIV/0!</v>
      </c>
    </row>
    <row r="375" spans="1:34" ht="15.75" thickBot="1"/>
    <row r="376" spans="1:34" ht="15.75" thickBot="1">
      <c r="A376" s="1"/>
      <c r="B376" s="338" t="s">
        <v>0</v>
      </c>
      <c r="C376" s="339"/>
      <c r="D376" s="339"/>
      <c r="E376" s="339"/>
      <c r="F376" s="339"/>
      <c r="G376" s="339"/>
      <c r="H376" s="339"/>
      <c r="I376" s="339"/>
      <c r="J376" s="339"/>
      <c r="K376" s="339"/>
      <c r="L376" s="339"/>
      <c r="M376" s="339"/>
      <c r="N376" s="339"/>
      <c r="O376" s="339"/>
      <c r="P376" s="339"/>
      <c r="Q376" s="339"/>
      <c r="R376" s="339"/>
      <c r="S376" s="339"/>
      <c r="T376" s="339"/>
      <c r="U376" s="339"/>
      <c r="V376" s="339"/>
      <c r="W376" s="339"/>
      <c r="X376" s="339"/>
      <c r="Y376" s="339"/>
      <c r="Z376" s="339"/>
      <c r="AA376" s="339"/>
      <c r="AB376" s="339"/>
      <c r="AC376" s="339"/>
      <c r="AD376" s="340"/>
      <c r="AE376" s="340"/>
      <c r="AF376" s="340"/>
      <c r="AG376" s="340"/>
      <c r="AH376" s="340"/>
    </row>
    <row r="377" spans="1:34" ht="15.75" thickBot="1">
      <c r="A377" s="1"/>
      <c r="B377" s="338" t="s">
        <v>160</v>
      </c>
      <c r="C377" s="339"/>
      <c r="D377" s="339"/>
      <c r="E377" s="339"/>
      <c r="F377" s="339"/>
      <c r="G377" s="339"/>
      <c r="H377" s="339"/>
      <c r="I377" s="339"/>
      <c r="J377" s="339"/>
      <c r="K377" s="339"/>
      <c r="L377" s="339"/>
      <c r="M377" s="339"/>
      <c r="N377" s="339"/>
      <c r="O377" s="339"/>
      <c r="P377" s="339"/>
      <c r="Q377" s="339"/>
      <c r="R377" s="339"/>
      <c r="S377" s="339"/>
      <c r="T377" s="339"/>
      <c r="U377" s="339"/>
      <c r="V377" s="339"/>
      <c r="W377" s="339"/>
      <c r="X377" s="339"/>
      <c r="Y377" s="339"/>
      <c r="Z377" s="339"/>
      <c r="AA377" s="339"/>
      <c r="AB377" s="339"/>
      <c r="AC377" s="339"/>
      <c r="AD377" s="4"/>
      <c r="AE377" s="43" t="s">
        <v>107</v>
      </c>
      <c r="AF377" s="341">
        <v>46266</v>
      </c>
      <c r="AG377" s="342"/>
      <c r="AH377" s="343"/>
    </row>
    <row r="378" spans="1:34">
      <c r="A378" s="344"/>
      <c r="B378" s="346" t="s">
        <v>132</v>
      </c>
      <c r="C378" s="347"/>
      <c r="D378" s="347"/>
      <c r="E378" s="347"/>
      <c r="F378" s="347"/>
      <c r="G378" s="347"/>
      <c r="H378" s="347"/>
      <c r="I378" s="347"/>
      <c r="J378" s="347"/>
      <c r="K378" s="348"/>
      <c r="L378" s="349"/>
      <c r="M378" s="22"/>
      <c r="N378" s="350" t="s">
        <v>133</v>
      </c>
      <c r="O378" s="347"/>
      <c r="P378" s="347"/>
      <c r="Q378" s="347"/>
      <c r="R378" s="347"/>
      <c r="S378" s="347"/>
      <c r="T378" s="347"/>
      <c r="U378" s="347"/>
      <c r="V378" s="347"/>
      <c r="W378" s="348"/>
      <c r="X378" s="349"/>
      <c r="Y378" s="22"/>
      <c r="Z378" s="346" t="s">
        <v>134</v>
      </c>
      <c r="AA378" s="347"/>
      <c r="AB378" s="347"/>
      <c r="AC378" s="347"/>
      <c r="AD378" s="347"/>
      <c r="AE378" s="347"/>
      <c r="AF378" s="347"/>
      <c r="AG378" s="348"/>
      <c r="AH378" s="349"/>
    </row>
    <row r="379" spans="1:34" ht="25.5">
      <c r="A379" s="345"/>
      <c r="B379" s="359" t="s">
        <v>135</v>
      </c>
      <c r="C379" s="361" t="s">
        <v>136</v>
      </c>
      <c r="D379" s="5" t="s">
        <v>137</v>
      </c>
      <c r="E379" s="5" t="s">
        <v>138</v>
      </c>
      <c r="F379" s="5" t="s">
        <v>139</v>
      </c>
      <c r="G379" s="5" t="s">
        <v>140</v>
      </c>
      <c r="H379" s="5" t="s">
        <v>141</v>
      </c>
      <c r="I379" s="5" t="s">
        <v>142</v>
      </c>
      <c r="J379" s="5" t="s">
        <v>143</v>
      </c>
      <c r="K379" s="181" t="s">
        <v>81</v>
      </c>
      <c r="L379" s="23" t="s">
        <v>144</v>
      </c>
      <c r="M379" s="22"/>
      <c r="N379" s="355" t="s">
        <v>135</v>
      </c>
      <c r="O379" s="357" t="s">
        <v>136</v>
      </c>
      <c r="P379" s="5" t="s">
        <v>137</v>
      </c>
      <c r="Q379" s="5" t="s">
        <v>138</v>
      </c>
      <c r="R379" s="5" t="s">
        <v>139</v>
      </c>
      <c r="S379" s="5" t="s">
        <v>140</v>
      </c>
      <c r="T379" s="5" t="s">
        <v>141</v>
      </c>
      <c r="U379" s="5" t="s">
        <v>142</v>
      </c>
      <c r="V379" s="5" t="s">
        <v>143</v>
      </c>
      <c r="W379" s="181" t="s">
        <v>81</v>
      </c>
      <c r="X379" s="23" t="s">
        <v>144</v>
      </c>
      <c r="Y379" s="22"/>
      <c r="Z379" s="33" t="s">
        <v>137</v>
      </c>
      <c r="AA379" s="5" t="s">
        <v>138</v>
      </c>
      <c r="AB379" s="5" t="s">
        <v>139</v>
      </c>
      <c r="AC379" s="5" t="s">
        <v>140</v>
      </c>
      <c r="AD379" s="5" t="s">
        <v>141</v>
      </c>
      <c r="AE379" s="5" t="s">
        <v>142</v>
      </c>
      <c r="AF379" s="5" t="s">
        <v>143</v>
      </c>
      <c r="AG379" s="181" t="s">
        <v>81</v>
      </c>
      <c r="AH379" s="23" t="s">
        <v>144</v>
      </c>
    </row>
    <row r="380" spans="1:34">
      <c r="A380" s="6" t="s">
        <v>145</v>
      </c>
      <c r="B380" s="360"/>
      <c r="C380" s="362"/>
      <c r="D380" s="5" t="s">
        <v>128</v>
      </c>
      <c r="E380" s="5" t="s">
        <v>128</v>
      </c>
      <c r="F380" s="5" t="s">
        <v>128</v>
      </c>
      <c r="G380" s="5" t="s">
        <v>128</v>
      </c>
      <c r="H380" s="5" t="s">
        <v>125</v>
      </c>
      <c r="I380" s="5" t="s">
        <v>146</v>
      </c>
      <c r="J380" s="5" t="s">
        <v>127</v>
      </c>
      <c r="K380" s="181" t="s">
        <v>53</v>
      </c>
      <c r="L380" s="23" t="s">
        <v>53</v>
      </c>
      <c r="M380" s="22"/>
      <c r="N380" s="356"/>
      <c r="O380" s="358"/>
      <c r="P380" s="5" t="s">
        <v>128</v>
      </c>
      <c r="Q380" s="5" t="s">
        <v>128</v>
      </c>
      <c r="R380" s="5" t="s">
        <v>128</v>
      </c>
      <c r="S380" s="5" t="s">
        <v>128</v>
      </c>
      <c r="T380" s="5" t="s">
        <v>125</v>
      </c>
      <c r="U380" s="5" t="s">
        <v>146</v>
      </c>
      <c r="V380" s="5" t="s">
        <v>127</v>
      </c>
      <c r="W380" s="181" t="s">
        <v>53</v>
      </c>
      <c r="X380" s="23" t="s">
        <v>53</v>
      </c>
      <c r="Y380" s="22"/>
      <c r="Z380" s="33" t="s">
        <v>128</v>
      </c>
      <c r="AA380" s="5" t="s">
        <v>128</v>
      </c>
      <c r="AB380" s="5" t="s">
        <v>128</v>
      </c>
      <c r="AC380" s="5" t="s">
        <v>128</v>
      </c>
      <c r="AD380" s="5" t="s">
        <v>125</v>
      </c>
      <c r="AE380" s="5" t="s">
        <v>146</v>
      </c>
      <c r="AF380" s="5" t="s">
        <v>127</v>
      </c>
      <c r="AG380" s="181" t="s">
        <v>53</v>
      </c>
      <c r="AH380" s="23" t="s">
        <v>53</v>
      </c>
    </row>
    <row r="381" spans="1:34" ht="39" thickBot="1">
      <c r="A381" s="7" t="s">
        <v>147</v>
      </c>
      <c r="B381" s="8" t="s">
        <v>148</v>
      </c>
      <c r="C381" s="9" t="s">
        <v>149</v>
      </c>
      <c r="D381" s="9" t="s">
        <v>161</v>
      </c>
      <c r="E381" s="9" t="s">
        <v>162</v>
      </c>
      <c r="F381" s="9" t="s">
        <v>163</v>
      </c>
      <c r="G381" s="9" t="s">
        <v>164</v>
      </c>
      <c r="H381" s="9" t="s">
        <v>154</v>
      </c>
      <c r="I381" s="24" t="s">
        <v>155</v>
      </c>
      <c r="J381" s="24" t="s">
        <v>156</v>
      </c>
      <c r="K381" s="24" t="s">
        <v>179</v>
      </c>
      <c r="L381" s="25" t="s">
        <v>157</v>
      </c>
      <c r="M381" s="22"/>
      <c r="N381" s="8" t="s">
        <v>148</v>
      </c>
      <c r="O381" s="9" t="s">
        <v>149</v>
      </c>
      <c r="P381" s="9" t="s">
        <v>161</v>
      </c>
      <c r="Q381" s="9" t="s">
        <v>162</v>
      </c>
      <c r="R381" s="9" t="s">
        <v>163</v>
      </c>
      <c r="S381" s="9" t="s">
        <v>164</v>
      </c>
      <c r="T381" s="9" t="s">
        <v>154</v>
      </c>
      <c r="U381" s="24" t="s">
        <v>155</v>
      </c>
      <c r="V381" s="24" t="s">
        <v>156</v>
      </c>
      <c r="W381" s="24" t="s">
        <v>179</v>
      </c>
      <c r="X381" s="25" t="s">
        <v>157</v>
      </c>
      <c r="Y381" s="22"/>
      <c r="Z381" s="8" t="s">
        <v>161</v>
      </c>
      <c r="AA381" s="9" t="s">
        <v>162</v>
      </c>
      <c r="AB381" s="9" t="s">
        <v>163</v>
      </c>
      <c r="AC381" s="9" t="s">
        <v>164</v>
      </c>
      <c r="AD381" s="9" t="s">
        <v>154</v>
      </c>
      <c r="AE381" s="9" t="s">
        <v>155</v>
      </c>
      <c r="AF381" s="9" t="s">
        <v>156</v>
      </c>
      <c r="AG381" s="24" t="s">
        <v>179</v>
      </c>
      <c r="AH381" s="23" t="s">
        <v>157</v>
      </c>
    </row>
    <row r="382" spans="1:34">
      <c r="A382" s="10">
        <f>AF377+0</f>
        <v>46266</v>
      </c>
      <c r="B382" s="11"/>
      <c r="C382" s="54"/>
      <c r="D382" s="54"/>
      <c r="E382" s="54"/>
      <c r="F382" s="54"/>
      <c r="G382" s="54"/>
      <c r="H382" s="54"/>
      <c r="I382" s="54"/>
      <c r="J382" s="54"/>
      <c r="K382" s="183"/>
      <c r="L382" s="55"/>
      <c r="M382" s="22"/>
      <c r="N382" s="29"/>
      <c r="O382" s="13"/>
      <c r="P382" s="13"/>
      <c r="Q382" s="13"/>
      <c r="R382" s="13"/>
      <c r="S382" s="13"/>
      <c r="T382" s="13"/>
      <c r="U382" s="13"/>
      <c r="V382" s="13"/>
      <c r="W382" s="183"/>
      <c r="X382" s="37"/>
      <c r="Y382" s="22"/>
      <c r="Z382" s="148"/>
      <c r="AA382" s="63"/>
      <c r="AB382" s="63"/>
      <c r="AC382" s="63"/>
      <c r="AD382" s="63"/>
      <c r="AE382" s="63"/>
      <c r="AF382" s="63"/>
      <c r="AG382" s="183"/>
      <c r="AH382" s="149"/>
    </row>
    <row r="383" spans="1:34">
      <c r="A383" s="14">
        <f t="shared" ref="A383:A412" si="141">A382+1</f>
        <v>46267</v>
      </c>
      <c r="B383" s="11"/>
      <c r="C383" s="54"/>
      <c r="D383" s="54"/>
      <c r="E383" s="54"/>
      <c r="F383" s="54"/>
      <c r="G383" s="54"/>
      <c r="H383" s="54"/>
      <c r="I383" s="54"/>
      <c r="J383" s="54"/>
      <c r="K383" s="183"/>
      <c r="L383" s="55"/>
      <c r="M383" s="22"/>
      <c r="N383" s="29"/>
      <c r="O383" s="13"/>
      <c r="P383" s="13"/>
      <c r="Q383" s="13"/>
      <c r="R383" s="13"/>
      <c r="S383" s="13"/>
      <c r="T383" s="13"/>
      <c r="U383" s="13"/>
      <c r="V383" s="13"/>
      <c r="W383" s="183"/>
      <c r="X383" s="37"/>
      <c r="Y383" s="22"/>
      <c r="Z383" s="38"/>
      <c r="AA383" s="13"/>
      <c r="AB383" s="13"/>
      <c r="AC383" s="13"/>
      <c r="AD383" s="13"/>
      <c r="AE383" s="13"/>
      <c r="AF383" s="13"/>
      <c r="AG383" s="183"/>
      <c r="AH383" s="45"/>
    </row>
    <row r="384" spans="1:34">
      <c r="A384" s="14">
        <f t="shared" si="141"/>
        <v>46268</v>
      </c>
      <c r="B384" s="11"/>
      <c r="C384" s="12"/>
      <c r="D384" s="12"/>
      <c r="E384" s="12"/>
      <c r="F384" s="12"/>
      <c r="G384" s="12"/>
      <c r="H384" s="12"/>
      <c r="I384" s="13"/>
      <c r="J384" s="13"/>
      <c r="K384" s="184"/>
      <c r="L384" s="26"/>
      <c r="M384" s="22"/>
      <c r="N384" s="29"/>
      <c r="O384" s="13"/>
      <c r="P384" s="13"/>
      <c r="Q384" s="13"/>
      <c r="R384" s="13"/>
      <c r="S384" s="13"/>
      <c r="T384" s="13"/>
      <c r="U384" s="13"/>
      <c r="V384" s="13"/>
      <c r="W384" s="184"/>
      <c r="X384" s="37"/>
      <c r="Y384" s="22"/>
      <c r="Z384" s="38"/>
      <c r="AA384" s="13"/>
      <c r="AB384" s="13"/>
      <c r="AC384" s="13"/>
      <c r="AD384" s="13"/>
      <c r="AE384" s="13"/>
      <c r="AF384" s="13"/>
      <c r="AG384" s="184"/>
      <c r="AH384" s="45"/>
    </row>
    <row r="385" spans="1:34">
      <c r="A385" s="14">
        <f t="shared" si="141"/>
        <v>46269</v>
      </c>
      <c r="B385" s="11"/>
      <c r="C385" s="12"/>
      <c r="D385" s="12"/>
      <c r="E385" s="12"/>
      <c r="F385" s="12"/>
      <c r="G385" s="12"/>
      <c r="H385" s="12"/>
      <c r="I385" s="12"/>
      <c r="J385" s="13"/>
      <c r="K385" s="184"/>
      <c r="L385" s="26"/>
      <c r="M385" s="22"/>
      <c r="N385" s="29"/>
      <c r="O385" s="13"/>
      <c r="P385" s="13"/>
      <c r="Q385" s="13"/>
      <c r="R385" s="13"/>
      <c r="S385" s="13"/>
      <c r="T385" s="13"/>
      <c r="U385" s="13"/>
      <c r="V385" s="13"/>
      <c r="W385" s="184"/>
      <c r="X385" s="37"/>
      <c r="Y385" s="22"/>
      <c r="Z385" s="38"/>
      <c r="AA385" s="13"/>
      <c r="AB385" s="13"/>
      <c r="AC385" s="13"/>
      <c r="AD385" s="13"/>
      <c r="AE385" s="13"/>
      <c r="AF385" s="13"/>
      <c r="AG385" s="184"/>
      <c r="AH385" s="45"/>
    </row>
    <row r="386" spans="1:34">
      <c r="A386" s="14">
        <f t="shared" si="141"/>
        <v>46270</v>
      </c>
      <c r="B386" s="11"/>
      <c r="C386" s="12"/>
      <c r="D386" s="12"/>
      <c r="E386" s="12"/>
      <c r="F386" s="12"/>
      <c r="G386" s="12"/>
      <c r="H386" s="12"/>
      <c r="I386" s="12"/>
      <c r="J386" s="13"/>
      <c r="K386" s="184"/>
      <c r="L386" s="26"/>
      <c r="M386" s="22"/>
      <c r="N386" s="29"/>
      <c r="O386" s="13"/>
      <c r="P386" s="13"/>
      <c r="Q386" s="13"/>
      <c r="R386" s="13"/>
      <c r="S386" s="13"/>
      <c r="T386" s="13"/>
      <c r="U386" s="13"/>
      <c r="V386" s="13"/>
      <c r="W386" s="184"/>
      <c r="X386" s="37"/>
      <c r="Y386" s="22"/>
      <c r="Z386" s="38"/>
      <c r="AA386" s="13"/>
      <c r="AB386" s="13"/>
      <c r="AC386" s="13"/>
      <c r="AD386" s="36"/>
      <c r="AE386" s="13"/>
      <c r="AF386" s="13"/>
      <c r="AG386" s="184"/>
      <c r="AH386" s="46"/>
    </row>
    <row r="387" spans="1:34">
      <c r="A387" s="14">
        <f t="shared" si="141"/>
        <v>46271</v>
      </c>
      <c r="B387" s="11"/>
      <c r="C387" s="12"/>
      <c r="D387" s="12"/>
      <c r="E387" s="12"/>
      <c r="F387" s="12"/>
      <c r="G387" s="12"/>
      <c r="H387" s="12"/>
      <c r="I387" s="12"/>
      <c r="J387" s="13"/>
      <c r="K387" s="184"/>
      <c r="L387" s="26"/>
      <c r="M387" s="22"/>
      <c r="N387" s="29"/>
      <c r="O387" s="13"/>
      <c r="P387" s="13"/>
      <c r="Q387" s="13"/>
      <c r="R387" s="13"/>
      <c r="S387" s="13"/>
      <c r="T387" s="13"/>
      <c r="U387" s="13"/>
      <c r="V387" s="13"/>
      <c r="W387" s="184"/>
      <c r="X387" s="37"/>
      <c r="Y387" s="22"/>
      <c r="Z387" s="38"/>
      <c r="AA387" s="13"/>
      <c r="AB387" s="13"/>
      <c r="AC387" s="13"/>
      <c r="AD387" s="13"/>
      <c r="AE387" s="13"/>
      <c r="AF387" s="13"/>
      <c r="AG387" s="184"/>
      <c r="AH387" s="45"/>
    </row>
    <row r="388" spans="1:34">
      <c r="A388" s="14">
        <f t="shared" si="141"/>
        <v>46272</v>
      </c>
      <c r="B388" s="11"/>
      <c r="C388" s="12"/>
      <c r="D388" s="12"/>
      <c r="E388" s="12"/>
      <c r="F388" s="12"/>
      <c r="G388" s="12"/>
      <c r="H388" s="12"/>
      <c r="I388" s="12"/>
      <c r="J388" s="13"/>
      <c r="K388" s="184"/>
      <c r="L388" s="26"/>
      <c r="M388" s="22"/>
      <c r="N388" s="29"/>
      <c r="O388" s="13"/>
      <c r="P388" s="13"/>
      <c r="Q388" s="13"/>
      <c r="R388" s="13"/>
      <c r="S388" s="13"/>
      <c r="T388" s="13"/>
      <c r="U388" s="13"/>
      <c r="V388" s="13"/>
      <c r="W388" s="184"/>
      <c r="X388" s="37"/>
      <c r="Y388" s="22"/>
      <c r="Z388" s="38"/>
      <c r="AA388" s="13"/>
      <c r="AB388" s="13"/>
      <c r="AC388" s="13"/>
      <c r="AD388" s="13"/>
      <c r="AE388" s="13"/>
      <c r="AF388" s="13"/>
      <c r="AG388" s="184"/>
      <c r="AH388" s="45"/>
    </row>
    <row r="389" spans="1:34">
      <c r="A389" s="14">
        <f t="shared" si="141"/>
        <v>46273</v>
      </c>
      <c r="B389" s="11"/>
      <c r="C389" s="12"/>
      <c r="D389" s="12"/>
      <c r="E389" s="12"/>
      <c r="F389" s="12"/>
      <c r="G389" s="12"/>
      <c r="H389" s="12"/>
      <c r="I389" s="12"/>
      <c r="J389" s="13"/>
      <c r="K389" s="184"/>
      <c r="L389" s="26"/>
      <c r="M389" s="22"/>
      <c r="N389" s="29"/>
      <c r="O389" s="13"/>
      <c r="P389" s="13"/>
      <c r="Q389" s="13"/>
      <c r="R389" s="13"/>
      <c r="S389" s="13"/>
      <c r="T389" s="13"/>
      <c r="U389" s="13"/>
      <c r="V389" s="13"/>
      <c r="W389" s="184"/>
      <c r="X389" s="37"/>
      <c r="Y389" s="22"/>
      <c r="Z389" s="38"/>
      <c r="AA389" s="13"/>
      <c r="AB389" s="13"/>
      <c r="AC389" s="13"/>
      <c r="AD389" s="13"/>
      <c r="AE389" s="13"/>
      <c r="AF389" s="13"/>
      <c r="AG389" s="184"/>
      <c r="AH389" s="45"/>
    </row>
    <row r="390" spans="1:34">
      <c r="A390" s="14">
        <f t="shared" si="141"/>
        <v>46274</v>
      </c>
      <c r="B390" s="11"/>
      <c r="C390" s="12"/>
      <c r="D390" s="12"/>
      <c r="E390" s="12"/>
      <c r="F390" s="12"/>
      <c r="G390" s="12"/>
      <c r="H390" s="12"/>
      <c r="I390" s="12"/>
      <c r="J390" s="13"/>
      <c r="K390" s="184"/>
      <c r="L390" s="26"/>
      <c r="M390" s="22"/>
      <c r="N390" s="29"/>
      <c r="O390" s="13"/>
      <c r="P390" s="13"/>
      <c r="Q390" s="13"/>
      <c r="R390" s="13"/>
      <c r="S390" s="13"/>
      <c r="T390" s="13"/>
      <c r="U390" s="13"/>
      <c r="V390" s="13"/>
      <c r="W390" s="184"/>
      <c r="X390" s="37"/>
      <c r="Y390" s="22"/>
      <c r="Z390" s="38"/>
      <c r="AA390" s="13"/>
      <c r="AB390" s="13"/>
      <c r="AC390" s="13"/>
      <c r="AD390" s="13"/>
      <c r="AE390" s="13"/>
      <c r="AF390" s="13"/>
      <c r="AG390" s="184"/>
      <c r="AH390" s="45"/>
    </row>
    <row r="391" spans="1:34">
      <c r="A391" s="14">
        <f t="shared" si="141"/>
        <v>46275</v>
      </c>
      <c r="B391" s="11"/>
      <c r="C391" s="12"/>
      <c r="D391" s="12"/>
      <c r="E391" s="12"/>
      <c r="F391" s="12"/>
      <c r="G391" s="12"/>
      <c r="H391" s="12"/>
      <c r="I391" s="12"/>
      <c r="J391" s="13"/>
      <c r="K391" s="184"/>
      <c r="L391" s="26"/>
      <c r="M391" s="22"/>
      <c r="N391" s="29"/>
      <c r="O391" s="13"/>
      <c r="P391" s="13"/>
      <c r="Q391" s="13"/>
      <c r="R391" s="13"/>
      <c r="S391" s="13"/>
      <c r="T391" s="13"/>
      <c r="U391" s="13"/>
      <c r="V391" s="13"/>
      <c r="W391" s="184"/>
      <c r="X391" s="37"/>
      <c r="Y391" s="22"/>
      <c r="Z391" s="38"/>
      <c r="AA391" s="13"/>
      <c r="AB391" s="13"/>
      <c r="AC391" s="13"/>
      <c r="AD391" s="13"/>
      <c r="AE391" s="13"/>
      <c r="AF391" s="13"/>
      <c r="AG391" s="184"/>
      <c r="AH391" s="45"/>
    </row>
    <row r="392" spans="1:34">
      <c r="A392" s="14">
        <f t="shared" si="141"/>
        <v>46276</v>
      </c>
      <c r="B392" s="11"/>
      <c r="C392" s="12"/>
      <c r="D392" s="12"/>
      <c r="E392" s="12"/>
      <c r="F392" s="12"/>
      <c r="G392" s="12"/>
      <c r="H392" s="12"/>
      <c r="I392" s="12"/>
      <c r="J392" s="13"/>
      <c r="K392" s="184"/>
      <c r="L392" s="26"/>
      <c r="M392" s="22"/>
      <c r="N392" s="29"/>
      <c r="O392" s="13"/>
      <c r="P392" s="13"/>
      <c r="Q392" s="13"/>
      <c r="R392" s="13"/>
      <c r="S392" s="13"/>
      <c r="T392" s="13"/>
      <c r="U392" s="13"/>
      <c r="V392" s="13"/>
      <c r="W392" s="184"/>
      <c r="X392" s="37"/>
      <c r="Y392" s="22"/>
      <c r="Z392" s="38"/>
      <c r="AA392" s="13"/>
      <c r="AB392" s="13"/>
      <c r="AC392" s="13"/>
      <c r="AD392" s="13"/>
      <c r="AE392" s="13"/>
      <c r="AF392" s="13"/>
      <c r="AG392" s="184"/>
      <c r="AH392" s="45"/>
    </row>
    <row r="393" spans="1:34">
      <c r="A393" s="14">
        <f t="shared" si="141"/>
        <v>46277</v>
      </c>
      <c r="B393" s="11"/>
      <c r="C393" s="12"/>
      <c r="D393" s="12"/>
      <c r="E393" s="12"/>
      <c r="F393" s="12"/>
      <c r="G393" s="12"/>
      <c r="H393" s="12"/>
      <c r="I393" s="12"/>
      <c r="J393" s="13"/>
      <c r="K393" s="184"/>
      <c r="L393" s="26"/>
      <c r="M393" s="22"/>
      <c r="N393" s="29"/>
      <c r="O393" s="13"/>
      <c r="P393" s="13"/>
      <c r="Q393" s="13"/>
      <c r="R393" s="13"/>
      <c r="S393" s="13"/>
      <c r="T393" s="13"/>
      <c r="U393" s="13"/>
      <c r="V393" s="13"/>
      <c r="W393" s="184"/>
      <c r="X393" s="37"/>
      <c r="Y393" s="22"/>
      <c r="Z393" s="38"/>
      <c r="AA393" s="13"/>
      <c r="AB393" s="13"/>
      <c r="AC393" s="13"/>
      <c r="AD393" s="36"/>
      <c r="AE393" s="13"/>
      <c r="AF393" s="13"/>
      <c r="AG393" s="184"/>
      <c r="AH393" s="45"/>
    </row>
    <row r="394" spans="1:34">
      <c r="A394" s="14">
        <f t="shared" si="141"/>
        <v>46278</v>
      </c>
      <c r="B394" s="11"/>
      <c r="C394" s="12"/>
      <c r="D394" s="12"/>
      <c r="E394" s="12"/>
      <c r="F394" s="12"/>
      <c r="G394" s="12"/>
      <c r="H394" s="12"/>
      <c r="I394" s="12"/>
      <c r="J394" s="13"/>
      <c r="K394" s="184"/>
      <c r="L394" s="26"/>
      <c r="M394" s="22"/>
      <c r="N394" s="29"/>
      <c r="O394" s="13"/>
      <c r="P394" s="13"/>
      <c r="Q394" s="13"/>
      <c r="R394" s="13"/>
      <c r="S394" s="13"/>
      <c r="T394" s="13"/>
      <c r="U394" s="13"/>
      <c r="V394" s="13"/>
      <c r="W394" s="184"/>
      <c r="X394" s="37"/>
      <c r="Y394" s="22"/>
      <c r="Z394" s="38"/>
      <c r="AA394" s="13"/>
      <c r="AB394" s="13"/>
      <c r="AC394" s="13"/>
      <c r="AD394" s="13"/>
      <c r="AE394" s="13"/>
      <c r="AF394" s="13"/>
      <c r="AG394" s="184"/>
      <c r="AH394" s="45"/>
    </row>
    <row r="395" spans="1:34">
      <c r="A395" s="14">
        <f t="shared" si="141"/>
        <v>46279</v>
      </c>
      <c r="B395" s="11"/>
      <c r="C395" s="13"/>
      <c r="D395" s="12"/>
      <c r="E395" s="12"/>
      <c r="F395" s="13"/>
      <c r="G395" s="12"/>
      <c r="H395" s="12"/>
      <c r="I395" s="13"/>
      <c r="J395" s="13"/>
      <c r="K395" s="184"/>
      <c r="L395" s="26"/>
      <c r="M395" s="22"/>
      <c r="N395" s="29"/>
      <c r="O395" s="13"/>
      <c r="P395" s="13"/>
      <c r="Q395" s="13"/>
      <c r="R395" s="13"/>
      <c r="S395" s="13"/>
      <c r="T395" s="13"/>
      <c r="U395" s="13"/>
      <c r="V395" s="13"/>
      <c r="W395" s="184"/>
      <c r="X395" s="37"/>
      <c r="Y395" s="22"/>
      <c r="Z395" s="38"/>
      <c r="AA395" s="13"/>
      <c r="AB395" s="13"/>
      <c r="AC395" s="13"/>
      <c r="AD395" s="13"/>
      <c r="AE395" s="13"/>
      <c r="AF395" s="13"/>
      <c r="AG395" s="184"/>
      <c r="AH395" s="45"/>
    </row>
    <row r="396" spans="1:34">
      <c r="A396" s="14">
        <f t="shared" si="141"/>
        <v>46280</v>
      </c>
      <c r="B396" s="11"/>
      <c r="C396" s="13"/>
      <c r="D396" s="12"/>
      <c r="E396" s="12"/>
      <c r="F396" s="13"/>
      <c r="G396" s="12"/>
      <c r="H396" s="12"/>
      <c r="I396" s="12"/>
      <c r="J396" s="13"/>
      <c r="K396" s="184"/>
      <c r="L396" s="26"/>
      <c r="M396" s="22"/>
      <c r="N396" s="29"/>
      <c r="O396" s="13"/>
      <c r="P396" s="13"/>
      <c r="Q396" s="13"/>
      <c r="R396" s="13"/>
      <c r="S396" s="13"/>
      <c r="T396" s="13"/>
      <c r="U396" s="13"/>
      <c r="V396" s="13"/>
      <c r="W396" s="184"/>
      <c r="X396" s="37"/>
      <c r="Y396" s="22"/>
      <c r="Z396" s="38"/>
      <c r="AA396" s="13"/>
      <c r="AB396" s="13"/>
      <c r="AC396" s="13"/>
      <c r="AD396" s="36"/>
      <c r="AE396" s="13"/>
      <c r="AF396" s="13"/>
      <c r="AG396" s="184"/>
      <c r="AH396" s="37"/>
    </row>
    <row r="397" spans="1:34">
      <c r="A397" s="14">
        <f t="shared" si="141"/>
        <v>46281</v>
      </c>
      <c r="B397" s="11"/>
      <c r="C397" s="13"/>
      <c r="D397" s="12"/>
      <c r="E397" s="12"/>
      <c r="F397" s="13"/>
      <c r="G397" s="12"/>
      <c r="H397" s="12"/>
      <c r="I397" s="12"/>
      <c r="J397" s="13"/>
      <c r="K397" s="184"/>
      <c r="L397" s="26"/>
      <c r="M397" s="22"/>
      <c r="N397" s="29"/>
      <c r="O397" s="13"/>
      <c r="P397" s="13"/>
      <c r="Q397" s="13"/>
      <c r="R397" s="13"/>
      <c r="S397" s="13"/>
      <c r="T397" s="13"/>
      <c r="U397" s="13"/>
      <c r="V397" s="13"/>
      <c r="W397" s="184"/>
      <c r="X397" s="37"/>
      <c r="Y397" s="22"/>
      <c r="Z397" s="38"/>
      <c r="AA397" s="13"/>
      <c r="AB397" s="13"/>
      <c r="AC397" s="13"/>
      <c r="AD397" s="36"/>
      <c r="AE397" s="13"/>
      <c r="AF397" s="13"/>
      <c r="AG397" s="184"/>
      <c r="AH397" s="37"/>
    </row>
    <row r="398" spans="1:34">
      <c r="A398" s="14">
        <f t="shared" si="141"/>
        <v>46282</v>
      </c>
      <c r="B398" s="11"/>
      <c r="C398" s="13"/>
      <c r="D398" s="12"/>
      <c r="E398" s="12"/>
      <c r="F398" s="13"/>
      <c r="G398" s="12"/>
      <c r="H398" s="12"/>
      <c r="I398" s="12"/>
      <c r="J398" s="13"/>
      <c r="K398" s="184"/>
      <c r="L398" s="26"/>
      <c r="M398" s="22"/>
      <c r="N398" s="29"/>
      <c r="O398" s="13"/>
      <c r="P398" s="13"/>
      <c r="Q398" s="13"/>
      <c r="R398" s="13"/>
      <c r="S398" s="13"/>
      <c r="T398" s="13"/>
      <c r="U398" s="13"/>
      <c r="V398" s="13"/>
      <c r="W398" s="184"/>
      <c r="X398" s="37"/>
      <c r="Y398" s="22"/>
      <c r="Z398" s="38"/>
      <c r="AA398" s="13"/>
      <c r="AB398" s="13"/>
      <c r="AC398" s="13"/>
      <c r="AD398" s="36"/>
      <c r="AE398" s="13"/>
      <c r="AF398" s="13"/>
      <c r="AG398" s="184"/>
      <c r="AH398" s="37"/>
    </row>
    <row r="399" spans="1:34">
      <c r="A399" s="14">
        <f t="shared" si="141"/>
        <v>46283</v>
      </c>
      <c r="B399" s="11"/>
      <c r="C399" s="13"/>
      <c r="D399" s="12"/>
      <c r="E399" s="12"/>
      <c r="F399" s="13"/>
      <c r="G399" s="12"/>
      <c r="H399" s="12"/>
      <c r="I399" s="12"/>
      <c r="J399" s="13"/>
      <c r="K399" s="184"/>
      <c r="L399" s="26"/>
      <c r="M399" s="22"/>
      <c r="N399" s="29"/>
      <c r="O399" s="13"/>
      <c r="P399" s="13"/>
      <c r="Q399" s="13"/>
      <c r="R399" s="13"/>
      <c r="S399" s="13"/>
      <c r="T399" s="13"/>
      <c r="U399" s="13"/>
      <c r="V399" s="13"/>
      <c r="W399" s="184"/>
      <c r="X399" s="37"/>
      <c r="Y399" s="22"/>
      <c r="Z399" s="38"/>
      <c r="AA399" s="13"/>
      <c r="AB399" s="13"/>
      <c r="AC399" s="13"/>
      <c r="AD399" s="36"/>
      <c r="AE399" s="13"/>
      <c r="AF399" s="13"/>
      <c r="AG399" s="184"/>
      <c r="AH399" s="37"/>
    </row>
    <row r="400" spans="1:34">
      <c r="A400" s="14">
        <f t="shared" si="141"/>
        <v>46284</v>
      </c>
      <c r="B400" s="38"/>
      <c r="C400" s="13"/>
      <c r="D400" s="12"/>
      <c r="E400" s="12"/>
      <c r="F400" s="13"/>
      <c r="G400" s="12"/>
      <c r="H400" s="12"/>
      <c r="I400" s="12"/>
      <c r="J400" s="13"/>
      <c r="K400" s="184"/>
      <c r="L400" s="26"/>
      <c r="M400" s="22"/>
      <c r="N400" s="29"/>
      <c r="O400" s="13"/>
      <c r="P400" s="13"/>
      <c r="Q400" s="13"/>
      <c r="R400" s="13"/>
      <c r="S400" s="13"/>
      <c r="T400" s="13"/>
      <c r="U400" s="13"/>
      <c r="V400" s="13"/>
      <c r="W400" s="184"/>
      <c r="X400" s="37"/>
      <c r="Y400" s="22"/>
      <c r="Z400" s="38"/>
      <c r="AA400" s="13"/>
      <c r="AB400" s="13"/>
      <c r="AC400" s="13"/>
      <c r="AD400" s="36"/>
      <c r="AE400" s="13"/>
      <c r="AF400" s="13"/>
      <c r="AG400" s="184"/>
      <c r="AH400" s="37"/>
    </row>
    <row r="401" spans="1:34">
      <c r="A401" s="14">
        <f t="shared" si="141"/>
        <v>46285</v>
      </c>
      <c r="B401" s="38"/>
      <c r="C401" s="13"/>
      <c r="D401" s="12"/>
      <c r="E401" s="12"/>
      <c r="F401" s="13"/>
      <c r="G401" s="12"/>
      <c r="H401" s="12"/>
      <c r="I401" s="13"/>
      <c r="J401" s="13"/>
      <c r="K401" s="184"/>
      <c r="L401" s="26"/>
      <c r="M401" s="22"/>
      <c r="N401" s="29"/>
      <c r="O401" s="13"/>
      <c r="P401" s="13"/>
      <c r="Q401" s="13"/>
      <c r="R401" s="13"/>
      <c r="S401" s="13"/>
      <c r="T401" s="13"/>
      <c r="U401" s="13"/>
      <c r="V401" s="13"/>
      <c r="W401" s="184"/>
      <c r="X401" s="37"/>
      <c r="Y401" s="22"/>
      <c r="Z401" s="38"/>
      <c r="AA401" s="13"/>
      <c r="AB401" s="13"/>
      <c r="AC401" s="13"/>
      <c r="AD401" s="36"/>
      <c r="AE401" s="13"/>
      <c r="AF401" s="13"/>
      <c r="AG401" s="184"/>
      <c r="AH401" s="37"/>
    </row>
    <row r="402" spans="1:34">
      <c r="A402" s="14">
        <f t="shared" si="141"/>
        <v>46286</v>
      </c>
      <c r="B402" s="38"/>
      <c r="C402" s="13"/>
      <c r="D402" s="12"/>
      <c r="E402" s="12"/>
      <c r="F402" s="13"/>
      <c r="G402" s="13"/>
      <c r="H402" s="36"/>
      <c r="I402" s="12"/>
      <c r="J402" s="13"/>
      <c r="K402" s="184"/>
      <c r="L402" s="26"/>
      <c r="M402" s="22"/>
      <c r="N402" s="29"/>
      <c r="O402" s="13"/>
      <c r="P402" s="13"/>
      <c r="Q402" s="13"/>
      <c r="R402" s="13"/>
      <c r="S402" s="13"/>
      <c r="T402" s="13"/>
      <c r="U402" s="13"/>
      <c r="V402" s="13"/>
      <c r="W402" s="184"/>
      <c r="X402" s="37"/>
      <c r="Y402" s="22"/>
      <c r="Z402" s="38"/>
      <c r="AA402" s="13"/>
      <c r="AB402" s="13"/>
      <c r="AC402" s="13"/>
      <c r="AD402" s="36"/>
      <c r="AE402" s="13"/>
      <c r="AF402" s="13"/>
      <c r="AG402" s="184"/>
      <c r="AH402" s="37"/>
    </row>
    <row r="403" spans="1:34">
      <c r="A403" s="14">
        <f t="shared" si="141"/>
        <v>46287</v>
      </c>
      <c r="B403" s="38"/>
      <c r="C403" s="13"/>
      <c r="D403" s="12"/>
      <c r="E403" s="12"/>
      <c r="F403" s="13"/>
      <c r="G403" s="12"/>
      <c r="H403" s="12"/>
      <c r="I403" s="13"/>
      <c r="J403" s="13"/>
      <c r="K403" s="184"/>
      <c r="L403" s="26"/>
      <c r="M403" s="22"/>
      <c r="N403" s="29"/>
      <c r="O403" s="13"/>
      <c r="P403" s="13"/>
      <c r="Q403" s="13"/>
      <c r="R403" s="13"/>
      <c r="S403" s="13"/>
      <c r="T403" s="13"/>
      <c r="U403" s="13"/>
      <c r="V403" s="13"/>
      <c r="W403" s="184"/>
      <c r="X403" s="37"/>
      <c r="Y403" s="22"/>
      <c r="Z403" s="38"/>
      <c r="AA403" s="13"/>
      <c r="AB403" s="13"/>
      <c r="AC403" s="13"/>
      <c r="AD403" s="36"/>
      <c r="AE403" s="13"/>
      <c r="AF403" s="13"/>
      <c r="AG403" s="184"/>
      <c r="AH403" s="37"/>
    </row>
    <row r="404" spans="1:34">
      <c r="A404" s="14">
        <f t="shared" si="141"/>
        <v>46288</v>
      </c>
      <c r="B404" s="38"/>
      <c r="C404" s="13"/>
      <c r="D404" s="12"/>
      <c r="E404" s="12"/>
      <c r="F404" s="13"/>
      <c r="G404" s="12"/>
      <c r="H404" s="12"/>
      <c r="I404" s="12"/>
      <c r="J404" s="13"/>
      <c r="K404" s="184"/>
      <c r="L404" s="26"/>
      <c r="M404" s="22"/>
      <c r="N404" s="29"/>
      <c r="O404" s="13"/>
      <c r="P404" s="13"/>
      <c r="Q404" s="13"/>
      <c r="R404" s="13"/>
      <c r="S404" s="13"/>
      <c r="T404" s="13"/>
      <c r="U404" s="13"/>
      <c r="V404" s="13"/>
      <c r="W404" s="184"/>
      <c r="X404" s="37"/>
      <c r="Y404" s="22"/>
      <c r="Z404" s="38"/>
      <c r="AA404" s="13"/>
      <c r="AB404" s="13"/>
      <c r="AC404" s="13"/>
      <c r="AD404" s="36"/>
      <c r="AE404" s="13"/>
      <c r="AF404" s="13"/>
      <c r="AG404" s="184"/>
      <c r="AH404" s="37"/>
    </row>
    <row r="405" spans="1:34">
      <c r="A405" s="14">
        <f t="shared" si="141"/>
        <v>46289</v>
      </c>
      <c r="B405" s="38"/>
      <c r="C405" s="13"/>
      <c r="D405" s="13"/>
      <c r="E405" s="13"/>
      <c r="F405" s="13"/>
      <c r="G405" s="12"/>
      <c r="H405" s="12"/>
      <c r="I405" s="13"/>
      <c r="J405" s="13"/>
      <c r="K405" s="184"/>
      <c r="L405" s="26"/>
      <c r="M405" s="22"/>
      <c r="N405" s="29"/>
      <c r="O405" s="13"/>
      <c r="P405" s="13"/>
      <c r="Q405" s="13"/>
      <c r="R405" s="13"/>
      <c r="S405" s="13"/>
      <c r="T405" s="13"/>
      <c r="U405" s="13"/>
      <c r="V405" s="13"/>
      <c r="W405" s="184"/>
      <c r="X405" s="37"/>
      <c r="Y405" s="22"/>
      <c r="Z405" s="38"/>
      <c r="AA405" s="13"/>
      <c r="AB405" s="13"/>
      <c r="AC405" s="13"/>
      <c r="AD405" s="36"/>
      <c r="AE405" s="13"/>
      <c r="AF405" s="13"/>
      <c r="AG405" s="184"/>
      <c r="AH405" s="37"/>
    </row>
    <row r="406" spans="1:34">
      <c r="A406" s="14">
        <f t="shared" si="141"/>
        <v>46290</v>
      </c>
      <c r="B406" s="38"/>
      <c r="C406" s="13"/>
      <c r="D406" s="13"/>
      <c r="E406" s="13"/>
      <c r="F406" s="13"/>
      <c r="G406" s="13"/>
      <c r="H406" s="36"/>
      <c r="I406" s="13"/>
      <c r="J406" s="13"/>
      <c r="K406" s="184"/>
      <c r="L406" s="37"/>
      <c r="M406" s="22"/>
      <c r="N406" s="29"/>
      <c r="O406" s="13"/>
      <c r="P406" s="13"/>
      <c r="Q406" s="13"/>
      <c r="R406" s="13"/>
      <c r="S406" s="13"/>
      <c r="T406" s="13"/>
      <c r="U406" s="13"/>
      <c r="V406" s="13"/>
      <c r="W406" s="184"/>
      <c r="X406" s="37"/>
      <c r="Y406" s="22"/>
      <c r="Z406" s="38"/>
      <c r="AA406" s="13"/>
      <c r="AB406" s="13"/>
      <c r="AC406" s="13"/>
      <c r="AD406" s="36"/>
      <c r="AE406" s="13"/>
      <c r="AF406" s="13"/>
      <c r="AG406" s="184"/>
      <c r="AH406" s="37"/>
    </row>
    <row r="407" spans="1:34">
      <c r="A407" s="14">
        <f t="shared" si="141"/>
        <v>46291</v>
      </c>
      <c r="B407" s="11"/>
      <c r="C407" s="12"/>
      <c r="D407" s="12"/>
      <c r="E407" s="12"/>
      <c r="F407" s="12"/>
      <c r="G407" s="12"/>
      <c r="H407" s="12"/>
      <c r="I407" s="12"/>
      <c r="J407" s="13"/>
      <c r="K407" s="184"/>
      <c r="L407" s="26"/>
      <c r="M407" s="22"/>
      <c r="N407" s="29"/>
      <c r="O407" s="13"/>
      <c r="P407" s="13"/>
      <c r="Q407" s="13"/>
      <c r="R407" s="13"/>
      <c r="S407" s="13"/>
      <c r="T407" s="13"/>
      <c r="U407" s="13"/>
      <c r="V407" s="13"/>
      <c r="W407" s="184"/>
      <c r="X407" s="37"/>
      <c r="Y407" s="22"/>
      <c r="Z407" s="38"/>
      <c r="AA407" s="13"/>
      <c r="AB407" s="13"/>
      <c r="AC407" s="13"/>
      <c r="AD407" s="36"/>
      <c r="AE407" s="13"/>
      <c r="AF407" s="13"/>
      <c r="AG407" s="184"/>
      <c r="AH407" s="37"/>
    </row>
    <row r="408" spans="1:34">
      <c r="A408" s="14">
        <f t="shared" si="141"/>
        <v>46292</v>
      </c>
      <c r="B408" s="38"/>
      <c r="C408" s="13"/>
      <c r="D408" s="13"/>
      <c r="E408" s="13"/>
      <c r="F408" s="13"/>
      <c r="G408" s="13"/>
      <c r="H408" s="36"/>
      <c r="I408" s="13"/>
      <c r="J408" s="13"/>
      <c r="K408" s="184"/>
      <c r="L408" s="26"/>
      <c r="M408" s="22"/>
      <c r="N408" s="29"/>
      <c r="O408" s="13"/>
      <c r="P408" s="13"/>
      <c r="Q408" s="13"/>
      <c r="R408" s="13"/>
      <c r="S408" s="13"/>
      <c r="T408" s="13"/>
      <c r="U408" s="13"/>
      <c r="V408" s="13"/>
      <c r="W408" s="184"/>
      <c r="X408" s="37"/>
      <c r="Y408" s="22"/>
      <c r="Z408" s="38"/>
      <c r="AA408" s="13"/>
      <c r="AB408" s="13"/>
      <c r="AC408" s="13"/>
      <c r="AD408" s="36"/>
      <c r="AE408" s="13"/>
      <c r="AF408" s="13"/>
      <c r="AG408" s="184"/>
      <c r="AH408" s="37"/>
    </row>
    <row r="409" spans="1:34">
      <c r="A409" s="14">
        <f t="shared" si="141"/>
        <v>46293</v>
      </c>
      <c r="B409" s="38"/>
      <c r="C409" s="13"/>
      <c r="D409" s="13"/>
      <c r="E409" s="13"/>
      <c r="F409" s="13"/>
      <c r="G409" s="12"/>
      <c r="H409" s="36"/>
      <c r="I409" s="13"/>
      <c r="J409" s="13"/>
      <c r="K409" s="184"/>
      <c r="L409" s="26"/>
      <c r="M409" s="22"/>
      <c r="N409" s="29"/>
      <c r="O409" s="13"/>
      <c r="P409" s="13"/>
      <c r="Q409" s="13"/>
      <c r="R409" s="13"/>
      <c r="S409" s="13"/>
      <c r="T409" s="13"/>
      <c r="U409" s="13"/>
      <c r="V409" s="13"/>
      <c r="W409" s="184"/>
      <c r="X409" s="37"/>
      <c r="Y409" s="22"/>
      <c r="Z409" s="38"/>
      <c r="AA409" s="13"/>
      <c r="AB409" s="13"/>
      <c r="AC409" s="13"/>
      <c r="AD409" s="36"/>
      <c r="AE409" s="13"/>
      <c r="AF409" s="13"/>
      <c r="AG409" s="184"/>
      <c r="AH409" s="37"/>
    </row>
    <row r="410" spans="1:34">
      <c r="A410" s="14">
        <f t="shared" si="141"/>
        <v>46294</v>
      </c>
      <c r="B410" s="38"/>
      <c r="C410" s="13"/>
      <c r="D410" s="13"/>
      <c r="E410" s="13"/>
      <c r="F410" s="13"/>
      <c r="G410" s="12"/>
      <c r="H410" s="36"/>
      <c r="I410" s="13"/>
      <c r="J410" s="13"/>
      <c r="K410" s="184"/>
      <c r="L410" s="26"/>
      <c r="M410" s="22"/>
      <c r="N410" s="29"/>
      <c r="O410" s="13"/>
      <c r="P410" s="13"/>
      <c r="Q410" s="13"/>
      <c r="R410" s="13"/>
      <c r="S410" s="13"/>
      <c r="T410" s="13"/>
      <c r="U410" s="13"/>
      <c r="V410" s="13"/>
      <c r="W410" s="184"/>
      <c r="X410" s="37"/>
      <c r="Y410" s="22"/>
      <c r="Z410" s="38"/>
      <c r="AA410" s="13"/>
      <c r="AB410" s="13"/>
      <c r="AC410" s="13"/>
      <c r="AD410" s="36"/>
      <c r="AE410" s="13"/>
      <c r="AF410" s="13"/>
      <c r="AG410" s="184"/>
      <c r="AH410" s="37"/>
    </row>
    <row r="411" spans="1:34">
      <c r="A411" s="14">
        <f t="shared" si="141"/>
        <v>46295</v>
      </c>
      <c r="B411" s="38"/>
      <c r="C411" s="13"/>
      <c r="D411" s="13"/>
      <c r="E411" s="13"/>
      <c r="F411" s="13"/>
      <c r="G411" s="12"/>
      <c r="H411" s="36"/>
      <c r="I411" s="13"/>
      <c r="J411" s="13"/>
      <c r="K411" s="184"/>
      <c r="L411" s="26"/>
      <c r="M411" s="22"/>
      <c r="N411" s="29"/>
      <c r="O411" s="13"/>
      <c r="P411" s="13"/>
      <c r="Q411" s="13"/>
      <c r="R411" s="13"/>
      <c r="S411" s="13"/>
      <c r="T411" s="13"/>
      <c r="U411" s="13"/>
      <c r="V411" s="13"/>
      <c r="W411" s="184"/>
      <c r="X411" s="37"/>
      <c r="Y411" s="22"/>
      <c r="Z411" s="38"/>
      <c r="AA411" s="13"/>
      <c r="AB411" s="13"/>
      <c r="AC411" s="13"/>
      <c r="AD411" s="36"/>
      <c r="AE411" s="13"/>
      <c r="AF411" s="13"/>
      <c r="AG411" s="184"/>
      <c r="AH411" s="37"/>
    </row>
    <row r="412" spans="1:34" ht="15.75" thickBot="1">
      <c r="A412" s="14">
        <f t="shared" si="141"/>
        <v>46296</v>
      </c>
      <c r="B412" s="11"/>
      <c r="C412" s="13"/>
      <c r="D412" s="13"/>
      <c r="E412" s="13"/>
      <c r="F412" s="13"/>
      <c r="G412" s="12"/>
      <c r="H412" s="36"/>
      <c r="I412" s="13"/>
      <c r="J412" s="13"/>
      <c r="K412" s="184"/>
      <c r="L412" s="26"/>
      <c r="M412" s="22"/>
      <c r="N412" s="29"/>
      <c r="O412" s="13"/>
      <c r="P412" s="13"/>
      <c r="Q412" s="13"/>
      <c r="R412" s="13"/>
      <c r="S412" s="13"/>
      <c r="T412" s="13"/>
      <c r="U412" s="13"/>
      <c r="V412" s="13"/>
      <c r="W412" s="184"/>
      <c r="X412" s="37"/>
      <c r="Y412" s="22"/>
      <c r="Z412" s="38"/>
      <c r="AA412" s="13"/>
      <c r="AB412" s="13"/>
      <c r="AC412" s="13"/>
      <c r="AD412" s="36"/>
      <c r="AE412" s="13"/>
      <c r="AF412" s="13"/>
      <c r="AG412" s="184"/>
      <c r="AH412" s="37"/>
    </row>
    <row r="413" spans="1:34">
      <c r="A413" s="16" t="s">
        <v>31</v>
      </c>
      <c r="B413" s="17">
        <f>MIN(B381:B412)</f>
        <v>0</v>
      </c>
      <c r="C413" s="17">
        <f>MIN(C381:C412)</f>
        <v>0</v>
      </c>
      <c r="D413" s="17">
        <f t="shared" ref="D413:L413" si="142">MIN(D381:D412)</f>
        <v>0</v>
      </c>
      <c r="E413" s="17">
        <f t="shared" si="142"/>
        <v>0</v>
      </c>
      <c r="F413" s="17">
        <f t="shared" si="142"/>
        <v>0</v>
      </c>
      <c r="G413" s="17">
        <f t="shared" si="142"/>
        <v>0</v>
      </c>
      <c r="H413" s="17">
        <f t="shared" si="142"/>
        <v>0</v>
      </c>
      <c r="I413" s="17">
        <f t="shared" si="142"/>
        <v>0</v>
      </c>
      <c r="J413" s="17">
        <f t="shared" si="142"/>
        <v>0</v>
      </c>
      <c r="K413" s="17">
        <f t="shared" si="142"/>
        <v>0</v>
      </c>
      <c r="L413" s="30">
        <f t="shared" si="142"/>
        <v>0</v>
      </c>
      <c r="M413" s="22"/>
      <c r="N413" s="17">
        <f>MIN(N381:N412)</f>
        <v>0</v>
      </c>
      <c r="O413" s="17">
        <f>MIN(O381:O412)</f>
        <v>0</v>
      </c>
      <c r="P413" s="17">
        <f t="shared" ref="P413:X413" si="143">MIN(P381:P412)</f>
        <v>0</v>
      </c>
      <c r="Q413" s="17">
        <f t="shared" si="143"/>
        <v>0</v>
      </c>
      <c r="R413" s="17">
        <f t="shared" si="143"/>
        <v>0</v>
      </c>
      <c r="S413" s="17">
        <f t="shared" si="143"/>
        <v>0</v>
      </c>
      <c r="T413" s="17">
        <f t="shared" si="143"/>
        <v>0</v>
      </c>
      <c r="U413" s="17">
        <f t="shared" si="143"/>
        <v>0</v>
      </c>
      <c r="V413" s="17">
        <f t="shared" si="143"/>
        <v>0</v>
      </c>
      <c r="W413" s="17">
        <f t="shared" si="143"/>
        <v>0</v>
      </c>
      <c r="X413" s="30">
        <f t="shared" si="143"/>
        <v>0</v>
      </c>
      <c r="Z413" s="40">
        <f t="shared" ref="Z413:AH413" si="144">MIN(Z381:Z412)</f>
        <v>0</v>
      </c>
      <c r="AA413" s="17">
        <f t="shared" si="144"/>
        <v>0</v>
      </c>
      <c r="AB413" s="17">
        <f t="shared" si="144"/>
        <v>0</v>
      </c>
      <c r="AC413" s="17">
        <f t="shared" si="144"/>
        <v>0</v>
      </c>
      <c r="AD413" s="17">
        <f t="shared" si="144"/>
        <v>0</v>
      </c>
      <c r="AE413" s="17">
        <f t="shared" si="144"/>
        <v>0</v>
      </c>
      <c r="AF413" s="17">
        <f t="shared" si="144"/>
        <v>0</v>
      </c>
      <c r="AG413" s="17">
        <f t="shared" si="144"/>
        <v>0</v>
      </c>
      <c r="AH413" s="30">
        <f t="shared" si="144"/>
        <v>0</v>
      </c>
    </row>
    <row r="414" spans="1:34">
      <c r="A414" s="18" t="s">
        <v>33</v>
      </c>
      <c r="B414" s="19">
        <f>MAX(B381:B412)</f>
        <v>0</v>
      </c>
      <c r="C414" s="19">
        <f>MAX(C381:C412)</f>
        <v>0</v>
      </c>
      <c r="D414" s="19">
        <f t="shared" ref="D414:L414" si="145">MAX(D381:D412)</f>
        <v>0</v>
      </c>
      <c r="E414" s="19">
        <f t="shared" si="145"/>
        <v>0</v>
      </c>
      <c r="F414" s="19">
        <f t="shared" si="145"/>
        <v>0</v>
      </c>
      <c r="G414" s="19">
        <f t="shared" si="145"/>
        <v>0</v>
      </c>
      <c r="H414" s="19">
        <f t="shared" si="145"/>
        <v>0</v>
      </c>
      <c r="I414" s="19">
        <f t="shared" si="145"/>
        <v>0</v>
      </c>
      <c r="J414" s="19">
        <f t="shared" si="145"/>
        <v>0</v>
      </c>
      <c r="K414" s="19">
        <f t="shared" si="145"/>
        <v>0</v>
      </c>
      <c r="L414" s="31">
        <f t="shared" si="145"/>
        <v>0</v>
      </c>
      <c r="M414" s="22"/>
      <c r="N414" s="19">
        <f>MAX(N381:N412)</f>
        <v>0</v>
      </c>
      <c r="O414" s="19">
        <f>MAX(O381:O412)</f>
        <v>0</v>
      </c>
      <c r="P414" s="19">
        <f t="shared" ref="P414:X414" si="146">MAX(P381:P412)</f>
        <v>0</v>
      </c>
      <c r="Q414" s="19">
        <f t="shared" si="146"/>
        <v>0</v>
      </c>
      <c r="R414" s="19">
        <f t="shared" si="146"/>
        <v>0</v>
      </c>
      <c r="S414" s="19">
        <f t="shared" si="146"/>
        <v>0</v>
      </c>
      <c r="T414" s="19">
        <f t="shared" si="146"/>
        <v>0</v>
      </c>
      <c r="U414" s="19">
        <f t="shared" si="146"/>
        <v>0</v>
      </c>
      <c r="V414" s="19">
        <f t="shared" si="146"/>
        <v>0</v>
      </c>
      <c r="W414" s="19">
        <f t="shared" si="146"/>
        <v>0</v>
      </c>
      <c r="X414" s="31">
        <f t="shared" si="146"/>
        <v>0</v>
      </c>
      <c r="Z414" s="41">
        <f t="shared" ref="Z414:AH414" si="147">MAX(Z381:Z412)</f>
        <v>0</v>
      </c>
      <c r="AA414" s="19">
        <f t="shared" si="147"/>
        <v>0</v>
      </c>
      <c r="AB414" s="19">
        <f t="shared" si="147"/>
        <v>0</v>
      </c>
      <c r="AC414" s="19">
        <f t="shared" si="147"/>
        <v>0</v>
      </c>
      <c r="AD414" s="19">
        <f t="shared" si="147"/>
        <v>0</v>
      </c>
      <c r="AE414" s="19">
        <f t="shared" si="147"/>
        <v>0</v>
      </c>
      <c r="AF414" s="19">
        <f t="shared" si="147"/>
        <v>0</v>
      </c>
      <c r="AG414" s="19">
        <f t="shared" si="147"/>
        <v>0</v>
      </c>
      <c r="AH414" s="31">
        <f t="shared" si="147"/>
        <v>0</v>
      </c>
    </row>
    <row r="415" spans="1:34">
      <c r="A415" s="18" t="s">
        <v>36</v>
      </c>
      <c r="B415" s="19" t="e">
        <f t="shared" ref="B415:L415" si="148">AVERAGE(B381:B412)</f>
        <v>#DIV/0!</v>
      </c>
      <c r="C415" s="19" t="e">
        <f t="shared" si="148"/>
        <v>#DIV/0!</v>
      </c>
      <c r="D415" s="19" t="e">
        <f t="shared" si="148"/>
        <v>#DIV/0!</v>
      </c>
      <c r="E415" s="19" t="e">
        <f t="shared" si="148"/>
        <v>#DIV/0!</v>
      </c>
      <c r="F415" s="19" t="e">
        <f t="shared" si="148"/>
        <v>#DIV/0!</v>
      </c>
      <c r="G415" s="19" t="e">
        <f t="shared" si="148"/>
        <v>#DIV/0!</v>
      </c>
      <c r="H415" s="19" t="e">
        <f t="shared" si="148"/>
        <v>#DIV/0!</v>
      </c>
      <c r="I415" s="19" t="e">
        <f t="shared" si="148"/>
        <v>#DIV/0!</v>
      </c>
      <c r="J415" s="19" t="e">
        <f t="shared" si="148"/>
        <v>#DIV/0!</v>
      </c>
      <c r="K415" s="19" t="e">
        <f t="shared" si="148"/>
        <v>#DIV/0!</v>
      </c>
      <c r="L415" s="31" t="e">
        <f t="shared" si="148"/>
        <v>#DIV/0!</v>
      </c>
      <c r="M415" s="22"/>
      <c r="N415" s="19" t="e">
        <f t="shared" ref="N415:X415" si="149">AVERAGE(N381:N412)</f>
        <v>#DIV/0!</v>
      </c>
      <c r="O415" s="19" t="e">
        <f t="shared" si="149"/>
        <v>#DIV/0!</v>
      </c>
      <c r="P415" s="19" t="e">
        <f t="shared" si="149"/>
        <v>#DIV/0!</v>
      </c>
      <c r="Q415" s="19" t="e">
        <f t="shared" si="149"/>
        <v>#DIV/0!</v>
      </c>
      <c r="R415" s="19" t="e">
        <f t="shared" si="149"/>
        <v>#DIV/0!</v>
      </c>
      <c r="S415" s="19" t="e">
        <f t="shared" si="149"/>
        <v>#DIV/0!</v>
      </c>
      <c r="T415" s="19" t="e">
        <f t="shared" si="149"/>
        <v>#DIV/0!</v>
      </c>
      <c r="U415" s="19" t="e">
        <f t="shared" si="149"/>
        <v>#DIV/0!</v>
      </c>
      <c r="V415" s="19" t="e">
        <f t="shared" si="149"/>
        <v>#DIV/0!</v>
      </c>
      <c r="W415" s="19" t="e">
        <f t="shared" si="149"/>
        <v>#DIV/0!</v>
      </c>
      <c r="X415" s="31" t="e">
        <f t="shared" si="149"/>
        <v>#DIV/0!</v>
      </c>
      <c r="Z415" s="41" t="e">
        <f>AVERAGE(Z381:Z412)</f>
        <v>#DIV/0!</v>
      </c>
      <c r="AA415" s="19" t="e">
        <f t="shared" ref="AA415:AH415" si="150">AVERAGE(AA381:AA412)</f>
        <v>#DIV/0!</v>
      </c>
      <c r="AB415" s="19" t="e">
        <f t="shared" si="150"/>
        <v>#DIV/0!</v>
      </c>
      <c r="AC415" s="19" t="e">
        <f t="shared" si="150"/>
        <v>#DIV/0!</v>
      </c>
      <c r="AD415" s="19" t="e">
        <f t="shared" si="150"/>
        <v>#DIV/0!</v>
      </c>
      <c r="AE415" s="19" t="e">
        <f t="shared" si="150"/>
        <v>#DIV/0!</v>
      </c>
      <c r="AF415" s="19" t="e">
        <f t="shared" si="150"/>
        <v>#DIV/0!</v>
      </c>
      <c r="AG415" s="19" t="e">
        <f t="shared" si="150"/>
        <v>#DIV/0!</v>
      </c>
      <c r="AH415" s="31" t="e">
        <f t="shared" si="150"/>
        <v>#DIV/0!</v>
      </c>
    </row>
    <row r="416" spans="1:34" ht="15.75" thickBot="1">
      <c r="A416" s="20" t="s">
        <v>130</v>
      </c>
      <c r="B416" s="21" t="e">
        <f>STDEV(B381:B412)</f>
        <v>#DIV/0!</v>
      </c>
      <c r="C416" s="21" t="e">
        <f t="shared" ref="C416:L416" si="151">STDEV(C381:C412)</f>
        <v>#DIV/0!</v>
      </c>
      <c r="D416" s="21" t="e">
        <f t="shared" si="151"/>
        <v>#DIV/0!</v>
      </c>
      <c r="E416" s="21" t="e">
        <f t="shared" si="151"/>
        <v>#DIV/0!</v>
      </c>
      <c r="F416" s="21" t="e">
        <f t="shared" si="151"/>
        <v>#DIV/0!</v>
      </c>
      <c r="G416" s="21" t="e">
        <f t="shared" si="151"/>
        <v>#DIV/0!</v>
      </c>
      <c r="H416" s="21" t="e">
        <f t="shared" si="151"/>
        <v>#DIV/0!</v>
      </c>
      <c r="I416" s="21" t="e">
        <f t="shared" si="151"/>
        <v>#DIV/0!</v>
      </c>
      <c r="J416" s="21" t="e">
        <f t="shared" si="151"/>
        <v>#DIV/0!</v>
      </c>
      <c r="K416" s="21" t="e">
        <f t="shared" si="151"/>
        <v>#DIV/0!</v>
      </c>
      <c r="L416" s="32" t="e">
        <f t="shared" si="151"/>
        <v>#DIV/0!</v>
      </c>
      <c r="M416" s="22"/>
      <c r="N416" s="21" t="e">
        <f>STDEV(N381:N412)</f>
        <v>#DIV/0!</v>
      </c>
      <c r="O416" s="21" t="e">
        <f t="shared" ref="O416:X416" si="152">STDEV(O381:O412)</f>
        <v>#DIV/0!</v>
      </c>
      <c r="P416" s="21" t="e">
        <f t="shared" si="152"/>
        <v>#DIV/0!</v>
      </c>
      <c r="Q416" s="21" t="e">
        <f t="shared" si="152"/>
        <v>#DIV/0!</v>
      </c>
      <c r="R416" s="21" t="e">
        <f t="shared" si="152"/>
        <v>#DIV/0!</v>
      </c>
      <c r="S416" s="21" t="e">
        <f t="shared" si="152"/>
        <v>#DIV/0!</v>
      </c>
      <c r="T416" s="21" t="e">
        <f t="shared" si="152"/>
        <v>#DIV/0!</v>
      </c>
      <c r="U416" s="21" t="e">
        <f t="shared" si="152"/>
        <v>#DIV/0!</v>
      </c>
      <c r="V416" s="21" t="e">
        <f t="shared" si="152"/>
        <v>#DIV/0!</v>
      </c>
      <c r="W416" s="21" t="e">
        <f t="shared" si="152"/>
        <v>#DIV/0!</v>
      </c>
      <c r="X416" s="32" t="e">
        <f t="shared" si="152"/>
        <v>#DIV/0!</v>
      </c>
      <c r="Z416" s="42" t="e">
        <f>STDEV(Z381:Z412)</f>
        <v>#DIV/0!</v>
      </c>
      <c r="AA416" s="21" t="e">
        <f t="shared" ref="AA416:AH416" si="153">STDEV(AA381:AA412)</f>
        <v>#DIV/0!</v>
      </c>
      <c r="AB416" s="21" t="e">
        <f t="shared" si="153"/>
        <v>#DIV/0!</v>
      </c>
      <c r="AC416" s="21" t="e">
        <f t="shared" si="153"/>
        <v>#DIV/0!</v>
      </c>
      <c r="AD416" s="21" t="e">
        <f t="shared" si="153"/>
        <v>#DIV/0!</v>
      </c>
      <c r="AE416" s="21" t="e">
        <f t="shared" si="153"/>
        <v>#DIV/0!</v>
      </c>
      <c r="AF416" s="21" t="e">
        <f t="shared" si="153"/>
        <v>#DIV/0!</v>
      </c>
      <c r="AG416" s="21" t="e">
        <f t="shared" si="153"/>
        <v>#DIV/0!</v>
      </c>
      <c r="AH416" s="32" t="e">
        <f t="shared" si="153"/>
        <v>#DIV/0!</v>
      </c>
    </row>
    <row r="417" spans="1:34" ht="15.75" thickBot="1"/>
    <row r="418" spans="1:34" ht="15.75" thickBot="1">
      <c r="A418" s="1"/>
      <c r="B418" s="338" t="s">
        <v>0</v>
      </c>
      <c r="C418" s="339"/>
      <c r="D418" s="339"/>
      <c r="E418" s="339"/>
      <c r="F418" s="339"/>
      <c r="G418" s="339"/>
      <c r="H418" s="339"/>
      <c r="I418" s="339"/>
      <c r="J418" s="339"/>
      <c r="K418" s="339"/>
      <c r="L418" s="339"/>
      <c r="M418" s="339"/>
      <c r="N418" s="339"/>
      <c r="O418" s="339"/>
      <c r="P418" s="339"/>
      <c r="Q418" s="339"/>
      <c r="R418" s="339"/>
      <c r="S418" s="339"/>
      <c r="T418" s="339"/>
      <c r="U418" s="339"/>
      <c r="V418" s="339"/>
      <c r="W418" s="339"/>
      <c r="X418" s="339"/>
      <c r="Y418" s="339"/>
      <c r="Z418" s="339"/>
      <c r="AA418" s="339"/>
      <c r="AB418" s="339"/>
      <c r="AC418" s="339"/>
      <c r="AD418" s="340"/>
      <c r="AE418" s="340"/>
      <c r="AF418" s="340"/>
      <c r="AG418" s="340"/>
      <c r="AH418" s="340"/>
    </row>
    <row r="419" spans="1:34" ht="15.75" thickBot="1">
      <c r="A419" s="1"/>
      <c r="B419" s="338" t="s">
        <v>160</v>
      </c>
      <c r="C419" s="339"/>
      <c r="D419" s="339"/>
      <c r="E419" s="339"/>
      <c r="F419" s="339"/>
      <c r="G419" s="339"/>
      <c r="H419" s="339"/>
      <c r="I419" s="339"/>
      <c r="J419" s="339"/>
      <c r="K419" s="339"/>
      <c r="L419" s="339"/>
      <c r="M419" s="339"/>
      <c r="N419" s="339"/>
      <c r="O419" s="339"/>
      <c r="P419" s="339"/>
      <c r="Q419" s="339"/>
      <c r="R419" s="339"/>
      <c r="S419" s="339"/>
      <c r="T419" s="339"/>
      <c r="U419" s="339"/>
      <c r="V419" s="339"/>
      <c r="W419" s="339"/>
      <c r="X419" s="339"/>
      <c r="Y419" s="339"/>
      <c r="Z419" s="339"/>
      <c r="AA419" s="339"/>
      <c r="AB419" s="339"/>
      <c r="AC419" s="339"/>
      <c r="AD419" s="4"/>
      <c r="AE419" s="43" t="s">
        <v>107</v>
      </c>
      <c r="AF419" s="341">
        <v>46296</v>
      </c>
      <c r="AG419" s="342"/>
      <c r="AH419" s="343"/>
    </row>
    <row r="420" spans="1:34">
      <c r="A420" s="344"/>
      <c r="B420" s="346" t="s">
        <v>132</v>
      </c>
      <c r="C420" s="347"/>
      <c r="D420" s="347"/>
      <c r="E420" s="347"/>
      <c r="F420" s="347"/>
      <c r="G420" s="347"/>
      <c r="H420" s="347"/>
      <c r="I420" s="347"/>
      <c r="J420" s="347"/>
      <c r="K420" s="348"/>
      <c r="L420" s="349"/>
      <c r="M420" s="22"/>
      <c r="N420" s="350" t="s">
        <v>133</v>
      </c>
      <c r="O420" s="347"/>
      <c r="P420" s="347"/>
      <c r="Q420" s="347"/>
      <c r="R420" s="347"/>
      <c r="S420" s="347"/>
      <c r="T420" s="347"/>
      <c r="U420" s="347"/>
      <c r="V420" s="347"/>
      <c r="W420" s="348"/>
      <c r="X420" s="349"/>
      <c r="Y420" s="22"/>
      <c r="Z420" s="346" t="s">
        <v>134</v>
      </c>
      <c r="AA420" s="347"/>
      <c r="AB420" s="347"/>
      <c r="AC420" s="347"/>
      <c r="AD420" s="347"/>
      <c r="AE420" s="347"/>
      <c r="AF420" s="347"/>
      <c r="AG420" s="348"/>
      <c r="AH420" s="349"/>
    </row>
    <row r="421" spans="1:34" ht="25.5">
      <c r="A421" s="345"/>
      <c r="B421" s="359" t="s">
        <v>135</v>
      </c>
      <c r="C421" s="361" t="s">
        <v>136</v>
      </c>
      <c r="D421" s="5" t="s">
        <v>137</v>
      </c>
      <c r="E421" s="5" t="s">
        <v>138</v>
      </c>
      <c r="F421" s="5" t="s">
        <v>139</v>
      </c>
      <c r="G421" s="5" t="s">
        <v>140</v>
      </c>
      <c r="H421" s="5" t="s">
        <v>141</v>
      </c>
      <c r="I421" s="5" t="s">
        <v>142</v>
      </c>
      <c r="J421" s="5" t="s">
        <v>143</v>
      </c>
      <c r="K421" s="181" t="s">
        <v>81</v>
      </c>
      <c r="L421" s="23" t="s">
        <v>144</v>
      </c>
      <c r="M421" s="22"/>
      <c r="N421" s="355" t="s">
        <v>135</v>
      </c>
      <c r="O421" s="357" t="s">
        <v>136</v>
      </c>
      <c r="P421" s="5" t="s">
        <v>137</v>
      </c>
      <c r="Q421" s="5" t="s">
        <v>138</v>
      </c>
      <c r="R421" s="5" t="s">
        <v>139</v>
      </c>
      <c r="S421" s="5" t="s">
        <v>140</v>
      </c>
      <c r="T421" s="5" t="s">
        <v>141</v>
      </c>
      <c r="U421" s="5" t="s">
        <v>142</v>
      </c>
      <c r="V421" s="5" t="s">
        <v>143</v>
      </c>
      <c r="W421" s="181" t="s">
        <v>81</v>
      </c>
      <c r="X421" s="23" t="s">
        <v>144</v>
      </c>
      <c r="Y421" s="22"/>
      <c r="Z421" s="33" t="s">
        <v>137</v>
      </c>
      <c r="AA421" s="5" t="s">
        <v>138</v>
      </c>
      <c r="AB421" s="5" t="s">
        <v>139</v>
      </c>
      <c r="AC421" s="5" t="s">
        <v>140</v>
      </c>
      <c r="AD421" s="5" t="s">
        <v>141</v>
      </c>
      <c r="AE421" s="5" t="s">
        <v>142</v>
      </c>
      <c r="AF421" s="5" t="s">
        <v>143</v>
      </c>
      <c r="AG421" s="181" t="s">
        <v>81</v>
      </c>
      <c r="AH421" s="23" t="s">
        <v>144</v>
      </c>
    </row>
    <row r="422" spans="1:34">
      <c r="A422" s="6" t="s">
        <v>145</v>
      </c>
      <c r="B422" s="360"/>
      <c r="C422" s="362"/>
      <c r="D422" s="5" t="s">
        <v>128</v>
      </c>
      <c r="E422" s="5" t="s">
        <v>128</v>
      </c>
      <c r="F422" s="5" t="s">
        <v>128</v>
      </c>
      <c r="G422" s="5" t="s">
        <v>128</v>
      </c>
      <c r="H422" s="5" t="s">
        <v>125</v>
      </c>
      <c r="I422" s="5" t="s">
        <v>146</v>
      </c>
      <c r="J422" s="5" t="s">
        <v>127</v>
      </c>
      <c r="K422" s="181" t="s">
        <v>53</v>
      </c>
      <c r="L422" s="23" t="s">
        <v>53</v>
      </c>
      <c r="M422" s="22"/>
      <c r="N422" s="356"/>
      <c r="O422" s="358"/>
      <c r="P422" s="5" t="s">
        <v>128</v>
      </c>
      <c r="Q422" s="5" t="s">
        <v>128</v>
      </c>
      <c r="R422" s="5" t="s">
        <v>128</v>
      </c>
      <c r="S422" s="5" t="s">
        <v>128</v>
      </c>
      <c r="T422" s="5" t="s">
        <v>125</v>
      </c>
      <c r="U422" s="5" t="s">
        <v>146</v>
      </c>
      <c r="V422" s="5" t="s">
        <v>127</v>
      </c>
      <c r="W422" s="181" t="s">
        <v>53</v>
      </c>
      <c r="X422" s="23" t="s">
        <v>53</v>
      </c>
      <c r="Y422" s="22"/>
      <c r="Z422" s="33" t="s">
        <v>128</v>
      </c>
      <c r="AA422" s="5" t="s">
        <v>128</v>
      </c>
      <c r="AB422" s="5" t="s">
        <v>128</v>
      </c>
      <c r="AC422" s="5" t="s">
        <v>128</v>
      </c>
      <c r="AD422" s="5" t="s">
        <v>125</v>
      </c>
      <c r="AE422" s="5" t="s">
        <v>146</v>
      </c>
      <c r="AF422" s="5" t="s">
        <v>127</v>
      </c>
      <c r="AG422" s="181" t="s">
        <v>53</v>
      </c>
      <c r="AH422" s="23" t="s">
        <v>53</v>
      </c>
    </row>
    <row r="423" spans="1:34" ht="39" thickBot="1">
      <c r="A423" s="7" t="s">
        <v>147</v>
      </c>
      <c r="B423" s="8" t="s">
        <v>148</v>
      </c>
      <c r="C423" s="9" t="s">
        <v>149</v>
      </c>
      <c r="D423" s="9" t="s">
        <v>161</v>
      </c>
      <c r="E423" s="9" t="s">
        <v>162</v>
      </c>
      <c r="F423" s="9" t="s">
        <v>163</v>
      </c>
      <c r="G423" s="9" t="s">
        <v>164</v>
      </c>
      <c r="H423" s="9" t="s">
        <v>154</v>
      </c>
      <c r="I423" s="24" t="s">
        <v>155</v>
      </c>
      <c r="J423" s="24" t="s">
        <v>156</v>
      </c>
      <c r="K423" s="24" t="s">
        <v>179</v>
      </c>
      <c r="L423" s="25" t="s">
        <v>157</v>
      </c>
      <c r="M423" s="22"/>
      <c r="N423" s="8" t="s">
        <v>148</v>
      </c>
      <c r="O423" s="9" t="s">
        <v>149</v>
      </c>
      <c r="P423" s="9" t="s">
        <v>161</v>
      </c>
      <c r="Q423" s="9" t="s">
        <v>162</v>
      </c>
      <c r="R423" s="9" t="s">
        <v>163</v>
      </c>
      <c r="S423" s="9" t="s">
        <v>164</v>
      </c>
      <c r="T423" s="9" t="s">
        <v>154</v>
      </c>
      <c r="U423" s="24" t="s">
        <v>155</v>
      </c>
      <c r="V423" s="24" t="s">
        <v>156</v>
      </c>
      <c r="W423" s="24" t="s">
        <v>179</v>
      </c>
      <c r="X423" s="25" t="s">
        <v>157</v>
      </c>
      <c r="Y423" s="22"/>
      <c r="Z423" s="8" t="s">
        <v>161</v>
      </c>
      <c r="AA423" s="9" t="s">
        <v>162</v>
      </c>
      <c r="AB423" s="9" t="s">
        <v>163</v>
      </c>
      <c r="AC423" s="9" t="s">
        <v>164</v>
      </c>
      <c r="AD423" s="9" t="s">
        <v>154</v>
      </c>
      <c r="AE423" s="9" t="s">
        <v>155</v>
      </c>
      <c r="AF423" s="9" t="s">
        <v>156</v>
      </c>
      <c r="AG423" s="24" t="s">
        <v>179</v>
      </c>
      <c r="AH423" s="23" t="s">
        <v>157</v>
      </c>
    </row>
    <row r="424" spans="1:34">
      <c r="A424" s="10">
        <f>AF419+0</f>
        <v>46296</v>
      </c>
      <c r="B424" s="11"/>
      <c r="C424" s="54"/>
      <c r="D424" s="54"/>
      <c r="E424" s="54"/>
      <c r="F424" s="54"/>
      <c r="G424" s="54"/>
      <c r="H424" s="54"/>
      <c r="I424" s="54"/>
      <c r="J424" s="54"/>
      <c r="K424" s="183"/>
      <c r="L424" s="55"/>
      <c r="M424" s="22"/>
      <c r="N424" s="29"/>
      <c r="O424" s="13"/>
      <c r="P424" s="13"/>
      <c r="Q424" s="13"/>
      <c r="R424" s="13"/>
      <c r="S424" s="13"/>
      <c r="T424" s="13"/>
      <c r="U424" s="13"/>
      <c r="V424" s="13"/>
      <c r="W424" s="183"/>
      <c r="X424" s="37"/>
      <c r="Y424" s="22"/>
      <c r="Z424" s="148"/>
      <c r="AA424" s="63"/>
      <c r="AB424" s="63"/>
      <c r="AC424" s="63"/>
      <c r="AD424" s="63"/>
      <c r="AE424" s="63"/>
      <c r="AF424" s="63"/>
      <c r="AG424" s="183"/>
      <c r="AH424" s="149"/>
    </row>
    <row r="425" spans="1:34">
      <c r="A425" s="14">
        <f t="shared" ref="A425:A454" si="154">A424+1</f>
        <v>46297</v>
      </c>
      <c r="B425" s="11"/>
      <c r="C425" s="54"/>
      <c r="D425" s="54"/>
      <c r="E425" s="54"/>
      <c r="F425" s="54"/>
      <c r="G425" s="54"/>
      <c r="H425" s="54"/>
      <c r="I425" s="54"/>
      <c r="J425" s="54"/>
      <c r="K425" s="183"/>
      <c r="L425" s="55"/>
      <c r="M425" s="22"/>
      <c r="N425" s="29"/>
      <c r="O425" s="13"/>
      <c r="P425" s="13"/>
      <c r="Q425" s="13"/>
      <c r="R425" s="13"/>
      <c r="S425" s="13"/>
      <c r="T425" s="13"/>
      <c r="U425" s="13"/>
      <c r="V425" s="13"/>
      <c r="W425" s="183"/>
      <c r="X425" s="37"/>
      <c r="Y425" s="22"/>
      <c r="Z425" s="38"/>
      <c r="AA425" s="13"/>
      <c r="AB425" s="13"/>
      <c r="AC425" s="13"/>
      <c r="AD425" s="13"/>
      <c r="AE425" s="13"/>
      <c r="AF425" s="13"/>
      <c r="AG425" s="183"/>
      <c r="AH425" s="45"/>
    </row>
    <row r="426" spans="1:34">
      <c r="A426" s="14">
        <f t="shared" si="154"/>
        <v>46298</v>
      </c>
      <c r="B426" s="11"/>
      <c r="C426" s="12"/>
      <c r="D426" s="12"/>
      <c r="E426" s="12"/>
      <c r="F426" s="12"/>
      <c r="G426" s="12"/>
      <c r="H426" s="12"/>
      <c r="I426" s="13"/>
      <c r="J426" s="13"/>
      <c r="K426" s="184"/>
      <c r="L426" s="26"/>
      <c r="M426" s="22"/>
      <c r="N426" s="29"/>
      <c r="O426" s="13"/>
      <c r="P426" s="13"/>
      <c r="Q426" s="13"/>
      <c r="R426" s="13"/>
      <c r="S426" s="13"/>
      <c r="T426" s="13"/>
      <c r="U426" s="13"/>
      <c r="V426" s="13"/>
      <c r="W426" s="184"/>
      <c r="X426" s="37"/>
      <c r="Y426" s="22"/>
      <c r="Z426" s="38"/>
      <c r="AA426" s="13"/>
      <c r="AB426" s="13"/>
      <c r="AC426" s="13"/>
      <c r="AD426" s="13"/>
      <c r="AE426" s="13"/>
      <c r="AF426" s="13"/>
      <c r="AG426" s="184"/>
      <c r="AH426" s="45"/>
    </row>
    <row r="427" spans="1:34">
      <c r="A427" s="14">
        <f t="shared" si="154"/>
        <v>46299</v>
      </c>
      <c r="B427" s="11"/>
      <c r="C427" s="12"/>
      <c r="D427" s="12"/>
      <c r="E427" s="12"/>
      <c r="F427" s="12"/>
      <c r="G427" s="12"/>
      <c r="H427" s="12"/>
      <c r="I427" s="12"/>
      <c r="J427" s="13"/>
      <c r="K427" s="184"/>
      <c r="L427" s="26"/>
      <c r="M427" s="22"/>
      <c r="N427" s="29"/>
      <c r="O427" s="13"/>
      <c r="P427" s="13"/>
      <c r="Q427" s="13"/>
      <c r="R427" s="13"/>
      <c r="S427" s="13"/>
      <c r="T427" s="13"/>
      <c r="U427" s="13"/>
      <c r="V427" s="13"/>
      <c r="W427" s="184"/>
      <c r="X427" s="37"/>
      <c r="Y427" s="22"/>
      <c r="Z427" s="38"/>
      <c r="AA427" s="13"/>
      <c r="AB427" s="13"/>
      <c r="AC427" s="13"/>
      <c r="AD427" s="13"/>
      <c r="AE427" s="13"/>
      <c r="AF427" s="13"/>
      <c r="AG427" s="184"/>
      <c r="AH427" s="45"/>
    </row>
    <row r="428" spans="1:34">
      <c r="A428" s="14">
        <f t="shared" si="154"/>
        <v>46300</v>
      </c>
      <c r="B428" s="11"/>
      <c r="C428" s="12"/>
      <c r="D428" s="12"/>
      <c r="E428" s="12"/>
      <c r="F428" s="12"/>
      <c r="G428" s="12"/>
      <c r="H428" s="12"/>
      <c r="I428" s="12"/>
      <c r="J428" s="13"/>
      <c r="K428" s="184"/>
      <c r="L428" s="26"/>
      <c r="M428" s="22"/>
      <c r="N428" s="29"/>
      <c r="O428" s="13"/>
      <c r="P428" s="13"/>
      <c r="Q428" s="13"/>
      <c r="R428" s="13"/>
      <c r="S428" s="13"/>
      <c r="T428" s="13"/>
      <c r="U428" s="13"/>
      <c r="V428" s="13"/>
      <c r="W428" s="184"/>
      <c r="X428" s="37"/>
      <c r="Y428" s="22"/>
      <c r="Z428" s="38"/>
      <c r="AA428" s="13"/>
      <c r="AB428" s="13"/>
      <c r="AC428" s="13"/>
      <c r="AD428" s="36"/>
      <c r="AE428" s="13"/>
      <c r="AF428" s="13"/>
      <c r="AG428" s="184"/>
      <c r="AH428" s="46"/>
    </row>
    <row r="429" spans="1:34">
      <c r="A429" s="14">
        <f t="shared" si="154"/>
        <v>46301</v>
      </c>
      <c r="B429" s="11"/>
      <c r="C429" s="12"/>
      <c r="D429" s="12"/>
      <c r="E429" s="12"/>
      <c r="F429" s="12"/>
      <c r="G429" s="12"/>
      <c r="H429" s="12"/>
      <c r="I429" s="12"/>
      <c r="J429" s="13"/>
      <c r="K429" s="184"/>
      <c r="L429" s="26"/>
      <c r="M429" s="22"/>
      <c r="N429" s="29"/>
      <c r="O429" s="13"/>
      <c r="P429" s="13"/>
      <c r="Q429" s="13"/>
      <c r="R429" s="13"/>
      <c r="S429" s="13"/>
      <c r="T429" s="13"/>
      <c r="U429" s="13"/>
      <c r="V429" s="13"/>
      <c r="W429" s="184"/>
      <c r="X429" s="37"/>
      <c r="Y429" s="22"/>
      <c r="Z429" s="38"/>
      <c r="AA429" s="13"/>
      <c r="AB429" s="13"/>
      <c r="AC429" s="13"/>
      <c r="AD429" s="13"/>
      <c r="AE429" s="13"/>
      <c r="AF429" s="13"/>
      <c r="AG429" s="184"/>
      <c r="AH429" s="45"/>
    </row>
    <row r="430" spans="1:34">
      <c r="A430" s="14">
        <f t="shared" si="154"/>
        <v>46302</v>
      </c>
      <c r="B430" s="11"/>
      <c r="C430" s="12"/>
      <c r="D430" s="12"/>
      <c r="E430" s="12"/>
      <c r="F430" s="12"/>
      <c r="G430" s="12"/>
      <c r="H430" s="12"/>
      <c r="I430" s="12"/>
      <c r="J430" s="13"/>
      <c r="K430" s="184"/>
      <c r="L430" s="26"/>
      <c r="M430" s="22"/>
      <c r="N430" s="29"/>
      <c r="O430" s="13"/>
      <c r="P430" s="13"/>
      <c r="Q430" s="13"/>
      <c r="R430" s="13"/>
      <c r="S430" s="13"/>
      <c r="T430" s="13"/>
      <c r="U430" s="13"/>
      <c r="V430" s="13"/>
      <c r="W430" s="184"/>
      <c r="X430" s="37"/>
      <c r="Y430" s="22"/>
      <c r="Z430" s="38"/>
      <c r="AA430" s="13"/>
      <c r="AB430" s="13"/>
      <c r="AC430" s="13"/>
      <c r="AD430" s="13"/>
      <c r="AE430" s="13"/>
      <c r="AF430" s="13"/>
      <c r="AG430" s="184"/>
      <c r="AH430" s="45"/>
    </row>
    <row r="431" spans="1:34">
      <c r="A431" s="14">
        <f t="shared" si="154"/>
        <v>46303</v>
      </c>
      <c r="B431" s="11"/>
      <c r="C431" s="12"/>
      <c r="D431" s="12"/>
      <c r="E431" s="12"/>
      <c r="F431" s="12"/>
      <c r="G431" s="12"/>
      <c r="H431" s="12"/>
      <c r="I431" s="12"/>
      <c r="J431" s="13"/>
      <c r="K431" s="184"/>
      <c r="L431" s="26"/>
      <c r="M431" s="22"/>
      <c r="N431" s="29"/>
      <c r="O431" s="13"/>
      <c r="P431" s="13"/>
      <c r="Q431" s="13"/>
      <c r="R431" s="13"/>
      <c r="S431" s="13"/>
      <c r="T431" s="13"/>
      <c r="U431" s="13"/>
      <c r="V431" s="13"/>
      <c r="W431" s="184"/>
      <c r="X431" s="37"/>
      <c r="Y431" s="22"/>
      <c r="Z431" s="38"/>
      <c r="AA431" s="13"/>
      <c r="AB431" s="13"/>
      <c r="AC431" s="13"/>
      <c r="AD431" s="13"/>
      <c r="AE431" s="13"/>
      <c r="AF431" s="13"/>
      <c r="AG431" s="184"/>
      <c r="AH431" s="45"/>
    </row>
    <row r="432" spans="1:34">
      <c r="A432" s="14">
        <f t="shared" si="154"/>
        <v>46304</v>
      </c>
      <c r="B432" s="11"/>
      <c r="C432" s="12"/>
      <c r="D432" s="12"/>
      <c r="E432" s="12"/>
      <c r="F432" s="12"/>
      <c r="G432" s="12"/>
      <c r="H432" s="12"/>
      <c r="I432" s="12"/>
      <c r="J432" s="13"/>
      <c r="K432" s="184"/>
      <c r="L432" s="26"/>
      <c r="M432" s="22"/>
      <c r="N432" s="29"/>
      <c r="O432" s="13"/>
      <c r="P432" s="13"/>
      <c r="Q432" s="13"/>
      <c r="R432" s="13"/>
      <c r="S432" s="13"/>
      <c r="T432" s="13"/>
      <c r="U432" s="13"/>
      <c r="V432" s="13"/>
      <c r="W432" s="184"/>
      <c r="X432" s="37"/>
      <c r="Y432" s="22"/>
      <c r="Z432" s="38"/>
      <c r="AA432" s="13"/>
      <c r="AB432" s="13"/>
      <c r="AC432" s="13"/>
      <c r="AD432" s="13"/>
      <c r="AE432" s="13"/>
      <c r="AF432" s="13"/>
      <c r="AG432" s="184"/>
      <c r="AH432" s="45"/>
    </row>
    <row r="433" spans="1:34">
      <c r="A433" s="14">
        <f t="shared" si="154"/>
        <v>46305</v>
      </c>
      <c r="B433" s="11"/>
      <c r="C433" s="12"/>
      <c r="D433" s="12"/>
      <c r="E433" s="12"/>
      <c r="F433" s="12"/>
      <c r="G433" s="12"/>
      <c r="H433" s="12"/>
      <c r="I433" s="12"/>
      <c r="J433" s="13"/>
      <c r="K433" s="184"/>
      <c r="L433" s="26"/>
      <c r="M433" s="22"/>
      <c r="N433" s="29"/>
      <c r="O433" s="13"/>
      <c r="P433" s="13"/>
      <c r="Q433" s="13"/>
      <c r="R433" s="13"/>
      <c r="S433" s="13"/>
      <c r="T433" s="13"/>
      <c r="U433" s="13"/>
      <c r="V433" s="13"/>
      <c r="W433" s="184"/>
      <c r="X433" s="37"/>
      <c r="Y433" s="22"/>
      <c r="Z433" s="38"/>
      <c r="AA433" s="13"/>
      <c r="AB433" s="13"/>
      <c r="AC433" s="13"/>
      <c r="AD433" s="13"/>
      <c r="AE433" s="13"/>
      <c r="AF433" s="13"/>
      <c r="AG433" s="184"/>
      <c r="AH433" s="45"/>
    </row>
    <row r="434" spans="1:34">
      <c r="A434" s="14">
        <f t="shared" si="154"/>
        <v>46306</v>
      </c>
      <c r="B434" s="11"/>
      <c r="C434" s="12"/>
      <c r="D434" s="12"/>
      <c r="E434" s="12"/>
      <c r="F434" s="12"/>
      <c r="G434" s="12"/>
      <c r="H434" s="12"/>
      <c r="I434" s="12"/>
      <c r="J434" s="13"/>
      <c r="K434" s="184"/>
      <c r="L434" s="26"/>
      <c r="M434" s="22"/>
      <c r="N434" s="29"/>
      <c r="O434" s="13"/>
      <c r="P434" s="13"/>
      <c r="Q434" s="13"/>
      <c r="R434" s="13"/>
      <c r="S434" s="13"/>
      <c r="T434" s="13"/>
      <c r="U434" s="13"/>
      <c r="V434" s="13"/>
      <c r="W434" s="184"/>
      <c r="X434" s="37"/>
      <c r="Y434" s="22"/>
      <c r="Z434" s="38"/>
      <c r="AA434" s="13"/>
      <c r="AB434" s="13"/>
      <c r="AC434" s="13"/>
      <c r="AD434" s="13"/>
      <c r="AE434" s="13"/>
      <c r="AF434" s="13"/>
      <c r="AG434" s="184"/>
      <c r="AH434" s="45"/>
    </row>
    <row r="435" spans="1:34">
      <c r="A435" s="14">
        <f t="shared" si="154"/>
        <v>46307</v>
      </c>
      <c r="B435" s="11"/>
      <c r="C435" s="12"/>
      <c r="D435" s="12"/>
      <c r="E435" s="12"/>
      <c r="F435" s="12"/>
      <c r="G435" s="12"/>
      <c r="H435" s="12"/>
      <c r="I435" s="12"/>
      <c r="J435" s="13"/>
      <c r="K435" s="184"/>
      <c r="L435" s="26"/>
      <c r="M435" s="22"/>
      <c r="N435" s="29"/>
      <c r="O435" s="13"/>
      <c r="P435" s="13"/>
      <c r="Q435" s="13"/>
      <c r="R435" s="13"/>
      <c r="S435" s="13"/>
      <c r="T435" s="13"/>
      <c r="U435" s="13"/>
      <c r="V435" s="13"/>
      <c r="W435" s="184"/>
      <c r="X435" s="37"/>
      <c r="Y435" s="22"/>
      <c r="Z435" s="38"/>
      <c r="AA435" s="13"/>
      <c r="AB435" s="13"/>
      <c r="AC435" s="13"/>
      <c r="AD435" s="36"/>
      <c r="AE435" s="13"/>
      <c r="AF435" s="13"/>
      <c r="AG435" s="184"/>
      <c r="AH435" s="45"/>
    </row>
    <row r="436" spans="1:34">
      <c r="A436" s="14">
        <f t="shared" si="154"/>
        <v>46308</v>
      </c>
      <c r="B436" s="11"/>
      <c r="C436" s="12"/>
      <c r="D436" s="12"/>
      <c r="E436" s="12"/>
      <c r="F436" s="12"/>
      <c r="G436" s="12"/>
      <c r="H436" s="12"/>
      <c r="I436" s="12"/>
      <c r="J436" s="13"/>
      <c r="K436" s="184"/>
      <c r="L436" s="26"/>
      <c r="M436" s="22"/>
      <c r="N436" s="29"/>
      <c r="O436" s="13"/>
      <c r="P436" s="13"/>
      <c r="Q436" s="13"/>
      <c r="R436" s="13"/>
      <c r="S436" s="13"/>
      <c r="T436" s="13"/>
      <c r="U436" s="13"/>
      <c r="V436" s="13"/>
      <c r="W436" s="184"/>
      <c r="X436" s="37"/>
      <c r="Y436" s="22"/>
      <c r="Z436" s="38"/>
      <c r="AA436" s="13"/>
      <c r="AB436" s="13"/>
      <c r="AC436" s="13"/>
      <c r="AD436" s="13"/>
      <c r="AE436" s="13"/>
      <c r="AF436" s="13"/>
      <c r="AG436" s="184"/>
      <c r="AH436" s="45"/>
    </row>
    <row r="437" spans="1:34">
      <c r="A437" s="14">
        <f t="shared" si="154"/>
        <v>46309</v>
      </c>
      <c r="B437" s="11"/>
      <c r="C437" s="13"/>
      <c r="D437" s="12"/>
      <c r="E437" s="12"/>
      <c r="F437" s="13"/>
      <c r="G437" s="12"/>
      <c r="H437" s="12"/>
      <c r="I437" s="13"/>
      <c r="J437" s="13"/>
      <c r="K437" s="184"/>
      <c r="L437" s="26"/>
      <c r="M437" s="22"/>
      <c r="N437" s="29"/>
      <c r="O437" s="13"/>
      <c r="P437" s="13"/>
      <c r="Q437" s="13"/>
      <c r="R437" s="13"/>
      <c r="S437" s="13"/>
      <c r="T437" s="13"/>
      <c r="U437" s="13"/>
      <c r="V437" s="13"/>
      <c r="W437" s="184"/>
      <c r="X437" s="37"/>
      <c r="Y437" s="22"/>
      <c r="Z437" s="38"/>
      <c r="AA437" s="13"/>
      <c r="AB437" s="13"/>
      <c r="AC437" s="13"/>
      <c r="AD437" s="13"/>
      <c r="AE437" s="13"/>
      <c r="AF437" s="13"/>
      <c r="AG437" s="184"/>
      <c r="AH437" s="45"/>
    </row>
    <row r="438" spans="1:34">
      <c r="A438" s="14">
        <f t="shared" si="154"/>
        <v>46310</v>
      </c>
      <c r="B438" s="11"/>
      <c r="C438" s="13"/>
      <c r="D438" s="12"/>
      <c r="E438" s="12"/>
      <c r="F438" s="13"/>
      <c r="G438" s="12"/>
      <c r="H438" s="12"/>
      <c r="I438" s="12"/>
      <c r="J438" s="13"/>
      <c r="K438" s="184"/>
      <c r="L438" s="26"/>
      <c r="M438" s="22"/>
      <c r="N438" s="29"/>
      <c r="O438" s="13"/>
      <c r="P438" s="13"/>
      <c r="Q438" s="13"/>
      <c r="R438" s="13"/>
      <c r="S438" s="13"/>
      <c r="T438" s="13"/>
      <c r="U438" s="13"/>
      <c r="V438" s="13"/>
      <c r="W438" s="184"/>
      <c r="X438" s="37"/>
      <c r="Y438" s="22"/>
      <c r="Z438" s="38"/>
      <c r="AA438" s="13"/>
      <c r="AB438" s="13"/>
      <c r="AC438" s="13"/>
      <c r="AD438" s="36"/>
      <c r="AE438" s="13"/>
      <c r="AF438" s="13"/>
      <c r="AG438" s="184"/>
      <c r="AH438" s="37"/>
    </row>
    <row r="439" spans="1:34">
      <c r="A439" s="14">
        <f t="shared" si="154"/>
        <v>46311</v>
      </c>
      <c r="B439" s="11"/>
      <c r="C439" s="13"/>
      <c r="D439" s="12"/>
      <c r="E439" s="12"/>
      <c r="F439" s="13"/>
      <c r="G439" s="12"/>
      <c r="H439" s="12"/>
      <c r="I439" s="12"/>
      <c r="J439" s="13"/>
      <c r="K439" s="184"/>
      <c r="L439" s="26"/>
      <c r="M439" s="22"/>
      <c r="N439" s="29"/>
      <c r="O439" s="13"/>
      <c r="P439" s="13"/>
      <c r="Q439" s="13"/>
      <c r="R439" s="13"/>
      <c r="S439" s="13"/>
      <c r="T439" s="13"/>
      <c r="U439" s="13"/>
      <c r="V439" s="13"/>
      <c r="W439" s="184"/>
      <c r="X439" s="37"/>
      <c r="Y439" s="22"/>
      <c r="Z439" s="38"/>
      <c r="AA439" s="13"/>
      <c r="AB439" s="13"/>
      <c r="AC439" s="13"/>
      <c r="AD439" s="36"/>
      <c r="AE439" s="13"/>
      <c r="AF439" s="13"/>
      <c r="AG439" s="184"/>
      <c r="AH439" s="37"/>
    </row>
    <row r="440" spans="1:34">
      <c r="A440" s="14">
        <f t="shared" si="154"/>
        <v>46312</v>
      </c>
      <c r="B440" s="11"/>
      <c r="C440" s="13"/>
      <c r="D440" s="12"/>
      <c r="E440" s="12"/>
      <c r="F440" s="13"/>
      <c r="G440" s="12"/>
      <c r="H440" s="12"/>
      <c r="I440" s="12"/>
      <c r="J440" s="13"/>
      <c r="K440" s="184"/>
      <c r="L440" s="26"/>
      <c r="M440" s="22"/>
      <c r="N440" s="29"/>
      <c r="O440" s="13"/>
      <c r="P440" s="13"/>
      <c r="Q440" s="13"/>
      <c r="R440" s="13"/>
      <c r="S440" s="13"/>
      <c r="T440" s="13"/>
      <c r="U440" s="13"/>
      <c r="V440" s="13"/>
      <c r="W440" s="184"/>
      <c r="X440" s="37"/>
      <c r="Y440" s="22"/>
      <c r="Z440" s="38"/>
      <c r="AA440" s="13"/>
      <c r="AB440" s="13"/>
      <c r="AC440" s="13"/>
      <c r="AD440" s="36"/>
      <c r="AE440" s="13"/>
      <c r="AF440" s="13"/>
      <c r="AG440" s="184"/>
      <c r="AH440" s="37"/>
    </row>
    <row r="441" spans="1:34">
      <c r="A441" s="14">
        <f t="shared" si="154"/>
        <v>46313</v>
      </c>
      <c r="B441" s="11"/>
      <c r="C441" s="13"/>
      <c r="D441" s="12"/>
      <c r="E441" s="12"/>
      <c r="F441" s="13"/>
      <c r="G441" s="12"/>
      <c r="H441" s="12"/>
      <c r="I441" s="12"/>
      <c r="J441" s="13"/>
      <c r="K441" s="184"/>
      <c r="L441" s="26"/>
      <c r="M441" s="22"/>
      <c r="N441" s="29"/>
      <c r="O441" s="13"/>
      <c r="P441" s="13"/>
      <c r="Q441" s="13"/>
      <c r="R441" s="13"/>
      <c r="S441" s="13"/>
      <c r="T441" s="13"/>
      <c r="U441" s="13"/>
      <c r="V441" s="13"/>
      <c r="W441" s="184"/>
      <c r="X441" s="37"/>
      <c r="Y441" s="22"/>
      <c r="Z441" s="38"/>
      <c r="AA441" s="13"/>
      <c r="AB441" s="13"/>
      <c r="AC441" s="13"/>
      <c r="AD441" s="36"/>
      <c r="AE441" s="13"/>
      <c r="AF441" s="13"/>
      <c r="AG441" s="184"/>
      <c r="AH441" s="37"/>
    </row>
    <row r="442" spans="1:34">
      <c r="A442" s="14">
        <f t="shared" si="154"/>
        <v>46314</v>
      </c>
      <c r="B442" s="38"/>
      <c r="C442" s="13"/>
      <c r="D442" s="12"/>
      <c r="E442" s="12"/>
      <c r="F442" s="13"/>
      <c r="G442" s="12"/>
      <c r="H442" s="12"/>
      <c r="I442" s="12"/>
      <c r="J442" s="13"/>
      <c r="K442" s="184"/>
      <c r="L442" s="26"/>
      <c r="M442" s="22"/>
      <c r="N442" s="29"/>
      <c r="O442" s="13"/>
      <c r="P442" s="13"/>
      <c r="Q442" s="13"/>
      <c r="R442" s="13"/>
      <c r="S442" s="13"/>
      <c r="T442" s="13"/>
      <c r="U442" s="13"/>
      <c r="V442" s="13"/>
      <c r="W442" s="184"/>
      <c r="X442" s="37"/>
      <c r="Y442" s="22"/>
      <c r="Z442" s="38"/>
      <c r="AA442" s="13"/>
      <c r="AB442" s="13"/>
      <c r="AC442" s="13"/>
      <c r="AD442" s="36"/>
      <c r="AE442" s="13"/>
      <c r="AF442" s="13"/>
      <c r="AG442" s="184"/>
      <c r="AH442" s="37"/>
    </row>
    <row r="443" spans="1:34">
      <c r="A443" s="14">
        <f t="shared" si="154"/>
        <v>46315</v>
      </c>
      <c r="B443" s="38"/>
      <c r="C443" s="13"/>
      <c r="D443" s="12"/>
      <c r="E443" s="12"/>
      <c r="F443" s="13"/>
      <c r="G443" s="12"/>
      <c r="H443" s="12"/>
      <c r="I443" s="13"/>
      <c r="J443" s="13"/>
      <c r="K443" s="184"/>
      <c r="L443" s="26"/>
      <c r="M443" s="22"/>
      <c r="N443" s="29"/>
      <c r="O443" s="13"/>
      <c r="P443" s="13"/>
      <c r="Q443" s="13"/>
      <c r="R443" s="13"/>
      <c r="S443" s="13"/>
      <c r="T443" s="13"/>
      <c r="U443" s="13"/>
      <c r="V443" s="13"/>
      <c r="W443" s="184"/>
      <c r="X443" s="37"/>
      <c r="Y443" s="22"/>
      <c r="Z443" s="38"/>
      <c r="AA443" s="13"/>
      <c r="AB443" s="13"/>
      <c r="AC443" s="13"/>
      <c r="AD443" s="36"/>
      <c r="AE443" s="13"/>
      <c r="AF443" s="13"/>
      <c r="AG443" s="184"/>
      <c r="AH443" s="37"/>
    </row>
    <row r="444" spans="1:34">
      <c r="A444" s="14">
        <f t="shared" si="154"/>
        <v>46316</v>
      </c>
      <c r="B444" s="38"/>
      <c r="C444" s="13"/>
      <c r="D444" s="12"/>
      <c r="E444" s="12"/>
      <c r="F444" s="13"/>
      <c r="G444" s="13"/>
      <c r="H444" s="36"/>
      <c r="I444" s="12"/>
      <c r="J444" s="13"/>
      <c r="K444" s="184"/>
      <c r="L444" s="26"/>
      <c r="M444" s="22"/>
      <c r="N444" s="29"/>
      <c r="O444" s="13"/>
      <c r="P444" s="13"/>
      <c r="Q444" s="13"/>
      <c r="R444" s="13"/>
      <c r="S444" s="13"/>
      <c r="T444" s="13"/>
      <c r="U444" s="13"/>
      <c r="V444" s="13"/>
      <c r="W444" s="184"/>
      <c r="X444" s="37"/>
      <c r="Y444" s="22"/>
      <c r="Z444" s="38"/>
      <c r="AA444" s="13"/>
      <c r="AB444" s="13"/>
      <c r="AC444" s="13"/>
      <c r="AD444" s="36"/>
      <c r="AE444" s="13"/>
      <c r="AF444" s="13"/>
      <c r="AG444" s="184"/>
      <c r="AH444" s="37"/>
    </row>
    <row r="445" spans="1:34">
      <c r="A445" s="14">
        <f t="shared" si="154"/>
        <v>46317</v>
      </c>
      <c r="B445" s="38"/>
      <c r="C445" s="13"/>
      <c r="D445" s="12"/>
      <c r="E445" s="12"/>
      <c r="F445" s="13"/>
      <c r="G445" s="12"/>
      <c r="H445" s="12"/>
      <c r="I445" s="13"/>
      <c r="J445" s="13"/>
      <c r="K445" s="184"/>
      <c r="L445" s="26"/>
      <c r="M445" s="22"/>
      <c r="N445" s="29"/>
      <c r="O445" s="13"/>
      <c r="P445" s="13"/>
      <c r="Q445" s="13"/>
      <c r="R445" s="13"/>
      <c r="S445" s="13"/>
      <c r="T445" s="13"/>
      <c r="U445" s="13"/>
      <c r="V445" s="13"/>
      <c r="W445" s="184"/>
      <c r="X445" s="37"/>
      <c r="Y445" s="22"/>
      <c r="Z445" s="38"/>
      <c r="AA445" s="13"/>
      <c r="AB445" s="13"/>
      <c r="AC445" s="13"/>
      <c r="AD445" s="36"/>
      <c r="AE445" s="13"/>
      <c r="AF445" s="13"/>
      <c r="AG445" s="184"/>
      <c r="AH445" s="37"/>
    </row>
    <row r="446" spans="1:34">
      <c r="A446" s="14">
        <f t="shared" si="154"/>
        <v>46318</v>
      </c>
      <c r="B446" s="38"/>
      <c r="C446" s="13"/>
      <c r="D446" s="12"/>
      <c r="E446" s="12"/>
      <c r="F446" s="13"/>
      <c r="G446" s="12"/>
      <c r="H446" s="12"/>
      <c r="I446" s="12"/>
      <c r="J446" s="13"/>
      <c r="K446" s="184"/>
      <c r="L446" s="26"/>
      <c r="M446" s="22"/>
      <c r="N446" s="29"/>
      <c r="O446" s="13"/>
      <c r="P446" s="13"/>
      <c r="Q446" s="13"/>
      <c r="R446" s="13"/>
      <c r="S446" s="13"/>
      <c r="T446" s="13"/>
      <c r="U446" s="13"/>
      <c r="V446" s="13"/>
      <c r="W446" s="184"/>
      <c r="X446" s="37"/>
      <c r="Y446" s="22"/>
      <c r="Z446" s="38"/>
      <c r="AA446" s="13"/>
      <c r="AB446" s="13"/>
      <c r="AC446" s="13"/>
      <c r="AD446" s="36"/>
      <c r="AE446" s="13"/>
      <c r="AF446" s="13"/>
      <c r="AG446" s="184"/>
      <c r="AH446" s="37"/>
    </row>
    <row r="447" spans="1:34">
      <c r="A447" s="14">
        <f t="shared" si="154"/>
        <v>46319</v>
      </c>
      <c r="B447" s="38"/>
      <c r="C447" s="13"/>
      <c r="D447" s="13"/>
      <c r="E447" s="13"/>
      <c r="F447" s="13"/>
      <c r="G447" s="12"/>
      <c r="H447" s="12"/>
      <c r="I447" s="13"/>
      <c r="J447" s="13"/>
      <c r="K447" s="184"/>
      <c r="L447" s="26"/>
      <c r="M447" s="22"/>
      <c r="N447" s="29"/>
      <c r="O447" s="13"/>
      <c r="P447" s="13"/>
      <c r="Q447" s="13"/>
      <c r="R447" s="13"/>
      <c r="S447" s="13"/>
      <c r="T447" s="13"/>
      <c r="U447" s="13"/>
      <c r="V447" s="13"/>
      <c r="W447" s="184"/>
      <c r="X447" s="37"/>
      <c r="Y447" s="22"/>
      <c r="Z447" s="38"/>
      <c r="AA447" s="13"/>
      <c r="AB447" s="13"/>
      <c r="AC447" s="13"/>
      <c r="AD447" s="36"/>
      <c r="AE447" s="13"/>
      <c r="AF447" s="13"/>
      <c r="AG447" s="184"/>
      <c r="AH447" s="37"/>
    </row>
    <row r="448" spans="1:34">
      <c r="A448" s="14">
        <f t="shared" si="154"/>
        <v>46320</v>
      </c>
      <c r="B448" s="38"/>
      <c r="C448" s="13"/>
      <c r="D448" s="13"/>
      <c r="E448" s="13"/>
      <c r="F448" s="13"/>
      <c r="G448" s="13"/>
      <c r="H448" s="36"/>
      <c r="I448" s="13"/>
      <c r="J448" s="13"/>
      <c r="K448" s="184"/>
      <c r="L448" s="37"/>
      <c r="M448" s="22"/>
      <c r="N448" s="29"/>
      <c r="O448" s="13"/>
      <c r="P448" s="13"/>
      <c r="Q448" s="13"/>
      <c r="R448" s="13"/>
      <c r="S448" s="13"/>
      <c r="T448" s="13"/>
      <c r="U448" s="13"/>
      <c r="V448" s="13"/>
      <c r="W448" s="184"/>
      <c r="X448" s="37"/>
      <c r="Y448" s="22"/>
      <c r="Z448" s="38"/>
      <c r="AA448" s="13"/>
      <c r="AB448" s="13"/>
      <c r="AC448" s="13"/>
      <c r="AD448" s="36"/>
      <c r="AE448" s="13"/>
      <c r="AF448" s="13"/>
      <c r="AG448" s="184"/>
      <c r="AH448" s="37"/>
    </row>
    <row r="449" spans="1:34">
      <c r="A449" s="14">
        <f t="shared" si="154"/>
        <v>46321</v>
      </c>
      <c r="B449" s="11"/>
      <c r="C449" s="12"/>
      <c r="D449" s="12"/>
      <c r="E449" s="12"/>
      <c r="F449" s="12"/>
      <c r="G449" s="12"/>
      <c r="H449" s="12"/>
      <c r="I449" s="12"/>
      <c r="J449" s="13"/>
      <c r="K449" s="184"/>
      <c r="L449" s="26"/>
      <c r="M449" s="22"/>
      <c r="N449" s="29"/>
      <c r="O449" s="13"/>
      <c r="P449" s="13"/>
      <c r="Q449" s="13"/>
      <c r="R449" s="13"/>
      <c r="S449" s="13"/>
      <c r="T449" s="13"/>
      <c r="U449" s="13"/>
      <c r="V449" s="13"/>
      <c r="W449" s="184"/>
      <c r="X449" s="37"/>
      <c r="Y449" s="22"/>
      <c r="Z449" s="38"/>
      <c r="AA449" s="13"/>
      <c r="AB449" s="13"/>
      <c r="AC449" s="13"/>
      <c r="AD449" s="36"/>
      <c r="AE449" s="13"/>
      <c r="AF449" s="13"/>
      <c r="AG449" s="184"/>
      <c r="AH449" s="37"/>
    </row>
    <row r="450" spans="1:34">
      <c r="A450" s="14">
        <f t="shared" si="154"/>
        <v>46322</v>
      </c>
      <c r="B450" s="38"/>
      <c r="C450" s="13"/>
      <c r="D450" s="13"/>
      <c r="E450" s="13"/>
      <c r="F450" s="13"/>
      <c r="G450" s="13"/>
      <c r="H450" s="36"/>
      <c r="I450" s="13"/>
      <c r="J450" s="13"/>
      <c r="K450" s="184"/>
      <c r="L450" s="26"/>
      <c r="M450" s="22"/>
      <c r="N450" s="29"/>
      <c r="O450" s="13"/>
      <c r="P450" s="13"/>
      <c r="Q450" s="13"/>
      <c r="R450" s="13"/>
      <c r="S450" s="13"/>
      <c r="T450" s="13"/>
      <c r="U450" s="13"/>
      <c r="V450" s="13"/>
      <c r="W450" s="184"/>
      <c r="X450" s="37"/>
      <c r="Y450" s="22"/>
      <c r="Z450" s="38"/>
      <c r="AA450" s="13"/>
      <c r="AB450" s="13"/>
      <c r="AC450" s="13"/>
      <c r="AD450" s="36"/>
      <c r="AE450" s="13"/>
      <c r="AF450" s="13"/>
      <c r="AG450" s="184"/>
      <c r="AH450" s="37"/>
    </row>
    <row r="451" spans="1:34">
      <c r="A451" s="14">
        <f t="shared" si="154"/>
        <v>46323</v>
      </c>
      <c r="B451" s="38"/>
      <c r="C451" s="13"/>
      <c r="D451" s="13"/>
      <c r="E451" s="13"/>
      <c r="F451" s="13"/>
      <c r="G451" s="12"/>
      <c r="H451" s="36"/>
      <c r="I451" s="13"/>
      <c r="J451" s="13"/>
      <c r="K451" s="184"/>
      <c r="L451" s="26"/>
      <c r="M451" s="22"/>
      <c r="N451" s="29"/>
      <c r="O451" s="13"/>
      <c r="P451" s="13"/>
      <c r="Q451" s="13"/>
      <c r="R451" s="13"/>
      <c r="S451" s="13"/>
      <c r="T451" s="13"/>
      <c r="U451" s="13"/>
      <c r="V451" s="13"/>
      <c r="W451" s="184"/>
      <c r="X451" s="37"/>
      <c r="Y451" s="22"/>
      <c r="Z451" s="38"/>
      <c r="AA451" s="13"/>
      <c r="AB451" s="13"/>
      <c r="AC451" s="13"/>
      <c r="AD451" s="36"/>
      <c r="AE451" s="13"/>
      <c r="AF451" s="13"/>
      <c r="AG451" s="184"/>
      <c r="AH451" s="37"/>
    </row>
    <row r="452" spans="1:34">
      <c r="A452" s="14">
        <f t="shared" si="154"/>
        <v>46324</v>
      </c>
      <c r="B452" s="38"/>
      <c r="C452" s="13"/>
      <c r="D452" s="13"/>
      <c r="E452" s="13"/>
      <c r="F452" s="13"/>
      <c r="G452" s="12"/>
      <c r="H452" s="36"/>
      <c r="I452" s="13"/>
      <c r="J452" s="13"/>
      <c r="K452" s="184"/>
      <c r="L452" s="26"/>
      <c r="M452" s="22"/>
      <c r="N452" s="29"/>
      <c r="O452" s="13"/>
      <c r="P452" s="13"/>
      <c r="Q452" s="13"/>
      <c r="R452" s="13"/>
      <c r="S452" s="13"/>
      <c r="T452" s="13"/>
      <c r="U452" s="13"/>
      <c r="V452" s="13"/>
      <c r="W452" s="184"/>
      <c r="X452" s="37"/>
      <c r="Y452" s="22"/>
      <c r="Z452" s="38"/>
      <c r="AA452" s="13"/>
      <c r="AB452" s="13"/>
      <c r="AC452" s="13"/>
      <c r="AD452" s="36"/>
      <c r="AE452" s="13"/>
      <c r="AF452" s="13"/>
      <c r="AG452" s="184"/>
      <c r="AH452" s="37"/>
    </row>
    <row r="453" spans="1:34">
      <c r="A453" s="14">
        <f t="shared" si="154"/>
        <v>46325</v>
      </c>
      <c r="B453" s="38"/>
      <c r="C453" s="13"/>
      <c r="D453" s="13"/>
      <c r="E453" s="13"/>
      <c r="F453" s="13"/>
      <c r="G453" s="12"/>
      <c r="H453" s="36"/>
      <c r="I453" s="13"/>
      <c r="J453" s="13"/>
      <c r="K453" s="184"/>
      <c r="L453" s="26"/>
      <c r="M453" s="22"/>
      <c r="N453" s="29"/>
      <c r="O453" s="13"/>
      <c r="P453" s="13"/>
      <c r="Q453" s="13"/>
      <c r="R453" s="13"/>
      <c r="S453" s="13"/>
      <c r="T453" s="13"/>
      <c r="U453" s="13"/>
      <c r="V453" s="13"/>
      <c r="W453" s="184"/>
      <c r="X453" s="37"/>
      <c r="Y453" s="22"/>
      <c r="Z453" s="38"/>
      <c r="AA453" s="13"/>
      <c r="AB453" s="13"/>
      <c r="AC453" s="13"/>
      <c r="AD453" s="36"/>
      <c r="AE453" s="13"/>
      <c r="AF453" s="13"/>
      <c r="AG453" s="184"/>
      <c r="AH453" s="37"/>
    </row>
    <row r="454" spans="1:34" ht="15.75" thickBot="1">
      <c r="A454" s="14">
        <f t="shared" si="154"/>
        <v>46326</v>
      </c>
      <c r="B454" s="11"/>
      <c r="C454" s="13"/>
      <c r="D454" s="13"/>
      <c r="E454" s="13"/>
      <c r="F454" s="13"/>
      <c r="G454" s="12"/>
      <c r="H454" s="36"/>
      <c r="I454" s="13"/>
      <c r="J454" s="13"/>
      <c r="K454" s="184"/>
      <c r="L454" s="26"/>
      <c r="M454" s="22"/>
      <c r="N454" s="29"/>
      <c r="O454" s="13"/>
      <c r="P454" s="13"/>
      <c r="Q454" s="13"/>
      <c r="R454" s="13"/>
      <c r="S454" s="13"/>
      <c r="T454" s="13"/>
      <c r="U454" s="13"/>
      <c r="V454" s="13"/>
      <c r="W454" s="184"/>
      <c r="X454" s="37"/>
      <c r="Y454" s="22"/>
      <c r="Z454" s="38"/>
      <c r="AA454" s="13"/>
      <c r="AB454" s="13"/>
      <c r="AC454" s="13"/>
      <c r="AD454" s="36"/>
      <c r="AE454" s="13"/>
      <c r="AF454" s="13"/>
      <c r="AG454" s="184"/>
      <c r="AH454" s="37"/>
    </row>
    <row r="455" spans="1:34">
      <c r="A455" s="16" t="s">
        <v>31</v>
      </c>
      <c r="B455" s="17">
        <f>MIN(B423:B454)</f>
        <v>0</v>
      </c>
      <c r="C455" s="17">
        <f>MIN(C423:C454)</f>
        <v>0</v>
      </c>
      <c r="D455" s="17">
        <f t="shared" ref="D455:L455" si="155">MIN(D423:D454)</f>
        <v>0</v>
      </c>
      <c r="E455" s="17">
        <f t="shared" si="155"/>
        <v>0</v>
      </c>
      <c r="F455" s="17">
        <f t="shared" si="155"/>
        <v>0</v>
      </c>
      <c r="G455" s="17">
        <f t="shared" si="155"/>
        <v>0</v>
      </c>
      <c r="H455" s="17">
        <f t="shared" si="155"/>
        <v>0</v>
      </c>
      <c r="I455" s="17">
        <f t="shared" si="155"/>
        <v>0</v>
      </c>
      <c r="J455" s="17">
        <f t="shared" si="155"/>
        <v>0</v>
      </c>
      <c r="K455" s="17">
        <f t="shared" si="155"/>
        <v>0</v>
      </c>
      <c r="L455" s="30">
        <f t="shared" si="155"/>
        <v>0</v>
      </c>
      <c r="M455" s="22"/>
      <c r="N455" s="17">
        <f>MIN(N423:N454)</f>
        <v>0</v>
      </c>
      <c r="O455" s="17">
        <f>MIN(O423:O454)</f>
        <v>0</v>
      </c>
      <c r="P455" s="17">
        <f t="shared" ref="P455:X455" si="156">MIN(P423:P454)</f>
        <v>0</v>
      </c>
      <c r="Q455" s="17">
        <f t="shared" si="156"/>
        <v>0</v>
      </c>
      <c r="R455" s="17">
        <f t="shared" si="156"/>
        <v>0</v>
      </c>
      <c r="S455" s="17">
        <f t="shared" si="156"/>
        <v>0</v>
      </c>
      <c r="T455" s="17">
        <f t="shared" si="156"/>
        <v>0</v>
      </c>
      <c r="U455" s="17">
        <f t="shared" si="156"/>
        <v>0</v>
      </c>
      <c r="V455" s="17">
        <f t="shared" si="156"/>
        <v>0</v>
      </c>
      <c r="W455" s="17">
        <f t="shared" si="156"/>
        <v>0</v>
      </c>
      <c r="X455" s="30">
        <f t="shared" si="156"/>
        <v>0</v>
      </c>
      <c r="Z455" s="40">
        <f t="shared" ref="Z455:AH455" si="157">MIN(Z423:Z454)</f>
        <v>0</v>
      </c>
      <c r="AA455" s="17">
        <f t="shared" si="157"/>
        <v>0</v>
      </c>
      <c r="AB455" s="17">
        <f t="shared" si="157"/>
        <v>0</v>
      </c>
      <c r="AC455" s="17">
        <f t="shared" si="157"/>
        <v>0</v>
      </c>
      <c r="AD455" s="17">
        <f t="shared" si="157"/>
        <v>0</v>
      </c>
      <c r="AE455" s="17">
        <f t="shared" si="157"/>
        <v>0</v>
      </c>
      <c r="AF455" s="17">
        <f t="shared" si="157"/>
        <v>0</v>
      </c>
      <c r="AG455" s="17">
        <f t="shared" si="157"/>
        <v>0</v>
      </c>
      <c r="AH455" s="30">
        <f t="shared" si="157"/>
        <v>0</v>
      </c>
    </row>
    <row r="456" spans="1:34">
      <c r="A456" s="18" t="s">
        <v>33</v>
      </c>
      <c r="B456" s="19">
        <f>MAX(B423:B454)</f>
        <v>0</v>
      </c>
      <c r="C456" s="19">
        <f>MAX(C423:C454)</f>
        <v>0</v>
      </c>
      <c r="D456" s="19">
        <f t="shared" ref="D456:L456" si="158">MAX(D423:D454)</f>
        <v>0</v>
      </c>
      <c r="E456" s="19">
        <f t="shared" si="158"/>
        <v>0</v>
      </c>
      <c r="F456" s="19">
        <f t="shared" si="158"/>
        <v>0</v>
      </c>
      <c r="G456" s="19">
        <f t="shared" si="158"/>
        <v>0</v>
      </c>
      <c r="H456" s="19">
        <f t="shared" si="158"/>
        <v>0</v>
      </c>
      <c r="I456" s="19">
        <f t="shared" si="158"/>
        <v>0</v>
      </c>
      <c r="J456" s="19">
        <f t="shared" si="158"/>
        <v>0</v>
      </c>
      <c r="K456" s="19">
        <f t="shared" si="158"/>
        <v>0</v>
      </c>
      <c r="L456" s="31">
        <f t="shared" si="158"/>
        <v>0</v>
      </c>
      <c r="M456" s="22"/>
      <c r="N456" s="19">
        <f>MAX(N423:N454)</f>
        <v>0</v>
      </c>
      <c r="O456" s="19">
        <f>MAX(O423:O454)</f>
        <v>0</v>
      </c>
      <c r="P456" s="19">
        <f t="shared" ref="P456:X456" si="159">MAX(P423:P454)</f>
        <v>0</v>
      </c>
      <c r="Q456" s="19">
        <f t="shared" si="159"/>
        <v>0</v>
      </c>
      <c r="R456" s="19">
        <f t="shared" si="159"/>
        <v>0</v>
      </c>
      <c r="S456" s="19">
        <f t="shared" si="159"/>
        <v>0</v>
      </c>
      <c r="T456" s="19">
        <f t="shared" si="159"/>
        <v>0</v>
      </c>
      <c r="U456" s="19">
        <f t="shared" si="159"/>
        <v>0</v>
      </c>
      <c r="V456" s="19">
        <f t="shared" si="159"/>
        <v>0</v>
      </c>
      <c r="W456" s="19">
        <f t="shared" si="159"/>
        <v>0</v>
      </c>
      <c r="X456" s="31">
        <f t="shared" si="159"/>
        <v>0</v>
      </c>
      <c r="Z456" s="41">
        <f t="shared" ref="Z456:AH456" si="160">MAX(Z423:Z454)</f>
        <v>0</v>
      </c>
      <c r="AA456" s="19">
        <f t="shared" si="160"/>
        <v>0</v>
      </c>
      <c r="AB456" s="19">
        <f t="shared" si="160"/>
        <v>0</v>
      </c>
      <c r="AC456" s="19">
        <f t="shared" si="160"/>
        <v>0</v>
      </c>
      <c r="AD456" s="19">
        <f t="shared" si="160"/>
        <v>0</v>
      </c>
      <c r="AE456" s="19">
        <f t="shared" si="160"/>
        <v>0</v>
      </c>
      <c r="AF456" s="19">
        <f t="shared" si="160"/>
        <v>0</v>
      </c>
      <c r="AG456" s="19">
        <f t="shared" si="160"/>
        <v>0</v>
      </c>
      <c r="AH456" s="31">
        <f t="shared" si="160"/>
        <v>0</v>
      </c>
    </row>
    <row r="457" spans="1:34">
      <c r="A457" s="18" t="s">
        <v>36</v>
      </c>
      <c r="B457" s="19" t="e">
        <f t="shared" ref="B457:L457" si="161">AVERAGE(B423:B454)</f>
        <v>#DIV/0!</v>
      </c>
      <c r="C457" s="19" t="e">
        <f t="shared" si="161"/>
        <v>#DIV/0!</v>
      </c>
      <c r="D457" s="19" t="e">
        <f t="shared" si="161"/>
        <v>#DIV/0!</v>
      </c>
      <c r="E457" s="19" t="e">
        <f t="shared" si="161"/>
        <v>#DIV/0!</v>
      </c>
      <c r="F457" s="19" t="e">
        <f t="shared" si="161"/>
        <v>#DIV/0!</v>
      </c>
      <c r="G457" s="19" t="e">
        <f t="shared" si="161"/>
        <v>#DIV/0!</v>
      </c>
      <c r="H457" s="19" t="e">
        <f t="shared" si="161"/>
        <v>#DIV/0!</v>
      </c>
      <c r="I457" s="19" t="e">
        <f t="shared" si="161"/>
        <v>#DIV/0!</v>
      </c>
      <c r="J457" s="19" t="e">
        <f t="shared" si="161"/>
        <v>#DIV/0!</v>
      </c>
      <c r="K457" s="19" t="e">
        <f t="shared" si="161"/>
        <v>#DIV/0!</v>
      </c>
      <c r="L457" s="31" t="e">
        <f t="shared" si="161"/>
        <v>#DIV/0!</v>
      </c>
      <c r="M457" s="22"/>
      <c r="N457" s="19" t="e">
        <f t="shared" ref="N457:X457" si="162">AVERAGE(N423:N454)</f>
        <v>#DIV/0!</v>
      </c>
      <c r="O457" s="19" t="e">
        <f t="shared" si="162"/>
        <v>#DIV/0!</v>
      </c>
      <c r="P457" s="19" t="e">
        <f t="shared" si="162"/>
        <v>#DIV/0!</v>
      </c>
      <c r="Q457" s="19" t="e">
        <f t="shared" si="162"/>
        <v>#DIV/0!</v>
      </c>
      <c r="R457" s="19" t="e">
        <f t="shared" si="162"/>
        <v>#DIV/0!</v>
      </c>
      <c r="S457" s="19" t="e">
        <f t="shared" si="162"/>
        <v>#DIV/0!</v>
      </c>
      <c r="T457" s="19" t="e">
        <f t="shared" si="162"/>
        <v>#DIV/0!</v>
      </c>
      <c r="U457" s="19" t="e">
        <f t="shared" si="162"/>
        <v>#DIV/0!</v>
      </c>
      <c r="V457" s="19" t="e">
        <f t="shared" si="162"/>
        <v>#DIV/0!</v>
      </c>
      <c r="W457" s="19" t="e">
        <f t="shared" si="162"/>
        <v>#DIV/0!</v>
      </c>
      <c r="X457" s="31" t="e">
        <f t="shared" si="162"/>
        <v>#DIV/0!</v>
      </c>
      <c r="Z457" s="41" t="e">
        <f>AVERAGE(Z423:Z454)</f>
        <v>#DIV/0!</v>
      </c>
      <c r="AA457" s="19" t="e">
        <f t="shared" ref="AA457:AH457" si="163">AVERAGE(AA423:AA454)</f>
        <v>#DIV/0!</v>
      </c>
      <c r="AB457" s="19" t="e">
        <f t="shared" si="163"/>
        <v>#DIV/0!</v>
      </c>
      <c r="AC457" s="19" t="e">
        <f t="shared" si="163"/>
        <v>#DIV/0!</v>
      </c>
      <c r="AD457" s="19" t="e">
        <f t="shared" si="163"/>
        <v>#DIV/0!</v>
      </c>
      <c r="AE457" s="19" t="e">
        <f t="shared" si="163"/>
        <v>#DIV/0!</v>
      </c>
      <c r="AF457" s="19" t="e">
        <f t="shared" si="163"/>
        <v>#DIV/0!</v>
      </c>
      <c r="AG457" s="19" t="e">
        <f t="shared" si="163"/>
        <v>#DIV/0!</v>
      </c>
      <c r="AH457" s="31" t="e">
        <f t="shared" si="163"/>
        <v>#DIV/0!</v>
      </c>
    </row>
    <row r="458" spans="1:34" ht="15.75" thickBot="1">
      <c r="A458" s="20" t="s">
        <v>130</v>
      </c>
      <c r="B458" s="21" t="e">
        <f>STDEV(B423:B454)</f>
        <v>#DIV/0!</v>
      </c>
      <c r="C458" s="21" t="e">
        <f t="shared" ref="C458:L458" si="164">STDEV(C423:C454)</f>
        <v>#DIV/0!</v>
      </c>
      <c r="D458" s="21" t="e">
        <f t="shared" si="164"/>
        <v>#DIV/0!</v>
      </c>
      <c r="E458" s="21" t="e">
        <f t="shared" si="164"/>
        <v>#DIV/0!</v>
      </c>
      <c r="F458" s="21" t="e">
        <f t="shared" si="164"/>
        <v>#DIV/0!</v>
      </c>
      <c r="G458" s="21" t="e">
        <f t="shared" si="164"/>
        <v>#DIV/0!</v>
      </c>
      <c r="H458" s="21" t="e">
        <f t="shared" si="164"/>
        <v>#DIV/0!</v>
      </c>
      <c r="I458" s="21" t="e">
        <f t="shared" si="164"/>
        <v>#DIV/0!</v>
      </c>
      <c r="J458" s="21" t="e">
        <f t="shared" si="164"/>
        <v>#DIV/0!</v>
      </c>
      <c r="K458" s="21" t="e">
        <f t="shared" si="164"/>
        <v>#DIV/0!</v>
      </c>
      <c r="L458" s="32" t="e">
        <f t="shared" si="164"/>
        <v>#DIV/0!</v>
      </c>
      <c r="M458" s="22"/>
      <c r="N458" s="21" t="e">
        <f>STDEV(N423:N454)</f>
        <v>#DIV/0!</v>
      </c>
      <c r="O458" s="21" t="e">
        <f t="shared" ref="O458:X458" si="165">STDEV(O423:O454)</f>
        <v>#DIV/0!</v>
      </c>
      <c r="P458" s="21" t="e">
        <f t="shared" si="165"/>
        <v>#DIV/0!</v>
      </c>
      <c r="Q458" s="21" t="e">
        <f t="shared" si="165"/>
        <v>#DIV/0!</v>
      </c>
      <c r="R458" s="21" t="e">
        <f t="shared" si="165"/>
        <v>#DIV/0!</v>
      </c>
      <c r="S458" s="21" t="e">
        <f t="shared" si="165"/>
        <v>#DIV/0!</v>
      </c>
      <c r="T458" s="21" t="e">
        <f t="shared" si="165"/>
        <v>#DIV/0!</v>
      </c>
      <c r="U458" s="21" t="e">
        <f t="shared" si="165"/>
        <v>#DIV/0!</v>
      </c>
      <c r="V458" s="21" t="e">
        <f t="shared" si="165"/>
        <v>#DIV/0!</v>
      </c>
      <c r="W458" s="21" t="e">
        <f t="shared" si="165"/>
        <v>#DIV/0!</v>
      </c>
      <c r="X458" s="32" t="e">
        <f t="shared" si="165"/>
        <v>#DIV/0!</v>
      </c>
      <c r="Z458" s="42" t="e">
        <f>STDEV(Z423:Z454)</f>
        <v>#DIV/0!</v>
      </c>
      <c r="AA458" s="21" t="e">
        <f t="shared" ref="AA458:AH458" si="166">STDEV(AA423:AA454)</f>
        <v>#DIV/0!</v>
      </c>
      <c r="AB458" s="21" t="e">
        <f t="shared" si="166"/>
        <v>#DIV/0!</v>
      </c>
      <c r="AC458" s="21" t="e">
        <f t="shared" si="166"/>
        <v>#DIV/0!</v>
      </c>
      <c r="AD458" s="21" t="e">
        <f t="shared" si="166"/>
        <v>#DIV/0!</v>
      </c>
      <c r="AE458" s="21" t="e">
        <f t="shared" si="166"/>
        <v>#DIV/0!</v>
      </c>
      <c r="AF458" s="21" t="e">
        <f t="shared" si="166"/>
        <v>#DIV/0!</v>
      </c>
      <c r="AG458" s="21" t="e">
        <f t="shared" si="166"/>
        <v>#DIV/0!</v>
      </c>
      <c r="AH458" s="32" t="e">
        <f t="shared" si="166"/>
        <v>#DIV/0!</v>
      </c>
    </row>
    <row r="459" spans="1:34" ht="15.75" thickBot="1"/>
    <row r="460" spans="1:34" ht="15.75" thickBot="1">
      <c r="A460" s="1"/>
      <c r="B460" s="338" t="s">
        <v>0</v>
      </c>
      <c r="C460" s="339"/>
      <c r="D460" s="339"/>
      <c r="E460" s="339"/>
      <c r="F460" s="339"/>
      <c r="G460" s="339"/>
      <c r="H460" s="339"/>
      <c r="I460" s="339"/>
      <c r="J460" s="339"/>
      <c r="K460" s="339"/>
      <c r="L460" s="339"/>
      <c r="M460" s="339"/>
      <c r="N460" s="339"/>
      <c r="O460" s="339"/>
      <c r="P460" s="339"/>
      <c r="Q460" s="339"/>
      <c r="R460" s="339"/>
      <c r="S460" s="339"/>
      <c r="T460" s="339"/>
      <c r="U460" s="339"/>
      <c r="V460" s="339"/>
      <c r="W460" s="339"/>
      <c r="X460" s="339"/>
      <c r="Y460" s="339"/>
      <c r="Z460" s="339"/>
      <c r="AA460" s="339"/>
      <c r="AB460" s="339"/>
      <c r="AC460" s="339"/>
      <c r="AD460" s="340"/>
      <c r="AE460" s="340"/>
      <c r="AF460" s="340"/>
      <c r="AG460" s="340"/>
      <c r="AH460" s="340"/>
    </row>
    <row r="461" spans="1:34" ht="15.75" thickBot="1">
      <c r="A461" s="1"/>
      <c r="B461" s="338" t="s">
        <v>160</v>
      </c>
      <c r="C461" s="339"/>
      <c r="D461" s="339"/>
      <c r="E461" s="339"/>
      <c r="F461" s="339"/>
      <c r="G461" s="339"/>
      <c r="H461" s="339"/>
      <c r="I461" s="339"/>
      <c r="J461" s="339"/>
      <c r="K461" s="339"/>
      <c r="L461" s="339"/>
      <c r="M461" s="339"/>
      <c r="N461" s="339"/>
      <c r="O461" s="339"/>
      <c r="P461" s="339"/>
      <c r="Q461" s="339"/>
      <c r="R461" s="339"/>
      <c r="S461" s="339"/>
      <c r="T461" s="339"/>
      <c r="U461" s="339"/>
      <c r="V461" s="339"/>
      <c r="W461" s="339"/>
      <c r="X461" s="339"/>
      <c r="Y461" s="339"/>
      <c r="Z461" s="339"/>
      <c r="AA461" s="339"/>
      <c r="AB461" s="339"/>
      <c r="AC461" s="339"/>
      <c r="AD461" s="4"/>
      <c r="AE461" s="43" t="s">
        <v>107</v>
      </c>
      <c r="AF461" s="341">
        <v>46327</v>
      </c>
      <c r="AG461" s="342"/>
      <c r="AH461" s="343"/>
    </row>
    <row r="462" spans="1:34">
      <c r="A462" s="344"/>
      <c r="B462" s="346" t="s">
        <v>132</v>
      </c>
      <c r="C462" s="347"/>
      <c r="D462" s="347"/>
      <c r="E462" s="347"/>
      <c r="F462" s="347"/>
      <c r="G462" s="347"/>
      <c r="H462" s="347"/>
      <c r="I462" s="347"/>
      <c r="J462" s="347"/>
      <c r="K462" s="348"/>
      <c r="L462" s="349"/>
      <c r="M462" s="22"/>
      <c r="N462" s="350" t="s">
        <v>133</v>
      </c>
      <c r="O462" s="347"/>
      <c r="P462" s="347"/>
      <c r="Q462" s="347"/>
      <c r="R462" s="347"/>
      <c r="S462" s="347"/>
      <c r="T462" s="347"/>
      <c r="U462" s="347"/>
      <c r="V462" s="347"/>
      <c r="W462" s="348"/>
      <c r="X462" s="349"/>
      <c r="Y462" s="22"/>
      <c r="Z462" s="346" t="s">
        <v>134</v>
      </c>
      <c r="AA462" s="347"/>
      <c r="AB462" s="347"/>
      <c r="AC462" s="347"/>
      <c r="AD462" s="347"/>
      <c r="AE462" s="347"/>
      <c r="AF462" s="347"/>
      <c r="AG462" s="348"/>
      <c r="AH462" s="349"/>
    </row>
    <row r="463" spans="1:34" ht="25.5">
      <c r="A463" s="345"/>
      <c r="B463" s="359" t="s">
        <v>135</v>
      </c>
      <c r="C463" s="361" t="s">
        <v>136</v>
      </c>
      <c r="D463" s="5" t="s">
        <v>137</v>
      </c>
      <c r="E463" s="5" t="s">
        <v>138</v>
      </c>
      <c r="F463" s="5" t="s">
        <v>139</v>
      </c>
      <c r="G463" s="5" t="s">
        <v>140</v>
      </c>
      <c r="H463" s="5" t="s">
        <v>141</v>
      </c>
      <c r="I463" s="5" t="s">
        <v>142</v>
      </c>
      <c r="J463" s="5" t="s">
        <v>143</v>
      </c>
      <c r="K463" s="181" t="s">
        <v>81</v>
      </c>
      <c r="L463" s="23" t="s">
        <v>144</v>
      </c>
      <c r="M463" s="22"/>
      <c r="N463" s="355" t="s">
        <v>135</v>
      </c>
      <c r="O463" s="357" t="s">
        <v>136</v>
      </c>
      <c r="P463" s="5" t="s">
        <v>137</v>
      </c>
      <c r="Q463" s="5" t="s">
        <v>138</v>
      </c>
      <c r="R463" s="5" t="s">
        <v>139</v>
      </c>
      <c r="S463" s="5" t="s">
        <v>140</v>
      </c>
      <c r="T463" s="5" t="s">
        <v>141</v>
      </c>
      <c r="U463" s="5" t="s">
        <v>142</v>
      </c>
      <c r="V463" s="5" t="s">
        <v>143</v>
      </c>
      <c r="W463" s="181" t="s">
        <v>81</v>
      </c>
      <c r="X463" s="23" t="s">
        <v>144</v>
      </c>
      <c r="Y463" s="22"/>
      <c r="Z463" s="33" t="s">
        <v>137</v>
      </c>
      <c r="AA463" s="5" t="s">
        <v>138</v>
      </c>
      <c r="AB463" s="5" t="s">
        <v>139</v>
      </c>
      <c r="AC463" s="5" t="s">
        <v>140</v>
      </c>
      <c r="AD463" s="5" t="s">
        <v>141</v>
      </c>
      <c r="AE463" s="5" t="s">
        <v>142</v>
      </c>
      <c r="AF463" s="5" t="s">
        <v>143</v>
      </c>
      <c r="AG463" s="181" t="s">
        <v>81</v>
      </c>
      <c r="AH463" s="23" t="s">
        <v>144</v>
      </c>
    </row>
    <row r="464" spans="1:34">
      <c r="A464" s="6" t="s">
        <v>145</v>
      </c>
      <c r="B464" s="360"/>
      <c r="C464" s="362"/>
      <c r="D464" s="5" t="s">
        <v>128</v>
      </c>
      <c r="E464" s="5" t="s">
        <v>128</v>
      </c>
      <c r="F464" s="5" t="s">
        <v>128</v>
      </c>
      <c r="G464" s="5" t="s">
        <v>128</v>
      </c>
      <c r="H464" s="5" t="s">
        <v>125</v>
      </c>
      <c r="I464" s="5" t="s">
        <v>146</v>
      </c>
      <c r="J464" s="5" t="s">
        <v>127</v>
      </c>
      <c r="K464" s="181" t="s">
        <v>53</v>
      </c>
      <c r="L464" s="23" t="s">
        <v>53</v>
      </c>
      <c r="M464" s="22"/>
      <c r="N464" s="356"/>
      <c r="O464" s="358"/>
      <c r="P464" s="5" t="s">
        <v>128</v>
      </c>
      <c r="Q464" s="5" t="s">
        <v>128</v>
      </c>
      <c r="R464" s="5" t="s">
        <v>128</v>
      </c>
      <c r="S464" s="5" t="s">
        <v>128</v>
      </c>
      <c r="T464" s="5" t="s">
        <v>125</v>
      </c>
      <c r="U464" s="5" t="s">
        <v>146</v>
      </c>
      <c r="V464" s="5" t="s">
        <v>127</v>
      </c>
      <c r="W464" s="181" t="s">
        <v>53</v>
      </c>
      <c r="X464" s="23" t="s">
        <v>53</v>
      </c>
      <c r="Y464" s="22"/>
      <c r="Z464" s="33" t="s">
        <v>128</v>
      </c>
      <c r="AA464" s="5" t="s">
        <v>128</v>
      </c>
      <c r="AB464" s="5" t="s">
        <v>128</v>
      </c>
      <c r="AC464" s="5" t="s">
        <v>128</v>
      </c>
      <c r="AD464" s="5" t="s">
        <v>125</v>
      </c>
      <c r="AE464" s="5" t="s">
        <v>146</v>
      </c>
      <c r="AF464" s="5" t="s">
        <v>127</v>
      </c>
      <c r="AG464" s="181" t="s">
        <v>53</v>
      </c>
      <c r="AH464" s="23" t="s">
        <v>53</v>
      </c>
    </row>
    <row r="465" spans="1:34" ht="39" thickBot="1">
      <c r="A465" s="7" t="s">
        <v>147</v>
      </c>
      <c r="B465" s="8" t="s">
        <v>148</v>
      </c>
      <c r="C465" s="9" t="s">
        <v>149</v>
      </c>
      <c r="D465" s="9" t="s">
        <v>161</v>
      </c>
      <c r="E465" s="9" t="s">
        <v>162</v>
      </c>
      <c r="F465" s="9" t="s">
        <v>163</v>
      </c>
      <c r="G465" s="9" t="s">
        <v>164</v>
      </c>
      <c r="H465" s="9" t="s">
        <v>154</v>
      </c>
      <c r="I465" s="24" t="s">
        <v>155</v>
      </c>
      <c r="J465" s="24" t="s">
        <v>156</v>
      </c>
      <c r="K465" s="24" t="s">
        <v>179</v>
      </c>
      <c r="L465" s="25" t="s">
        <v>157</v>
      </c>
      <c r="M465" s="22"/>
      <c r="N465" s="8" t="s">
        <v>148</v>
      </c>
      <c r="O465" s="9" t="s">
        <v>149</v>
      </c>
      <c r="P465" s="9" t="s">
        <v>161</v>
      </c>
      <c r="Q465" s="9" t="s">
        <v>162</v>
      </c>
      <c r="R465" s="9" t="s">
        <v>163</v>
      </c>
      <c r="S465" s="9" t="s">
        <v>164</v>
      </c>
      <c r="T465" s="9" t="s">
        <v>154</v>
      </c>
      <c r="U465" s="24" t="s">
        <v>155</v>
      </c>
      <c r="V465" s="24" t="s">
        <v>156</v>
      </c>
      <c r="W465" s="24" t="s">
        <v>179</v>
      </c>
      <c r="X465" s="25" t="s">
        <v>157</v>
      </c>
      <c r="Y465" s="22"/>
      <c r="Z465" s="8" t="s">
        <v>161</v>
      </c>
      <c r="AA465" s="9" t="s">
        <v>162</v>
      </c>
      <c r="AB465" s="9" t="s">
        <v>163</v>
      </c>
      <c r="AC465" s="9" t="s">
        <v>164</v>
      </c>
      <c r="AD465" s="9" t="s">
        <v>154</v>
      </c>
      <c r="AE465" s="9" t="s">
        <v>155</v>
      </c>
      <c r="AF465" s="9" t="s">
        <v>156</v>
      </c>
      <c r="AG465" s="24" t="s">
        <v>179</v>
      </c>
      <c r="AH465" s="23" t="s">
        <v>157</v>
      </c>
    </row>
    <row r="466" spans="1:34">
      <c r="A466" s="10">
        <f>AF461+0</f>
        <v>46327</v>
      </c>
      <c r="B466" s="11"/>
      <c r="C466" s="54"/>
      <c r="D466" s="54"/>
      <c r="E466" s="54"/>
      <c r="F466" s="54"/>
      <c r="G466" s="54"/>
      <c r="H466" s="54"/>
      <c r="I466" s="54"/>
      <c r="J466" s="54"/>
      <c r="K466" s="183"/>
      <c r="L466" s="55"/>
      <c r="M466" s="22"/>
      <c r="N466" s="29"/>
      <c r="O466" s="13"/>
      <c r="P466" s="13"/>
      <c r="Q466" s="13"/>
      <c r="R466" s="13"/>
      <c r="S466" s="13"/>
      <c r="T466" s="13"/>
      <c r="U466" s="13"/>
      <c r="V466" s="13"/>
      <c r="W466" s="183"/>
      <c r="X466" s="37"/>
      <c r="Y466" s="22"/>
      <c r="Z466" s="148"/>
      <c r="AA466" s="63"/>
      <c r="AB466" s="63"/>
      <c r="AC466" s="63"/>
      <c r="AD466" s="63"/>
      <c r="AE466" s="63"/>
      <c r="AF466" s="63"/>
      <c r="AG466" s="183"/>
      <c r="AH466" s="149"/>
    </row>
    <row r="467" spans="1:34">
      <c r="A467" s="14">
        <f t="shared" ref="A467:A495" si="167">A466+1</f>
        <v>46328</v>
      </c>
      <c r="B467" s="11"/>
      <c r="C467" s="54"/>
      <c r="D467" s="54"/>
      <c r="E467" s="54"/>
      <c r="F467" s="54"/>
      <c r="G467" s="54"/>
      <c r="H467" s="54"/>
      <c r="I467" s="54"/>
      <c r="J467" s="54"/>
      <c r="K467" s="183"/>
      <c r="L467" s="55"/>
      <c r="M467" s="22"/>
      <c r="N467" s="29"/>
      <c r="O467" s="13"/>
      <c r="P467" s="13"/>
      <c r="Q467" s="13"/>
      <c r="R467" s="13"/>
      <c r="S467" s="13"/>
      <c r="T467" s="13"/>
      <c r="U467" s="13"/>
      <c r="V467" s="13"/>
      <c r="W467" s="183"/>
      <c r="X467" s="37"/>
      <c r="Y467" s="22"/>
      <c r="Z467" s="38"/>
      <c r="AA467" s="13"/>
      <c r="AB467" s="13"/>
      <c r="AC467" s="13"/>
      <c r="AD467" s="13"/>
      <c r="AE467" s="13"/>
      <c r="AF467" s="13"/>
      <c r="AG467" s="183"/>
      <c r="AH467" s="45"/>
    </row>
    <row r="468" spans="1:34">
      <c r="A468" s="14">
        <f t="shared" si="167"/>
        <v>46329</v>
      </c>
      <c r="B468" s="11"/>
      <c r="C468" s="12"/>
      <c r="D468" s="12"/>
      <c r="E468" s="12"/>
      <c r="F468" s="12"/>
      <c r="G468" s="12"/>
      <c r="H468" s="12"/>
      <c r="I468" s="13"/>
      <c r="J468" s="13"/>
      <c r="K468" s="184"/>
      <c r="L468" s="26"/>
      <c r="M468" s="22"/>
      <c r="N468" s="29"/>
      <c r="O468" s="13"/>
      <c r="P468" s="13"/>
      <c r="Q468" s="13"/>
      <c r="R468" s="13"/>
      <c r="S468" s="13"/>
      <c r="T468" s="13"/>
      <c r="U468" s="13"/>
      <c r="V468" s="13"/>
      <c r="W468" s="184"/>
      <c r="X468" s="37"/>
      <c r="Y468" s="22"/>
      <c r="Z468" s="38"/>
      <c r="AA468" s="13"/>
      <c r="AB468" s="13"/>
      <c r="AC468" s="13"/>
      <c r="AD468" s="13"/>
      <c r="AE468" s="13"/>
      <c r="AF468" s="13"/>
      <c r="AG468" s="184"/>
      <c r="AH468" s="45"/>
    </row>
    <row r="469" spans="1:34">
      <c r="A469" s="14">
        <f t="shared" si="167"/>
        <v>46330</v>
      </c>
      <c r="B469" s="11"/>
      <c r="C469" s="12"/>
      <c r="D469" s="12"/>
      <c r="E469" s="12"/>
      <c r="F469" s="12"/>
      <c r="G469" s="12"/>
      <c r="H469" s="12"/>
      <c r="I469" s="12"/>
      <c r="J469" s="13"/>
      <c r="K469" s="184"/>
      <c r="L469" s="26"/>
      <c r="M469" s="22"/>
      <c r="N469" s="29"/>
      <c r="O469" s="13"/>
      <c r="P469" s="13"/>
      <c r="Q469" s="13"/>
      <c r="R469" s="13"/>
      <c r="S469" s="13"/>
      <c r="T469" s="13"/>
      <c r="U469" s="13"/>
      <c r="V469" s="13"/>
      <c r="W469" s="184"/>
      <c r="X469" s="37"/>
      <c r="Y469" s="22"/>
      <c r="Z469" s="38"/>
      <c r="AA469" s="13"/>
      <c r="AB469" s="13"/>
      <c r="AC469" s="13"/>
      <c r="AD469" s="13"/>
      <c r="AE469" s="13"/>
      <c r="AF469" s="13"/>
      <c r="AG469" s="184"/>
      <c r="AH469" s="45"/>
    </row>
    <row r="470" spans="1:34">
      <c r="A470" s="14">
        <f t="shared" si="167"/>
        <v>46331</v>
      </c>
      <c r="B470" s="11"/>
      <c r="C470" s="12"/>
      <c r="D470" s="12"/>
      <c r="E470" s="12"/>
      <c r="F470" s="12"/>
      <c r="G470" s="12"/>
      <c r="H470" s="12"/>
      <c r="I470" s="12"/>
      <c r="J470" s="13"/>
      <c r="K470" s="184"/>
      <c r="L470" s="26"/>
      <c r="M470" s="22"/>
      <c r="N470" s="29"/>
      <c r="O470" s="13"/>
      <c r="P470" s="13"/>
      <c r="Q470" s="13"/>
      <c r="R470" s="13"/>
      <c r="S470" s="13"/>
      <c r="T470" s="13"/>
      <c r="U470" s="13"/>
      <c r="V470" s="13"/>
      <c r="W470" s="184"/>
      <c r="X470" s="37"/>
      <c r="Y470" s="22"/>
      <c r="Z470" s="38"/>
      <c r="AA470" s="13"/>
      <c r="AB470" s="13"/>
      <c r="AC470" s="13"/>
      <c r="AD470" s="36"/>
      <c r="AE470" s="13"/>
      <c r="AF470" s="13"/>
      <c r="AG470" s="184"/>
      <c r="AH470" s="46"/>
    </row>
    <row r="471" spans="1:34">
      <c r="A471" s="14">
        <f t="shared" si="167"/>
        <v>46332</v>
      </c>
      <c r="B471" s="11"/>
      <c r="C471" s="12"/>
      <c r="D471" s="12"/>
      <c r="E471" s="12"/>
      <c r="F471" s="12"/>
      <c r="G471" s="12"/>
      <c r="H471" s="12"/>
      <c r="I471" s="12"/>
      <c r="J471" s="13"/>
      <c r="K471" s="184"/>
      <c r="L471" s="26"/>
      <c r="M471" s="22"/>
      <c r="N471" s="29"/>
      <c r="O471" s="13"/>
      <c r="P471" s="13"/>
      <c r="Q471" s="13"/>
      <c r="R471" s="13"/>
      <c r="S471" s="13"/>
      <c r="T471" s="13"/>
      <c r="U471" s="13"/>
      <c r="V471" s="13"/>
      <c r="W471" s="184"/>
      <c r="X471" s="37"/>
      <c r="Y471" s="22"/>
      <c r="Z471" s="38"/>
      <c r="AA471" s="13"/>
      <c r="AB471" s="13"/>
      <c r="AC471" s="13"/>
      <c r="AD471" s="13"/>
      <c r="AE471" s="13"/>
      <c r="AF471" s="13"/>
      <c r="AG471" s="184"/>
      <c r="AH471" s="45"/>
    </row>
    <row r="472" spans="1:34">
      <c r="A472" s="14">
        <f t="shared" si="167"/>
        <v>46333</v>
      </c>
      <c r="B472" s="11"/>
      <c r="C472" s="12"/>
      <c r="D472" s="12"/>
      <c r="E472" s="12"/>
      <c r="F472" s="12"/>
      <c r="G472" s="12"/>
      <c r="H472" s="12"/>
      <c r="I472" s="12"/>
      <c r="J472" s="13"/>
      <c r="K472" s="184"/>
      <c r="L472" s="26"/>
      <c r="M472" s="22"/>
      <c r="N472" s="29"/>
      <c r="O472" s="13"/>
      <c r="P472" s="13"/>
      <c r="Q472" s="13"/>
      <c r="R472" s="13"/>
      <c r="S472" s="13"/>
      <c r="T472" s="13"/>
      <c r="U472" s="13"/>
      <c r="V472" s="13"/>
      <c r="W472" s="184"/>
      <c r="X472" s="37"/>
      <c r="Y472" s="22"/>
      <c r="Z472" s="38"/>
      <c r="AA472" s="13"/>
      <c r="AB472" s="13"/>
      <c r="AC472" s="13"/>
      <c r="AD472" s="13"/>
      <c r="AE472" s="13"/>
      <c r="AF472" s="13"/>
      <c r="AG472" s="184"/>
      <c r="AH472" s="45"/>
    </row>
    <row r="473" spans="1:34">
      <c r="A473" s="14">
        <f t="shared" si="167"/>
        <v>46334</v>
      </c>
      <c r="B473" s="11"/>
      <c r="C473" s="12"/>
      <c r="D473" s="12"/>
      <c r="E473" s="12"/>
      <c r="F473" s="12"/>
      <c r="G473" s="12"/>
      <c r="H473" s="12"/>
      <c r="I473" s="12"/>
      <c r="J473" s="13"/>
      <c r="K473" s="184"/>
      <c r="L473" s="26"/>
      <c r="M473" s="22"/>
      <c r="N473" s="29"/>
      <c r="O473" s="13"/>
      <c r="P473" s="13"/>
      <c r="Q473" s="13"/>
      <c r="R473" s="13"/>
      <c r="S473" s="13"/>
      <c r="T473" s="13"/>
      <c r="U473" s="13"/>
      <c r="V473" s="13"/>
      <c r="W473" s="184"/>
      <c r="X473" s="37"/>
      <c r="Y473" s="22"/>
      <c r="Z473" s="38"/>
      <c r="AA473" s="13"/>
      <c r="AB473" s="13"/>
      <c r="AC473" s="13"/>
      <c r="AD473" s="13"/>
      <c r="AE473" s="13"/>
      <c r="AF473" s="13"/>
      <c r="AG473" s="184"/>
      <c r="AH473" s="45"/>
    </row>
    <row r="474" spans="1:34">
      <c r="A474" s="14">
        <f t="shared" si="167"/>
        <v>46335</v>
      </c>
      <c r="B474" s="11"/>
      <c r="C474" s="12"/>
      <c r="D474" s="12"/>
      <c r="E474" s="12"/>
      <c r="F474" s="12"/>
      <c r="G474" s="12"/>
      <c r="H474" s="12"/>
      <c r="I474" s="12"/>
      <c r="J474" s="13"/>
      <c r="K474" s="184"/>
      <c r="L474" s="26"/>
      <c r="M474" s="22"/>
      <c r="N474" s="29"/>
      <c r="O474" s="13"/>
      <c r="P474" s="13"/>
      <c r="Q474" s="13"/>
      <c r="R474" s="13"/>
      <c r="S474" s="13"/>
      <c r="T474" s="13"/>
      <c r="U474" s="13"/>
      <c r="V474" s="13"/>
      <c r="W474" s="184"/>
      <c r="X474" s="37"/>
      <c r="Y474" s="22"/>
      <c r="Z474" s="38"/>
      <c r="AA474" s="13"/>
      <c r="AB474" s="13"/>
      <c r="AC474" s="13"/>
      <c r="AD474" s="13"/>
      <c r="AE474" s="13"/>
      <c r="AF474" s="13"/>
      <c r="AG474" s="184"/>
      <c r="AH474" s="45"/>
    </row>
    <row r="475" spans="1:34">
      <c r="A475" s="14">
        <f t="shared" si="167"/>
        <v>46336</v>
      </c>
      <c r="B475" s="11"/>
      <c r="C475" s="12"/>
      <c r="D475" s="12"/>
      <c r="E475" s="12"/>
      <c r="F475" s="12"/>
      <c r="G475" s="12"/>
      <c r="H475" s="12"/>
      <c r="I475" s="12"/>
      <c r="J475" s="13"/>
      <c r="K475" s="184"/>
      <c r="L475" s="26"/>
      <c r="M475" s="22"/>
      <c r="N475" s="29"/>
      <c r="O475" s="13"/>
      <c r="P475" s="13"/>
      <c r="Q475" s="13"/>
      <c r="R475" s="13"/>
      <c r="S475" s="13"/>
      <c r="T475" s="13"/>
      <c r="U475" s="13"/>
      <c r="V475" s="13"/>
      <c r="W475" s="184"/>
      <c r="X475" s="37"/>
      <c r="Y475" s="22"/>
      <c r="Z475" s="38"/>
      <c r="AA475" s="13"/>
      <c r="AB475" s="13"/>
      <c r="AC475" s="13"/>
      <c r="AD475" s="13"/>
      <c r="AE475" s="13"/>
      <c r="AF475" s="13"/>
      <c r="AG475" s="184"/>
      <c r="AH475" s="45"/>
    </row>
    <row r="476" spans="1:34">
      <c r="A476" s="14">
        <f t="shared" si="167"/>
        <v>46337</v>
      </c>
      <c r="B476" s="11"/>
      <c r="C476" s="12"/>
      <c r="D476" s="12"/>
      <c r="E476" s="12"/>
      <c r="F476" s="12"/>
      <c r="G476" s="12"/>
      <c r="H476" s="12"/>
      <c r="I476" s="12"/>
      <c r="J476" s="13"/>
      <c r="K476" s="184"/>
      <c r="L476" s="26"/>
      <c r="M476" s="22"/>
      <c r="N476" s="29"/>
      <c r="O476" s="13"/>
      <c r="P476" s="13"/>
      <c r="Q476" s="13"/>
      <c r="R476" s="13"/>
      <c r="S476" s="13"/>
      <c r="T476" s="13"/>
      <c r="U476" s="13"/>
      <c r="V476" s="13"/>
      <c r="W476" s="184"/>
      <c r="X476" s="37"/>
      <c r="Y476" s="22"/>
      <c r="Z476" s="38"/>
      <c r="AA476" s="13"/>
      <c r="AB476" s="13"/>
      <c r="AC476" s="13"/>
      <c r="AD476" s="13"/>
      <c r="AE476" s="13"/>
      <c r="AF476" s="13"/>
      <c r="AG476" s="184"/>
      <c r="AH476" s="45"/>
    </row>
    <row r="477" spans="1:34">
      <c r="A477" s="14">
        <f t="shared" si="167"/>
        <v>46338</v>
      </c>
      <c r="B477" s="11"/>
      <c r="C477" s="12"/>
      <c r="D477" s="12"/>
      <c r="E477" s="12"/>
      <c r="F477" s="12"/>
      <c r="G477" s="12"/>
      <c r="H477" s="12"/>
      <c r="I477" s="12"/>
      <c r="J477" s="13"/>
      <c r="K477" s="184"/>
      <c r="L477" s="26"/>
      <c r="M477" s="22"/>
      <c r="N477" s="29"/>
      <c r="O477" s="13"/>
      <c r="P477" s="13"/>
      <c r="Q477" s="13"/>
      <c r="R477" s="13"/>
      <c r="S477" s="13"/>
      <c r="T477" s="13"/>
      <c r="U477" s="13"/>
      <c r="V477" s="13"/>
      <c r="W477" s="184"/>
      <c r="X477" s="37"/>
      <c r="Y477" s="22"/>
      <c r="Z477" s="38"/>
      <c r="AA477" s="13"/>
      <c r="AB477" s="13"/>
      <c r="AC477" s="13"/>
      <c r="AD477" s="36"/>
      <c r="AE477" s="13"/>
      <c r="AF477" s="13"/>
      <c r="AG477" s="184"/>
      <c r="AH477" s="45"/>
    </row>
    <row r="478" spans="1:34">
      <c r="A478" s="14">
        <f t="shared" si="167"/>
        <v>46339</v>
      </c>
      <c r="B478" s="11"/>
      <c r="C478" s="12"/>
      <c r="D478" s="12"/>
      <c r="E478" s="12"/>
      <c r="F478" s="12"/>
      <c r="G478" s="12"/>
      <c r="H478" s="12"/>
      <c r="I478" s="12"/>
      <c r="J478" s="13"/>
      <c r="K478" s="184"/>
      <c r="L478" s="26"/>
      <c r="M478" s="22"/>
      <c r="N478" s="29"/>
      <c r="O478" s="13"/>
      <c r="P478" s="13"/>
      <c r="Q478" s="13"/>
      <c r="R478" s="13"/>
      <c r="S478" s="13"/>
      <c r="T478" s="13"/>
      <c r="U478" s="13"/>
      <c r="V478" s="13"/>
      <c r="W478" s="184"/>
      <c r="X478" s="37"/>
      <c r="Y478" s="22"/>
      <c r="Z478" s="38"/>
      <c r="AA478" s="13"/>
      <c r="AB478" s="13"/>
      <c r="AC478" s="13"/>
      <c r="AD478" s="13"/>
      <c r="AE478" s="13"/>
      <c r="AF478" s="13"/>
      <c r="AG478" s="184"/>
      <c r="AH478" s="45"/>
    </row>
    <row r="479" spans="1:34">
      <c r="A479" s="14">
        <f t="shared" si="167"/>
        <v>46340</v>
      </c>
      <c r="B479" s="11"/>
      <c r="C479" s="13"/>
      <c r="D479" s="12"/>
      <c r="E479" s="12"/>
      <c r="F479" s="13"/>
      <c r="G479" s="12"/>
      <c r="H479" s="12"/>
      <c r="I479" s="13"/>
      <c r="J479" s="13"/>
      <c r="K479" s="184"/>
      <c r="L479" s="26"/>
      <c r="M479" s="22"/>
      <c r="N479" s="29"/>
      <c r="O479" s="13"/>
      <c r="P479" s="13"/>
      <c r="Q479" s="13"/>
      <c r="R479" s="13"/>
      <c r="S479" s="13"/>
      <c r="T479" s="13"/>
      <c r="U479" s="13"/>
      <c r="V479" s="13"/>
      <c r="W479" s="184"/>
      <c r="X479" s="37"/>
      <c r="Y479" s="22"/>
      <c r="Z479" s="38"/>
      <c r="AA479" s="13"/>
      <c r="AB479" s="13"/>
      <c r="AC479" s="13"/>
      <c r="AD479" s="13"/>
      <c r="AE479" s="13"/>
      <c r="AF479" s="13"/>
      <c r="AG479" s="184"/>
      <c r="AH479" s="45"/>
    </row>
    <row r="480" spans="1:34">
      <c r="A480" s="14">
        <f t="shared" si="167"/>
        <v>46341</v>
      </c>
      <c r="B480" s="11"/>
      <c r="C480" s="13"/>
      <c r="D480" s="12"/>
      <c r="E480" s="12"/>
      <c r="F480" s="13"/>
      <c r="G480" s="12"/>
      <c r="H480" s="12"/>
      <c r="I480" s="12"/>
      <c r="J480" s="13"/>
      <c r="K480" s="184"/>
      <c r="L480" s="26"/>
      <c r="M480" s="22"/>
      <c r="N480" s="29"/>
      <c r="O480" s="13"/>
      <c r="P480" s="13"/>
      <c r="Q480" s="13"/>
      <c r="R480" s="13"/>
      <c r="S480" s="13"/>
      <c r="T480" s="13"/>
      <c r="U480" s="13"/>
      <c r="V480" s="13"/>
      <c r="W480" s="184"/>
      <c r="X480" s="37"/>
      <c r="Y480" s="22"/>
      <c r="Z480" s="38"/>
      <c r="AA480" s="13"/>
      <c r="AB480" s="13"/>
      <c r="AC480" s="13"/>
      <c r="AD480" s="36"/>
      <c r="AE480" s="13"/>
      <c r="AF480" s="13"/>
      <c r="AG480" s="184"/>
      <c r="AH480" s="37"/>
    </row>
    <row r="481" spans="1:34">
      <c r="A481" s="14">
        <f t="shared" si="167"/>
        <v>46342</v>
      </c>
      <c r="B481" s="11"/>
      <c r="C481" s="13"/>
      <c r="D481" s="12"/>
      <c r="E481" s="12"/>
      <c r="F481" s="13"/>
      <c r="G481" s="12"/>
      <c r="H481" s="12"/>
      <c r="I481" s="12"/>
      <c r="J481" s="13"/>
      <c r="K481" s="184"/>
      <c r="L481" s="26"/>
      <c r="M481" s="22"/>
      <c r="N481" s="29"/>
      <c r="O481" s="13"/>
      <c r="P481" s="13"/>
      <c r="Q481" s="13"/>
      <c r="R481" s="13"/>
      <c r="S481" s="13"/>
      <c r="T481" s="13"/>
      <c r="U481" s="13"/>
      <c r="V481" s="13"/>
      <c r="W481" s="184"/>
      <c r="X481" s="37"/>
      <c r="Y481" s="22"/>
      <c r="Z481" s="38"/>
      <c r="AA481" s="13"/>
      <c r="AB481" s="13"/>
      <c r="AC481" s="13"/>
      <c r="AD481" s="36"/>
      <c r="AE481" s="13"/>
      <c r="AF481" s="13"/>
      <c r="AG481" s="184"/>
      <c r="AH481" s="37"/>
    </row>
    <row r="482" spans="1:34">
      <c r="A482" s="14">
        <f t="shared" si="167"/>
        <v>46343</v>
      </c>
      <c r="B482" s="11"/>
      <c r="C482" s="13"/>
      <c r="D482" s="12"/>
      <c r="E482" s="12"/>
      <c r="F482" s="13"/>
      <c r="G482" s="12"/>
      <c r="H482" s="12"/>
      <c r="I482" s="12"/>
      <c r="J482" s="13"/>
      <c r="K482" s="184"/>
      <c r="L482" s="26"/>
      <c r="M482" s="22"/>
      <c r="N482" s="29"/>
      <c r="O482" s="13"/>
      <c r="P482" s="13"/>
      <c r="Q482" s="13"/>
      <c r="R482" s="13"/>
      <c r="S482" s="13"/>
      <c r="T482" s="13"/>
      <c r="U482" s="13"/>
      <c r="V482" s="13"/>
      <c r="W482" s="184"/>
      <c r="X482" s="37"/>
      <c r="Y482" s="22"/>
      <c r="Z482" s="38"/>
      <c r="AA482" s="13"/>
      <c r="AB482" s="13"/>
      <c r="AC482" s="13"/>
      <c r="AD482" s="36"/>
      <c r="AE482" s="13"/>
      <c r="AF482" s="13"/>
      <c r="AG482" s="184"/>
      <c r="AH482" s="37"/>
    </row>
    <row r="483" spans="1:34">
      <c r="A483" s="14">
        <f t="shared" si="167"/>
        <v>46344</v>
      </c>
      <c r="B483" s="11"/>
      <c r="C483" s="13"/>
      <c r="D483" s="12"/>
      <c r="E483" s="12"/>
      <c r="F483" s="13"/>
      <c r="G483" s="12"/>
      <c r="H483" s="12"/>
      <c r="I483" s="12"/>
      <c r="J483" s="13"/>
      <c r="K483" s="184"/>
      <c r="L483" s="26"/>
      <c r="M483" s="22"/>
      <c r="N483" s="29"/>
      <c r="O483" s="13"/>
      <c r="P483" s="13"/>
      <c r="Q483" s="13"/>
      <c r="R483" s="13"/>
      <c r="S483" s="13"/>
      <c r="T483" s="13"/>
      <c r="U483" s="13"/>
      <c r="V483" s="13"/>
      <c r="W483" s="184"/>
      <c r="X483" s="37"/>
      <c r="Y483" s="22"/>
      <c r="Z483" s="38"/>
      <c r="AA483" s="13"/>
      <c r="AB483" s="13"/>
      <c r="AC483" s="13"/>
      <c r="AD483" s="36"/>
      <c r="AE483" s="13"/>
      <c r="AF483" s="13"/>
      <c r="AG483" s="184"/>
      <c r="AH483" s="37"/>
    </row>
    <row r="484" spans="1:34">
      <c r="A484" s="14">
        <f t="shared" si="167"/>
        <v>46345</v>
      </c>
      <c r="B484" s="38"/>
      <c r="C484" s="13"/>
      <c r="D484" s="12"/>
      <c r="E484" s="12"/>
      <c r="F484" s="13"/>
      <c r="G484" s="12"/>
      <c r="H484" s="12"/>
      <c r="I484" s="12"/>
      <c r="J484" s="13"/>
      <c r="K484" s="184"/>
      <c r="L484" s="26"/>
      <c r="M484" s="22"/>
      <c r="N484" s="29"/>
      <c r="O484" s="13"/>
      <c r="P484" s="13"/>
      <c r="Q484" s="13"/>
      <c r="R484" s="13"/>
      <c r="S484" s="13"/>
      <c r="T484" s="13"/>
      <c r="U484" s="13"/>
      <c r="V484" s="13"/>
      <c r="W484" s="184"/>
      <c r="X484" s="37"/>
      <c r="Y484" s="22"/>
      <c r="Z484" s="38"/>
      <c r="AA484" s="13"/>
      <c r="AB484" s="13"/>
      <c r="AC484" s="13"/>
      <c r="AD484" s="36"/>
      <c r="AE484" s="13"/>
      <c r="AF484" s="13"/>
      <c r="AG484" s="184"/>
      <c r="AH484" s="37"/>
    </row>
    <row r="485" spans="1:34">
      <c r="A485" s="14">
        <f t="shared" si="167"/>
        <v>46346</v>
      </c>
      <c r="B485" s="38"/>
      <c r="C485" s="13"/>
      <c r="D485" s="12"/>
      <c r="E485" s="12"/>
      <c r="F485" s="13"/>
      <c r="G485" s="12"/>
      <c r="H485" s="12"/>
      <c r="I485" s="13"/>
      <c r="J485" s="13"/>
      <c r="K485" s="184"/>
      <c r="L485" s="26"/>
      <c r="M485" s="22"/>
      <c r="N485" s="29"/>
      <c r="O485" s="13"/>
      <c r="P485" s="13"/>
      <c r="Q485" s="13"/>
      <c r="R485" s="13"/>
      <c r="S485" s="13"/>
      <c r="T485" s="13"/>
      <c r="U485" s="13"/>
      <c r="V485" s="13"/>
      <c r="W485" s="184"/>
      <c r="X485" s="37"/>
      <c r="Y485" s="22"/>
      <c r="Z485" s="38"/>
      <c r="AA485" s="13"/>
      <c r="AB485" s="13"/>
      <c r="AC485" s="13"/>
      <c r="AD485" s="36"/>
      <c r="AE485" s="13"/>
      <c r="AF485" s="13"/>
      <c r="AG485" s="184"/>
      <c r="AH485" s="37"/>
    </row>
    <row r="486" spans="1:34">
      <c r="A486" s="14">
        <f t="shared" si="167"/>
        <v>46347</v>
      </c>
      <c r="B486" s="38"/>
      <c r="C486" s="13"/>
      <c r="D486" s="12"/>
      <c r="E486" s="12"/>
      <c r="F486" s="13"/>
      <c r="G486" s="13"/>
      <c r="H486" s="36"/>
      <c r="I486" s="12"/>
      <c r="J486" s="13"/>
      <c r="K486" s="184"/>
      <c r="L486" s="26"/>
      <c r="M486" s="22"/>
      <c r="N486" s="29"/>
      <c r="O486" s="13"/>
      <c r="P486" s="13"/>
      <c r="Q486" s="13"/>
      <c r="R486" s="13"/>
      <c r="S486" s="13"/>
      <c r="T486" s="13"/>
      <c r="U486" s="13"/>
      <c r="V486" s="13"/>
      <c r="W486" s="184"/>
      <c r="X486" s="37"/>
      <c r="Y486" s="22"/>
      <c r="Z486" s="38"/>
      <c r="AA486" s="13"/>
      <c r="AB486" s="13"/>
      <c r="AC486" s="13"/>
      <c r="AD486" s="36"/>
      <c r="AE486" s="13"/>
      <c r="AF486" s="13"/>
      <c r="AG486" s="184"/>
      <c r="AH486" s="37"/>
    </row>
    <row r="487" spans="1:34">
      <c r="A487" s="14">
        <f t="shared" si="167"/>
        <v>46348</v>
      </c>
      <c r="B487" s="38"/>
      <c r="C487" s="13"/>
      <c r="D487" s="12"/>
      <c r="E487" s="12"/>
      <c r="F487" s="13"/>
      <c r="G487" s="12"/>
      <c r="H487" s="12"/>
      <c r="I487" s="13"/>
      <c r="J487" s="13"/>
      <c r="K487" s="184"/>
      <c r="L487" s="26"/>
      <c r="M487" s="22"/>
      <c r="N487" s="29"/>
      <c r="O487" s="13"/>
      <c r="P487" s="13"/>
      <c r="Q487" s="13"/>
      <c r="R487" s="13"/>
      <c r="S487" s="13"/>
      <c r="T487" s="13"/>
      <c r="U487" s="13"/>
      <c r="V487" s="13"/>
      <c r="W487" s="184"/>
      <c r="X487" s="37"/>
      <c r="Y487" s="22"/>
      <c r="Z487" s="38"/>
      <c r="AA487" s="13"/>
      <c r="AB487" s="13"/>
      <c r="AC487" s="13"/>
      <c r="AD487" s="36"/>
      <c r="AE487" s="13"/>
      <c r="AF487" s="13"/>
      <c r="AG487" s="184"/>
      <c r="AH487" s="37"/>
    </row>
    <row r="488" spans="1:34">
      <c r="A488" s="14">
        <f t="shared" si="167"/>
        <v>46349</v>
      </c>
      <c r="B488" s="38"/>
      <c r="C488" s="13"/>
      <c r="D488" s="12"/>
      <c r="E488" s="12"/>
      <c r="F488" s="13"/>
      <c r="G488" s="12"/>
      <c r="H488" s="12"/>
      <c r="I488" s="12"/>
      <c r="J488" s="13"/>
      <c r="K488" s="184"/>
      <c r="L488" s="26"/>
      <c r="M488" s="22"/>
      <c r="N488" s="29"/>
      <c r="O488" s="13"/>
      <c r="P488" s="13"/>
      <c r="Q488" s="13"/>
      <c r="R488" s="13"/>
      <c r="S488" s="13"/>
      <c r="T488" s="13"/>
      <c r="U488" s="13"/>
      <c r="V488" s="13"/>
      <c r="W488" s="184"/>
      <c r="X488" s="37"/>
      <c r="Y488" s="22"/>
      <c r="Z488" s="38"/>
      <c r="AA488" s="13"/>
      <c r="AB488" s="13"/>
      <c r="AC488" s="13"/>
      <c r="AD488" s="36"/>
      <c r="AE488" s="13"/>
      <c r="AF488" s="13"/>
      <c r="AG488" s="184"/>
      <c r="AH488" s="37"/>
    </row>
    <row r="489" spans="1:34">
      <c r="A489" s="14">
        <f t="shared" si="167"/>
        <v>46350</v>
      </c>
      <c r="B489" s="38"/>
      <c r="C489" s="13"/>
      <c r="D489" s="13"/>
      <c r="E489" s="13"/>
      <c r="F489" s="13"/>
      <c r="G489" s="12"/>
      <c r="H489" s="12"/>
      <c r="I489" s="13"/>
      <c r="J489" s="13"/>
      <c r="K489" s="184"/>
      <c r="L489" s="26"/>
      <c r="M489" s="22"/>
      <c r="N489" s="29"/>
      <c r="O489" s="13"/>
      <c r="P489" s="13"/>
      <c r="Q489" s="13"/>
      <c r="R489" s="13"/>
      <c r="S489" s="13"/>
      <c r="T489" s="13"/>
      <c r="U489" s="13"/>
      <c r="V489" s="13"/>
      <c r="W489" s="184"/>
      <c r="X489" s="37"/>
      <c r="Y489" s="22"/>
      <c r="Z489" s="38"/>
      <c r="AA489" s="13"/>
      <c r="AB489" s="13"/>
      <c r="AC489" s="13"/>
      <c r="AD489" s="36"/>
      <c r="AE489" s="13"/>
      <c r="AF489" s="13"/>
      <c r="AG489" s="184"/>
      <c r="AH489" s="37"/>
    </row>
    <row r="490" spans="1:34">
      <c r="A490" s="14">
        <f t="shared" si="167"/>
        <v>46351</v>
      </c>
      <c r="B490" s="38"/>
      <c r="C490" s="13"/>
      <c r="D490" s="13"/>
      <c r="E490" s="13"/>
      <c r="F490" s="13"/>
      <c r="G490" s="13"/>
      <c r="H490" s="36"/>
      <c r="I490" s="13"/>
      <c r="J490" s="13"/>
      <c r="K490" s="184"/>
      <c r="L490" s="37"/>
      <c r="M490" s="22"/>
      <c r="N490" s="29"/>
      <c r="O490" s="13"/>
      <c r="P490" s="13"/>
      <c r="Q490" s="13"/>
      <c r="R490" s="13"/>
      <c r="S490" s="13"/>
      <c r="T490" s="13"/>
      <c r="U490" s="13"/>
      <c r="V490" s="13"/>
      <c r="W490" s="184"/>
      <c r="X490" s="37"/>
      <c r="Y490" s="22"/>
      <c r="Z490" s="38"/>
      <c r="AA490" s="13"/>
      <c r="AB490" s="13"/>
      <c r="AC490" s="13"/>
      <c r="AD490" s="36"/>
      <c r="AE490" s="13"/>
      <c r="AF490" s="13"/>
      <c r="AG490" s="184"/>
      <c r="AH490" s="37"/>
    </row>
    <row r="491" spans="1:34">
      <c r="A491" s="14">
        <f t="shared" si="167"/>
        <v>46352</v>
      </c>
      <c r="B491" s="11"/>
      <c r="C491" s="12"/>
      <c r="D491" s="12"/>
      <c r="E491" s="12"/>
      <c r="F491" s="12"/>
      <c r="G491" s="12"/>
      <c r="H491" s="12"/>
      <c r="I491" s="12"/>
      <c r="J491" s="13"/>
      <c r="K491" s="184"/>
      <c r="L491" s="26"/>
      <c r="M491" s="22"/>
      <c r="N491" s="29"/>
      <c r="O491" s="13"/>
      <c r="P491" s="13"/>
      <c r="Q491" s="13"/>
      <c r="R491" s="13"/>
      <c r="S491" s="13"/>
      <c r="T491" s="13"/>
      <c r="U491" s="13"/>
      <c r="V491" s="13"/>
      <c r="W491" s="184"/>
      <c r="X491" s="37"/>
      <c r="Y491" s="22"/>
      <c r="Z491" s="38"/>
      <c r="AA491" s="13"/>
      <c r="AB491" s="13"/>
      <c r="AC491" s="13"/>
      <c r="AD491" s="36"/>
      <c r="AE491" s="13"/>
      <c r="AF491" s="13"/>
      <c r="AG491" s="184"/>
      <c r="AH491" s="37"/>
    </row>
    <row r="492" spans="1:34">
      <c r="A492" s="14">
        <f t="shared" si="167"/>
        <v>46353</v>
      </c>
      <c r="B492" s="38"/>
      <c r="C492" s="13"/>
      <c r="D492" s="13"/>
      <c r="E492" s="13"/>
      <c r="F492" s="13"/>
      <c r="G492" s="13"/>
      <c r="H492" s="36"/>
      <c r="I492" s="13"/>
      <c r="J492" s="13"/>
      <c r="K492" s="184"/>
      <c r="L492" s="26"/>
      <c r="M492" s="22"/>
      <c r="N492" s="29"/>
      <c r="O492" s="13"/>
      <c r="P492" s="13"/>
      <c r="Q492" s="13"/>
      <c r="R492" s="13"/>
      <c r="S492" s="13"/>
      <c r="T492" s="13"/>
      <c r="U492" s="13"/>
      <c r="V492" s="13"/>
      <c r="W492" s="184"/>
      <c r="X492" s="37"/>
      <c r="Y492" s="22"/>
      <c r="Z492" s="38"/>
      <c r="AA492" s="13"/>
      <c r="AB492" s="13"/>
      <c r="AC492" s="13"/>
      <c r="AD492" s="36"/>
      <c r="AE492" s="13"/>
      <c r="AF492" s="13"/>
      <c r="AG492" s="184"/>
      <c r="AH492" s="37"/>
    </row>
    <row r="493" spans="1:34">
      <c r="A493" s="14">
        <f t="shared" si="167"/>
        <v>46354</v>
      </c>
      <c r="B493" s="38"/>
      <c r="C493" s="13"/>
      <c r="D493" s="13"/>
      <c r="E493" s="13"/>
      <c r="F493" s="13"/>
      <c r="G493" s="12"/>
      <c r="H493" s="36"/>
      <c r="I493" s="13"/>
      <c r="J493" s="13"/>
      <c r="K493" s="184"/>
      <c r="L493" s="26"/>
      <c r="M493" s="22"/>
      <c r="N493" s="29"/>
      <c r="O493" s="13"/>
      <c r="P493" s="13"/>
      <c r="Q493" s="13"/>
      <c r="R493" s="13"/>
      <c r="S493" s="13"/>
      <c r="T493" s="13"/>
      <c r="U493" s="13"/>
      <c r="V493" s="13"/>
      <c r="W493" s="184"/>
      <c r="X493" s="37"/>
      <c r="Y493" s="22"/>
      <c r="Z493" s="38"/>
      <c r="AA493" s="13"/>
      <c r="AB493" s="13"/>
      <c r="AC493" s="13"/>
      <c r="AD493" s="36"/>
      <c r="AE493" s="13"/>
      <c r="AF493" s="13"/>
      <c r="AG493" s="184"/>
      <c r="AH493" s="37"/>
    </row>
    <row r="494" spans="1:34">
      <c r="A494" s="14">
        <f t="shared" si="167"/>
        <v>46355</v>
      </c>
      <c r="B494" s="38"/>
      <c r="C494" s="13"/>
      <c r="D494" s="13"/>
      <c r="E494" s="13"/>
      <c r="F494" s="13"/>
      <c r="G494" s="12"/>
      <c r="H494" s="36"/>
      <c r="I494" s="13"/>
      <c r="J494" s="13"/>
      <c r="K494" s="184"/>
      <c r="L494" s="26"/>
      <c r="M494" s="22"/>
      <c r="N494" s="29"/>
      <c r="O494" s="13"/>
      <c r="P494" s="13"/>
      <c r="Q494" s="13"/>
      <c r="R494" s="13"/>
      <c r="S494" s="13"/>
      <c r="T494" s="13"/>
      <c r="U494" s="13"/>
      <c r="V494" s="13"/>
      <c r="W494" s="184"/>
      <c r="X494" s="37"/>
      <c r="Y494" s="22"/>
      <c r="Z494" s="38"/>
      <c r="AA494" s="13"/>
      <c r="AB494" s="13"/>
      <c r="AC494" s="13"/>
      <c r="AD494" s="36"/>
      <c r="AE494" s="13"/>
      <c r="AF494" s="13"/>
      <c r="AG494" s="184"/>
      <c r="AH494" s="37"/>
    </row>
    <row r="495" spans="1:34">
      <c r="A495" s="14">
        <f t="shared" si="167"/>
        <v>46356</v>
      </c>
      <c r="B495" s="38"/>
      <c r="C495" s="13"/>
      <c r="D495" s="13"/>
      <c r="E495" s="13"/>
      <c r="F495" s="13"/>
      <c r="G495" s="12"/>
      <c r="H495" s="36"/>
      <c r="I495" s="13"/>
      <c r="J495" s="13"/>
      <c r="K495" s="184"/>
      <c r="L495" s="26"/>
      <c r="M495" s="22"/>
      <c r="N495" s="29"/>
      <c r="O495" s="13"/>
      <c r="P495" s="13"/>
      <c r="Q495" s="13"/>
      <c r="R495" s="13"/>
      <c r="S495" s="13"/>
      <c r="T495" s="13"/>
      <c r="U495" s="13"/>
      <c r="V495" s="13"/>
      <c r="W495" s="184"/>
      <c r="X495" s="37"/>
      <c r="Y495" s="22"/>
      <c r="Z495" s="38"/>
      <c r="AA495" s="13"/>
      <c r="AB495" s="13"/>
      <c r="AC495" s="13"/>
      <c r="AD495" s="36"/>
      <c r="AE495" s="13"/>
      <c r="AF495" s="13"/>
      <c r="AG495" s="184"/>
      <c r="AH495" s="37"/>
    </row>
    <row r="496" spans="1:34" ht="15.75" thickBot="1">
      <c r="A496" s="14"/>
      <c r="B496" s="11"/>
      <c r="C496" s="13"/>
      <c r="D496" s="13"/>
      <c r="E496" s="13"/>
      <c r="F496" s="13"/>
      <c r="G496" s="12"/>
      <c r="H496" s="36"/>
      <c r="I496" s="13"/>
      <c r="J496" s="13"/>
      <c r="K496" s="184"/>
      <c r="L496" s="26"/>
      <c r="M496" s="22"/>
      <c r="N496" s="29"/>
      <c r="O496" s="13"/>
      <c r="P496" s="13"/>
      <c r="Q496" s="13"/>
      <c r="R496" s="13"/>
      <c r="S496" s="13"/>
      <c r="T496" s="13"/>
      <c r="U496" s="13"/>
      <c r="V496" s="13"/>
      <c r="W496" s="184"/>
      <c r="X496" s="37"/>
      <c r="Y496" s="22"/>
      <c r="Z496" s="38"/>
      <c r="AA496" s="13"/>
      <c r="AB496" s="13"/>
      <c r="AC496" s="13"/>
      <c r="AD496" s="36"/>
      <c r="AE496" s="13"/>
      <c r="AF496" s="13"/>
      <c r="AG496" s="184"/>
      <c r="AH496" s="37"/>
    </row>
    <row r="497" spans="1:34">
      <c r="A497" s="16" t="s">
        <v>31</v>
      </c>
      <c r="B497" s="17">
        <f>MIN(B466:B496)</f>
        <v>0</v>
      </c>
      <c r="C497" s="17">
        <f t="shared" ref="C497:L497" si="168">MIN(C466:C496)</f>
        <v>0</v>
      </c>
      <c r="D497" s="17">
        <f t="shared" si="168"/>
        <v>0</v>
      </c>
      <c r="E497" s="17">
        <f t="shared" si="168"/>
        <v>0</v>
      </c>
      <c r="F497" s="17">
        <f t="shared" si="168"/>
        <v>0</v>
      </c>
      <c r="G497" s="17">
        <f t="shared" si="168"/>
        <v>0</v>
      </c>
      <c r="H497" s="17">
        <f t="shared" si="168"/>
        <v>0</v>
      </c>
      <c r="I497" s="17">
        <f t="shared" si="168"/>
        <v>0</v>
      </c>
      <c r="J497" s="17">
        <f t="shared" si="168"/>
        <v>0</v>
      </c>
      <c r="K497" s="17">
        <f t="shared" si="168"/>
        <v>0</v>
      </c>
      <c r="L497" s="17">
        <f t="shared" si="168"/>
        <v>0</v>
      </c>
      <c r="M497" s="22"/>
      <c r="N497" s="17">
        <f>MIN(N466:N496)</f>
        <v>0</v>
      </c>
      <c r="O497" s="17">
        <f t="shared" ref="O497" si="169">MIN(O466:O496)</f>
        <v>0</v>
      </c>
      <c r="P497" s="17">
        <f t="shared" ref="P497" si="170">MIN(P466:P496)</f>
        <v>0</v>
      </c>
      <c r="Q497" s="17">
        <f t="shared" ref="Q497" si="171">MIN(Q466:Q496)</f>
        <v>0</v>
      </c>
      <c r="R497" s="17">
        <f t="shared" ref="R497" si="172">MIN(R466:R496)</f>
        <v>0</v>
      </c>
      <c r="S497" s="17">
        <f t="shared" ref="S497" si="173">MIN(S466:S496)</f>
        <v>0</v>
      </c>
      <c r="T497" s="17">
        <f t="shared" ref="T497" si="174">MIN(T466:T496)</f>
        <v>0</v>
      </c>
      <c r="U497" s="17">
        <f t="shared" ref="U497" si="175">MIN(U466:U496)</f>
        <v>0</v>
      </c>
      <c r="V497" s="17">
        <f t="shared" ref="V497" si="176">MIN(V466:V496)</f>
        <v>0</v>
      </c>
      <c r="W497" s="17">
        <f t="shared" ref="W497" si="177">MIN(W466:W496)</f>
        <v>0</v>
      </c>
      <c r="X497" s="17">
        <f t="shared" ref="X497" si="178">MIN(X466:X496)</f>
        <v>0</v>
      </c>
      <c r="Z497" s="17">
        <f t="shared" ref="Z497" si="179">MIN(Z466:Z496)</f>
        <v>0</v>
      </c>
      <c r="AA497" s="17">
        <f t="shared" ref="AA497" si="180">MIN(AA466:AA496)</f>
        <v>0</v>
      </c>
      <c r="AB497" s="17">
        <f t="shared" ref="AB497" si="181">MIN(AB466:AB496)</f>
        <v>0</v>
      </c>
      <c r="AC497" s="17">
        <f t="shared" ref="AC497" si="182">MIN(AC466:AC496)</f>
        <v>0</v>
      </c>
      <c r="AD497" s="17">
        <f t="shared" ref="AD497" si="183">MIN(AD466:AD496)</f>
        <v>0</v>
      </c>
      <c r="AE497" s="17">
        <f t="shared" ref="AE497:AH497" si="184">MIN(AE466:AE496)</f>
        <v>0</v>
      </c>
      <c r="AF497" s="17">
        <f t="shared" si="184"/>
        <v>0</v>
      </c>
      <c r="AG497" s="17">
        <f t="shared" si="184"/>
        <v>0</v>
      </c>
      <c r="AH497" s="17">
        <f t="shared" si="184"/>
        <v>0</v>
      </c>
    </row>
    <row r="498" spans="1:34">
      <c r="A498" s="18" t="s">
        <v>33</v>
      </c>
      <c r="B498" s="19">
        <f>MAX(B466:B496)</f>
        <v>0</v>
      </c>
      <c r="C498" s="19">
        <f t="shared" ref="C498:L498" si="185">MAX(C466:C496)</f>
        <v>0</v>
      </c>
      <c r="D498" s="19">
        <f t="shared" si="185"/>
        <v>0</v>
      </c>
      <c r="E498" s="19">
        <f t="shared" si="185"/>
        <v>0</v>
      </c>
      <c r="F498" s="19">
        <f t="shared" si="185"/>
        <v>0</v>
      </c>
      <c r="G498" s="19">
        <f t="shared" si="185"/>
        <v>0</v>
      </c>
      <c r="H498" s="19">
        <f t="shared" si="185"/>
        <v>0</v>
      </c>
      <c r="I498" s="19">
        <f t="shared" si="185"/>
        <v>0</v>
      </c>
      <c r="J498" s="19">
        <f t="shared" si="185"/>
        <v>0</v>
      </c>
      <c r="K498" s="19">
        <f t="shared" si="185"/>
        <v>0</v>
      </c>
      <c r="L498" s="19">
        <f t="shared" si="185"/>
        <v>0</v>
      </c>
      <c r="M498" s="22"/>
      <c r="N498" s="19">
        <f>MAX(N466:N496)</f>
        <v>0</v>
      </c>
      <c r="O498" s="19">
        <f t="shared" ref="O498:X498" si="186">MAX(O466:O496)</f>
        <v>0</v>
      </c>
      <c r="P498" s="19">
        <f t="shared" si="186"/>
        <v>0</v>
      </c>
      <c r="Q498" s="19">
        <f t="shared" si="186"/>
        <v>0</v>
      </c>
      <c r="R498" s="19">
        <f t="shared" si="186"/>
        <v>0</v>
      </c>
      <c r="S498" s="19">
        <f t="shared" si="186"/>
        <v>0</v>
      </c>
      <c r="T498" s="19">
        <f t="shared" si="186"/>
        <v>0</v>
      </c>
      <c r="U498" s="19">
        <f t="shared" si="186"/>
        <v>0</v>
      </c>
      <c r="V498" s="19">
        <f t="shared" si="186"/>
        <v>0</v>
      </c>
      <c r="W498" s="19">
        <f t="shared" si="186"/>
        <v>0</v>
      </c>
      <c r="X498" s="19">
        <f t="shared" si="186"/>
        <v>0</v>
      </c>
      <c r="Z498" s="19">
        <f t="shared" ref="Z498:AE498" si="187">MAX(Z466:Z496)</f>
        <v>0</v>
      </c>
      <c r="AA498" s="19">
        <f t="shared" si="187"/>
        <v>0</v>
      </c>
      <c r="AB498" s="19">
        <f t="shared" si="187"/>
        <v>0</v>
      </c>
      <c r="AC498" s="19">
        <f t="shared" si="187"/>
        <v>0</v>
      </c>
      <c r="AD498" s="19">
        <f t="shared" si="187"/>
        <v>0</v>
      </c>
      <c r="AE498" s="19">
        <f t="shared" si="187"/>
        <v>0</v>
      </c>
      <c r="AF498" s="19">
        <f t="shared" ref="AF498:AH498" si="188">MAX(AF466:AF496)</f>
        <v>0</v>
      </c>
      <c r="AG498" s="19">
        <f t="shared" si="188"/>
        <v>0</v>
      </c>
      <c r="AH498" s="19">
        <f t="shared" si="188"/>
        <v>0</v>
      </c>
    </row>
    <row r="499" spans="1:34">
      <c r="A499" s="18" t="s">
        <v>36</v>
      </c>
      <c r="B499" s="19" t="e">
        <f>AVERAGE(B466:B496)</f>
        <v>#DIV/0!</v>
      </c>
      <c r="C499" s="19" t="e">
        <f t="shared" ref="C499:L499" si="189">AVERAGE(C466:C496)</f>
        <v>#DIV/0!</v>
      </c>
      <c r="D499" s="19" t="e">
        <f t="shared" si="189"/>
        <v>#DIV/0!</v>
      </c>
      <c r="E499" s="19" t="e">
        <f t="shared" si="189"/>
        <v>#DIV/0!</v>
      </c>
      <c r="F499" s="19" t="e">
        <f t="shared" si="189"/>
        <v>#DIV/0!</v>
      </c>
      <c r="G499" s="19" t="e">
        <f t="shared" si="189"/>
        <v>#DIV/0!</v>
      </c>
      <c r="H499" s="19" t="e">
        <f t="shared" si="189"/>
        <v>#DIV/0!</v>
      </c>
      <c r="I499" s="19" t="e">
        <f t="shared" si="189"/>
        <v>#DIV/0!</v>
      </c>
      <c r="J499" s="19" t="e">
        <f t="shared" si="189"/>
        <v>#DIV/0!</v>
      </c>
      <c r="K499" s="19" t="e">
        <f t="shared" si="189"/>
        <v>#DIV/0!</v>
      </c>
      <c r="L499" s="19" t="e">
        <f t="shared" si="189"/>
        <v>#DIV/0!</v>
      </c>
      <c r="M499" s="22"/>
      <c r="N499" s="19" t="e">
        <f>AVERAGE(N466:N496)</f>
        <v>#DIV/0!</v>
      </c>
      <c r="O499" s="19" t="e">
        <f t="shared" ref="O499:X499" si="190">AVERAGE(O466:O496)</f>
        <v>#DIV/0!</v>
      </c>
      <c r="P499" s="19" t="e">
        <f t="shared" si="190"/>
        <v>#DIV/0!</v>
      </c>
      <c r="Q499" s="19" t="e">
        <f t="shared" si="190"/>
        <v>#DIV/0!</v>
      </c>
      <c r="R499" s="19" t="e">
        <f t="shared" si="190"/>
        <v>#DIV/0!</v>
      </c>
      <c r="S499" s="19" t="e">
        <f t="shared" si="190"/>
        <v>#DIV/0!</v>
      </c>
      <c r="T499" s="19" t="e">
        <f t="shared" si="190"/>
        <v>#DIV/0!</v>
      </c>
      <c r="U499" s="19" t="e">
        <f t="shared" si="190"/>
        <v>#DIV/0!</v>
      </c>
      <c r="V499" s="19" t="e">
        <f t="shared" si="190"/>
        <v>#DIV/0!</v>
      </c>
      <c r="W499" s="19" t="e">
        <f t="shared" si="190"/>
        <v>#DIV/0!</v>
      </c>
      <c r="X499" s="19" t="e">
        <f t="shared" si="190"/>
        <v>#DIV/0!</v>
      </c>
      <c r="Z499" s="19" t="e">
        <f t="shared" ref="Z499:AE499" si="191">AVERAGE(Z466:Z496)</f>
        <v>#DIV/0!</v>
      </c>
      <c r="AA499" s="19" t="e">
        <f t="shared" si="191"/>
        <v>#DIV/0!</v>
      </c>
      <c r="AB499" s="19" t="e">
        <f t="shared" si="191"/>
        <v>#DIV/0!</v>
      </c>
      <c r="AC499" s="19" t="e">
        <f t="shared" si="191"/>
        <v>#DIV/0!</v>
      </c>
      <c r="AD499" s="19" t="e">
        <f t="shared" si="191"/>
        <v>#DIV/0!</v>
      </c>
      <c r="AE499" s="19" t="e">
        <f t="shared" si="191"/>
        <v>#DIV/0!</v>
      </c>
      <c r="AF499" s="19" t="e">
        <f t="shared" ref="AF499:AH499" si="192">AVERAGE(AF466:AF496)</f>
        <v>#DIV/0!</v>
      </c>
      <c r="AG499" s="19" t="e">
        <f t="shared" si="192"/>
        <v>#DIV/0!</v>
      </c>
      <c r="AH499" s="19" t="e">
        <f t="shared" si="192"/>
        <v>#DIV/0!</v>
      </c>
    </row>
    <row r="500" spans="1:34" ht="15.75" thickBot="1">
      <c r="A500" s="20" t="s">
        <v>130</v>
      </c>
      <c r="B500" s="21" t="e">
        <f>STDEV(B466:B496)</f>
        <v>#DIV/0!</v>
      </c>
      <c r="C500" s="21" t="e">
        <f t="shared" ref="C500:L500" si="193">STDEV(C466:C496)</f>
        <v>#DIV/0!</v>
      </c>
      <c r="D500" s="21" t="e">
        <f t="shared" si="193"/>
        <v>#DIV/0!</v>
      </c>
      <c r="E500" s="21" t="e">
        <f t="shared" si="193"/>
        <v>#DIV/0!</v>
      </c>
      <c r="F500" s="21" t="e">
        <f t="shared" si="193"/>
        <v>#DIV/0!</v>
      </c>
      <c r="G500" s="21" t="e">
        <f t="shared" si="193"/>
        <v>#DIV/0!</v>
      </c>
      <c r="H500" s="21" t="e">
        <f t="shared" si="193"/>
        <v>#DIV/0!</v>
      </c>
      <c r="I500" s="21" t="e">
        <f t="shared" si="193"/>
        <v>#DIV/0!</v>
      </c>
      <c r="J500" s="21" t="e">
        <f t="shared" si="193"/>
        <v>#DIV/0!</v>
      </c>
      <c r="K500" s="21" t="e">
        <f t="shared" si="193"/>
        <v>#DIV/0!</v>
      </c>
      <c r="L500" s="21" t="e">
        <f t="shared" si="193"/>
        <v>#DIV/0!</v>
      </c>
      <c r="M500" s="22"/>
      <c r="N500" s="21" t="e">
        <f>STDEV(N466:N496)</f>
        <v>#DIV/0!</v>
      </c>
      <c r="O500" s="21" t="e">
        <f t="shared" ref="O500:X500" si="194">STDEV(O466:O496)</f>
        <v>#DIV/0!</v>
      </c>
      <c r="P500" s="21" t="e">
        <f t="shared" si="194"/>
        <v>#DIV/0!</v>
      </c>
      <c r="Q500" s="21" t="e">
        <f t="shared" si="194"/>
        <v>#DIV/0!</v>
      </c>
      <c r="R500" s="21" t="e">
        <f t="shared" si="194"/>
        <v>#DIV/0!</v>
      </c>
      <c r="S500" s="21" t="e">
        <f t="shared" si="194"/>
        <v>#DIV/0!</v>
      </c>
      <c r="T500" s="21" t="e">
        <f t="shared" si="194"/>
        <v>#DIV/0!</v>
      </c>
      <c r="U500" s="21" t="e">
        <f t="shared" si="194"/>
        <v>#DIV/0!</v>
      </c>
      <c r="V500" s="21" t="e">
        <f t="shared" si="194"/>
        <v>#DIV/0!</v>
      </c>
      <c r="W500" s="21" t="e">
        <f t="shared" si="194"/>
        <v>#DIV/0!</v>
      </c>
      <c r="X500" s="21" t="e">
        <f t="shared" si="194"/>
        <v>#DIV/0!</v>
      </c>
      <c r="Z500" s="21" t="e">
        <f t="shared" ref="Z500:AE500" si="195">STDEV(Z466:Z496)</f>
        <v>#DIV/0!</v>
      </c>
      <c r="AA500" s="21" t="e">
        <f t="shared" si="195"/>
        <v>#DIV/0!</v>
      </c>
      <c r="AB500" s="21" t="e">
        <f t="shared" si="195"/>
        <v>#DIV/0!</v>
      </c>
      <c r="AC500" s="21" t="e">
        <f t="shared" si="195"/>
        <v>#DIV/0!</v>
      </c>
      <c r="AD500" s="21" t="e">
        <f t="shared" si="195"/>
        <v>#DIV/0!</v>
      </c>
      <c r="AE500" s="21" t="e">
        <f t="shared" si="195"/>
        <v>#DIV/0!</v>
      </c>
      <c r="AF500" s="21" t="e">
        <f t="shared" ref="AF500:AH500" si="196">STDEV(AF466:AF496)</f>
        <v>#DIV/0!</v>
      </c>
      <c r="AG500" s="21" t="e">
        <f t="shared" si="196"/>
        <v>#DIV/0!</v>
      </c>
      <c r="AH500" s="21" t="e">
        <f t="shared" si="196"/>
        <v>#DIV/0!</v>
      </c>
    </row>
    <row r="501" spans="1:34" ht="15.75" thickBot="1"/>
    <row r="502" spans="1:34" ht="15.75" thickBot="1">
      <c r="A502" s="1"/>
      <c r="B502" s="338" t="s">
        <v>0</v>
      </c>
      <c r="C502" s="339"/>
      <c r="D502" s="339"/>
      <c r="E502" s="339"/>
      <c r="F502" s="339"/>
      <c r="G502" s="339"/>
      <c r="H502" s="339"/>
      <c r="I502" s="339"/>
      <c r="J502" s="339"/>
      <c r="K502" s="339"/>
      <c r="L502" s="339"/>
      <c r="M502" s="339"/>
      <c r="N502" s="339"/>
      <c r="O502" s="339"/>
      <c r="P502" s="339"/>
      <c r="Q502" s="339"/>
      <c r="R502" s="339"/>
      <c r="S502" s="339"/>
      <c r="T502" s="339"/>
      <c r="U502" s="339"/>
      <c r="V502" s="339"/>
      <c r="W502" s="339"/>
      <c r="X502" s="339"/>
      <c r="Y502" s="339"/>
      <c r="Z502" s="339"/>
      <c r="AA502" s="339"/>
      <c r="AB502" s="339"/>
      <c r="AC502" s="339"/>
      <c r="AD502" s="340"/>
      <c r="AE502" s="340"/>
      <c r="AF502" s="340"/>
      <c r="AG502" s="340"/>
      <c r="AH502" s="340"/>
    </row>
    <row r="503" spans="1:34" ht="15.75" thickBot="1">
      <c r="A503" s="1"/>
      <c r="B503" s="338" t="s">
        <v>160</v>
      </c>
      <c r="C503" s="339"/>
      <c r="D503" s="339"/>
      <c r="E503" s="339"/>
      <c r="F503" s="339"/>
      <c r="G503" s="339"/>
      <c r="H503" s="339"/>
      <c r="I503" s="339"/>
      <c r="J503" s="339"/>
      <c r="K503" s="339"/>
      <c r="L503" s="339"/>
      <c r="M503" s="339"/>
      <c r="N503" s="339"/>
      <c r="O503" s="339"/>
      <c r="P503" s="339"/>
      <c r="Q503" s="339"/>
      <c r="R503" s="339"/>
      <c r="S503" s="339"/>
      <c r="T503" s="339"/>
      <c r="U503" s="339"/>
      <c r="V503" s="339"/>
      <c r="W503" s="339"/>
      <c r="X503" s="339"/>
      <c r="Y503" s="339"/>
      <c r="Z503" s="339"/>
      <c r="AA503" s="339"/>
      <c r="AB503" s="339"/>
      <c r="AC503" s="339"/>
      <c r="AD503" s="4"/>
      <c r="AE503" s="43" t="s">
        <v>107</v>
      </c>
      <c r="AF503" s="341">
        <v>46357</v>
      </c>
      <c r="AG503" s="342"/>
      <c r="AH503" s="343"/>
    </row>
    <row r="504" spans="1:34">
      <c r="A504" s="344"/>
      <c r="B504" s="346" t="s">
        <v>132</v>
      </c>
      <c r="C504" s="347"/>
      <c r="D504" s="347"/>
      <c r="E504" s="347"/>
      <c r="F504" s="347"/>
      <c r="G504" s="347"/>
      <c r="H504" s="347"/>
      <c r="I504" s="347"/>
      <c r="J504" s="347"/>
      <c r="K504" s="348"/>
      <c r="L504" s="349"/>
      <c r="M504" s="22"/>
      <c r="N504" s="350" t="s">
        <v>133</v>
      </c>
      <c r="O504" s="347"/>
      <c r="P504" s="347"/>
      <c r="Q504" s="347"/>
      <c r="R504" s="347"/>
      <c r="S504" s="347"/>
      <c r="T504" s="347"/>
      <c r="U504" s="347"/>
      <c r="V504" s="347"/>
      <c r="W504" s="348"/>
      <c r="X504" s="349"/>
      <c r="Y504" s="22"/>
      <c r="Z504" s="346" t="s">
        <v>134</v>
      </c>
      <c r="AA504" s="347"/>
      <c r="AB504" s="347"/>
      <c r="AC504" s="347"/>
      <c r="AD504" s="347"/>
      <c r="AE504" s="347"/>
      <c r="AF504" s="347"/>
      <c r="AG504" s="348"/>
      <c r="AH504" s="349"/>
    </row>
    <row r="505" spans="1:34" ht="25.5">
      <c r="A505" s="345"/>
      <c r="B505" s="359" t="s">
        <v>135</v>
      </c>
      <c r="C505" s="361" t="s">
        <v>136</v>
      </c>
      <c r="D505" s="5" t="s">
        <v>137</v>
      </c>
      <c r="E505" s="5" t="s">
        <v>138</v>
      </c>
      <c r="F505" s="5" t="s">
        <v>139</v>
      </c>
      <c r="G505" s="5" t="s">
        <v>140</v>
      </c>
      <c r="H505" s="5" t="s">
        <v>141</v>
      </c>
      <c r="I505" s="5" t="s">
        <v>142</v>
      </c>
      <c r="J505" s="5" t="s">
        <v>143</v>
      </c>
      <c r="K505" s="181" t="s">
        <v>81</v>
      </c>
      <c r="L505" s="23" t="s">
        <v>144</v>
      </c>
      <c r="M505" s="22"/>
      <c r="N505" s="355" t="s">
        <v>135</v>
      </c>
      <c r="O505" s="357" t="s">
        <v>136</v>
      </c>
      <c r="P505" s="5" t="s">
        <v>137</v>
      </c>
      <c r="Q505" s="5" t="s">
        <v>138</v>
      </c>
      <c r="R505" s="5" t="s">
        <v>139</v>
      </c>
      <c r="S505" s="5" t="s">
        <v>140</v>
      </c>
      <c r="T505" s="5" t="s">
        <v>141</v>
      </c>
      <c r="U505" s="5" t="s">
        <v>142</v>
      </c>
      <c r="V505" s="5" t="s">
        <v>143</v>
      </c>
      <c r="W505" s="181" t="s">
        <v>81</v>
      </c>
      <c r="X505" s="23" t="s">
        <v>144</v>
      </c>
      <c r="Y505" s="22"/>
      <c r="Z505" s="33" t="s">
        <v>137</v>
      </c>
      <c r="AA505" s="5" t="s">
        <v>138</v>
      </c>
      <c r="AB505" s="5" t="s">
        <v>139</v>
      </c>
      <c r="AC505" s="5" t="s">
        <v>140</v>
      </c>
      <c r="AD505" s="5" t="s">
        <v>141</v>
      </c>
      <c r="AE505" s="5" t="s">
        <v>142</v>
      </c>
      <c r="AF505" s="5" t="s">
        <v>143</v>
      </c>
      <c r="AG505" s="181" t="s">
        <v>81</v>
      </c>
      <c r="AH505" s="23" t="s">
        <v>144</v>
      </c>
    </row>
    <row r="506" spans="1:34">
      <c r="A506" s="6" t="s">
        <v>145</v>
      </c>
      <c r="B506" s="360"/>
      <c r="C506" s="362"/>
      <c r="D506" s="5" t="s">
        <v>128</v>
      </c>
      <c r="E506" s="5" t="s">
        <v>128</v>
      </c>
      <c r="F506" s="5" t="s">
        <v>128</v>
      </c>
      <c r="G506" s="5" t="s">
        <v>128</v>
      </c>
      <c r="H506" s="5" t="s">
        <v>125</v>
      </c>
      <c r="I506" s="5" t="s">
        <v>146</v>
      </c>
      <c r="J506" s="5" t="s">
        <v>127</v>
      </c>
      <c r="K506" s="181" t="s">
        <v>53</v>
      </c>
      <c r="L506" s="23" t="s">
        <v>53</v>
      </c>
      <c r="M506" s="22"/>
      <c r="N506" s="356"/>
      <c r="O506" s="358"/>
      <c r="P506" s="5" t="s">
        <v>128</v>
      </c>
      <c r="Q506" s="5" t="s">
        <v>128</v>
      </c>
      <c r="R506" s="5" t="s">
        <v>128</v>
      </c>
      <c r="S506" s="5" t="s">
        <v>128</v>
      </c>
      <c r="T506" s="5" t="s">
        <v>125</v>
      </c>
      <c r="U506" s="5" t="s">
        <v>146</v>
      </c>
      <c r="V506" s="5" t="s">
        <v>127</v>
      </c>
      <c r="W506" s="181" t="s">
        <v>53</v>
      </c>
      <c r="X506" s="23" t="s">
        <v>53</v>
      </c>
      <c r="Y506" s="22"/>
      <c r="Z506" s="33" t="s">
        <v>128</v>
      </c>
      <c r="AA506" s="5" t="s">
        <v>128</v>
      </c>
      <c r="AB506" s="5" t="s">
        <v>128</v>
      </c>
      <c r="AC506" s="5" t="s">
        <v>128</v>
      </c>
      <c r="AD506" s="5" t="s">
        <v>125</v>
      </c>
      <c r="AE506" s="5" t="s">
        <v>146</v>
      </c>
      <c r="AF506" s="5" t="s">
        <v>127</v>
      </c>
      <c r="AG506" s="181" t="s">
        <v>53</v>
      </c>
      <c r="AH506" s="23" t="s">
        <v>53</v>
      </c>
    </row>
    <row r="507" spans="1:34" ht="39" thickBot="1">
      <c r="A507" s="7" t="s">
        <v>147</v>
      </c>
      <c r="B507" s="8" t="s">
        <v>148</v>
      </c>
      <c r="C507" s="9" t="s">
        <v>149</v>
      </c>
      <c r="D507" s="9" t="s">
        <v>161</v>
      </c>
      <c r="E507" s="9" t="s">
        <v>162</v>
      </c>
      <c r="F507" s="9" t="s">
        <v>163</v>
      </c>
      <c r="G507" s="9" t="s">
        <v>164</v>
      </c>
      <c r="H507" s="9" t="s">
        <v>154</v>
      </c>
      <c r="I507" s="24" t="s">
        <v>155</v>
      </c>
      <c r="J507" s="24" t="s">
        <v>156</v>
      </c>
      <c r="K507" s="24" t="s">
        <v>179</v>
      </c>
      <c r="L507" s="25" t="s">
        <v>157</v>
      </c>
      <c r="M507" s="22"/>
      <c r="N507" s="8" t="s">
        <v>148</v>
      </c>
      <c r="O507" s="9" t="s">
        <v>149</v>
      </c>
      <c r="P507" s="9" t="s">
        <v>161</v>
      </c>
      <c r="Q507" s="9" t="s">
        <v>162</v>
      </c>
      <c r="R507" s="9" t="s">
        <v>163</v>
      </c>
      <c r="S507" s="9" t="s">
        <v>164</v>
      </c>
      <c r="T507" s="9" t="s">
        <v>154</v>
      </c>
      <c r="U507" s="24" t="s">
        <v>155</v>
      </c>
      <c r="V507" s="24" t="s">
        <v>156</v>
      </c>
      <c r="W507" s="24" t="s">
        <v>179</v>
      </c>
      <c r="X507" s="25" t="s">
        <v>157</v>
      </c>
      <c r="Y507" s="22"/>
      <c r="Z507" s="8" t="s">
        <v>161</v>
      </c>
      <c r="AA507" s="9" t="s">
        <v>162</v>
      </c>
      <c r="AB507" s="9" t="s">
        <v>163</v>
      </c>
      <c r="AC507" s="9" t="s">
        <v>164</v>
      </c>
      <c r="AD507" s="9" t="s">
        <v>154</v>
      </c>
      <c r="AE507" s="9" t="s">
        <v>155</v>
      </c>
      <c r="AF507" s="9" t="s">
        <v>156</v>
      </c>
      <c r="AG507" s="24" t="s">
        <v>179</v>
      </c>
      <c r="AH507" s="23" t="s">
        <v>157</v>
      </c>
    </row>
    <row r="508" spans="1:34">
      <c r="A508" s="10">
        <f>AF503+0</f>
        <v>46357</v>
      </c>
      <c r="B508" s="11"/>
      <c r="C508" s="54"/>
      <c r="D508" s="54"/>
      <c r="E508" s="54"/>
      <c r="F508" s="54"/>
      <c r="G508" s="54"/>
      <c r="H508" s="54"/>
      <c r="I508" s="54"/>
      <c r="J508" s="54"/>
      <c r="K508" s="183"/>
      <c r="L508" s="55"/>
      <c r="M508" s="22"/>
      <c r="N508" s="29"/>
      <c r="O508" s="13"/>
      <c r="P508" s="13"/>
      <c r="Q508" s="13"/>
      <c r="R508" s="13"/>
      <c r="S508" s="13"/>
      <c r="T508" s="13"/>
      <c r="U508" s="13"/>
      <c r="V508" s="13"/>
      <c r="W508" s="183"/>
      <c r="X508" s="37"/>
      <c r="Y508" s="22"/>
      <c r="Z508" s="148"/>
      <c r="AA508" s="63"/>
      <c r="AB508" s="63"/>
      <c r="AC508" s="63"/>
      <c r="AD508" s="63"/>
      <c r="AE508" s="63"/>
      <c r="AF508" s="63"/>
      <c r="AG508" s="183"/>
      <c r="AH508" s="149"/>
    </row>
    <row r="509" spans="1:34">
      <c r="A509" s="14">
        <f t="shared" ref="A509:A538" si="197">A508+1</f>
        <v>46358</v>
      </c>
      <c r="B509" s="11"/>
      <c r="C509" s="54"/>
      <c r="D509" s="54"/>
      <c r="E509" s="54"/>
      <c r="F509" s="54"/>
      <c r="G509" s="54"/>
      <c r="H509" s="54"/>
      <c r="I509" s="54"/>
      <c r="J509" s="54"/>
      <c r="K509" s="183"/>
      <c r="L509" s="55"/>
      <c r="M509" s="22"/>
      <c r="N509" s="29"/>
      <c r="O509" s="13"/>
      <c r="P509" s="13"/>
      <c r="Q509" s="13"/>
      <c r="R509" s="13"/>
      <c r="S509" s="13"/>
      <c r="T509" s="13"/>
      <c r="U509" s="13"/>
      <c r="V509" s="13"/>
      <c r="W509" s="183"/>
      <c r="X509" s="37"/>
      <c r="Y509" s="22"/>
      <c r="Z509" s="38"/>
      <c r="AA509" s="13"/>
      <c r="AB509" s="13"/>
      <c r="AC509" s="13"/>
      <c r="AD509" s="13"/>
      <c r="AE509" s="13"/>
      <c r="AF509" s="13"/>
      <c r="AG509" s="183"/>
      <c r="AH509" s="45"/>
    </row>
    <row r="510" spans="1:34">
      <c r="A510" s="14">
        <f t="shared" si="197"/>
        <v>46359</v>
      </c>
      <c r="B510" s="11"/>
      <c r="C510" s="12"/>
      <c r="D510" s="12"/>
      <c r="E510" s="12"/>
      <c r="F510" s="12"/>
      <c r="G510" s="12"/>
      <c r="H510" s="12"/>
      <c r="I510" s="13"/>
      <c r="J510" s="13"/>
      <c r="K510" s="184"/>
      <c r="L510" s="26"/>
      <c r="M510" s="22"/>
      <c r="N510" s="29"/>
      <c r="O510" s="13"/>
      <c r="P510" s="13"/>
      <c r="Q510" s="13"/>
      <c r="R510" s="13"/>
      <c r="S510" s="13"/>
      <c r="T510" s="13"/>
      <c r="U510" s="13"/>
      <c r="V510" s="13"/>
      <c r="W510" s="184"/>
      <c r="X510" s="37"/>
      <c r="Y510" s="22"/>
      <c r="Z510" s="38"/>
      <c r="AA510" s="13"/>
      <c r="AB510" s="13"/>
      <c r="AC510" s="13"/>
      <c r="AD510" s="13"/>
      <c r="AE510" s="13"/>
      <c r="AF510" s="13"/>
      <c r="AG510" s="184"/>
      <c r="AH510" s="45"/>
    </row>
    <row r="511" spans="1:34">
      <c r="A511" s="14">
        <f t="shared" si="197"/>
        <v>46360</v>
      </c>
      <c r="B511" s="11"/>
      <c r="C511" s="12"/>
      <c r="D511" s="12"/>
      <c r="E511" s="12"/>
      <c r="F511" s="12"/>
      <c r="G511" s="12"/>
      <c r="H511" s="12"/>
      <c r="I511" s="12"/>
      <c r="J511" s="13"/>
      <c r="K511" s="184"/>
      <c r="L511" s="26"/>
      <c r="M511" s="22"/>
      <c r="N511" s="29"/>
      <c r="O511" s="13"/>
      <c r="P511" s="13"/>
      <c r="Q511" s="13"/>
      <c r="R511" s="13"/>
      <c r="S511" s="13"/>
      <c r="T511" s="13"/>
      <c r="U511" s="13"/>
      <c r="V511" s="13"/>
      <c r="W511" s="184"/>
      <c r="X511" s="37"/>
      <c r="Y511" s="22"/>
      <c r="Z511" s="38"/>
      <c r="AA511" s="13"/>
      <c r="AB511" s="13"/>
      <c r="AC511" s="13"/>
      <c r="AD511" s="13"/>
      <c r="AE511" s="13"/>
      <c r="AF511" s="13"/>
      <c r="AG511" s="184"/>
      <c r="AH511" s="45"/>
    </row>
    <row r="512" spans="1:34">
      <c r="A512" s="14">
        <f t="shared" si="197"/>
        <v>46361</v>
      </c>
      <c r="B512" s="11"/>
      <c r="C512" s="12"/>
      <c r="D512" s="12"/>
      <c r="E512" s="12"/>
      <c r="F512" s="12"/>
      <c r="G512" s="12"/>
      <c r="H512" s="12"/>
      <c r="I512" s="12"/>
      <c r="J512" s="13"/>
      <c r="K512" s="184"/>
      <c r="L512" s="26"/>
      <c r="M512" s="22"/>
      <c r="N512" s="29"/>
      <c r="O512" s="13"/>
      <c r="P512" s="13"/>
      <c r="Q512" s="13"/>
      <c r="R512" s="13"/>
      <c r="S512" s="13"/>
      <c r="T512" s="13"/>
      <c r="U512" s="13"/>
      <c r="V512" s="13"/>
      <c r="W512" s="184"/>
      <c r="X512" s="37"/>
      <c r="Y512" s="22"/>
      <c r="Z512" s="38"/>
      <c r="AA512" s="13"/>
      <c r="AB512" s="13"/>
      <c r="AC512" s="13"/>
      <c r="AD512" s="36"/>
      <c r="AE512" s="13"/>
      <c r="AF512" s="13"/>
      <c r="AG512" s="184"/>
      <c r="AH512" s="46"/>
    </row>
    <row r="513" spans="1:34">
      <c r="A513" s="14">
        <f t="shared" si="197"/>
        <v>46362</v>
      </c>
      <c r="B513" s="11"/>
      <c r="C513" s="12"/>
      <c r="D513" s="12"/>
      <c r="E513" s="12"/>
      <c r="F513" s="12"/>
      <c r="G513" s="12"/>
      <c r="H513" s="12"/>
      <c r="I513" s="12"/>
      <c r="J513" s="13"/>
      <c r="K513" s="184"/>
      <c r="L513" s="26"/>
      <c r="M513" s="22"/>
      <c r="N513" s="29"/>
      <c r="O513" s="13"/>
      <c r="P513" s="13"/>
      <c r="Q513" s="13"/>
      <c r="R513" s="13"/>
      <c r="S513" s="13"/>
      <c r="T513" s="13"/>
      <c r="U513" s="13"/>
      <c r="V513" s="13"/>
      <c r="W513" s="184"/>
      <c r="X513" s="37"/>
      <c r="Y513" s="22"/>
      <c r="Z513" s="38"/>
      <c r="AA513" s="13"/>
      <c r="AB513" s="13"/>
      <c r="AC513" s="13"/>
      <c r="AD513" s="13"/>
      <c r="AE513" s="13"/>
      <c r="AF513" s="13"/>
      <c r="AG513" s="184"/>
      <c r="AH513" s="45"/>
    </row>
    <row r="514" spans="1:34">
      <c r="A514" s="14">
        <f t="shared" si="197"/>
        <v>46363</v>
      </c>
      <c r="B514" s="11"/>
      <c r="C514" s="12"/>
      <c r="D514" s="12"/>
      <c r="E514" s="12"/>
      <c r="F514" s="12"/>
      <c r="G514" s="12"/>
      <c r="H514" s="12"/>
      <c r="I514" s="12"/>
      <c r="J514" s="13"/>
      <c r="K514" s="184"/>
      <c r="L514" s="26"/>
      <c r="M514" s="22"/>
      <c r="N514" s="29"/>
      <c r="O514" s="13"/>
      <c r="P514" s="13"/>
      <c r="Q514" s="13"/>
      <c r="R514" s="13"/>
      <c r="S514" s="13"/>
      <c r="T514" s="13"/>
      <c r="U514" s="13"/>
      <c r="V514" s="13"/>
      <c r="W514" s="184"/>
      <c r="X514" s="37"/>
      <c r="Y514" s="22"/>
      <c r="Z514" s="38"/>
      <c r="AA514" s="13"/>
      <c r="AB514" s="13"/>
      <c r="AC514" s="13"/>
      <c r="AD514" s="13"/>
      <c r="AE514" s="13"/>
      <c r="AF514" s="13"/>
      <c r="AG514" s="184"/>
      <c r="AH514" s="45"/>
    </row>
    <row r="515" spans="1:34">
      <c r="A515" s="14">
        <f t="shared" si="197"/>
        <v>46364</v>
      </c>
      <c r="B515" s="11"/>
      <c r="C515" s="12"/>
      <c r="D515" s="12"/>
      <c r="E515" s="12"/>
      <c r="F515" s="12"/>
      <c r="G515" s="12"/>
      <c r="H515" s="12"/>
      <c r="I515" s="12"/>
      <c r="J515" s="13"/>
      <c r="K515" s="184"/>
      <c r="L515" s="26"/>
      <c r="M515" s="22"/>
      <c r="N515" s="29"/>
      <c r="O515" s="13"/>
      <c r="P515" s="13"/>
      <c r="Q515" s="13"/>
      <c r="R515" s="13"/>
      <c r="S515" s="13"/>
      <c r="T515" s="13"/>
      <c r="U515" s="13"/>
      <c r="V515" s="13"/>
      <c r="W515" s="184"/>
      <c r="X515" s="37"/>
      <c r="Y515" s="22"/>
      <c r="Z515" s="38"/>
      <c r="AA515" s="13"/>
      <c r="AB515" s="13"/>
      <c r="AC515" s="13"/>
      <c r="AD515" s="13"/>
      <c r="AE515" s="13"/>
      <c r="AF515" s="13"/>
      <c r="AG515" s="184"/>
      <c r="AH515" s="45"/>
    </row>
    <row r="516" spans="1:34">
      <c r="A516" s="14">
        <f t="shared" si="197"/>
        <v>46365</v>
      </c>
      <c r="B516" s="11"/>
      <c r="C516" s="12"/>
      <c r="D516" s="12"/>
      <c r="E516" s="12"/>
      <c r="F516" s="12"/>
      <c r="G516" s="12"/>
      <c r="H516" s="12"/>
      <c r="I516" s="12"/>
      <c r="J516" s="13"/>
      <c r="K516" s="184"/>
      <c r="L516" s="26"/>
      <c r="M516" s="22"/>
      <c r="N516" s="29"/>
      <c r="O516" s="13"/>
      <c r="P516" s="13"/>
      <c r="Q516" s="13"/>
      <c r="R516" s="13"/>
      <c r="S516" s="13"/>
      <c r="T516" s="13"/>
      <c r="U516" s="13"/>
      <c r="V516" s="13"/>
      <c r="W516" s="184"/>
      <c r="X516" s="37"/>
      <c r="Y516" s="22"/>
      <c r="Z516" s="38"/>
      <c r="AA516" s="13"/>
      <c r="AB516" s="13"/>
      <c r="AC516" s="13"/>
      <c r="AD516" s="13"/>
      <c r="AE516" s="13"/>
      <c r="AF516" s="13"/>
      <c r="AG516" s="184"/>
      <c r="AH516" s="45"/>
    </row>
    <row r="517" spans="1:34">
      <c r="A517" s="14">
        <f t="shared" si="197"/>
        <v>46366</v>
      </c>
      <c r="B517" s="11"/>
      <c r="C517" s="12"/>
      <c r="D517" s="12"/>
      <c r="E517" s="12"/>
      <c r="F517" s="12"/>
      <c r="G517" s="12"/>
      <c r="H517" s="12"/>
      <c r="I517" s="12"/>
      <c r="J517" s="13"/>
      <c r="K517" s="184"/>
      <c r="L517" s="26"/>
      <c r="M517" s="22"/>
      <c r="N517" s="29"/>
      <c r="O517" s="13"/>
      <c r="P517" s="13"/>
      <c r="Q517" s="13"/>
      <c r="R517" s="13"/>
      <c r="S517" s="13"/>
      <c r="T517" s="13"/>
      <c r="U517" s="13"/>
      <c r="V517" s="13"/>
      <c r="W517" s="184"/>
      <c r="X517" s="37"/>
      <c r="Y517" s="22"/>
      <c r="Z517" s="38"/>
      <c r="AA517" s="13"/>
      <c r="AB517" s="13"/>
      <c r="AC517" s="13"/>
      <c r="AD517" s="13"/>
      <c r="AE517" s="13"/>
      <c r="AF517" s="13"/>
      <c r="AG517" s="184"/>
      <c r="AH517" s="45"/>
    </row>
    <row r="518" spans="1:34">
      <c r="A518" s="14">
        <f t="shared" si="197"/>
        <v>46367</v>
      </c>
      <c r="B518" s="11"/>
      <c r="C518" s="12"/>
      <c r="D518" s="12"/>
      <c r="E518" s="12"/>
      <c r="F518" s="12"/>
      <c r="G518" s="12"/>
      <c r="H518" s="12"/>
      <c r="I518" s="12"/>
      <c r="J518" s="13"/>
      <c r="K518" s="184"/>
      <c r="L518" s="26"/>
      <c r="M518" s="22"/>
      <c r="N518" s="29"/>
      <c r="O518" s="13"/>
      <c r="P518" s="13"/>
      <c r="Q518" s="13"/>
      <c r="R518" s="13"/>
      <c r="S518" s="13"/>
      <c r="T518" s="13"/>
      <c r="U518" s="13"/>
      <c r="V518" s="13"/>
      <c r="W518" s="184"/>
      <c r="X518" s="37"/>
      <c r="Y518" s="22"/>
      <c r="Z518" s="38"/>
      <c r="AA518" s="13"/>
      <c r="AB518" s="13"/>
      <c r="AC518" s="13"/>
      <c r="AD518" s="13"/>
      <c r="AE518" s="13"/>
      <c r="AF518" s="13"/>
      <c r="AG518" s="184"/>
      <c r="AH518" s="45"/>
    </row>
    <row r="519" spans="1:34">
      <c r="A519" s="14">
        <f t="shared" si="197"/>
        <v>46368</v>
      </c>
      <c r="B519" s="11"/>
      <c r="C519" s="12"/>
      <c r="D519" s="12"/>
      <c r="E519" s="12"/>
      <c r="F519" s="12"/>
      <c r="G519" s="12"/>
      <c r="H519" s="12"/>
      <c r="I519" s="12"/>
      <c r="J519" s="13"/>
      <c r="K519" s="184"/>
      <c r="L519" s="26"/>
      <c r="M519" s="22"/>
      <c r="N519" s="29"/>
      <c r="O519" s="13"/>
      <c r="P519" s="13"/>
      <c r="Q519" s="13"/>
      <c r="R519" s="13"/>
      <c r="S519" s="13"/>
      <c r="T519" s="13"/>
      <c r="U519" s="13"/>
      <c r="V519" s="13"/>
      <c r="W519" s="184"/>
      <c r="X519" s="37"/>
      <c r="Y519" s="22"/>
      <c r="Z519" s="38"/>
      <c r="AA519" s="13"/>
      <c r="AB519" s="13"/>
      <c r="AC519" s="13"/>
      <c r="AD519" s="36"/>
      <c r="AE519" s="13"/>
      <c r="AF519" s="13"/>
      <c r="AG519" s="184"/>
      <c r="AH519" s="45"/>
    </row>
    <row r="520" spans="1:34">
      <c r="A520" s="14">
        <f t="shared" si="197"/>
        <v>46369</v>
      </c>
      <c r="B520" s="11"/>
      <c r="C520" s="12"/>
      <c r="D520" s="12"/>
      <c r="E520" s="12"/>
      <c r="F520" s="12"/>
      <c r="G520" s="12"/>
      <c r="H520" s="12"/>
      <c r="I520" s="12"/>
      <c r="J520" s="13"/>
      <c r="K520" s="184"/>
      <c r="L520" s="26"/>
      <c r="M520" s="22"/>
      <c r="N520" s="29"/>
      <c r="O520" s="13"/>
      <c r="P520" s="13"/>
      <c r="Q520" s="13"/>
      <c r="R520" s="13"/>
      <c r="S520" s="13"/>
      <c r="T520" s="13"/>
      <c r="U520" s="13"/>
      <c r="V520" s="13"/>
      <c r="W520" s="184"/>
      <c r="X520" s="37"/>
      <c r="Y520" s="22"/>
      <c r="Z520" s="38"/>
      <c r="AA520" s="13"/>
      <c r="AB520" s="13"/>
      <c r="AC520" s="13"/>
      <c r="AD520" s="13"/>
      <c r="AE520" s="13"/>
      <c r="AF520" s="13"/>
      <c r="AG520" s="184"/>
      <c r="AH520" s="45"/>
    </row>
    <row r="521" spans="1:34">
      <c r="A521" s="14">
        <f t="shared" si="197"/>
        <v>46370</v>
      </c>
      <c r="B521" s="11"/>
      <c r="C521" s="13"/>
      <c r="D521" s="12"/>
      <c r="E521" s="12"/>
      <c r="F521" s="13"/>
      <c r="G521" s="12"/>
      <c r="H521" s="12"/>
      <c r="I521" s="13"/>
      <c r="J521" s="13"/>
      <c r="K521" s="184"/>
      <c r="L521" s="26"/>
      <c r="M521" s="22"/>
      <c r="N521" s="29"/>
      <c r="O521" s="13"/>
      <c r="P521" s="13"/>
      <c r="Q521" s="13"/>
      <c r="R521" s="13"/>
      <c r="S521" s="13"/>
      <c r="T521" s="13"/>
      <c r="U521" s="13"/>
      <c r="V521" s="13"/>
      <c r="W521" s="184"/>
      <c r="X521" s="37"/>
      <c r="Y521" s="22"/>
      <c r="Z521" s="38"/>
      <c r="AA521" s="13"/>
      <c r="AB521" s="13"/>
      <c r="AC521" s="13"/>
      <c r="AD521" s="13"/>
      <c r="AE521" s="13"/>
      <c r="AF521" s="13"/>
      <c r="AG521" s="184"/>
      <c r="AH521" s="45"/>
    </row>
    <row r="522" spans="1:34">
      <c r="A522" s="14">
        <f t="shared" si="197"/>
        <v>46371</v>
      </c>
      <c r="B522" s="11"/>
      <c r="C522" s="13"/>
      <c r="D522" s="12"/>
      <c r="E522" s="12"/>
      <c r="F522" s="13"/>
      <c r="G522" s="12"/>
      <c r="H522" s="12"/>
      <c r="I522" s="12"/>
      <c r="J522" s="13"/>
      <c r="K522" s="184"/>
      <c r="L522" s="26"/>
      <c r="M522" s="22"/>
      <c r="N522" s="29"/>
      <c r="O522" s="13"/>
      <c r="P522" s="13"/>
      <c r="Q522" s="13"/>
      <c r="R522" s="13"/>
      <c r="S522" s="13"/>
      <c r="T522" s="13"/>
      <c r="U522" s="13"/>
      <c r="V522" s="13"/>
      <c r="W522" s="184"/>
      <c r="X522" s="37"/>
      <c r="Y522" s="22"/>
      <c r="Z522" s="38"/>
      <c r="AA522" s="13"/>
      <c r="AB522" s="13"/>
      <c r="AC522" s="13"/>
      <c r="AD522" s="36"/>
      <c r="AE522" s="13"/>
      <c r="AF522" s="13"/>
      <c r="AG522" s="184"/>
      <c r="AH522" s="37"/>
    </row>
    <row r="523" spans="1:34">
      <c r="A523" s="14">
        <f t="shared" si="197"/>
        <v>46372</v>
      </c>
      <c r="B523" s="11"/>
      <c r="C523" s="13"/>
      <c r="D523" s="12"/>
      <c r="E523" s="12"/>
      <c r="F523" s="13"/>
      <c r="G523" s="12"/>
      <c r="H523" s="12"/>
      <c r="I523" s="12"/>
      <c r="J523" s="13"/>
      <c r="K523" s="184"/>
      <c r="L523" s="26"/>
      <c r="M523" s="22"/>
      <c r="N523" s="29"/>
      <c r="O523" s="13"/>
      <c r="P523" s="13"/>
      <c r="Q523" s="13"/>
      <c r="R523" s="13"/>
      <c r="S523" s="13"/>
      <c r="T523" s="13"/>
      <c r="U523" s="13"/>
      <c r="V523" s="13"/>
      <c r="W523" s="184"/>
      <c r="X523" s="37"/>
      <c r="Y523" s="22"/>
      <c r="Z523" s="38"/>
      <c r="AA523" s="13"/>
      <c r="AB523" s="13"/>
      <c r="AC523" s="13"/>
      <c r="AD523" s="36"/>
      <c r="AE523" s="13"/>
      <c r="AF523" s="13"/>
      <c r="AG523" s="184"/>
      <c r="AH523" s="37"/>
    </row>
    <row r="524" spans="1:34">
      <c r="A524" s="14">
        <f t="shared" si="197"/>
        <v>46373</v>
      </c>
      <c r="B524" s="11"/>
      <c r="C524" s="13"/>
      <c r="D524" s="12"/>
      <c r="E524" s="12"/>
      <c r="F524" s="13"/>
      <c r="G524" s="12"/>
      <c r="H524" s="12"/>
      <c r="I524" s="12"/>
      <c r="J524" s="13"/>
      <c r="K524" s="184"/>
      <c r="L524" s="26"/>
      <c r="M524" s="22"/>
      <c r="N524" s="29"/>
      <c r="O524" s="13"/>
      <c r="P524" s="13"/>
      <c r="Q524" s="13"/>
      <c r="R524" s="13"/>
      <c r="S524" s="13"/>
      <c r="T524" s="13"/>
      <c r="U524" s="13"/>
      <c r="V524" s="13"/>
      <c r="W524" s="184"/>
      <c r="X524" s="37"/>
      <c r="Y524" s="22"/>
      <c r="Z524" s="38"/>
      <c r="AA524" s="13"/>
      <c r="AB524" s="13"/>
      <c r="AC524" s="13"/>
      <c r="AD524" s="36"/>
      <c r="AE524" s="13"/>
      <c r="AF524" s="13"/>
      <c r="AG524" s="184"/>
      <c r="AH524" s="37"/>
    </row>
    <row r="525" spans="1:34">
      <c r="A525" s="14">
        <f t="shared" si="197"/>
        <v>46374</v>
      </c>
      <c r="B525" s="11"/>
      <c r="C525" s="13"/>
      <c r="D525" s="12"/>
      <c r="E525" s="12"/>
      <c r="F525" s="13"/>
      <c r="G525" s="12"/>
      <c r="H525" s="12"/>
      <c r="I525" s="12"/>
      <c r="J525" s="13"/>
      <c r="K525" s="184"/>
      <c r="L525" s="26"/>
      <c r="M525" s="22"/>
      <c r="N525" s="29"/>
      <c r="O525" s="13"/>
      <c r="P525" s="13"/>
      <c r="Q525" s="13"/>
      <c r="R525" s="13"/>
      <c r="S525" s="13"/>
      <c r="T525" s="13"/>
      <c r="U525" s="13"/>
      <c r="V525" s="13"/>
      <c r="W525" s="184"/>
      <c r="X525" s="37"/>
      <c r="Y525" s="22"/>
      <c r="Z525" s="38"/>
      <c r="AA525" s="13"/>
      <c r="AB525" s="13"/>
      <c r="AC525" s="13"/>
      <c r="AD525" s="36"/>
      <c r="AE525" s="13"/>
      <c r="AF525" s="13"/>
      <c r="AG525" s="184"/>
      <c r="AH525" s="37"/>
    </row>
    <row r="526" spans="1:34">
      <c r="A526" s="14">
        <f t="shared" si="197"/>
        <v>46375</v>
      </c>
      <c r="B526" s="38"/>
      <c r="C526" s="13"/>
      <c r="D526" s="12"/>
      <c r="E526" s="12"/>
      <c r="F526" s="13"/>
      <c r="G526" s="12"/>
      <c r="H526" s="12"/>
      <c r="I526" s="12"/>
      <c r="J526" s="13"/>
      <c r="K526" s="184"/>
      <c r="L526" s="26"/>
      <c r="M526" s="22"/>
      <c r="N526" s="29"/>
      <c r="O526" s="13"/>
      <c r="P526" s="13"/>
      <c r="Q526" s="13"/>
      <c r="R526" s="13"/>
      <c r="S526" s="13"/>
      <c r="T526" s="13"/>
      <c r="U526" s="13"/>
      <c r="V526" s="13"/>
      <c r="W526" s="184"/>
      <c r="X526" s="37"/>
      <c r="Y526" s="22"/>
      <c r="Z526" s="38"/>
      <c r="AA526" s="13"/>
      <c r="AB526" s="13"/>
      <c r="AC526" s="13"/>
      <c r="AD526" s="36"/>
      <c r="AE526" s="13"/>
      <c r="AF526" s="13"/>
      <c r="AG526" s="184"/>
      <c r="AH526" s="37"/>
    </row>
    <row r="527" spans="1:34">
      <c r="A527" s="14">
        <f t="shared" si="197"/>
        <v>46376</v>
      </c>
      <c r="B527" s="38"/>
      <c r="C527" s="13"/>
      <c r="D527" s="12"/>
      <c r="E527" s="12"/>
      <c r="F527" s="13"/>
      <c r="G527" s="12"/>
      <c r="H527" s="12"/>
      <c r="I527" s="13"/>
      <c r="J527" s="13"/>
      <c r="K527" s="184"/>
      <c r="L527" s="26"/>
      <c r="M527" s="22"/>
      <c r="N527" s="29"/>
      <c r="O527" s="13"/>
      <c r="P527" s="13"/>
      <c r="Q527" s="13"/>
      <c r="R527" s="13"/>
      <c r="S527" s="13"/>
      <c r="T527" s="13"/>
      <c r="U527" s="13"/>
      <c r="V527" s="13"/>
      <c r="W527" s="184"/>
      <c r="X527" s="37"/>
      <c r="Y527" s="22"/>
      <c r="Z527" s="38"/>
      <c r="AA527" s="13"/>
      <c r="AB527" s="13"/>
      <c r="AC527" s="13"/>
      <c r="AD527" s="36"/>
      <c r="AE527" s="13"/>
      <c r="AF527" s="13"/>
      <c r="AG527" s="184"/>
      <c r="AH527" s="37"/>
    </row>
    <row r="528" spans="1:34">
      <c r="A528" s="14">
        <f t="shared" si="197"/>
        <v>46377</v>
      </c>
      <c r="B528" s="38"/>
      <c r="C528" s="13"/>
      <c r="D528" s="12"/>
      <c r="E528" s="12"/>
      <c r="F528" s="13"/>
      <c r="G528" s="13"/>
      <c r="H528" s="36"/>
      <c r="I528" s="12"/>
      <c r="J528" s="13"/>
      <c r="K528" s="184"/>
      <c r="L528" s="26"/>
      <c r="M528" s="22"/>
      <c r="N528" s="29"/>
      <c r="O528" s="13"/>
      <c r="P528" s="13"/>
      <c r="Q528" s="13"/>
      <c r="R528" s="13"/>
      <c r="S528" s="13"/>
      <c r="T528" s="13"/>
      <c r="U528" s="13"/>
      <c r="V528" s="13"/>
      <c r="W528" s="184"/>
      <c r="X528" s="37"/>
      <c r="Y528" s="22"/>
      <c r="Z528" s="38"/>
      <c r="AA528" s="13"/>
      <c r="AB528" s="13"/>
      <c r="AC528" s="13"/>
      <c r="AD528" s="36"/>
      <c r="AE528" s="13"/>
      <c r="AF528" s="13"/>
      <c r="AG528" s="184"/>
      <c r="AH528" s="37"/>
    </row>
    <row r="529" spans="1:34">
      <c r="A529" s="14">
        <f t="shared" si="197"/>
        <v>46378</v>
      </c>
      <c r="B529" s="38"/>
      <c r="C529" s="13"/>
      <c r="D529" s="12"/>
      <c r="E529" s="12"/>
      <c r="F529" s="13"/>
      <c r="G529" s="12"/>
      <c r="H529" s="12"/>
      <c r="I529" s="13"/>
      <c r="J529" s="13"/>
      <c r="K529" s="184"/>
      <c r="L529" s="26"/>
      <c r="M529" s="22"/>
      <c r="N529" s="29"/>
      <c r="O529" s="13"/>
      <c r="P529" s="13"/>
      <c r="Q529" s="13"/>
      <c r="R529" s="13"/>
      <c r="S529" s="13"/>
      <c r="T529" s="13"/>
      <c r="U529" s="13"/>
      <c r="V529" s="13"/>
      <c r="W529" s="184"/>
      <c r="X529" s="37"/>
      <c r="Y529" s="22"/>
      <c r="Z529" s="38"/>
      <c r="AA529" s="13"/>
      <c r="AB529" s="13"/>
      <c r="AC529" s="13"/>
      <c r="AD529" s="36"/>
      <c r="AE529" s="13"/>
      <c r="AF529" s="13"/>
      <c r="AG529" s="184"/>
      <c r="AH529" s="37"/>
    </row>
    <row r="530" spans="1:34">
      <c r="A530" s="14">
        <f t="shared" si="197"/>
        <v>46379</v>
      </c>
      <c r="B530" s="38"/>
      <c r="C530" s="13"/>
      <c r="D530" s="12"/>
      <c r="E530" s="12"/>
      <c r="F530" s="13"/>
      <c r="G530" s="12"/>
      <c r="H530" s="12"/>
      <c r="I530" s="12"/>
      <c r="J530" s="13"/>
      <c r="K530" s="184"/>
      <c r="L530" s="26"/>
      <c r="M530" s="22"/>
      <c r="N530" s="29"/>
      <c r="O530" s="13"/>
      <c r="P530" s="13"/>
      <c r="Q530" s="13"/>
      <c r="R530" s="13"/>
      <c r="S530" s="13"/>
      <c r="T530" s="13"/>
      <c r="U530" s="13"/>
      <c r="V530" s="13"/>
      <c r="W530" s="184"/>
      <c r="X530" s="37"/>
      <c r="Y530" s="22"/>
      <c r="Z530" s="38"/>
      <c r="AA530" s="13"/>
      <c r="AB530" s="13"/>
      <c r="AC530" s="13"/>
      <c r="AD530" s="36"/>
      <c r="AE530" s="13"/>
      <c r="AF530" s="13"/>
      <c r="AG530" s="184"/>
      <c r="AH530" s="37"/>
    </row>
    <row r="531" spans="1:34">
      <c r="A531" s="14">
        <f t="shared" si="197"/>
        <v>46380</v>
      </c>
      <c r="B531" s="38"/>
      <c r="C531" s="13"/>
      <c r="D531" s="13"/>
      <c r="E531" s="13"/>
      <c r="F531" s="13"/>
      <c r="G531" s="12"/>
      <c r="H531" s="12"/>
      <c r="I531" s="13"/>
      <c r="J531" s="13"/>
      <c r="K531" s="184"/>
      <c r="L531" s="26"/>
      <c r="M531" s="22"/>
      <c r="N531" s="29"/>
      <c r="O531" s="13"/>
      <c r="P531" s="13"/>
      <c r="Q531" s="13"/>
      <c r="R531" s="13"/>
      <c r="S531" s="13"/>
      <c r="T531" s="13"/>
      <c r="U531" s="13"/>
      <c r="V531" s="13"/>
      <c r="W531" s="184"/>
      <c r="X531" s="37"/>
      <c r="Y531" s="22"/>
      <c r="Z531" s="38"/>
      <c r="AA531" s="13"/>
      <c r="AB531" s="13"/>
      <c r="AC531" s="13"/>
      <c r="AD531" s="36"/>
      <c r="AE531" s="13"/>
      <c r="AF531" s="13"/>
      <c r="AG531" s="184"/>
      <c r="AH531" s="37"/>
    </row>
    <row r="532" spans="1:34">
      <c r="A532" s="14">
        <f t="shared" si="197"/>
        <v>46381</v>
      </c>
      <c r="B532" s="38"/>
      <c r="C532" s="13"/>
      <c r="D532" s="13"/>
      <c r="E532" s="13"/>
      <c r="F532" s="13"/>
      <c r="G532" s="13"/>
      <c r="H532" s="36"/>
      <c r="I532" s="13"/>
      <c r="J532" s="13"/>
      <c r="K532" s="184"/>
      <c r="L532" s="37"/>
      <c r="M532" s="22"/>
      <c r="N532" s="29"/>
      <c r="O532" s="13"/>
      <c r="P532" s="13"/>
      <c r="Q532" s="13"/>
      <c r="R532" s="13"/>
      <c r="S532" s="13"/>
      <c r="T532" s="13"/>
      <c r="U532" s="13"/>
      <c r="V532" s="13"/>
      <c r="W532" s="184"/>
      <c r="X532" s="37"/>
      <c r="Y532" s="22"/>
      <c r="Z532" s="38"/>
      <c r="AA532" s="13"/>
      <c r="AB532" s="13"/>
      <c r="AC532" s="13"/>
      <c r="AD532" s="36"/>
      <c r="AE532" s="13"/>
      <c r="AF532" s="13"/>
      <c r="AG532" s="184"/>
      <c r="AH532" s="37"/>
    </row>
    <row r="533" spans="1:34">
      <c r="A533" s="14">
        <f t="shared" si="197"/>
        <v>46382</v>
      </c>
      <c r="B533" s="11"/>
      <c r="C533" s="12"/>
      <c r="D533" s="12"/>
      <c r="E533" s="12"/>
      <c r="F533" s="12"/>
      <c r="G533" s="12"/>
      <c r="H533" s="12"/>
      <c r="I533" s="12"/>
      <c r="J533" s="13"/>
      <c r="K533" s="184"/>
      <c r="L533" s="26"/>
      <c r="M533" s="22"/>
      <c r="N533" s="29"/>
      <c r="O533" s="13"/>
      <c r="P533" s="13"/>
      <c r="Q533" s="13"/>
      <c r="R533" s="13"/>
      <c r="S533" s="13"/>
      <c r="T533" s="13"/>
      <c r="U533" s="13"/>
      <c r="V533" s="13"/>
      <c r="W533" s="184"/>
      <c r="X533" s="37"/>
      <c r="Y533" s="22"/>
      <c r="Z533" s="38"/>
      <c r="AA533" s="13"/>
      <c r="AB533" s="13"/>
      <c r="AC533" s="13"/>
      <c r="AD533" s="36"/>
      <c r="AE533" s="13"/>
      <c r="AF533" s="13"/>
      <c r="AG533" s="184"/>
      <c r="AH533" s="37"/>
    </row>
    <row r="534" spans="1:34">
      <c r="A534" s="14">
        <f t="shared" si="197"/>
        <v>46383</v>
      </c>
      <c r="B534" s="38"/>
      <c r="C534" s="13"/>
      <c r="D534" s="13"/>
      <c r="E534" s="13"/>
      <c r="F534" s="13"/>
      <c r="G534" s="13"/>
      <c r="H534" s="36"/>
      <c r="I534" s="13"/>
      <c r="J534" s="13"/>
      <c r="K534" s="184"/>
      <c r="L534" s="26"/>
      <c r="M534" s="22"/>
      <c r="N534" s="29"/>
      <c r="O534" s="13"/>
      <c r="P534" s="13"/>
      <c r="Q534" s="13"/>
      <c r="R534" s="13"/>
      <c r="S534" s="13"/>
      <c r="T534" s="13"/>
      <c r="U534" s="13"/>
      <c r="V534" s="13"/>
      <c r="W534" s="184"/>
      <c r="X534" s="37"/>
      <c r="Y534" s="22"/>
      <c r="Z534" s="38"/>
      <c r="AA534" s="13"/>
      <c r="AB534" s="13"/>
      <c r="AC534" s="13"/>
      <c r="AD534" s="36"/>
      <c r="AE534" s="13"/>
      <c r="AF534" s="13"/>
      <c r="AG534" s="184"/>
      <c r="AH534" s="37"/>
    </row>
    <row r="535" spans="1:34">
      <c r="A535" s="14">
        <f t="shared" si="197"/>
        <v>46384</v>
      </c>
      <c r="B535" s="38"/>
      <c r="C535" s="13"/>
      <c r="D535" s="13"/>
      <c r="E535" s="13"/>
      <c r="F535" s="13"/>
      <c r="G535" s="12"/>
      <c r="H535" s="36"/>
      <c r="I535" s="13"/>
      <c r="J535" s="13"/>
      <c r="K535" s="184"/>
      <c r="L535" s="26"/>
      <c r="M535" s="22"/>
      <c r="N535" s="29"/>
      <c r="O535" s="13"/>
      <c r="P535" s="13"/>
      <c r="Q535" s="13"/>
      <c r="R535" s="13"/>
      <c r="S535" s="13"/>
      <c r="T535" s="13"/>
      <c r="U535" s="13"/>
      <c r="V535" s="13"/>
      <c r="W535" s="184"/>
      <c r="X535" s="37"/>
      <c r="Y535" s="22"/>
      <c r="Z535" s="38"/>
      <c r="AA535" s="13"/>
      <c r="AB535" s="13"/>
      <c r="AC535" s="13"/>
      <c r="AD535" s="36"/>
      <c r="AE535" s="13"/>
      <c r="AF535" s="13"/>
      <c r="AG535" s="184"/>
      <c r="AH535" s="37"/>
    </row>
    <row r="536" spans="1:34">
      <c r="A536" s="14">
        <f t="shared" si="197"/>
        <v>46385</v>
      </c>
      <c r="B536" s="38"/>
      <c r="C536" s="13"/>
      <c r="D536" s="13"/>
      <c r="E536" s="13"/>
      <c r="F536" s="13"/>
      <c r="G536" s="12"/>
      <c r="H536" s="36"/>
      <c r="I536" s="13"/>
      <c r="J536" s="13"/>
      <c r="K536" s="184"/>
      <c r="L536" s="26"/>
      <c r="M536" s="22"/>
      <c r="N536" s="29"/>
      <c r="O536" s="13"/>
      <c r="P536" s="13"/>
      <c r="Q536" s="13"/>
      <c r="R536" s="13"/>
      <c r="S536" s="13"/>
      <c r="T536" s="13"/>
      <c r="U536" s="13"/>
      <c r="V536" s="13"/>
      <c r="W536" s="184"/>
      <c r="X536" s="37"/>
      <c r="Y536" s="22"/>
      <c r="Z536" s="38"/>
      <c r="AA536" s="13"/>
      <c r="AB536" s="13"/>
      <c r="AC536" s="13"/>
      <c r="AD536" s="36"/>
      <c r="AE536" s="13"/>
      <c r="AF536" s="13"/>
      <c r="AG536" s="184"/>
      <c r="AH536" s="37"/>
    </row>
    <row r="537" spans="1:34">
      <c r="A537" s="14">
        <f t="shared" si="197"/>
        <v>46386</v>
      </c>
      <c r="B537" s="38"/>
      <c r="C537" s="13"/>
      <c r="D537" s="13"/>
      <c r="E537" s="13"/>
      <c r="F537" s="13"/>
      <c r="G537" s="12"/>
      <c r="H537" s="36"/>
      <c r="I537" s="13"/>
      <c r="J537" s="13"/>
      <c r="K537" s="184"/>
      <c r="L537" s="26"/>
      <c r="M537" s="22"/>
      <c r="N537" s="29"/>
      <c r="O537" s="13"/>
      <c r="P537" s="13"/>
      <c r="Q537" s="13"/>
      <c r="R537" s="13"/>
      <c r="S537" s="13"/>
      <c r="T537" s="13"/>
      <c r="U537" s="13"/>
      <c r="V537" s="13"/>
      <c r="W537" s="184"/>
      <c r="X537" s="37"/>
      <c r="Y537" s="22"/>
      <c r="Z537" s="38"/>
      <c r="AA537" s="13"/>
      <c r="AB537" s="13"/>
      <c r="AC537" s="13"/>
      <c r="AD537" s="36"/>
      <c r="AE537" s="13"/>
      <c r="AF537" s="13"/>
      <c r="AG537" s="184"/>
      <c r="AH537" s="37"/>
    </row>
    <row r="538" spans="1:34" ht="15.75" thickBot="1">
      <c r="A538" s="14">
        <f t="shared" si="197"/>
        <v>46387</v>
      </c>
      <c r="B538" s="11"/>
      <c r="C538" s="13"/>
      <c r="D538" s="13"/>
      <c r="E538" s="13"/>
      <c r="F538" s="13"/>
      <c r="G538" s="12"/>
      <c r="H538" s="36"/>
      <c r="I538" s="13"/>
      <c r="J538" s="13"/>
      <c r="K538" s="184"/>
      <c r="L538" s="26"/>
      <c r="M538" s="22"/>
      <c r="N538" s="29"/>
      <c r="O538" s="13"/>
      <c r="P538" s="13"/>
      <c r="Q538" s="13"/>
      <c r="R538" s="13"/>
      <c r="S538" s="13"/>
      <c r="T538" s="13"/>
      <c r="U538" s="13"/>
      <c r="V538" s="13"/>
      <c r="W538" s="184"/>
      <c r="X538" s="37"/>
      <c r="Y538" s="22"/>
      <c r="Z538" s="38"/>
      <c r="AA538" s="13"/>
      <c r="AB538" s="13"/>
      <c r="AC538" s="13"/>
      <c r="AD538" s="36"/>
      <c r="AE538" s="13"/>
      <c r="AF538" s="13"/>
      <c r="AG538" s="184"/>
      <c r="AH538" s="37"/>
    </row>
    <row r="539" spans="1:34">
      <c r="A539" s="16" t="s">
        <v>31</v>
      </c>
      <c r="B539" s="17">
        <f>MIN(B507:B538)</f>
        <v>0</v>
      </c>
      <c r="C539" s="17">
        <f>MIN(C507:C538)</f>
        <v>0</v>
      </c>
      <c r="D539" s="17">
        <f t="shared" ref="D539:L539" si="198">MIN(D507:D538)</f>
        <v>0</v>
      </c>
      <c r="E539" s="17">
        <f t="shared" si="198"/>
        <v>0</v>
      </c>
      <c r="F539" s="17">
        <f t="shared" si="198"/>
        <v>0</v>
      </c>
      <c r="G539" s="17">
        <f t="shared" si="198"/>
        <v>0</v>
      </c>
      <c r="H539" s="17">
        <f t="shared" si="198"/>
        <v>0</v>
      </c>
      <c r="I539" s="17">
        <f t="shared" si="198"/>
        <v>0</v>
      </c>
      <c r="J539" s="17">
        <f t="shared" si="198"/>
        <v>0</v>
      </c>
      <c r="K539" s="17">
        <f t="shared" si="198"/>
        <v>0</v>
      </c>
      <c r="L539" s="30">
        <f t="shared" si="198"/>
        <v>0</v>
      </c>
      <c r="M539" s="22"/>
      <c r="N539" s="17">
        <f>MIN(N507:N538)</f>
        <v>0</v>
      </c>
      <c r="O539" s="17">
        <f>MIN(O507:O538)</f>
        <v>0</v>
      </c>
      <c r="P539" s="17">
        <f t="shared" ref="P539:X539" si="199">MIN(P507:P538)</f>
        <v>0</v>
      </c>
      <c r="Q539" s="17">
        <f t="shared" si="199"/>
        <v>0</v>
      </c>
      <c r="R539" s="17">
        <f t="shared" si="199"/>
        <v>0</v>
      </c>
      <c r="S539" s="17">
        <f t="shared" si="199"/>
        <v>0</v>
      </c>
      <c r="T539" s="17">
        <f t="shared" si="199"/>
        <v>0</v>
      </c>
      <c r="U539" s="17">
        <f t="shared" si="199"/>
        <v>0</v>
      </c>
      <c r="V539" s="17">
        <f t="shared" si="199"/>
        <v>0</v>
      </c>
      <c r="W539" s="17">
        <f t="shared" si="199"/>
        <v>0</v>
      </c>
      <c r="X539" s="30">
        <f t="shared" si="199"/>
        <v>0</v>
      </c>
      <c r="Z539" s="40">
        <f t="shared" ref="Z539:AH539" si="200">MIN(Z507:Z538)</f>
        <v>0</v>
      </c>
      <c r="AA539" s="17">
        <f t="shared" si="200"/>
        <v>0</v>
      </c>
      <c r="AB539" s="17">
        <f t="shared" si="200"/>
        <v>0</v>
      </c>
      <c r="AC539" s="17">
        <f t="shared" si="200"/>
        <v>0</v>
      </c>
      <c r="AD539" s="17">
        <f t="shared" si="200"/>
        <v>0</v>
      </c>
      <c r="AE539" s="17">
        <f t="shared" si="200"/>
        <v>0</v>
      </c>
      <c r="AF539" s="17">
        <f t="shared" si="200"/>
        <v>0</v>
      </c>
      <c r="AG539" s="17">
        <f t="shared" si="200"/>
        <v>0</v>
      </c>
      <c r="AH539" s="30">
        <f t="shared" si="200"/>
        <v>0</v>
      </c>
    </row>
    <row r="540" spans="1:34">
      <c r="A540" s="18" t="s">
        <v>33</v>
      </c>
      <c r="B540" s="19">
        <f>MAX(B507:B538)</f>
        <v>0</v>
      </c>
      <c r="C540" s="19">
        <f>MAX(C507:C538)</f>
        <v>0</v>
      </c>
      <c r="D540" s="19">
        <f t="shared" ref="D540:L540" si="201">MAX(D507:D538)</f>
        <v>0</v>
      </c>
      <c r="E540" s="19">
        <f t="shared" si="201"/>
        <v>0</v>
      </c>
      <c r="F540" s="19">
        <f t="shared" si="201"/>
        <v>0</v>
      </c>
      <c r="G540" s="19">
        <f t="shared" si="201"/>
        <v>0</v>
      </c>
      <c r="H540" s="19">
        <f t="shared" si="201"/>
        <v>0</v>
      </c>
      <c r="I540" s="19">
        <f t="shared" si="201"/>
        <v>0</v>
      </c>
      <c r="J540" s="19">
        <f t="shared" si="201"/>
        <v>0</v>
      </c>
      <c r="K540" s="19">
        <f t="shared" si="201"/>
        <v>0</v>
      </c>
      <c r="L540" s="31">
        <f t="shared" si="201"/>
        <v>0</v>
      </c>
      <c r="M540" s="22"/>
      <c r="N540" s="19">
        <f>MAX(N507:N538)</f>
        <v>0</v>
      </c>
      <c r="O540" s="19">
        <f>MAX(O507:O538)</f>
        <v>0</v>
      </c>
      <c r="P540" s="19">
        <f t="shared" ref="P540:X540" si="202">MAX(P507:P538)</f>
        <v>0</v>
      </c>
      <c r="Q540" s="19">
        <f t="shared" si="202"/>
        <v>0</v>
      </c>
      <c r="R540" s="19">
        <f t="shared" si="202"/>
        <v>0</v>
      </c>
      <c r="S540" s="19">
        <f t="shared" si="202"/>
        <v>0</v>
      </c>
      <c r="T540" s="19">
        <f t="shared" si="202"/>
        <v>0</v>
      </c>
      <c r="U540" s="19">
        <f t="shared" si="202"/>
        <v>0</v>
      </c>
      <c r="V540" s="19">
        <f t="shared" si="202"/>
        <v>0</v>
      </c>
      <c r="W540" s="19">
        <f t="shared" si="202"/>
        <v>0</v>
      </c>
      <c r="X540" s="31">
        <f t="shared" si="202"/>
        <v>0</v>
      </c>
      <c r="Z540" s="41">
        <f t="shared" ref="Z540:AH540" si="203">MAX(Z507:Z538)</f>
        <v>0</v>
      </c>
      <c r="AA540" s="19">
        <f t="shared" si="203"/>
        <v>0</v>
      </c>
      <c r="AB540" s="19">
        <f t="shared" si="203"/>
        <v>0</v>
      </c>
      <c r="AC540" s="19">
        <f t="shared" si="203"/>
        <v>0</v>
      </c>
      <c r="AD540" s="19">
        <f t="shared" si="203"/>
        <v>0</v>
      </c>
      <c r="AE540" s="19">
        <f t="shared" si="203"/>
        <v>0</v>
      </c>
      <c r="AF540" s="19">
        <f t="shared" si="203"/>
        <v>0</v>
      </c>
      <c r="AG540" s="19">
        <f t="shared" si="203"/>
        <v>0</v>
      </c>
      <c r="AH540" s="31">
        <f t="shared" si="203"/>
        <v>0</v>
      </c>
    </row>
    <row r="541" spans="1:34">
      <c r="A541" s="18" t="s">
        <v>36</v>
      </c>
      <c r="B541" s="19" t="e">
        <f t="shared" ref="B541:L541" si="204">AVERAGE(B507:B538)</f>
        <v>#DIV/0!</v>
      </c>
      <c r="C541" s="19" t="e">
        <f t="shared" si="204"/>
        <v>#DIV/0!</v>
      </c>
      <c r="D541" s="19" t="e">
        <f t="shared" si="204"/>
        <v>#DIV/0!</v>
      </c>
      <c r="E541" s="19" t="e">
        <f t="shared" si="204"/>
        <v>#DIV/0!</v>
      </c>
      <c r="F541" s="19" t="e">
        <f t="shared" si="204"/>
        <v>#DIV/0!</v>
      </c>
      <c r="G541" s="19" t="e">
        <f t="shared" si="204"/>
        <v>#DIV/0!</v>
      </c>
      <c r="H541" s="19" t="e">
        <f t="shared" si="204"/>
        <v>#DIV/0!</v>
      </c>
      <c r="I541" s="19" t="e">
        <f t="shared" si="204"/>
        <v>#DIV/0!</v>
      </c>
      <c r="J541" s="19" t="e">
        <f t="shared" si="204"/>
        <v>#DIV/0!</v>
      </c>
      <c r="K541" s="19" t="e">
        <f t="shared" si="204"/>
        <v>#DIV/0!</v>
      </c>
      <c r="L541" s="31" t="e">
        <f t="shared" si="204"/>
        <v>#DIV/0!</v>
      </c>
      <c r="M541" s="22"/>
      <c r="N541" s="19" t="e">
        <f t="shared" ref="N541:X541" si="205">AVERAGE(N507:N538)</f>
        <v>#DIV/0!</v>
      </c>
      <c r="O541" s="19" t="e">
        <f t="shared" si="205"/>
        <v>#DIV/0!</v>
      </c>
      <c r="P541" s="19" t="e">
        <f t="shared" si="205"/>
        <v>#DIV/0!</v>
      </c>
      <c r="Q541" s="19" t="e">
        <f t="shared" si="205"/>
        <v>#DIV/0!</v>
      </c>
      <c r="R541" s="19" t="e">
        <f t="shared" si="205"/>
        <v>#DIV/0!</v>
      </c>
      <c r="S541" s="19" t="e">
        <f t="shared" si="205"/>
        <v>#DIV/0!</v>
      </c>
      <c r="T541" s="19" t="e">
        <f t="shared" si="205"/>
        <v>#DIV/0!</v>
      </c>
      <c r="U541" s="19" t="e">
        <f t="shared" si="205"/>
        <v>#DIV/0!</v>
      </c>
      <c r="V541" s="19" t="e">
        <f t="shared" si="205"/>
        <v>#DIV/0!</v>
      </c>
      <c r="W541" s="19" t="e">
        <f t="shared" si="205"/>
        <v>#DIV/0!</v>
      </c>
      <c r="X541" s="31" t="e">
        <f t="shared" si="205"/>
        <v>#DIV/0!</v>
      </c>
      <c r="Z541" s="41" t="e">
        <f>AVERAGE(Z507:Z538)</f>
        <v>#DIV/0!</v>
      </c>
      <c r="AA541" s="19" t="e">
        <f t="shared" ref="AA541:AH541" si="206">AVERAGE(AA507:AA538)</f>
        <v>#DIV/0!</v>
      </c>
      <c r="AB541" s="19" t="e">
        <f t="shared" si="206"/>
        <v>#DIV/0!</v>
      </c>
      <c r="AC541" s="19" t="e">
        <f t="shared" si="206"/>
        <v>#DIV/0!</v>
      </c>
      <c r="AD541" s="19" t="e">
        <f t="shared" si="206"/>
        <v>#DIV/0!</v>
      </c>
      <c r="AE541" s="19" t="e">
        <f t="shared" si="206"/>
        <v>#DIV/0!</v>
      </c>
      <c r="AF541" s="19" t="e">
        <f t="shared" si="206"/>
        <v>#DIV/0!</v>
      </c>
      <c r="AG541" s="19" t="e">
        <f t="shared" si="206"/>
        <v>#DIV/0!</v>
      </c>
      <c r="AH541" s="31" t="e">
        <f t="shared" si="206"/>
        <v>#DIV/0!</v>
      </c>
    </row>
    <row r="542" spans="1:34" ht="15.75" thickBot="1">
      <c r="A542" s="20" t="s">
        <v>130</v>
      </c>
      <c r="B542" s="21" t="e">
        <f>STDEV(B507:B538)</f>
        <v>#DIV/0!</v>
      </c>
      <c r="C542" s="21" t="e">
        <f t="shared" ref="C542:L542" si="207">STDEV(C507:C538)</f>
        <v>#DIV/0!</v>
      </c>
      <c r="D542" s="21" t="e">
        <f t="shared" si="207"/>
        <v>#DIV/0!</v>
      </c>
      <c r="E542" s="21" t="e">
        <f t="shared" si="207"/>
        <v>#DIV/0!</v>
      </c>
      <c r="F542" s="21" t="e">
        <f t="shared" si="207"/>
        <v>#DIV/0!</v>
      </c>
      <c r="G542" s="21" t="e">
        <f t="shared" si="207"/>
        <v>#DIV/0!</v>
      </c>
      <c r="H542" s="21" t="e">
        <f t="shared" si="207"/>
        <v>#DIV/0!</v>
      </c>
      <c r="I542" s="21" t="e">
        <f t="shared" si="207"/>
        <v>#DIV/0!</v>
      </c>
      <c r="J542" s="21" t="e">
        <f t="shared" si="207"/>
        <v>#DIV/0!</v>
      </c>
      <c r="K542" s="21" t="e">
        <f t="shared" si="207"/>
        <v>#DIV/0!</v>
      </c>
      <c r="L542" s="32" t="e">
        <f t="shared" si="207"/>
        <v>#DIV/0!</v>
      </c>
      <c r="M542" s="22"/>
      <c r="N542" s="21" t="e">
        <f>STDEV(N507:N538)</f>
        <v>#DIV/0!</v>
      </c>
      <c r="O542" s="21" t="e">
        <f t="shared" ref="O542:X542" si="208">STDEV(O507:O538)</f>
        <v>#DIV/0!</v>
      </c>
      <c r="P542" s="21" t="e">
        <f t="shared" si="208"/>
        <v>#DIV/0!</v>
      </c>
      <c r="Q542" s="21" t="e">
        <f t="shared" si="208"/>
        <v>#DIV/0!</v>
      </c>
      <c r="R542" s="21" t="e">
        <f t="shared" si="208"/>
        <v>#DIV/0!</v>
      </c>
      <c r="S542" s="21" t="e">
        <f t="shared" si="208"/>
        <v>#DIV/0!</v>
      </c>
      <c r="T542" s="21" t="e">
        <f t="shared" si="208"/>
        <v>#DIV/0!</v>
      </c>
      <c r="U542" s="21" t="e">
        <f t="shared" si="208"/>
        <v>#DIV/0!</v>
      </c>
      <c r="V542" s="21" t="e">
        <f t="shared" si="208"/>
        <v>#DIV/0!</v>
      </c>
      <c r="W542" s="21" t="e">
        <f t="shared" si="208"/>
        <v>#DIV/0!</v>
      </c>
      <c r="X542" s="32" t="e">
        <f t="shared" si="208"/>
        <v>#DIV/0!</v>
      </c>
      <c r="Z542" s="42" t="e">
        <f>STDEV(Z507:Z538)</f>
        <v>#DIV/0!</v>
      </c>
      <c r="AA542" s="21" t="e">
        <f t="shared" ref="AA542:AH542" si="209">STDEV(AA507:AA538)</f>
        <v>#DIV/0!</v>
      </c>
      <c r="AB542" s="21" t="e">
        <f t="shared" si="209"/>
        <v>#DIV/0!</v>
      </c>
      <c r="AC542" s="21" t="e">
        <f t="shared" si="209"/>
        <v>#DIV/0!</v>
      </c>
      <c r="AD542" s="21" t="e">
        <f t="shared" si="209"/>
        <v>#DIV/0!</v>
      </c>
      <c r="AE542" s="21" t="e">
        <f t="shared" si="209"/>
        <v>#DIV/0!</v>
      </c>
      <c r="AF542" s="21" t="e">
        <f t="shared" si="209"/>
        <v>#DIV/0!</v>
      </c>
      <c r="AG542" s="21" t="e">
        <f t="shared" si="209"/>
        <v>#DIV/0!</v>
      </c>
      <c r="AH542" s="32" t="e">
        <f t="shared" si="209"/>
        <v>#DIV/0!</v>
      </c>
    </row>
  </sheetData>
  <mergeCells count="143">
    <mergeCell ref="B250:AH250"/>
    <mergeCell ref="B251:AC251"/>
    <mergeCell ref="AF251:AH251"/>
    <mergeCell ref="B292:AH292"/>
    <mergeCell ref="B293:AC293"/>
    <mergeCell ref="AF293:AH293"/>
    <mergeCell ref="A3:A4"/>
    <mergeCell ref="B4:B5"/>
    <mergeCell ref="B1:AH1"/>
    <mergeCell ref="N4:N5"/>
    <mergeCell ref="AF2:AH2"/>
    <mergeCell ref="B3:L3"/>
    <mergeCell ref="N3:X3"/>
    <mergeCell ref="Z3:AH3"/>
    <mergeCell ref="B124:AH124"/>
    <mergeCell ref="B125:AC125"/>
    <mergeCell ref="AF125:AH125"/>
    <mergeCell ref="B166:AH166"/>
    <mergeCell ref="O4:O5"/>
    <mergeCell ref="B2:AC2"/>
    <mergeCell ref="C4:C5"/>
    <mergeCell ref="B43:AH43"/>
    <mergeCell ref="B44:AC44"/>
    <mergeCell ref="AF44:AH44"/>
    <mergeCell ref="A45:A46"/>
    <mergeCell ref="B45:L45"/>
    <mergeCell ref="N45:X45"/>
    <mergeCell ref="Z45:AH45"/>
    <mergeCell ref="B46:B47"/>
    <mergeCell ref="C46:C47"/>
    <mergeCell ref="N46:N47"/>
    <mergeCell ref="O46:O47"/>
    <mergeCell ref="B85:AH85"/>
    <mergeCell ref="B86:AC86"/>
    <mergeCell ref="AF86:AH86"/>
    <mergeCell ref="A87:A88"/>
    <mergeCell ref="B87:L87"/>
    <mergeCell ref="N87:X87"/>
    <mergeCell ref="Z87:AH87"/>
    <mergeCell ref="C88:C89"/>
    <mergeCell ref="O88:O89"/>
    <mergeCell ref="A126:A127"/>
    <mergeCell ref="B126:L126"/>
    <mergeCell ref="N126:X126"/>
    <mergeCell ref="Z126:AH126"/>
    <mergeCell ref="B127:B128"/>
    <mergeCell ref="C127:C128"/>
    <mergeCell ref="N127:N128"/>
    <mergeCell ref="O127:O128"/>
    <mergeCell ref="B88:B89"/>
    <mergeCell ref="N88:N89"/>
    <mergeCell ref="A210:A211"/>
    <mergeCell ref="B210:L210"/>
    <mergeCell ref="N210:X210"/>
    <mergeCell ref="Z210:AH210"/>
    <mergeCell ref="B211:B212"/>
    <mergeCell ref="C211:C212"/>
    <mergeCell ref="N211:N212"/>
    <mergeCell ref="O211:O212"/>
    <mergeCell ref="B167:AC167"/>
    <mergeCell ref="AF167:AH167"/>
    <mergeCell ref="A168:A169"/>
    <mergeCell ref="B168:L168"/>
    <mergeCell ref="N168:X168"/>
    <mergeCell ref="Z168:AH168"/>
    <mergeCell ref="B169:B170"/>
    <mergeCell ref="C169:C170"/>
    <mergeCell ref="N169:N170"/>
    <mergeCell ref="O169:O170"/>
    <mergeCell ref="B208:AH208"/>
    <mergeCell ref="B209:AC209"/>
    <mergeCell ref="AF209:AH209"/>
    <mergeCell ref="A294:A295"/>
    <mergeCell ref="B294:L294"/>
    <mergeCell ref="N294:X294"/>
    <mergeCell ref="Z294:AH294"/>
    <mergeCell ref="B295:B296"/>
    <mergeCell ref="C295:C296"/>
    <mergeCell ref="N295:N296"/>
    <mergeCell ref="O295:O296"/>
    <mergeCell ref="A252:A253"/>
    <mergeCell ref="B252:L252"/>
    <mergeCell ref="N252:X252"/>
    <mergeCell ref="Z252:AH252"/>
    <mergeCell ref="B253:B254"/>
    <mergeCell ref="C253:C254"/>
    <mergeCell ref="N253:N254"/>
    <mergeCell ref="O253:O254"/>
    <mergeCell ref="B334:AH334"/>
    <mergeCell ref="B335:AC335"/>
    <mergeCell ref="AF335:AH335"/>
    <mergeCell ref="A336:A337"/>
    <mergeCell ref="B336:L336"/>
    <mergeCell ref="N336:X336"/>
    <mergeCell ref="Z336:AH336"/>
    <mergeCell ref="B337:B338"/>
    <mergeCell ref="C337:C338"/>
    <mergeCell ref="N337:N338"/>
    <mergeCell ref="O337:O338"/>
    <mergeCell ref="B376:AH376"/>
    <mergeCell ref="B377:AC377"/>
    <mergeCell ref="AF377:AH377"/>
    <mergeCell ref="A378:A379"/>
    <mergeCell ref="B378:L378"/>
    <mergeCell ref="N378:X378"/>
    <mergeCell ref="Z378:AH378"/>
    <mergeCell ref="B379:B380"/>
    <mergeCell ref="C379:C380"/>
    <mergeCell ref="N379:N380"/>
    <mergeCell ref="O379:O380"/>
    <mergeCell ref="B418:AH418"/>
    <mergeCell ref="B419:AC419"/>
    <mergeCell ref="AF419:AH419"/>
    <mergeCell ref="A420:A421"/>
    <mergeCell ref="B420:L420"/>
    <mergeCell ref="N420:X420"/>
    <mergeCell ref="Z420:AH420"/>
    <mergeCell ref="B421:B422"/>
    <mergeCell ref="C421:C422"/>
    <mergeCell ref="N421:N422"/>
    <mergeCell ref="O421:O422"/>
    <mergeCell ref="B460:AH460"/>
    <mergeCell ref="B461:AC461"/>
    <mergeCell ref="AF461:AH461"/>
    <mergeCell ref="A462:A463"/>
    <mergeCell ref="B462:L462"/>
    <mergeCell ref="N462:X462"/>
    <mergeCell ref="Z462:AH462"/>
    <mergeCell ref="B463:B464"/>
    <mergeCell ref="C463:C464"/>
    <mergeCell ref="N463:N464"/>
    <mergeCell ref="O463:O464"/>
    <mergeCell ref="B502:AH502"/>
    <mergeCell ref="B503:AC503"/>
    <mergeCell ref="AF503:AH503"/>
    <mergeCell ref="A504:A505"/>
    <mergeCell ref="B504:L504"/>
    <mergeCell ref="N504:X504"/>
    <mergeCell ref="Z504:AH504"/>
    <mergeCell ref="B505:B506"/>
    <mergeCell ref="C505:C506"/>
    <mergeCell ref="N505:N506"/>
    <mergeCell ref="O505:O506"/>
  </mergeCells>
  <pageMargins left="0.7" right="0.7" top="0.75" bottom="0.75" header="0.3" footer="0.3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B050"/>
  </sheetPr>
  <dimension ref="A1:AH545"/>
  <sheetViews>
    <sheetView workbookViewId="0">
      <selection activeCell="P14" sqref="P14"/>
    </sheetView>
  </sheetViews>
  <sheetFormatPr defaultColWidth="5.28515625" defaultRowHeight="15"/>
  <cols>
    <col min="1" max="1" width="9.5703125" style="2" customWidth="1"/>
    <col min="2" max="29" width="5.28515625" style="3"/>
    <col min="30" max="30" width="6.140625" style="3" customWidth="1"/>
    <col min="31" max="31" width="7" style="3" bestFit="1" customWidth="1"/>
    <col min="32" max="33" width="5.28515625" style="3"/>
    <col min="34" max="34" width="6" style="3" bestFit="1" customWidth="1"/>
  </cols>
  <sheetData>
    <row r="1" spans="1:34" s="1" customFormat="1" ht="15.75" thickBot="1">
      <c r="B1" s="338" t="s">
        <v>0</v>
      </c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9"/>
      <c r="R1" s="339"/>
      <c r="S1" s="339"/>
      <c r="T1" s="339"/>
      <c r="U1" s="339"/>
      <c r="V1" s="339"/>
      <c r="W1" s="339"/>
      <c r="X1" s="339"/>
      <c r="Y1" s="339"/>
      <c r="Z1" s="339"/>
      <c r="AA1" s="339"/>
      <c r="AB1" s="339"/>
      <c r="AC1" s="339"/>
      <c r="AD1" s="340"/>
      <c r="AE1" s="340"/>
      <c r="AF1" s="340"/>
      <c r="AG1" s="340"/>
      <c r="AH1" s="340"/>
    </row>
    <row r="2" spans="1:34" s="1" customFormat="1" ht="15.75" customHeight="1" thickBot="1">
      <c r="B2" s="338" t="s">
        <v>165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4"/>
      <c r="AE2" s="43" t="s">
        <v>107</v>
      </c>
      <c r="AF2" s="341">
        <v>45992</v>
      </c>
      <c r="AG2" s="342"/>
      <c r="AH2" s="343"/>
    </row>
    <row r="3" spans="1:34">
      <c r="A3" s="344"/>
      <c r="B3" s="346" t="s">
        <v>132</v>
      </c>
      <c r="C3" s="347"/>
      <c r="D3" s="347"/>
      <c r="E3" s="347"/>
      <c r="F3" s="347"/>
      <c r="G3" s="347"/>
      <c r="H3" s="347"/>
      <c r="I3" s="347"/>
      <c r="J3" s="347"/>
      <c r="K3" s="348"/>
      <c r="L3" s="349"/>
      <c r="M3" s="22"/>
      <c r="N3" s="350" t="s">
        <v>133</v>
      </c>
      <c r="O3" s="347"/>
      <c r="P3" s="347"/>
      <c r="Q3" s="347"/>
      <c r="R3" s="347"/>
      <c r="S3" s="347"/>
      <c r="T3" s="347"/>
      <c r="U3" s="347"/>
      <c r="V3" s="347"/>
      <c r="W3" s="348"/>
      <c r="X3" s="349"/>
      <c r="Y3" s="22"/>
      <c r="Z3" s="346" t="s">
        <v>134</v>
      </c>
      <c r="AA3" s="347"/>
      <c r="AB3" s="347"/>
      <c r="AC3" s="347"/>
      <c r="AD3" s="347"/>
      <c r="AE3" s="347"/>
      <c r="AF3" s="347"/>
      <c r="AG3" s="348"/>
      <c r="AH3" s="349"/>
    </row>
    <row r="4" spans="1:34" ht="25.5">
      <c r="A4" s="345"/>
      <c r="B4" s="359" t="s">
        <v>135</v>
      </c>
      <c r="C4" s="361" t="s">
        <v>136</v>
      </c>
      <c r="D4" s="5" t="s">
        <v>137</v>
      </c>
      <c r="E4" s="5" t="s">
        <v>138</v>
      </c>
      <c r="F4" s="5" t="s">
        <v>139</v>
      </c>
      <c r="G4" s="5" t="s">
        <v>140</v>
      </c>
      <c r="H4" s="5" t="s">
        <v>141</v>
      </c>
      <c r="I4" s="5" t="s">
        <v>142</v>
      </c>
      <c r="J4" s="5" t="s">
        <v>143</v>
      </c>
      <c r="K4" s="181" t="s">
        <v>81</v>
      </c>
      <c r="L4" s="23" t="s">
        <v>144</v>
      </c>
      <c r="M4" s="22"/>
      <c r="N4" s="355" t="s">
        <v>135</v>
      </c>
      <c r="O4" s="357" t="s">
        <v>136</v>
      </c>
      <c r="P4" s="5" t="s">
        <v>137</v>
      </c>
      <c r="Q4" s="5" t="s">
        <v>138</v>
      </c>
      <c r="R4" s="5" t="s">
        <v>139</v>
      </c>
      <c r="S4" s="5" t="s">
        <v>140</v>
      </c>
      <c r="T4" s="5" t="s">
        <v>141</v>
      </c>
      <c r="U4" s="5" t="s">
        <v>142</v>
      </c>
      <c r="V4" s="5" t="s">
        <v>143</v>
      </c>
      <c r="W4" s="181" t="s">
        <v>81</v>
      </c>
      <c r="X4" s="23" t="s">
        <v>144</v>
      </c>
      <c r="Y4" s="22"/>
      <c r="Z4" s="33" t="s">
        <v>137</v>
      </c>
      <c r="AA4" s="5" t="s">
        <v>138</v>
      </c>
      <c r="AB4" s="5" t="s">
        <v>139</v>
      </c>
      <c r="AC4" s="5" t="s">
        <v>140</v>
      </c>
      <c r="AD4" s="5" t="s">
        <v>141</v>
      </c>
      <c r="AE4" s="5" t="s">
        <v>142</v>
      </c>
      <c r="AF4" s="5" t="s">
        <v>143</v>
      </c>
      <c r="AG4" s="181" t="s">
        <v>81</v>
      </c>
      <c r="AH4" s="23" t="s">
        <v>144</v>
      </c>
    </row>
    <row r="5" spans="1:34" ht="25.5">
      <c r="A5" s="6" t="s">
        <v>145</v>
      </c>
      <c r="B5" s="360"/>
      <c r="C5" s="362"/>
      <c r="D5" s="5" t="s">
        <v>128</v>
      </c>
      <c r="E5" s="5" t="s">
        <v>128</v>
      </c>
      <c r="F5" s="5" t="s">
        <v>128</v>
      </c>
      <c r="G5" s="5" t="s">
        <v>128</v>
      </c>
      <c r="H5" s="5" t="s">
        <v>125</v>
      </c>
      <c r="I5" s="5" t="s">
        <v>146</v>
      </c>
      <c r="J5" s="5" t="s">
        <v>127</v>
      </c>
      <c r="K5" s="181" t="s">
        <v>53</v>
      </c>
      <c r="L5" s="23" t="s">
        <v>53</v>
      </c>
      <c r="M5" s="22"/>
      <c r="N5" s="356"/>
      <c r="O5" s="358"/>
      <c r="P5" s="5" t="s">
        <v>128</v>
      </c>
      <c r="Q5" s="5" t="s">
        <v>128</v>
      </c>
      <c r="R5" s="5" t="s">
        <v>128</v>
      </c>
      <c r="S5" s="5" t="s">
        <v>128</v>
      </c>
      <c r="T5" s="5" t="s">
        <v>125</v>
      </c>
      <c r="U5" s="5" t="s">
        <v>146</v>
      </c>
      <c r="V5" s="5" t="s">
        <v>127</v>
      </c>
      <c r="W5" s="181" t="s">
        <v>53</v>
      </c>
      <c r="X5" s="23" t="s">
        <v>53</v>
      </c>
      <c r="Y5" s="22"/>
      <c r="Z5" s="33" t="s">
        <v>128</v>
      </c>
      <c r="AA5" s="5" t="s">
        <v>128</v>
      </c>
      <c r="AB5" s="5" t="s">
        <v>128</v>
      </c>
      <c r="AC5" s="5" t="s">
        <v>128</v>
      </c>
      <c r="AD5" s="5" t="s">
        <v>125</v>
      </c>
      <c r="AE5" s="5" t="s">
        <v>146</v>
      </c>
      <c r="AF5" s="5" t="s">
        <v>127</v>
      </c>
      <c r="AG5" s="181" t="s">
        <v>53</v>
      </c>
      <c r="AH5" s="23" t="s">
        <v>53</v>
      </c>
    </row>
    <row r="6" spans="1:34" ht="39" thickBot="1">
      <c r="A6" s="7" t="s">
        <v>147</v>
      </c>
      <c r="B6" s="8" t="s">
        <v>148</v>
      </c>
      <c r="C6" s="9" t="s">
        <v>166</v>
      </c>
      <c r="D6" s="9" t="s">
        <v>167</v>
      </c>
      <c r="E6" s="9" t="s">
        <v>168</v>
      </c>
      <c r="F6" s="9" t="s">
        <v>169</v>
      </c>
      <c r="G6" s="9" t="s">
        <v>170</v>
      </c>
      <c r="H6" s="9" t="s">
        <v>154</v>
      </c>
      <c r="I6" s="24" t="s">
        <v>155</v>
      </c>
      <c r="J6" s="24" t="s">
        <v>156</v>
      </c>
      <c r="K6" s="24" t="s">
        <v>179</v>
      </c>
      <c r="L6" s="25" t="s">
        <v>171</v>
      </c>
      <c r="M6" s="22"/>
      <c r="N6" s="8" t="s">
        <v>148</v>
      </c>
      <c r="O6" s="9" t="s">
        <v>166</v>
      </c>
      <c r="P6" s="9" t="s">
        <v>167</v>
      </c>
      <c r="Q6" s="9" t="s">
        <v>168</v>
      </c>
      <c r="R6" s="9" t="s">
        <v>169</v>
      </c>
      <c r="S6" s="9" t="s">
        <v>170</v>
      </c>
      <c r="T6" s="9" t="s">
        <v>154</v>
      </c>
      <c r="U6" s="24" t="s">
        <v>155</v>
      </c>
      <c r="V6" s="24" t="s">
        <v>156</v>
      </c>
      <c r="W6" s="24" t="s">
        <v>179</v>
      </c>
      <c r="X6" s="25" t="s">
        <v>171</v>
      </c>
      <c r="Y6" s="22"/>
      <c r="Z6" s="8" t="s">
        <v>167</v>
      </c>
      <c r="AA6" s="9" t="s">
        <v>168</v>
      </c>
      <c r="AB6" s="9" t="s">
        <v>169</v>
      </c>
      <c r="AC6" s="9" t="s">
        <v>170</v>
      </c>
      <c r="AD6" s="9" t="s">
        <v>154</v>
      </c>
      <c r="AE6" s="9" t="s">
        <v>155</v>
      </c>
      <c r="AF6" s="9" t="s">
        <v>156</v>
      </c>
      <c r="AG6" s="24" t="s">
        <v>179</v>
      </c>
      <c r="AH6" s="23" t="s">
        <v>171</v>
      </c>
    </row>
    <row r="7" spans="1:34">
      <c r="A7" s="10">
        <f>AF2+0</f>
        <v>45992</v>
      </c>
      <c r="B7" s="11" t="s">
        <v>35</v>
      </c>
      <c r="C7" s="12" t="s">
        <v>35</v>
      </c>
      <c r="D7" s="12" t="s">
        <v>35</v>
      </c>
      <c r="E7" s="13" t="s">
        <v>35</v>
      </c>
      <c r="F7" s="12" t="s">
        <v>35</v>
      </c>
      <c r="G7" s="12" t="s">
        <v>35</v>
      </c>
      <c r="H7" s="12" t="s">
        <v>35</v>
      </c>
      <c r="I7" s="12" t="s">
        <v>35</v>
      </c>
      <c r="J7" s="13" t="s">
        <v>35</v>
      </c>
      <c r="K7" s="184"/>
      <c r="L7" s="26" t="s">
        <v>35</v>
      </c>
      <c r="M7" s="22"/>
      <c r="N7" s="29" t="s">
        <v>35</v>
      </c>
      <c r="O7" s="13" t="s">
        <v>35</v>
      </c>
      <c r="P7" s="13" t="s">
        <v>35</v>
      </c>
      <c r="Q7" s="13" t="s">
        <v>35</v>
      </c>
      <c r="R7" s="13" t="s">
        <v>35</v>
      </c>
      <c r="S7" s="13" t="s">
        <v>35</v>
      </c>
      <c r="T7" s="13" t="s">
        <v>35</v>
      </c>
      <c r="U7" s="13" t="s">
        <v>35</v>
      </c>
      <c r="V7" s="13" t="s">
        <v>35</v>
      </c>
      <c r="W7" s="184"/>
      <c r="X7" s="37" t="s">
        <v>35</v>
      </c>
      <c r="Y7" s="22"/>
      <c r="Z7" s="38" t="s">
        <v>35</v>
      </c>
      <c r="AA7" s="13" t="s">
        <v>35</v>
      </c>
      <c r="AB7" s="13" t="s">
        <v>35</v>
      </c>
      <c r="AC7" s="13" t="s">
        <v>35</v>
      </c>
      <c r="AD7" s="13" t="s">
        <v>35</v>
      </c>
      <c r="AE7" s="13" t="s">
        <v>35</v>
      </c>
      <c r="AF7" s="13" t="s">
        <v>35</v>
      </c>
      <c r="AG7" s="184"/>
      <c r="AH7" s="45" t="s">
        <v>35</v>
      </c>
    </row>
    <row r="8" spans="1:34">
      <c r="A8" s="14">
        <f t="shared" ref="A8:A37" si="0">A7+1</f>
        <v>45993</v>
      </c>
      <c r="B8" s="11" t="s">
        <v>35</v>
      </c>
      <c r="C8" s="12" t="s">
        <v>35</v>
      </c>
      <c r="D8" s="12" t="s">
        <v>35</v>
      </c>
      <c r="E8" s="13" t="s">
        <v>35</v>
      </c>
      <c r="F8" s="12" t="s">
        <v>35</v>
      </c>
      <c r="G8" s="12" t="s">
        <v>35</v>
      </c>
      <c r="H8" s="12" t="s">
        <v>35</v>
      </c>
      <c r="I8" s="12" t="s">
        <v>35</v>
      </c>
      <c r="J8" s="13" t="s">
        <v>35</v>
      </c>
      <c r="K8" s="184"/>
      <c r="L8" s="26" t="s">
        <v>35</v>
      </c>
      <c r="M8" s="22"/>
      <c r="N8" s="29" t="s">
        <v>35</v>
      </c>
      <c r="O8" s="13" t="s">
        <v>35</v>
      </c>
      <c r="P8" s="13" t="s">
        <v>35</v>
      </c>
      <c r="Q8" s="13" t="s">
        <v>35</v>
      </c>
      <c r="R8" s="13" t="s">
        <v>35</v>
      </c>
      <c r="S8" s="13" t="s">
        <v>35</v>
      </c>
      <c r="T8" s="13" t="s">
        <v>35</v>
      </c>
      <c r="U8" s="13" t="s">
        <v>35</v>
      </c>
      <c r="V8" s="13" t="s">
        <v>35</v>
      </c>
      <c r="W8" s="184"/>
      <c r="X8" s="37" t="s">
        <v>35</v>
      </c>
      <c r="Y8" s="22"/>
      <c r="Z8" s="38" t="s">
        <v>35</v>
      </c>
      <c r="AA8" s="13" t="s">
        <v>35</v>
      </c>
      <c r="AB8" s="13" t="s">
        <v>35</v>
      </c>
      <c r="AC8" s="13" t="s">
        <v>35</v>
      </c>
      <c r="AD8" s="13" t="s">
        <v>35</v>
      </c>
      <c r="AE8" s="13" t="s">
        <v>35</v>
      </c>
      <c r="AF8" s="13" t="s">
        <v>35</v>
      </c>
      <c r="AG8" s="184"/>
      <c r="AH8" s="45" t="s">
        <v>35</v>
      </c>
    </row>
    <row r="9" spans="1:34">
      <c r="A9" s="14">
        <f t="shared" si="0"/>
        <v>45994</v>
      </c>
      <c r="B9" s="11" t="s">
        <v>35</v>
      </c>
      <c r="C9" s="12" t="s">
        <v>35</v>
      </c>
      <c r="D9" s="12" t="s">
        <v>35</v>
      </c>
      <c r="E9" s="13" t="s">
        <v>35</v>
      </c>
      <c r="F9" s="12" t="s">
        <v>35</v>
      </c>
      <c r="G9" s="12" t="s">
        <v>35</v>
      </c>
      <c r="H9" s="12" t="s">
        <v>35</v>
      </c>
      <c r="I9" s="12" t="s">
        <v>35</v>
      </c>
      <c r="J9" s="13" t="s">
        <v>35</v>
      </c>
      <c r="K9" s="184"/>
      <c r="L9" s="26" t="s">
        <v>35</v>
      </c>
      <c r="M9" s="22"/>
      <c r="N9" s="29" t="s">
        <v>35</v>
      </c>
      <c r="O9" s="13" t="s">
        <v>35</v>
      </c>
      <c r="P9" s="13" t="s">
        <v>35</v>
      </c>
      <c r="Q9" s="13" t="s">
        <v>35</v>
      </c>
      <c r="R9" s="13" t="s">
        <v>35</v>
      </c>
      <c r="S9" s="13" t="s">
        <v>35</v>
      </c>
      <c r="T9" s="13" t="s">
        <v>35</v>
      </c>
      <c r="U9" s="13" t="s">
        <v>35</v>
      </c>
      <c r="V9" s="13" t="s">
        <v>35</v>
      </c>
      <c r="W9" s="184"/>
      <c r="X9" s="37" t="s">
        <v>35</v>
      </c>
      <c r="Y9" s="22"/>
      <c r="Z9" s="38" t="s">
        <v>35</v>
      </c>
      <c r="AA9" s="13" t="s">
        <v>35</v>
      </c>
      <c r="AB9" s="13" t="s">
        <v>35</v>
      </c>
      <c r="AC9" s="13" t="s">
        <v>35</v>
      </c>
      <c r="AD9" s="13" t="s">
        <v>35</v>
      </c>
      <c r="AE9" s="13" t="s">
        <v>35</v>
      </c>
      <c r="AF9" s="13" t="s">
        <v>35</v>
      </c>
      <c r="AG9" s="184"/>
      <c r="AH9" s="45" t="s">
        <v>35</v>
      </c>
    </row>
    <row r="10" spans="1:34">
      <c r="A10" s="14">
        <f t="shared" si="0"/>
        <v>45995</v>
      </c>
      <c r="B10" s="11" t="s">
        <v>35</v>
      </c>
      <c r="C10" s="12" t="s">
        <v>35</v>
      </c>
      <c r="D10" s="12" t="s">
        <v>35</v>
      </c>
      <c r="E10" s="13" t="s">
        <v>35</v>
      </c>
      <c r="F10" s="12" t="s">
        <v>35</v>
      </c>
      <c r="G10" s="12" t="s">
        <v>35</v>
      </c>
      <c r="H10" s="12" t="s">
        <v>35</v>
      </c>
      <c r="I10" s="12" t="s">
        <v>35</v>
      </c>
      <c r="J10" s="13" t="s">
        <v>35</v>
      </c>
      <c r="K10" s="184"/>
      <c r="L10" s="26" t="s">
        <v>35</v>
      </c>
      <c r="M10" s="22"/>
      <c r="N10" s="29" t="s">
        <v>35</v>
      </c>
      <c r="O10" s="13" t="s">
        <v>35</v>
      </c>
      <c r="P10" s="13" t="s">
        <v>35</v>
      </c>
      <c r="Q10" s="13" t="s">
        <v>35</v>
      </c>
      <c r="R10" s="13" t="s">
        <v>35</v>
      </c>
      <c r="S10" s="13" t="s">
        <v>35</v>
      </c>
      <c r="T10" s="13" t="s">
        <v>35</v>
      </c>
      <c r="U10" s="13" t="s">
        <v>35</v>
      </c>
      <c r="V10" s="13" t="s">
        <v>35</v>
      </c>
      <c r="W10" s="184"/>
      <c r="X10" s="37" t="s">
        <v>35</v>
      </c>
      <c r="Y10" s="22"/>
      <c r="Z10" s="38" t="s">
        <v>35</v>
      </c>
      <c r="AA10" s="13" t="s">
        <v>35</v>
      </c>
      <c r="AB10" s="13" t="s">
        <v>35</v>
      </c>
      <c r="AC10" s="13" t="s">
        <v>35</v>
      </c>
      <c r="AD10" s="13" t="s">
        <v>35</v>
      </c>
      <c r="AE10" s="13" t="s">
        <v>35</v>
      </c>
      <c r="AF10" s="13" t="s">
        <v>35</v>
      </c>
      <c r="AG10" s="184"/>
      <c r="AH10" s="45" t="s">
        <v>35</v>
      </c>
    </row>
    <row r="11" spans="1:34">
      <c r="A11" s="14">
        <f t="shared" si="0"/>
        <v>45996</v>
      </c>
      <c r="B11" s="11" t="s">
        <v>35</v>
      </c>
      <c r="C11" s="12" t="s">
        <v>35</v>
      </c>
      <c r="D11" s="12" t="s">
        <v>35</v>
      </c>
      <c r="E11" s="13" t="s">
        <v>35</v>
      </c>
      <c r="F11" s="12" t="s">
        <v>35</v>
      </c>
      <c r="G11" s="12" t="s">
        <v>35</v>
      </c>
      <c r="H11" s="12" t="s">
        <v>35</v>
      </c>
      <c r="I11" s="12" t="s">
        <v>35</v>
      </c>
      <c r="J11" s="13" t="s">
        <v>35</v>
      </c>
      <c r="K11" s="184"/>
      <c r="L11" s="26" t="s">
        <v>35</v>
      </c>
      <c r="M11" s="22"/>
      <c r="N11" s="29" t="s">
        <v>35</v>
      </c>
      <c r="O11" s="13" t="s">
        <v>35</v>
      </c>
      <c r="P11" s="13" t="s">
        <v>35</v>
      </c>
      <c r="Q11" s="13" t="s">
        <v>35</v>
      </c>
      <c r="R11" s="13" t="s">
        <v>35</v>
      </c>
      <c r="S11" s="13" t="s">
        <v>35</v>
      </c>
      <c r="T11" s="13" t="s">
        <v>35</v>
      </c>
      <c r="U11" s="13" t="s">
        <v>35</v>
      </c>
      <c r="V11" s="13" t="s">
        <v>35</v>
      </c>
      <c r="W11" s="184"/>
      <c r="X11" s="37" t="s">
        <v>35</v>
      </c>
      <c r="Y11" s="22"/>
      <c r="Z11" s="38" t="s">
        <v>35</v>
      </c>
      <c r="AA11" s="13" t="s">
        <v>35</v>
      </c>
      <c r="AB11" s="13" t="s">
        <v>35</v>
      </c>
      <c r="AC11" s="13" t="s">
        <v>35</v>
      </c>
      <c r="AD11" s="13" t="s">
        <v>35</v>
      </c>
      <c r="AE11" s="13" t="s">
        <v>35</v>
      </c>
      <c r="AF11" s="13" t="s">
        <v>35</v>
      </c>
      <c r="AG11" s="184"/>
      <c r="AH11" s="45" t="s">
        <v>35</v>
      </c>
    </row>
    <row r="12" spans="1:34">
      <c r="A12" s="14">
        <f t="shared" si="0"/>
        <v>45997</v>
      </c>
      <c r="B12" s="11" t="s">
        <v>35</v>
      </c>
      <c r="C12" s="12" t="s">
        <v>35</v>
      </c>
      <c r="D12" s="12" t="s">
        <v>35</v>
      </c>
      <c r="E12" s="13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3" t="s">
        <v>35</v>
      </c>
      <c r="K12" s="184"/>
      <c r="L12" s="26" t="s">
        <v>35</v>
      </c>
      <c r="M12" s="22"/>
      <c r="N12" s="29" t="s">
        <v>35</v>
      </c>
      <c r="O12" s="13" t="s">
        <v>35</v>
      </c>
      <c r="P12" s="13" t="s">
        <v>35</v>
      </c>
      <c r="Q12" s="13" t="s">
        <v>35</v>
      </c>
      <c r="R12" s="13" t="s">
        <v>35</v>
      </c>
      <c r="S12" s="13" t="s">
        <v>35</v>
      </c>
      <c r="T12" s="13" t="s">
        <v>35</v>
      </c>
      <c r="U12" s="13" t="s">
        <v>35</v>
      </c>
      <c r="V12" s="13" t="s">
        <v>35</v>
      </c>
      <c r="W12" s="184"/>
      <c r="X12" s="37" t="s">
        <v>35</v>
      </c>
      <c r="Y12" s="22"/>
      <c r="Z12" s="38" t="s">
        <v>35</v>
      </c>
      <c r="AA12" s="13" t="s">
        <v>35</v>
      </c>
      <c r="AB12" s="13" t="s">
        <v>35</v>
      </c>
      <c r="AC12" s="13" t="s">
        <v>35</v>
      </c>
      <c r="AD12" s="13" t="s">
        <v>35</v>
      </c>
      <c r="AE12" s="13" t="s">
        <v>35</v>
      </c>
      <c r="AF12" s="13" t="s">
        <v>35</v>
      </c>
      <c r="AG12" s="184"/>
      <c r="AH12" s="45" t="s">
        <v>35</v>
      </c>
    </row>
    <row r="13" spans="1:34">
      <c r="A13" s="14">
        <f t="shared" si="0"/>
        <v>45998</v>
      </c>
      <c r="B13" s="11"/>
      <c r="C13" s="12"/>
      <c r="D13" s="12"/>
      <c r="E13" s="12"/>
      <c r="F13" s="12"/>
      <c r="G13" s="12"/>
      <c r="H13" s="12"/>
      <c r="I13" s="12"/>
      <c r="J13" s="13"/>
      <c r="K13" s="184"/>
      <c r="L13" s="26"/>
      <c r="M13" s="22"/>
      <c r="N13" s="29"/>
      <c r="O13" s="50"/>
      <c r="P13" s="13"/>
      <c r="Q13" s="13"/>
      <c r="R13" s="13"/>
      <c r="S13" s="13"/>
      <c r="T13" s="13"/>
      <c r="U13" s="13"/>
      <c r="V13" s="13"/>
      <c r="W13" s="184"/>
      <c r="X13" s="51"/>
      <c r="Y13" s="22"/>
      <c r="Z13" s="38"/>
      <c r="AA13" s="13"/>
      <c r="AB13" s="13"/>
      <c r="AC13" s="13"/>
      <c r="AD13" s="13"/>
      <c r="AE13" s="13"/>
      <c r="AF13" s="13"/>
      <c r="AG13" s="184"/>
      <c r="AH13" s="46"/>
    </row>
    <row r="14" spans="1:34">
      <c r="A14" s="14">
        <f t="shared" si="0"/>
        <v>45999</v>
      </c>
      <c r="B14" s="11"/>
      <c r="C14" s="12"/>
      <c r="D14" s="12"/>
      <c r="E14" s="12"/>
      <c r="F14" s="12"/>
      <c r="G14" s="12"/>
      <c r="H14" s="12"/>
      <c r="I14" s="12"/>
      <c r="J14" s="13"/>
      <c r="K14" s="184"/>
      <c r="L14" s="26"/>
      <c r="M14" s="22"/>
      <c r="N14" s="29"/>
      <c r="O14" s="13"/>
      <c r="P14" s="13"/>
      <c r="Q14" s="13"/>
      <c r="R14" s="13"/>
      <c r="S14" s="13"/>
      <c r="T14" s="13"/>
      <c r="U14" s="13"/>
      <c r="V14" s="13"/>
      <c r="W14" s="184"/>
      <c r="X14" s="37"/>
      <c r="Y14" s="22"/>
      <c r="Z14" s="38"/>
      <c r="AA14" s="13"/>
      <c r="AB14" s="13"/>
      <c r="AC14" s="13"/>
      <c r="AD14" s="13"/>
      <c r="AE14" s="13"/>
      <c r="AF14" s="13"/>
      <c r="AG14" s="184"/>
      <c r="AH14" s="45"/>
    </row>
    <row r="15" spans="1:34">
      <c r="A15" s="14">
        <f t="shared" si="0"/>
        <v>46000</v>
      </c>
      <c r="B15" s="11"/>
      <c r="C15" s="12"/>
      <c r="D15" s="12"/>
      <c r="E15" s="12"/>
      <c r="F15" s="12"/>
      <c r="G15" s="12"/>
      <c r="H15" s="12"/>
      <c r="I15" s="12"/>
      <c r="J15" s="13"/>
      <c r="K15" s="184"/>
      <c r="L15" s="26"/>
      <c r="M15" s="22"/>
      <c r="N15" s="29"/>
      <c r="O15" s="13"/>
      <c r="P15" s="13"/>
      <c r="Q15" s="13"/>
      <c r="R15" s="13"/>
      <c r="S15" s="13"/>
      <c r="T15" s="13"/>
      <c r="U15" s="13"/>
      <c r="V15" s="13"/>
      <c r="W15" s="184"/>
      <c r="X15" s="37"/>
      <c r="Y15" s="22"/>
      <c r="Z15" s="38"/>
      <c r="AA15" s="13"/>
      <c r="AB15" s="13"/>
      <c r="AC15" s="13"/>
      <c r="AD15" s="13"/>
      <c r="AE15" s="13"/>
      <c r="AF15" s="13"/>
      <c r="AG15" s="184"/>
      <c r="AH15" s="45"/>
    </row>
    <row r="16" spans="1:34">
      <c r="A16" s="14">
        <f t="shared" si="0"/>
        <v>46001</v>
      </c>
      <c r="B16" s="11"/>
      <c r="C16" s="12"/>
      <c r="D16" s="12"/>
      <c r="E16" s="12"/>
      <c r="F16" s="12"/>
      <c r="G16" s="12"/>
      <c r="H16" s="12"/>
      <c r="I16" s="12"/>
      <c r="J16" s="13"/>
      <c r="K16" s="184"/>
      <c r="L16" s="26"/>
      <c r="M16" s="22"/>
      <c r="N16" s="29"/>
      <c r="O16" s="13"/>
      <c r="P16" s="13"/>
      <c r="Q16" s="13"/>
      <c r="R16" s="13"/>
      <c r="S16" s="13"/>
      <c r="T16" s="13"/>
      <c r="U16" s="13"/>
      <c r="V16" s="13"/>
      <c r="W16" s="184"/>
      <c r="X16" s="37"/>
      <c r="Y16" s="22"/>
      <c r="Z16" s="38"/>
      <c r="AA16" s="13"/>
      <c r="AB16" s="13"/>
      <c r="AC16" s="13"/>
      <c r="AD16" s="13"/>
      <c r="AE16" s="13"/>
      <c r="AF16" s="13"/>
      <c r="AG16" s="184"/>
      <c r="AH16" s="45"/>
    </row>
    <row r="17" spans="1:34">
      <c r="A17" s="14">
        <f t="shared" si="0"/>
        <v>46002</v>
      </c>
      <c r="B17" s="38"/>
      <c r="C17" s="12"/>
      <c r="D17" s="12"/>
      <c r="E17" s="12"/>
      <c r="F17" s="12"/>
      <c r="G17" s="12"/>
      <c r="H17" s="12"/>
      <c r="I17" s="12"/>
      <c r="J17" s="13"/>
      <c r="K17" s="184"/>
      <c r="L17" s="26"/>
      <c r="M17" s="22"/>
      <c r="N17" s="29"/>
      <c r="O17" s="13"/>
      <c r="P17" s="13"/>
      <c r="Q17" s="13"/>
      <c r="R17" s="13"/>
      <c r="S17" s="13"/>
      <c r="T17" s="13"/>
      <c r="U17" s="13"/>
      <c r="V17" s="13"/>
      <c r="W17" s="184"/>
      <c r="X17" s="37"/>
      <c r="Y17" s="22"/>
      <c r="Z17" s="38"/>
      <c r="AA17" s="13"/>
      <c r="AB17" s="13"/>
      <c r="AC17" s="13"/>
      <c r="AD17" s="13"/>
      <c r="AE17" s="13"/>
      <c r="AF17" s="13"/>
      <c r="AG17" s="184"/>
      <c r="AH17" s="45"/>
    </row>
    <row r="18" spans="1:34">
      <c r="A18" s="14">
        <f t="shared" si="0"/>
        <v>46003</v>
      </c>
      <c r="B18" s="11"/>
      <c r="C18" s="12"/>
      <c r="D18" s="12"/>
      <c r="E18" s="12"/>
      <c r="F18" s="12"/>
      <c r="G18" s="12"/>
      <c r="H18" s="12"/>
      <c r="I18" s="12"/>
      <c r="J18" s="13"/>
      <c r="K18" s="184"/>
      <c r="L18" s="26"/>
      <c r="M18" s="22"/>
      <c r="N18" s="29"/>
      <c r="O18" s="13"/>
      <c r="P18" s="13"/>
      <c r="Q18" s="13"/>
      <c r="R18" s="13"/>
      <c r="S18" s="13"/>
      <c r="T18" s="13"/>
      <c r="U18" s="13"/>
      <c r="V18" s="13"/>
      <c r="W18" s="184"/>
      <c r="X18" s="37"/>
      <c r="Y18" s="22"/>
      <c r="Z18" s="38"/>
      <c r="AA18" s="13"/>
      <c r="AB18" s="13"/>
      <c r="AC18" s="13"/>
      <c r="AD18" s="13"/>
      <c r="AE18" s="13"/>
      <c r="AF18" s="13"/>
      <c r="AG18" s="184"/>
      <c r="AH18" s="45"/>
    </row>
    <row r="19" spans="1:34">
      <c r="A19" s="14">
        <f t="shared" si="0"/>
        <v>46004</v>
      </c>
      <c r="B19" s="38"/>
      <c r="C19" s="13"/>
      <c r="D19" s="12"/>
      <c r="E19" s="12"/>
      <c r="F19" s="12"/>
      <c r="G19" s="12"/>
      <c r="H19" s="12"/>
      <c r="I19" s="12"/>
      <c r="J19" s="13"/>
      <c r="K19" s="184"/>
      <c r="L19" s="26"/>
      <c r="M19" s="22"/>
      <c r="N19" s="29"/>
      <c r="O19" s="13"/>
      <c r="P19" s="13"/>
      <c r="Q19" s="13"/>
      <c r="R19" s="13"/>
      <c r="S19" s="13"/>
      <c r="T19" s="13"/>
      <c r="U19" s="13"/>
      <c r="V19" s="13"/>
      <c r="W19" s="184"/>
      <c r="X19" s="37"/>
      <c r="Y19" s="22"/>
      <c r="Z19" s="38"/>
      <c r="AA19" s="13"/>
      <c r="AB19" s="13"/>
      <c r="AC19" s="13"/>
      <c r="AD19" s="13"/>
      <c r="AE19" s="13"/>
      <c r="AF19" s="13"/>
      <c r="AG19" s="184"/>
      <c r="AH19" s="45"/>
    </row>
    <row r="20" spans="1:34">
      <c r="A20" s="14">
        <f t="shared" si="0"/>
        <v>46005</v>
      </c>
      <c r="B20" s="11"/>
      <c r="C20" s="13"/>
      <c r="D20" s="12"/>
      <c r="E20" s="12"/>
      <c r="F20" s="12"/>
      <c r="G20" s="12"/>
      <c r="H20" s="12"/>
      <c r="I20" s="36"/>
      <c r="J20" s="13"/>
      <c r="K20" s="184"/>
      <c r="L20" s="26"/>
      <c r="M20" s="22"/>
      <c r="N20" s="29"/>
      <c r="O20" s="13"/>
      <c r="P20" s="13"/>
      <c r="Q20" s="13"/>
      <c r="R20" s="13"/>
      <c r="S20" s="13"/>
      <c r="T20" s="13"/>
      <c r="U20" s="13"/>
      <c r="V20" s="13"/>
      <c r="W20" s="184"/>
      <c r="X20" s="37"/>
      <c r="Y20" s="22"/>
      <c r="Z20" s="38"/>
      <c r="AA20" s="13"/>
      <c r="AB20" s="13"/>
      <c r="AC20" s="13"/>
      <c r="AD20" s="13"/>
      <c r="AE20" s="13"/>
      <c r="AF20" s="13"/>
      <c r="AG20" s="184"/>
      <c r="AH20" s="37"/>
    </row>
    <row r="21" spans="1:34">
      <c r="A21" s="14">
        <f t="shared" si="0"/>
        <v>46006</v>
      </c>
      <c r="B21" s="11"/>
      <c r="C21" s="13"/>
      <c r="D21" s="12"/>
      <c r="E21" s="12"/>
      <c r="F21" s="12"/>
      <c r="G21" s="12"/>
      <c r="H21" s="12"/>
      <c r="I21" s="12"/>
      <c r="J21" s="13"/>
      <c r="K21" s="184"/>
      <c r="L21" s="26"/>
      <c r="M21" s="22"/>
      <c r="N21" s="29"/>
      <c r="O21" s="13"/>
      <c r="P21" s="13"/>
      <c r="Q21" s="13"/>
      <c r="R21" s="13"/>
      <c r="S21" s="13"/>
      <c r="T21" s="13"/>
      <c r="U21" s="13"/>
      <c r="V21" s="13"/>
      <c r="W21" s="184"/>
      <c r="X21" s="37"/>
      <c r="Y21" s="22"/>
      <c r="Z21" s="38"/>
      <c r="AA21" s="13"/>
      <c r="AB21" s="13"/>
      <c r="AC21" s="13"/>
      <c r="AD21" s="13"/>
      <c r="AE21" s="13"/>
      <c r="AF21" s="13"/>
      <c r="AG21" s="184"/>
      <c r="AH21" s="37"/>
    </row>
    <row r="22" spans="1:34">
      <c r="A22" s="14">
        <f t="shared" si="0"/>
        <v>46007</v>
      </c>
      <c r="B22" s="11"/>
      <c r="C22" s="13"/>
      <c r="D22" s="12"/>
      <c r="E22" s="12"/>
      <c r="F22" s="12"/>
      <c r="G22" s="12"/>
      <c r="H22" s="12"/>
      <c r="I22" s="12"/>
      <c r="J22" s="13"/>
      <c r="K22" s="184"/>
      <c r="L22" s="26"/>
      <c r="M22" s="22"/>
      <c r="N22" s="29"/>
      <c r="O22" s="13"/>
      <c r="P22" s="13"/>
      <c r="Q22" s="13"/>
      <c r="R22" s="13"/>
      <c r="S22" s="13"/>
      <c r="T22" s="13"/>
      <c r="U22" s="13"/>
      <c r="V22" s="13"/>
      <c r="W22" s="184"/>
      <c r="X22" s="37"/>
      <c r="Y22" s="22"/>
      <c r="Z22" s="38"/>
      <c r="AA22" s="13"/>
      <c r="AB22" s="13"/>
      <c r="AC22" s="13"/>
      <c r="AD22" s="13"/>
      <c r="AE22" s="13"/>
      <c r="AF22" s="13"/>
      <c r="AG22" s="184"/>
      <c r="AH22" s="37"/>
    </row>
    <row r="23" spans="1:34">
      <c r="A23" s="14">
        <f t="shared" si="0"/>
        <v>46008</v>
      </c>
      <c r="B23" s="11"/>
      <c r="C23" s="13"/>
      <c r="D23" s="12"/>
      <c r="E23" s="12"/>
      <c r="F23" s="12"/>
      <c r="G23" s="12"/>
      <c r="H23" s="12"/>
      <c r="I23" s="12"/>
      <c r="J23" s="13"/>
      <c r="K23" s="184"/>
      <c r="L23" s="26"/>
      <c r="M23" s="22"/>
      <c r="N23" s="29"/>
      <c r="O23" s="13"/>
      <c r="P23" s="13"/>
      <c r="Q23" s="13"/>
      <c r="R23" s="13"/>
      <c r="S23" s="13"/>
      <c r="T23" s="13"/>
      <c r="U23" s="13"/>
      <c r="V23" s="13"/>
      <c r="W23" s="184"/>
      <c r="X23" s="37"/>
      <c r="Y23" s="22"/>
      <c r="Z23" s="38"/>
      <c r="AA23" s="13"/>
      <c r="AB23" s="13"/>
      <c r="AC23" s="13"/>
      <c r="AD23" s="13"/>
      <c r="AE23" s="13"/>
      <c r="AF23" s="13"/>
      <c r="AG23" s="184"/>
      <c r="AH23" s="37"/>
    </row>
    <row r="24" spans="1:34">
      <c r="A24" s="14">
        <f t="shared" si="0"/>
        <v>46009</v>
      </c>
      <c r="B24" s="11"/>
      <c r="C24" s="12"/>
      <c r="D24" s="12"/>
      <c r="E24" s="12"/>
      <c r="F24" s="12"/>
      <c r="G24" s="12"/>
      <c r="H24" s="12"/>
      <c r="I24" s="12"/>
      <c r="J24" s="13"/>
      <c r="K24" s="184"/>
      <c r="L24" s="26"/>
      <c r="M24" s="22"/>
      <c r="N24" s="29"/>
      <c r="O24" s="13"/>
      <c r="P24" s="13"/>
      <c r="Q24" s="13"/>
      <c r="R24" s="13"/>
      <c r="S24" s="13"/>
      <c r="T24" s="13"/>
      <c r="U24" s="13"/>
      <c r="V24" s="13"/>
      <c r="W24" s="184"/>
      <c r="X24" s="37"/>
      <c r="Y24" s="22"/>
      <c r="Z24" s="38"/>
      <c r="AA24" s="13"/>
      <c r="AB24" s="13"/>
      <c r="AC24" s="13"/>
      <c r="AD24" s="13"/>
      <c r="AE24" s="13"/>
      <c r="AF24" s="13"/>
      <c r="AG24" s="184"/>
      <c r="AH24" s="37"/>
    </row>
    <row r="25" spans="1:34">
      <c r="A25" s="14">
        <f t="shared" si="0"/>
        <v>46010</v>
      </c>
      <c r="B25" s="11"/>
      <c r="C25" s="12"/>
      <c r="D25" s="12"/>
      <c r="E25" s="12"/>
      <c r="F25" s="12"/>
      <c r="G25" s="12"/>
      <c r="H25" s="12"/>
      <c r="I25" s="12"/>
      <c r="J25" s="13"/>
      <c r="K25" s="184"/>
      <c r="L25" s="26"/>
      <c r="M25" s="22"/>
      <c r="N25" s="29"/>
      <c r="O25" s="13"/>
      <c r="P25" s="13"/>
      <c r="Q25" s="13"/>
      <c r="R25" s="13"/>
      <c r="S25" s="13"/>
      <c r="T25" s="13"/>
      <c r="U25" s="13"/>
      <c r="V25" s="13"/>
      <c r="W25" s="184"/>
      <c r="X25" s="37"/>
      <c r="Y25" s="22"/>
      <c r="Z25" s="38"/>
      <c r="AA25" s="13"/>
      <c r="AB25" s="13"/>
      <c r="AC25" s="13"/>
      <c r="AD25" s="13"/>
      <c r="AE25" s="13"/>
      <c r="AF25" s="13"/>
      <c r="AG25" s="184"/>
      <c r="AH25" s="37"/>
    </row>
    <row r="26" spans="1:34">
      <c r="A26" s="14">
        <f t="shared" si="0"/>
        <v>46011</v>
      </c>
      <c r="B26" s="11"/>
      <c r="C26" s="13"/>
      <c r="D26" s="12"/>
      <c r="E26" s="12"/>
      <c r="F26" s="12"/>
      <c r="G26" s="12"/>
      <c r="H26" s="12"/>
      <c r="I26" s="13"/>
      <c r="J26" s="13"/>
      <c r="K26" s="184"/>
      <c r="L26" s="26"/>
      <c r="M26" s="22"/>
      <c r="N26" s="29"/>
      <c r="O26" s="13"/>
      <c r="P26" s="13"/>
      <c r="Q26" s="13"/>
      <c r="R26" s="13"/>
      <c r="S26" s="13"/>
      <c r="T26" s="13"/>
      <c r="U26" s="13"/>
      <c r="V26" s="13"/>
      <c r="W26" s="184"/>
      <c r="X26" s="37"/>
      <c r="Y26" s="22"/>
      <c r="Z26" s="38"/>
      <c r="AA26" s="13"/>
      <c r="AB26" s="13"/>
      <c r="AC26" s="13"/>
      <c r="AD26" s="13"/>
      <c r="AE26" s="13"/>
      <c r="AF26" s="13"/>
      <c r="AG26" s="184"/>
      <c r="AH26" s="37"/>
    </row>
    <row r="27" spans="1:34">
      <c r="A27" s="14">
        <f t="shared" si="0"/>
        <v>46012</v>
      </c>
      <c r="B27" s="11"/>
      <c r="C27" s="13"/>
      <c r="D27" s="12"/>
      <c r="E27" s="12"/>
      <c r="F27" s="12"/>
      <c r="G27" s="13"/>
      <c r="H27" s="13"/>
      <c r="I27" s="12"/>
      <c r="J27" s="13"/>
      <c r="K27" s="184"/>
      <c r="L27" s="26"/>
      <c r="M27" s="22"/>
      <c r="N27" s="29"/>
      <c r="O27" s="13"/>
      <c r="P27" s="13"/>
      <c r="Q27" s="13"/>
      <c r="R27" s="13"/>
      <c r="S27" s="13"/>
      <c r="T27" s="13"/>
      <c r="U27" s="13"/>
      <c r="V27" s="13"/>
      <c r="W27" s="184"/>
      <c r="X27" s="37"/>
      <c r="Y27" s="22"/>
      <c r="Z27" s="38"/>
      <c r="AA27" s="13"/>
      <c r="AB27" s="13"/>
      <c r="AC27" s="13"/>
      <c r="AD27" s="13"/>
      <c r="AE27" s="13"/>
      <c r="AF27" s="13"/>
      <c r="AG27" s="184"/>
      <c r="AH27" s="37"/>
    </row>
    <row r="28" spans="1:34">
      <c r="A28" s="14">
        <f t="shared" si="0"/>
        <v>46013</v>
      </c>
      <c r="B28" s="11"/>
      <c r="C28" s="13"/>
      <c r="D28" s="12"/>
      <c r="E28" s="12"/>
      <c r="F28" s="12"/>
      <c r="G28" s="12"/>
      <c r="H28" s="12"/>
      <c r="I28" s="13"/>
      <c r="J28" s="13"/>
      <c r="K28" s="184"/>
      <c r="L28" s="26"/>
      <c r="M28" s="22"/>
      <c r="N28" s="29"/>
      <c r="O28" s="13"/>
      <c r="P28" s="13"/>
      <c r="Q28" s="13"/>
      <c r="R28" s="13"/>
      <c r="S28" s="13"/>
      <c r="T28" s="13"/>
      <c r="U28" s="13"/>
      <c r="V28" s="13"/>
      <c r="W28" s="184"/>
      <c r="X28" s="37"/>
      <c r="Y28" s="22"/>
      <c r="Z28" s="38"/>
      <c r="AA28" s="13"/>
      <c r="AB28" s="13"/>
      <c r="AC28" s="13"/>
      <c r="AD28" s="13"/>
      <c r="AE28" s="13"/>
      <c r="AF28" s="13"/>
      <c r="AG28" s="184"/>
      <c r="AH28" s="37"/>
    </row>
    <row r="29" spans="1:34">
      <c r="A29" s="14">
        <f t="shared" si="0"/>
        <v>46014</v>
      </c>
      <c r="B29" s="38"/>
      <c r="C29" s="12"/>
      <c r="D29" s="12"/>
      <c r="E29" s="12"/>
      <c r="F29" s="12"/>
      <c r="G29" s="12"/>
      <c r="H29" s="12"/>
      <c r="I29" s="12"/>
      <c r="J29" s="13"/>
      <c r="K29" s="184"/>
      <c r="L29" s="26"/>
      <c r="M29" s="22"/>
      <c r="N29" s="61"/>
      <c r="O29" s="13"/>
      <c r="P29" s="13"/>
      <c r="Q29" s="13"/>
      <c r="R29" s="13"/>
      <c r="S29" s="13"/>
      <c r="T29" s="13"/>
      <c r="U29" s="13"/>
      <c r="V29" s="13"/>
      <c r="W29" s="184"/>
      <c r="X29" s="37"/>
      <c r="Y29" s="22"/>
      <c r="Z29" s="38"/>
      <c r="AA29" s="13"/>
      <c r="AB29" s="13"/>
      <c r="AC29" s="13"/>
      <c r="AD29" s="13"/>
      <c r="AE29" s="13"/>
      <c r="AF29" s="13"/>
      <c r="AG29" s="184"/>
      <c r="AH29" s="37"/>
    </row>
    <row r="30" spans="1:34">
      <c r="A30" s="14">
        <f t="shared" si="0"/>
        <v>46015</v>
      </c>
      <c r="B30" s="11"/>
      <c r="C30" s="12"/>
      <c r="D30" s="12"/>
      <c r="E30" s="12"/>
      <c r="F30" s="12"/>
      <c r="G30" s="12"/>
      <c r="H30" s="12"/>
      <c r="I30" s="12"/>
      <c r="J30" s="12"/>
      <c r="K30" s="185"/>
      <c r="L30" s="26"/>
      <c r="M30" s="22"/>
      <c r="N30" s="29"/>
      <c r="O30" s="13"/>
      <c r="P30" s="13"/>
      <c r="Q30" s="13"/>
      <c r="R30" s="13"/>
      <c r="S30" s="13"/>
      <c r="T30" s="13"/>
      <c r="U30" s="13"/>
      <c r="V30" s="13"/>
      <c r="W30" s="185"/>
      <c r="X30" s="37"/>
      <c r="Y30" s="22"/>
      <c r="Z30" s="38"/>
      <c r="AA30" s="13"/>
      <c r="AB30" s="13"/>
      <c r="AC30" s="13"/>
      <c r="AD30" s="13"/>
      <c r="AE30" s="13"/>
      <c r="AF30" s="13"/>
      <c r="AG30" s="185"/>
      <c r="AH30" s="37"/>
    </row>
    <row r="31" spans="1:34">
      <c r="A31" s="14">
        <f t="shared" si="0"/>
        <v>46016</v>
      </c>
      <c r="B31" s="38"/>
      <c r="C31" s="12"/>
      <c r="D31" s="12"/>
      <c r="E31" s="12"/>
      <c r="F31" s="12"/>
      <c r="G31" s="13"/>
      <c r="H31" s="13"/>
      <c r="I31" s="12"/>
      <c r="J31" s="12"/>
      <c r="K31" s="185"/>
      <c r="L31" s="37"/>
      <c r="M31" s="22"/>
      <c r="N31" s="29"/>
      <c r="O31" s="13"/>
      <c r="P31" s="13"/>
      <c r="Q31" s="13"/>
      <c r="R31" s="13"/>
      <c r="S31" s="13"/>
      <c r="T31" s="13"/>
      <c r="U31" s="13"/>
      <c r="V31" s="13"/>
      <c r="W31" s="185"/>
      <c r="X31" s="37"/>
      <c r="Y31" s="22"/>
      <c r="Z31" s="38"/>
      <c r="AA31" s="13"/>
      <c r="AB31" s="13"/>
      <c r="AC31" s="13"/>
      <c r="AD31" s="13"/>
      <c r="AE31" s="13"/>
      <c r="AF31" s="13"/>
      <c r="AG31" s="185"/>
      <c r="AH31" s="37"/>
    </row>
    <row r="32" spans="1:34">
      <c r="A32" s="14">
        <f t="shared" si="0"/>
        <v>46017</v>
      </c>
      <c r="B32" s="11"/>
      <c r="C32" s="13"/>
      <c r="D32" s="12"/>
      <c r="E32" s="12"/>
      <c r="F32" s="12"/>
      <c r="G32" s="13"/>
      <c r="H32" s="13"/>
      <c r="I32" s="13"/>
      <c r="J32" s="12"/>
      <c r="K32" s="185"/>
      <c r="L32" s="26"/>
      <c r="M32" s="22"/>
      <c r="N32" s="29"/>
      <c r="O32" s="13"/>
      <c r="P32" s="13"/>
      <c r="Q32" s="13"/>
      <c r="R32" s="13"/>
      <c r="S32" s="13"/>
      <c r="T32" s="13"/>
      <c r="U32" s="13"/>
      <c r="V32" s="13"/>
      <c r="W32" s="185"/>
      <c r="X32" s="51"/>
      <c r="Y32" s="22"/>
      <c r="Z32" s="38"/>
      <c r="AA32" s="13"/>
      <c r="AB32" s="13"/>
      <c r="AC32" s="13"/>
      <c r="AD32" s="13"/>
      <c r="AE32" s="13"/>
      <c r="AF32" s="13"/>
      <c r="AG32" s="185"/>
      <c r="AH32" s="51"/>
    </row>
    <row r="33" spans="1:34">
      <c r="A33" s="14">
        <f t="shared" si="0"/>
        <v>46018</v>
      </c>
      <c r="B33" s="11"/>
      <c r="C33" s="13"/>
      <c r="D33" s="12"/>
      <c r="E33" s="12"/>
      <c r="F33" s="12"/>
      <c r="G33" s="13"/>
      <c r="H33" s="13"/>
      <c r="I33" s="13"/>
      <c r="J33" s="12"/>
      <c r="K33" s="185"/>
      <c r="L33" s="26"/>
      <c r="M33" s="22"/>
      <c r="N33" s="29"/>
      <c r="O33" s="13"/>
      <c r="P33" s="13"/>
      <c r="Q33" s="13"/>
      <c r="R33" s="13"/>
      <c r="S33" s="13"/>
      <c r="T33" s="13"/>
      <c r="U33" s="13"/>
      <c r="V33" s="13"/>
      <c r="W33" s="185"/>
      <c r="X33" s="37"/>
      <c r="Y33" s="22"/>
      <c r="Z33" s="38"/>
      <c r="AA33" s="13"/>
      <c r="AB33" s="13"/>
      <c r="AC33" s="13"/>
      <c r="AD33" s="13"/>
      <c r="AE33" s="13"/>
      <c r="AF33" s="13"/>
      <c r="AG33" s="185"/>
      <c r="AH33" s="37"/>
    </row>
    <row r="34" spans="1:34">
      <c r="A34" s="14">
        <f t="shared" si="0"/>
        <v>46019</v>
      </c>
      <c r="B34" s="38"/>
      <c r="C34" s="13"/>
      <c r="D34" s="12"/>
      <c r="E34" s="12"/>
      <c r="F34" s="13"/>
      <c r="G34" s="12"/>
      <c r="H34" s="12"/>
      <c r="I34" s="12"/>
      <c r="J34" s="12"/>
      <c r="K34" s="185"/>
      <c r="L34" s="26"/>
      <c r="M34" s="22"/>
      <c r="N34" s="29"/>
      <c r="O34" s="13"/>
      <c r="P34" s="13"/>
      <c r="Q34" s="13"/>
      <c r="R34" s="13"/>
      <c r="S34" s="13"/>
      <c r="T34" s="13"/>
      <c r="U34" s="13"/>
      <c r="V34" s="13"/>
      <c r="W34" s="185"/>
      <c r="X34" s="37"/>
      <c r="Y34" s="22"/>
      <c r="Z34" s="38"/>
      <c r="AA34" s="13"/>
      <c r="AB34" s="13"/>
      <c r="AC34" s="13"/>
      <c r="AD34" s="13"/>
      <c r="AE34" s="13"/>
      <c r="AF34" s="13"/>
      <c r="AG34" s="185"/>
      <c r="AH34" s="37"/>
    </row>
    <row r="35" spans="1:34">
      <c r="A35" s="14">
        <f t="shared" si="0"/>
        <v>46020</v>
      </c>
      <c r="B35" s="38"/>
      <c r="C35" s="12"/>
      <c r="D35" s="12"/>
      <c r="E35" s="12"/>
      <c r="F35" s="12"/>
      <c r="G35" s="12"/>
      <c r="H35" s="12"/>
      <c r="I35" s="12"/>
      <c r="J35" s="59"/>
      <c r="K35" s="186"/>
      <c r="L35" s="26"/>
      <c r="M35" s="22"/>
      <c r="N35" s="29"/>
      <c r="O35" s="13"/>
      <c r="P35" s="13"/>
      <c r="Q35" s="13"/>
      <c r="R35" s="13"/>
      <c r="S35" s="13"/>
      <c r="T35" s="13"/>
      <c r="U35" s="13"/>
      <c r="V35" s="13"/>
      <c r="W35" s="186"/>
      <c r="X35" s="37"/>
      <c r="Y35" s="22"/>
      <c r="Z35" s="38"/>
      <c r="AA35" s="13"/>
      <c r="AB35" s="13"/>
      <c r="AC35" s="13"/>
      <c r="AD35" s="13"/>
      <c r="AE35" s="13"/>
      <c r="AF35" s="13"/>
      <c r="AG35" s="186"/>
      <c r="AH35" s="37"/>
    </row>
    <row r="36" spans="1:34">
      <c r="A36" s="14">
        <f t="shared" si="0"/>
        <v>46021</v>
      </c>
      <c r="B36" s="11"/>
      <c r="C36" s="12"/>
      <c r="D36" s="12"/>
      <c r="E36" s="12"/>
      <c r="F36" s="12"/>
      <c r="G36" s="12"/>
      <c r="H36" s="12"/>
      <c r="I36" s="12"/>
      <c r="J36" s="12"/>
      <c r="K36" s="185"/>
      <c r="L36" s="26"/>
      <c r="M36" s="22"/>
      <c r="N36" s="29"/>
      <c r="O36" s="13"/>
      <c r="P36" s="47"/>
      <c r="Q36" s="47"/>
      <c r="R36" s="47"/>
      <c r="S36" s="47"/>
      <c r="T36" s="47"/>
      <c r="U36" s="47"/>
      <c r="V36" s="53"/>
      <c r="W36" s="185"/>
      <c r="X36" s="48"/>
      <c r="Y36" s="22"/>
      <c r="Z36" s="38"/>
      <c r="AA36" s="13"/>
      <c r="AB36" s="47"/>
      <c r="AC36" s="47"/>
      <c r="AD36" s="47"/>
      <c r="AE36" s="13"/>
      <c r="AF36" s="53"/>
      <c r="AG36" s="185"/>
      <c r="AH36" s="37"/>
    </row>
    <row r="37" spans="1:34" ht="15.75" thickBot="1">
      <c r="A37" s="15">
        <f t="shared" si="0"/>
        <v>46022</v>
      </c>
      <c r="B37" s="57"/>
      <c r="C37" s="58"/>
      <c r="D37" s="58"/>
      <c r="E37" s="58"/>
      <c r="F37" s="58"/>
      <c r="G37" s="58"/>
      <c r="H37" s="58"/>
      <c r="I37" s="58"/>
      <c r="J37" s="58"/>
      <c r="K37" s="187"/>
      <c r="L37" s="60"/>
      <c r="M37" s="22"/>
      <c r="N37" s="56"/>
      <c r="O37" s="47"/>
      <c r="P37" s="47"/>
      <c r="Q37" s="47"/>
      <c r="R37" s="47"/>
      <c r="S37" s="47"/>
      <c r="T37" s="47"/>
      <c r="U37" s="47"/>
      <c r="V37" s="47"/>
      <c r="W37" s="187"/>
      <c r="X37" s="48"/>
      <c r="Y37" s="22"/>
      <c r="Z37" s="39"/>
      <c r="AA37" s="47"/>
      <c r="AB37" s="47"/>
      <c r="AC37" s="47"/>
      <c r="AD37" s="47"/>
      <c r="AE37" s="47"/>
      <c r="AF37" s="47"/>
      <c r="AG37" s="187"/>
      <c r="AH37" s="48"/>
    </row>
    <row r="38" spans="1:34">
      <c r="A38" s="16" t="s">
        <v>31</v>
      </c>
      <c r="B38" s="17">
        <f>MIN(B7:B37)</f>
        <v>0</v>
      </c>
      <c r="C38" s="17">
        <f>MIN(C7:C37)</f>
        <v>0</v>
      </c>
      <c r="D38" s="17">
        <f t="shared" ref="D38:L38" si="1">MIN(D7:D37)</f>
        <v>0</v>
      </c>
      <c r="E38" s="17">
        <f t="shared" si="1"/>
        <v>0</v>
      </c>
      <c r="F38" s="17">
        <f t="shared" si="1"/>
        <v>0</v>
      </c>
      <c r="G38" s="17">
        <f t="shared" si="1"/>
        <v>0</v>
      </c>
      <c r="H38" s="17">
        <f t="shared" ref="H38" si="2">MIN(H7:H37)</f>
        <v>0</v>
      </c>
      <c r="I38" s="17">
        <f t="shared" si="1"/>
        <v>0</v>
      </c>
      <c r="J38" s="17">
        <f t="shared" si="1"/>
        <v>0</v>
      </c>
      <c r="K38" s="188"/>
      <c r="L38" s="30">
        <f t="shared" si="1"/>
        <v>0</v>
      </c>
      <c r="M38" s="22"/>
      <c r="N38" s="17">
        <f>MIN(N7:N37)</f>
        <v>0</v>
      </c>
      <c r="O38" s="17">
        <f>MIN(O7:O37)</f>
        <v>0</v>
      </c>
      <c r="P38" s="17">
        <f t="shared" ref="P38:X38" si="3">MIN(P7:P37)</f>
        <v>0</v>
      </c>
      <c r="Q38" s="17">
        <f t="shared" si="3"/>
        <v>0</v>
      </c>
      <c r="R38" s="17">
        <f t="shared" si="3"/>
        <v>0</v>
      </c>
      <c r="S38" s="17">
        <f t="shared" si="3"/>
        <v>0</v>
      </c>
      <c r="T38" s="17">
        <f t="shared" ref="T38" si="4">MIN(T7:T37)</f>
        <v>0</v>
      </c>
      <c r="U38" s="17">
        <f t="shared" si="3"/>
        <v>0</v>
      </c>
      <c r="V38" s="17">
        <f t="shared" si="3"/>
        <v>0</v>
      </c>
      <c r="W38" s="188"/>
      <c r="X38" s="30">
        <f t="shared" si="3"/>
        <v>0</v>
      </c>
      <c r="Z38" s="40">
        <f t="shared" ref="Z38:AH38" si="5">MIN(Z7:Z37)</f>
        <v>0</v>
      </c>
      <c r="AA38" s="17">
        <f t="shared" si="5"/>
        <v>0</v>
      </c>
      <c r="AB38" s="17">
        <f t="shared" si="5"/>
        <v>0</v>
      </c>
      <c r="AC38" s="17">
        <f t="shared" si="5"/>
        <v>0</v>
      </c>
      <c r="AD38" s="17">
        <f t="shared" ref="AD38" si="6">MIN(AD7:AD37)</f>
        <v>0</v>
      </c>
      <c r="AE38" s="17">
        <f t="shared" si="5"/>
        <v>0</v>
      </c>
      <c r="AF38" s="17">
        <f t="shared" si="5"/>
        <v>0</v>
      </c>
      <c r="AG38" s="188"/>
      <c r="AH38" s="30">
        <f t="shared" si="5"/>
        <v>0</v>
      </c>
    </row>
    <row r="39" spans="1:34">
      <c r="A39" s="18" t="s">
        <v>33</v>
      </c>
      <c r="B39" s="19">
        <f>MAX(B7:B37)</f>
        <v>0</v>
      </c>
      <c r="C39" s="19">
        <f>MAX(C7:C37)</f>
        <v>0</v>
      </c>
      <c r="D39" s="19">
        <f t="shared" ref="D39:L39" si="7">MAX(D7:D37)</f>
        <v>0</v>
      </c>
      <c r="E39" s="19">
        <f t="shared" si="7"/>
        <v>0</v>
      </c>
      <c r="F39" s="19">
        <f t="shared" si="7"/>
        <v>0</v>
      </c>
      <c r="G39" s="19">
        <f t="shared" si="7"/>
        <v>0</v>
      </c>
      <c r="H39" s="19">
        <f t="shared" ref="H39" si="8">MAX(H7:H37)</f>
        <v>0</v>
      </c>
      <c r="I39" s="19">
        <f t="shared" si="7"/>
        <v>0</v>
      </c>
      <c r="J39" s="19">
        <f t="shared" si="7"/>
        <v>0</v>
      </c>
      <c r="K39" s="189"/>
      <c r="L39" s="31">
        <f t="shared" si="7"/>
        <v>0</v>
      </c>
      <c r="M39" s="22"/>
      <c r="N39" s="19">
        <f>MAX(N7:N37)</f>
        <v>0</v>
      </c>
      <c r="O39" s="19">
        <f>MAX(O7:O37)</f>
        <v>0</v>
      </c>
      <c r="P39" s="19">
        <f t="shared" ref="P39:X39" si="9">MAX(P7:P37)</f>
        <v>0</v>
      </c>
      <c r="Q39" s="19">
        <f t="shared" si="9"/>
        <v>0</v>
      </c>
      <c r="R39" s="19">
        <f t="shared" si="9"/>
        <v>0</v>
      </c>
      <c r="S39" s="19">
        <f t="shared" si="9"/>
        <v>0</v>
      </c>
      <c r="T39" s="19">
        <f t="shared" ref="T39" si="10">MAX(T7:T37)</f>
        <v>0</v>
      </c>
      <c r="U39" s="19">
        <f t="shared" si="9"/>
        <v>0</v>
      </c>
      <c r="V39" s="19">
        <f t="shared" si="9"/>
        <v>0</v>
      </c>
      <c r="W39" s="189"/>
      <c r="X39" s="31">
        <f t="shared" si="9"/>
        <v>0</v>
      </c>
      <c r="Z39" s="41">
        <f t="shared" ref="Z39:AH39" si="11">MAX(Z7:Z37)</f>
        <v>0</v>
      </c>
      <c r="AA39" s="19">
        <f t="shared" si="11"/>
        <v>0</v>
      </c>
      <c r="AB39" s="19">
        <f t="shared" si="11"/>
        <v>0</v>
      </c>
      <c r="AC39" s="19">
        <f t="shared" si="11"/>
        <v>0</v>
      </c>
      <c r="AD39" s="19">
        <f t="shared" ref="AD39" si="12">MAX(AD7:AD37)</f>
        <v>0</v>
      </c>
      <c r="AE39" s="19">
        <f t="shared" si="11"/>
        <v>0</v>
      </c>
      <c r="AF39" s="19">
        <f t="shared" si="11"/>
        <v>0</v>
      </c>
      <c r="AG39" s="189"/>
      <c r="AH39" s="31">
        <f t="shared" si="11"/>
        <v>0</v>
      </c>
    </row>
    <row r="40" spans="1:34">
      <c r="A40" s="18" t="s">
        <v>36</v>
      </c>
      <c r="B40" s="19" t="e">
        <f t="shared" ref="B40:L40" si="13">AVERAGE(B7:B37)</f>
        <v>#DIV/0!</v>
      </c>
      <c r="C40" s="19" t="e">
        <f t="shared" si="13"/>
        <v>#DIV/0!</v>
      </c>
      <c r="D40" s="19" t="e">
        <f t="shared" si="13"/>
        <v>#DIV/0!</v>
      </c>
      <c r="E40" s="19" t="e">
        <f t="shared" si="13"/>
        <v>#DIV/0!</v>
      </c>
      <c r="F40" s="19" t="e">
        <f t="shared" si="13"/>
        <v>#DIV/0!</v>
      </c>
      <c r="G40" s="19" t="e">
        <f t="shared" si="13"/>
        <v>#DIV/0!</v>
      </c>
      <c r="H40" s="19" t="e">
        <f t="shared" ref="H40" si="14">AVERAGE(H7:H37)</f>
        <v>#DIV/0!</v>
      </c>
      <c r="I40" s="19" t="e">
        <f t="shared" si="13"/>
        <v>#DIV/0!</v>
      </c>
      <c r="J40" s="19" t="e">
        <f t="shared" si="13"/>
        <v>#DIV/0!</v>
      </c>
      <c r="K40" s="189"/>
      <c r="L40" s="31" t="e">
        <f t="shared" si="13"/>
        <v>#DIV/0!</v>
      </c>
      <c r="M40" s="22"/>
      <c r="N40" s="19" t="e">
        <f t="shared" ref="N40:X40" si="15">AVERAGE(N7:N37)</f>
        <v>#DIV/0!</v>
      </c>
      <c r="O40" s="19" t="e">
        <f t="shared" si="15"/>
        <v>#DIV/0!</v>
      </c>
      <c r="P40" s="19" t="e">
        <f t="shared" si="15"/>
        <v>#DIV/0!</v>
      </c>
      <c r="Q40" s="19" t="e">
        <f t="shared" si="15"/>
        <v>#DIV/0!</v>
      </c>
      <c r="R40" s="19" t="e">
        <f t="shared" si="15"/>
        <v>#DIV/0!</v>
      </c>
      <c r="S40" s="19" t="e">
        <f t="shared" si="15"/>
        <v>#DIV/0!</v>
      </c>
      <c r="T40" s="19" t="e">
        <f t="shared" ref="T40" si="16">AVERAGE(T7:T37)</f>
        <v>#DIV/0!</v>
      </c>
      <c r="U40" s="19" t="e">
        <f t="shared" si="15"/>
        <v>#DIV/0!</v>
      </c>
      <c r="V40" s="19" t="e">
        <f t="shared" si="15"/>
        <v>#DIV/0!</v>
      </c>
      <c r="W40" s="189"/>
      <c r="X40" s="31" t="e">
        <f t="shared" si="15"/>
        <v>#DIV/0!</v>
      </c>
      <c r="Z40" s="41" t="e">
        <f>AVERAGE(Z7:Z37)</f>
        <v>#DIV/0!</v>
      </c>
      <c r="AA40" s="19" t="e">
        <f t="shared" ref="AA40:AH40" si="17">AVERAGE(AA7:AA37)</f>
        <v>#DIV/0!</v>
      </c>
      <c r="AB40" s="19" t="e">
        <f t="shared" si="17"/>
        <v>#DIV/0!</v>
      </c>
      <c r="AC40" s="19" t="e">
        <f t="shared" si="17"/>
        <v>#DIV/0!</v>
      </c>
      <c r="AD40" s="19" t="e">
        <f t="shared" ref="AD40" si="18">AVERAGE(AD7:AD37)</f>
        <v>#DIV/0!</v>
      </c>
      <c r="AE40" s="19" t="e">
        <f t="shared" si="17"/>
        <v>#DIV/0!</v>
      </c>
      <c r="AF40" s="19" t="e">
        <f t="shared" si="17"/>
        <v>#DIV/0!</v>
      </c>
      <c r="AG40" s="189"/>
      <c r="AH40" s="31" t="e">
        <f t="shared" si="17"/>
        <v>#DIV/0!</v>
      </c>
    </row>
    <row r="41" spans="1:34" ht="15.75" thickBot="1">
      <c r="A41" s="20" t="s">
        <v>130</v>
      </c>
      <c r="B41" s="21" t="e">
        <f>STDEV(B7:B37)</f>
        <v>#DIV/0!</v>
      </c>
      <c r="C41" s="21" t="e">
        <f t="shared" ref="C41:L41" si="19">STDEV(C7:C37)</f>
        <v>#DIV/0!</v>
      </c>
      <c r="D41" s="21" t="e">
        <f t="shared" si="19"/>
        <v>#DIV/0!</v>
      </c>
      <c r="E41" s="21" t="e">
        <f t="shared" si="19"/>
        <v>#DIV/0!</v>
      </c>
      <c r="F41" s="21" t="e">
        <f t="shared" si="19"/>
        <v>#DIV/0!</v>
      </c>
      <c r="G41" s="21" t="e">
        <f t="shared" si="19"/>
        <v>#DIV/0!</v>
      </c>
      <c r="H41" s="21" t="e">
        <f t="shared" ref="H41" si="20">STDEV(H7:H37)</f>
        <v>#DIV/0!</v>
      </c>
      <c r="I41" s="21" t="e">
        <f t="shared" si="19"/>
        <v>#DIV/0!</v>
      </c>
      <c r="J41" s="21" t="e">
        <f t="shared" si="19"/>
        <v>#DIV/0!</v>
      </c>
      <c r="K41" s="190"/>
      <c r="L41" s="32" t="e">
        <f t="shared" si="19"/>
        <v>#DIV/0!</v>
      </c>
      <c r="M41" s="22"/>
      <c r="N41" s="21" t="e">
        <f>STDEV(N7:N37)</f>
        <v>#DIV/0!</v>
      </c>
      <c r="O41" s="21" t="e">
        <f t="shared" ref="O41:X41" si="21">STDEV(O7:O37)</f>
        <v>#DIV/0!</v>
      </c>
      <c r="P41" s="21" t="e">
        <f t="shared" si="21"/>
        <v>#DIV/0!</v>
      </c>
      <c r="Q41" s="21" t="e">
        <f t="shared" si="21"/>
        <v>#DIV/0!</v>
      </c>
      <c r="R41" s="21" t="e">
        <f t="shared" si="21"/>
        <v>#DIV/0!</v>
      </c>
      <c r="S41" s="21" t="e">
        <f t="shared" si="21"/>
        <v>#DIV/0!</v>
      </c>
      <c r="T41" s="21" t="e">
        <f t="shared" ref="T41" si="22">STDEV(T7:T37)</f>
        <v>#DIV/0!</v>
      </c>
      <c r="U41" s="21" t="e">
        <f t="shared" si="21"/>
        <v>#DIV/0!</v>
      </c>
      <c r="V41" s="21" t="e">
        <f t="shared" si="21"/>
        <v>#DIV/0!</v>
      </c>
      <c r="W41" s="190"/>
      <c r="X41" s="32" t="e">
        <f t="shared" si="21"/>
        <v>#DIV/0!</v>
      </c>
      <c r="Z41" s="42" t="e">
        <f>STDEV(Z7:Z37)</f>
        <v>#DIV/0!</v>
      </c>
      <c r="AA41" s="21" t="e">
        <f t="shared" ref="AA41:AH41" si="23">STDEV(AA7:AA37)</f>
        <v>#DIV/0!</v>
      </c>
      <c r="AB41" s="21" t="e">
        <f t="shared" si="23"/>
        <v>#DIV/0!</v>
      </c>
      <c r="AC41" s="21" t="e">
        <f t="shared" si="23"/>
        <v>#DIV/0!</v>
      </c>
      <c r="AD41" s="21" t="e">
        <f t="shared" ref="AD41" si="24">STDEV(AD7:AD37)</f>
        <v>#DIV/0!</v>
      </c>
      <c r="AE41" s="21" t="e">
        <f t="shared" si="23"/>
        <v>#DIV/0!</v>
      </c>
      <c r="AF41" s="21" t="e">
        <f t="shared" si="23"/>
        <v>#DIV/0!</v>
      </c>
      <c r="AG41" s="190"/>
      <c r="AH41" s="32" t="e">
        <f t="shared" si="23"/>
        <v>#DIV/0!</v>
      </c>
    </row>
    <row r="42" spans="1:34" ht="15.75" thickBot="1"/>
    <row r="43" spans="1:34" ht="15.75" thickBot="1">
      <c r="A43" s="150"/>
      <c r="B43" s="338" t="s">
        <v>0</v>
      </c>
      <c r="C43" s="339"/>
      <c r="D43" s="339"/>
      <c r="E43" s="339"/>
      <c r="F43" s="339"/>
      <c r="G43" s="339"/>
      <c r="H43" s="339"/>
      <c r="I43" s="339"/>
      <c r="J43" s="339"/>
      <c r="K43" s="339"/>
      <c r="L43" s="339"/>
      <c r="M43" s="339"/>
      <c r="N43" s="339"/>
      <c r="O43" s="339"/>
      <c r="P43" s="339"/>
      <c r="Q43" s="339"/>
      <c r="R43" s="339"/>
      <c r="S43" s="339"/>
      <c r="T43" s="339"/>
      <c r="U43" s="339"/>
      <c r="V43" s="339"/>
      <c r="W43" s="339"/>
      <c r="X43" s="339"/>
      <c r="Y43" s="339"/>
      <c r="Z43" s="339"/>
      <c r="AA43" s="339"/>
      <c r="AB43" s="339"/>
      <c r="AC43" s="339"/>
      <c r="AD43" s="339"/>
      <c r="AE43" s="339"/>
      <c r="AF43" s="339"/>
      <c r="AG43" s="339"/>
      <c r="AH43" s="363"/>
    </row>
    <row r="44" spans="1:34" ht="15.75" thickBot="1">
      <c r="A44" s="151"/>
      <c r="B44" s="338" t="s">
        <v>165</v>
      </c>
      <c r="C44" s="339"/>
      <c r="D44" s="339"/>
      <c r="E44" s="339"/>
      <c r="F44" s="339"/>
      <c r="G44" s="339"/>
      <c r="H44" s="339"/>
      <c r="I44" s="339"/>
      <c r="J44" s="339"/>
      <c r="K44" s="339"/>
      <c r="L44" s="339"/>
      <c r="M44" s="339"/>
      <c r="N44" s="339"/>
      <c r="O44" s="339"/>
      <c r="P44" s="339"/>
      <c r="Q44" s="339"/>
      <c r="R44" s="339"/>
      <c r="S44" s="339"/>
      <c r="T44" s="339"/>
      <c r="U44" s="339"/>
      <c r="V44" s="339"/>
      <c r="W44" s="339"/>
      <c r="X44" s="339"/>
      <c r="Y44" s="339"/>
      <c r="Z44" s="339"/>
      <c r="AA44" s="339"/>
      <c r="AB44" s="339"/>
      <c r="AC44" s="339"/>
      <c r="AD44" s="4"/>
      <c r="AE44" s="43" t="s">
        <v>107</v>
      </c>
      <c r="AF44" s="341">
        <v>46023</v>
      </c>
      <c r="AG44" s="342"/>
      <c r="AH44" s="343"/>
    </row>
    <row r="45" spans="1:34">
      <c r="A45" s="344"/>
      <c r="B45" s="346" t="s">
        <v>132</v>
      </c>
      <c r="C45" s="347"/>
      <c r="D45" s="347"/>
      <c r="E45" s="347"/>
      <c r="F45" s="347"/>
      <c r="G45" s="347"/>
      <c r="H45" s="347"/>
      <c r="I45" s="347"/>
      <c r="J45" s="347"/>
      <c r="K45" s="348"/>
      <c r="L45" s="349"/>
      <c r="M45" s="22"/>
      <c r="N45" s="350" t="s">
        <v>133</v>
      </c>
      <c r="O45" s="347"/>
      <c r="P45" s="347"/>
      <c r="Q45" s="347"/>
      <c r="R45" s="347"/>
      <c r="S45" s="347"/>
      <c r="T45" s="347"/>
      <c r="U45" s="347"/>
      <c r="V45" s="347"/>
      <c r="W45" s="348"/>
      <c r="X45" s="349"/>
      <c r="Y45" s="22"/>
      <c r="Z45" s="346" t="s">
        <v>134</v>
      </c>
      <c r="AA45" s="347"/>
      <c r="AB45" s="347"/>
      <c r="AC45" s="347"/>
      <c r="AD45" s="347"/>
      <c r="AE45" s="347"/>
      <c r="AF45" s="347"/>
      <c r="AG45" s="348"/>
      <c r="AH45" s="349"/>
    </row>
    <row r="46" spans="1:34" ht="25.5">
      <c r="A46" s="345"/>
      <c r="B46" s="359" t="s">
        <v>135</v>
      </c>
      <c r="C46" s="361" t="s">
        <v>136</v>
      </c>
      <c r="D46" s="5" t="s">
        <v>137</v>
      </c>
      <c r="E46" s="5" t="s">
        <v>138</v>
      </c>
      <c r="F46" s="5" t="s">
        <v>139</v>
      </c>
      <c r="G46" s="5" t="s">
        <v>140</v>
      </c>
      <c r="H46" s="5" t="s">
        <v>141</v>
      </c>
      <c r="I46" s="5" t="s">
        <v>142</v>
      </c>
      <c r="J46" s="5" t="s">
        <v>143</v>
      </c>
      <c r="K46" s="181"/>
      <c r="L46" s="23" t="s">
        <v>144</v>
      </c>
      <c r="M46" s="22"/>
      <c r="N46" s="355" t="s">
        <v>135</v>
      </c>
      <c r="O46" s="357" t="s">
        <v>136</v>
      </c>
      <c r="P46" s="5" t="s">
        <v>137</v>
      </c>
      <c r="Q46" s="5" t="s">
        <v>138</v>
      </c>
      <c r="R46" s="5" t="s">
        <v>139</v>
      </c>
      <c r="S46" s="5" t="s">
        <v>140</v>
      </c>
      <c r="T46" s="5" t="s">
        <v>141</v>
      </c>
      <c r="U46" s="5" t="s">
        <v>142</v>
      </c>
      <c r="V46" s="5" t="s">
        <v>143</v>
      </c>
      <c r="W46" s="181"/>
      <c r="X46" s="23" t="s">
        <v>144</v>
      </c>
      <c r="Y46" s="22"/>
      <c r="Z46" s="33" t="s">
        <v>137</v>
      </c>
      <c r="AA46" s="5" t="s">
        <v>138</v>
      </c>
      <c r="AB46" s="5" t="s">
        <v>139</v>
      </c>
      <c r="AC46" s="5" t="s">
        <v>140</v>
      </c>
      <c r="AD46" s="5" t="s">
        <v>141</v>
      </c>
      <c r="AE46" s="5" t="s">
        <v>142</v>
      </c>
      <c r="AF46" s="5" t="s">
        <v>143</v>
      </c>
      <c r="AG46" s="181"/>
      <c r="AH46" s="23" t="s">
        <v>144</v>
      </c>
    </row>
    <row r="47" spans="1:34" ht="25.5">
      <c r="A47" s="6" t="s">
        <v>145</v>
      </c>
      <c r="B47" s="360"/>
      <c r="C47" s="362"/>
      <c r="D47" s="5" t="s">
        <v>128</v>
      </c>
      <c r="E47" s="5" t="s">
        <v>128</v>
      </c>
      <c r="F47" s="5" t="s">
        <v>128</v>
      </c>
      <c r="G47" s="5" t="s">
        <v>128</v>
      </c>
      <c r="H47" s="5" t="s">
        <v>125</v>
      </c>
      <c r="I47" s="5" t="s">
        <v>146</v>
      </c>
      <c r="J47" s="5" t="s">
        <v>127</v>
      </c>
      <c r="K47" s="181"/>
      <c r="L47" s="23" t="s">
        <v>53</v>
      </c>
      <c r="M47" s="22"/>
      <c r="N47" s="356"/>
      <c r="O47" s="358"/>
      <c r="P47" s="5" t="s">
        <v>128</v>
      </c>
      <c r="Q47" s="5" t="s">
        <v>128</v>
      </c>
      <c r="R47" s="5" t="s">
        <v>128</v>
      </c>
      <c r="S47" s="5" t="s">
        <v>128</v>
      </c>
      <c r="T47" s="5" t="s">
        <v>125</v>
      </c>
      <c r="U47" s="5" t="s">
        <v>146</v>
      </c>
      <c r="V47" s="5" t="s">
        <v>127</v>
      </c>
      <c r="W47" s="181"/>
      <c r="X47" s="23" t="s">
        <v>53</v>
      </c>
      <c r="Y47" s="22"/>
      <c r="Z47" s="33" t="s">
        <v>128</v>
      </c>
      <c r="AA47" s="5" t="s">
        <v>128</v>
      </c>
      <c r="AB47" s="5" t="s">
        <v>128</v>
      </c>
      <c r="AC47" s="5" t="s">
        <v>128</v>
      </c>
      <c r="AD47" s="5" t="s">
        <v>125</v>
      </c>
      <c r="AE47" s="5" t="s">
        <v>146</v>
      </c>
      <c r="AF47" s="5" t="s">
        <v>127</v>
      </c>
      <c r="AG47" s="181"/>
      <c r="AH47" s="23" t="s">
        <v>53</v>
      </c>
    </row>
    <row r="48" spans="1:34" ht="39" thickBot="1">
      <c r="A48" s="7" t="s">
        <v>147</v>
      </c>
      <c r="B48" s="8" t="s">
        <v>148</v>
      </c>
      <c r="C48" s="9" t="s">
        <v>166</v>
      </c>
      <c r="D48" s="9" t="s">
        <v>167</v>
      </c>
      <c r="E48" s="9" t="s">
        <v>168</v>
      </c>
      <c r="F48" s="9" t="s">
        <v>169</v>
      </c>
      <c r="G48" s="9" t="s">
        <v>170</v>
      </c>
      <c r="H48" s="9" t="s">
        <v>154</v>
      </c>
      <c r="I48" s="24" t="s">
        <v>155</v>
      </c>
      <c r="J48" s="24" t="s">
        <v>156</v>
      </c>
      <c r="K48" s="182"/>
      <c r="L48" s="25" t="s">
        <v>171</v>
      </c>
      <c r="M48" s="22"/>
      <c r="N48" s="8" t="s">
        <v>148</v>
      </c>
      <c r="O48" s="9" t="s">
        <v>166</v>
      </c>
      <c r="P48" s="9" t="s">
        <v>167</v>
      </c>
      <c r="Q48" s="9" t="s">
        <v>168</v>
      </c>
      <c r="R48" s="9" t="s">
        <v>169</v>
      </c>
      <c r="S48" s="9" t="s">
        <v>170</v>
      </c>
      <c r="T48" s="9" t="s">
        <v>154</v>
      </c>
      <c r="U48" s="24" t="s">
        <v>155</v>
      </c>
      <c r="V48" s="24" t="s">
        <v>156</v>
      </c>
      <c r="W48" s="182"/>
      <c r="X48" s="25" t="s">
        <v>171</v>
      </c>
      <c r="Y48" s="22"/>
      <c r="Z48" s="8" t="s">
        <v>167</v>
      </c>
      <c r="AA48" s="9" t="s">
        <v>168</v>
      </c>
      <c r="AB48" s="9" t="s">
        <v>169</v>
      </c>
      <c r="AC48" s="9" t="s">
        <v>170</v>
      </c>
      <c r="AD48" s="9" t="s">
        <v>154</v>
      </c>
      <c r="AE48" s="9" t="s">
        <v>155</v>
      </c>
      <c r="AF48" s="9" t="s">
        <v>156</v>
      </c>
      <c r="AG48" s="182"/>
      <c r="AH48" s="23" t="s">
        <v>171</v>
      </c>
    </row>
    <row r="49" spans="1:34">
      <c r="A49" s="10">
        <f>AF44+0</f>
        <v>46023</v>
      </c>
      <c r="B49" s="11"/>
      <c r="C49" s="12"/>
      <c r="D49" s="12"/>
      <c r="E49" s="13"/>
      <c r="F49" s="12"/>
      <c r="G49" s="12"/>
      <c r="H49" s="12"/>
      <c r="I49" s="12"/>
      <c r="J49" s="13"/>
      <c r="K49" s="184"/>
      <c r="L49" s="26"/>
      <c r="M49" s="22"/>
      <c r="N49" s="29"/>
      <c r="O49" s="13"/>
      <c r="P49" s="13"/>
      <c r="Q49" s="13"/>
      <c r="R49" s="13"/>
      <c r="S49" s="13"/>
      <c r="T49" s="13"/>
      <c r="U49" s="13"/>
      <c r="V49" s="13"/>
      <c r="W49" s="184"/>
      <c r="X49" s="37"/>
      <c r="Y49" s="22"/>
      <c r="Z49" s="38"/>
      <c r="AA49" s="13"/>
      <c r="AB49" s="13"/>
      <c r="AC49" s="13"/>
      <c r="AD49" s="13"/>
      <c r="AE49" s="13"/>
      <c r="AF49" s="13"/>
      <c r="AG49" s="184"/>
      <c r="AH49" s="45"/>
    </row>
    <row r="50" spans="1:34">
      <c r="A50" s="14">
        <f t="shared" ref="A50:A79" si="25">A49+1</f>
        <v>46024</v>
      </c>
      <c r="B50" s="11"/>
      <c r="C50" s="12"/>
      <c r="D50" s="12"/>
      <c r="E50" s="13"/>
      <c r="F50" s="12"/>
      <c r="G50" s="12"/>
      <c r="H50" s="12"/>
      <c r="I50" s="12"/>
      <c r="J50" s="13"/>
      <c r="K50" s="184"/>
      <c r="L50" s="26"/>
      <c r="M50" s="22"/>
      <c r="N50" s="29"/>
      <c r="O50" s="13"/>
      <c r="P50" s="13"/>
      <c r="Q50" s="13"/>
      <c r="R50" s="13"/>
      <c r="S50" s="13"/>
      <c r="T50" s="13"/>
      <c r="U50" s="13"/>
      <c r="V50" s="13"/>
      <c r="W50" s="184"/>
      <c r="X50" s="37"/>
      <c r="Y50" s="22"/>
      <c r="Z50" s="38"/>
      <c r="AA50" s="13"/>
      <c r="AB50" s="13"/>
      <c r="AC50" s="13"/>
      <c r="AD50" s="13"/>
      <c r="AE50" s="13"/>
      <c r="AF50" s="13"/>
      <c r="AG50" s="184"/>
      <c r="AH50" s="45"/>
    </row>
    <row r="51" spans="1:34">
      <c r="A51" s="14">
        <f t="shared" si="25"/>
        <v>46025</v>
      </c>
      <c r="B51" s="11"/>
      <c r="C51" s="12"/>
      <c r="D51" s="12"/>
      <c r="E51" s="13"/>
      <c r="F51" s="12"/>
      <c r="G51" s="12"/>
      <c r="H51" s="12"/>
      <c r="I51" s="12"/>
      <c r="J51" s="13"/>
      <c r="K51" s="184"/>
      <c r="L51" s="26"/>
      <c r="M51" s="22"/>
      <c r="N51" s="29"/>
      <c r="O51" s="13"/>
      <c r="P51" s="13"/>
      <c r="Q51" s="13"/>
      <c r="R51" s="13"/>
      <c r="S51" s="13"/>
      <c r="T51" s="13"/>
      <c r="U51" s="13"/>
      <c r="V51" s="13"/>
      <c r="W51" s="184"/>
      <c r="X51" s="37"/>
      <c r="Y51" s="22"/>
      <c r="Z51" s="38"/>
      <c r="AA51" s="13"/>
      <c r="AB51" s="13"/>
      <c r="AC51" s="13"/>
      <c r="AD51" s="13"/>
      <c r="AE51" s="13"/>
      <c r="AF51" s="13"/>
      <c r="AG51" s="184"/>
      <c r="AH51" s="45"/>
    </row>
    <row r="52" spans="1:34">
      <c r="A52" s="14">
        <f t="shared" si="25"/>
        <v>46026</v>
      </c>
      <c r="B52" s="11"/>
      <c r="C52" s="12"/>
      <c r="D52" s="12"/>
      <c r="E52" s="13"/>
      <c r="F52" s="12"/>
      <c r="G52" s="12"/>
      <c r="H52" s="12"/>
      <c r="I52" s="12"/>
      <c r="J52" s="13"/>
      <c r="K52" s="184"/>
      <c r="L52" s="26"/>
      <c r="M52" s="22"/>
      <c r="N52" s="29"/>
      <c r="O52" s="13"/>
      <c r="P52" s="13"/>
      <c r="Q52" s="13"/>
      <c r="R52" s="13"/>
      <c r="S52" s="13"/>
      <c r="T52" s="13"/>
      <c r="U52" s="13"/>
      <c r="V52" s="13"/>
      <c r="W52" s="184"/>
      <c r="X52" s="37"/>
      <c r="Y52" s="22"/>
      <c r="Z52" s="38"/>
      <c r="AA52" s="13"/>
      <c r="AB52" s="13"/>
      <c r="AC52" s="13"/>
      <c r="AD52" s="13"/>
      <c r="AE52" s="13"/>
      <c r="AF52" s="13"/>
      <c r="AG52" s="184"/>
      <c r="AH52" s="45"/>
    </row>
    <row r="53" spans="1:34">
      <c r="A53" s="14">
        <f t="shared" si="25"/>
        <v>46027</v>
      </c>
      <c r="B53" s="11"/>
      <c r="C53" s="12"/>
      <c r="D53" s="12"/>
      <c r="E53" s="13"/>
      <c r="F53" s="12"/>
      <c r="G53" s="12"/>
      <c r="H53" s="12"/>
      <c r="I53" s="12"/>
      <c r="J53" s="13"/>
      <c r="K53" s="184"/>
      <c r="L53" s="26"/>
      <c r="M53" s="22"/>
      <c r="N53" s="29"/>
      <c r="O53" s="13"/>
      <c r="P53" s="13"/>
      <c r="Q53" s="13"/>
      <c r="R53" s="13"/>
      <c r="S53" s="13"/>
      <c r="T53" s="13"/>
      <c r="U53" s="13"/>
      <c r="V53" s="13"/>
      <c r="W53" s="184"/>
      <c r="X53" s="37"/>
      <c r="Y53" s="22"/>
      <c r="Z53" s="38"/>
      <c r="AA53" s="13"/>
      <c r="AB53" s="13"/>
      <c r="AC53" s="13"/>
      <c r="AD53" s="13"/>
      <c r="AE53" s="13"/>
      <c r="AF53" s="13"/>
      <c r="AG53" s="184"/>
      <c r="AH53" s="45"/>
    </row>
    <row r="54" spans="1:34">
      <c r="A54" s="14">
        <f t="shared" si="25"/>
        <v>46028</v>
      </c>
      <c r="B54" s="11"/>
      <c r="C54" s="12"/>
      <c r="D54" s="12"/>
      <c r="E54" s="13"/>
      <c r="F54" s="12"/>
      <c r="G54" s="12"/>
      <c r="H54" s="12"/>
      <c r="I54" s="12"/>
      <c r="J54" s="13"/>
      <c r="K54" s="184"/>
      <c r="L54" s="26"/>
      <c r="M54" s="22"/>
      <c r="N54" s="29"/>
      <c r="O54" s="13"/>
      <c r="P54" s="13"/>
      <c r="Q54" s="13"/>
      <c r="R54" s="13"/>
      <c r="S54" s="13"/>
      <c r="T54" s="13"/>
      <c r="U54" s="13"/>
      <c r="V54" s="13"/>
      <c r="W54" s="184"/>
      <c r="X54" s="37"/>
      <c r="Y54" s="22"/>
      <c r="Z54" s="38"/>
      <c r="AA54" s="13"/>
      <c r="AB54" s="13"/>
      <c r="AC54" s="13"/>
      <c r="AD54" s="13"/>
      <c r="AE54" s="13"/>
      <c r="AF54" s="13"/>
      <c r="AG54" s="184"/>
      <c r="AH54" s="45"/>
    </row>
    <row r="55" spans="1:34">
      <c r="A55" s="14">
        <f t="shared" si="25"/>
        <v>46029</v>
      </c>
      <c r="B55" s="11"/>
      <c r="C55" s="12"/>
      <c r="D55" s="12"/>
      <c r="E55" s="12"/>
      <c r="F55" s="12"/>
      <c r="G55" s="12"/>
      <c r="H55" s="12"/>
      <c r="I55" s="12"/>
      <c r="J55" s="13"/>
      <c r="K55" s="184"/>
      <c r="L55" s="26"/>
      <c r="M55" s="22"/>
      <c r="N55" s="29"/>
      <c r="O55" s="50"/>
      <c r="P55" s="13"/>
      <c r="Q55" s="13"/>
      <c r="R55" s="13"/>
      <c r="S55" s="13"/>
      <c r="T55" s="13"/>
      <c r="U55" s="13"/>
      <c r="V55" s="13"/>
      <c r="W55" s="184"/>
      <c r="X55" s="51"/>
      <c r="Y55" s="22"/>
      <c r="Z55" s="38"/>
      <c r="AA55" s="13"/>
      <c r="AB55" s="13"/>
      <c r="AC55" s="13"/>
      <c r="AD55" s="13"/>
      <c r="AE55" s="13"/>
      <c r="AF55" s="13"/>
      <c r="AG55" s="184"/>
      <c r="AH55" s="46"/>
    </row>
    <row r="56" spans="1:34">
      <c r="A56" s="14">
        <f t="shared" si="25"/>
        <v>46030</v>
      </c>
      <c r="B56" s="11"/>
      <c r="C56" s="12"/>
      <c r="D56" s="12"/>
      <c r="E56" s="12"/>
      <c r="F56" s="12"/>
      <c r="G56" s="12"/>
      <c r="H56" s="12"/>
      <c r="I56" s="12"/>
      <c r="J56" s="13"/>
      <c r="K56" s="184"/>
      <c r="L56" s="26"/>
      <c r="M56" s="22"/>
      <c r="N56" s="29"/>
      <c r="O56" s="13"/>
      <c r="P56" s="13"/>
      <c r="Q56" s="13"/>
      <c r="R56" s="13"/>
      <c r="S56" s="13"/>
      <c r="T56" s="13"/>
      <c r="U56" s="13"/>
      <c r="V56" s="13"/>
      <c r="W56" s="184"/>
      <c r="X56" s="37"/>
      <c r="Y56" s="22"/>
      <c r="Z56" s="38"/>
      <c r="AA56" s="13"/>
      <c r="AB56" s="13"/>
      <c r="AC56" s="13"/>
      <c r="AD56" s="13"/>
      <c r="AE56" s="13"/>
      <c r="AF56" s="13"/>
      <c r="AG56" s="184"/>
      <c r="AH56" s="45"/>
    </row>
    <row r="57" spans="1:34">
      <c r="A57" s="14">
        <f t="shared" si="25"/>
        <v>46031</v>
      </c>
      <c r="B57" s="11"/>
      <c r="C57" s="12"/>
      <c r="D57" s="12"/>
      <c r="E57" s="12"/>
      <c r="F57" s="12"/>
      <c r="G57" s="12"/>
      <c r="H57" s="12"/>
      <c r="I57" s="12"/>
      <c r="J57" s="13"/>
      <c r="K57" s="184"/>
      <c r="L57" s="26"/>
      <c r="M57" s="22"/>
      <c r="N57" s="29"/>
      <c r="O57" s="13"/>
      <c r="P57" s="13"/>
      <c r="Q57" s="13"/>
      <c r="R57" s="13"/>
      <c r="S57" s="13"/>
      <c r="T57" s="13"/>
      <c r="U57" s="13"/>
      <c r="V57" s="13"/>
      <c r="W57" s="184"/>
      <c r="X57" s="37"/>
      <c r="Y57" s="22"/>
      <c r="Z57" s="38"/>
      <c r="AA57" s="13"/>
      <c r="AB57" s="13"/>
      <c r="AC57" s="13"/>
      <c r="AD57" s="13"/>
      <c r="AE57" s="13"/>
      <c r="AF57" s="13"/>
      <c r="AG57" s="184"/>
      <c r="AH57" s="45"/>
    </row>
    <row r="58" spans="1:34">
      <c r="A58" s="14">
        <f t="shared" si="25"/>
        <v>46032</v>
      </c>
      <c r="B58" s="11"/>
      <c r="C58" s="12"/>
      <c r="D58" s="12"/>
      <c r="E58" s="12"/>
      <c r="F58" s="12"/>
      <c r="G58" s="12"/>
      <c r="H58" s="12"/>
      <c r="I58" s="12"/>
      <c r="J58" s="13"/>
      <c r="K58" s="184"/>
      <c r="L58" s="26"/>
      <c r="M58" s="22"/>
      <c r="N58" s="29"/>
      <c r="O58" s="13"/>
      <c r="P58" s="13"/>
      <c r="Q58" s="13"/>
      <c r="R58" s="13"/>
      <c r="S58" s="13"/>
      <c r="T58" s="13"/>
      <c r="U58" s="13"/>
      <c r="V58" s="13"/>
      <c r="W58" s="184"/>
      <c r="X58" s="37"/>
      <c r="Y58" s="22"/>
      <c r="Z58" s="38"/>
      <c r="AA58" s="13"/>
      <c r="AB58" s="13"/>
      <c r="AC58" s="13"/>
      <c r="AD58" s="13"/>
      <c r="AE58" s="13"/>
      <c r="AF58" s="13"/>
      <c r="AG58" s="184"/>
      <c r="AH58" s="45"/>
    </row>
    <row r="59" spans="1:34">
      <c r="A59" s="14">
        <f t="shared" si="25"/>
        <v>46033</v>
      </c>
      <c r="B59" s="38"/>
      <c r="C59" s="12"/>
      <c r="D59" s="12"/>
      <c r="E59" s="12"/>
      <c r="F59" s="12"/>
      <c r="G59" s="12"/>
      <c r="H59" s="12"/>
      <c r="I59" s="12"/>
      <c r="J59" s="13"/>
      <c r="K59" s="184"/>
      <c r="L59" s="26"/>
      <c r="M59" s="22"/>
      <c r="N59" s="29"/>
      <c r="O59" s="13"/>
      <c r="P59" s="13"/>
      <c r="Q59" s="13"/>
      <c r="R59" s="13"/>
      <c r="S59" s="13"/>
      <c r="T59" s="13"/>
      <c r="U59" s="13"/>
      <c r="V59" s="13"/>
      <c r="W59" s="184"/>
      <c r="X59" s="37"/>
      <c r="Y59" s="22"/>
      <c r="Z59" s="38"/>
      <c r="AA59" s="13"/>
      <c r="AB59" s="13"/>
      <c r="AC59" s="13"/>
      <c r="AD59" s="13"/>
      <c r="AE59" s="13"/>
      <c r="AF59" s="13"/>
      <c r="AG59" s="184"/>
      <c r="AH59" s="45"/>
    </row>
    <row r="60" spans="1:34">
      <c r="A60" s="14">
        <f t="shared" si="25"/>
        <v>46034</v>
      </c>
      <c r="B60" s="11"/>
      <c r="C60" s="12"/>
      <c r="D60" s="12"/>
      <c r="E60" s="12"/>
      <c r="F60" s="12"/>
      <c r="G60" s="12"/>
      <c r="H60" s="12"/>
      <c r="I60" s="12"/>
      <c r="J60" s="13"/>
      <c r="K60" s="184"/>
      <c r="L60" s="26"/>
      <c r="M60" s="22"/>
      <c r="N60" s="29"/>
      <c r="O60" s="13"/>
      <c r="P60" s="13"/>
      <c r="Q60" s="13"/>
      <c r="R60" s="13"/>
      <c r="S60" s="13"/>
      <c r="T60" s="13"/>
      <c r="U60" s="13"/>
      <c r="V60" s="13"/>
      <c r="W60" s="184"/>
      <c r="X60" s="37"/>
      <c r="Y60" s="22"/>
      <c r="Z60" s="38"/>
      <c r="AA60" s="13"/>
      <c r="AB60" s="13"/>
      <c r="AC60" s="13"/>
      <c r="AD60" s="13"/>
      <c r="AE60" s="13"/>
      <c r="AF60" s="13"/>
      <c r="AG60" s="184"/>
      <c r="AH60" s="45"/>
    </row>
    <row r="61" spans="1:34">
      <c r="A61" s="14">
        <f t="shared" si="25"/>
        <v>46035</v>
      </c>
      <c r="B61" s="38"/>
      <c r="C61" s="13"/>
      <c r="D61" s="12"/>
      <c r="E61" s="12"/>
      <c r="F61" s="12"/>
      <c r="G61" s="12"/>
      <c r="H61" s="12"/>
      <c r="I61" s="12"/>
      <c r="J61" s="13"/>
      <c r="K61" s="184"/>
      <c r="L61" s="26"/>
      <c r="M61" s="22"/>
      <c r="N61" s="29"/>
      <c r="O61" s="13"/>
      <c r="P61" s="13"/>
      <c r="Q61" s="13"/>
      <c r="R61" s="13"/>
      <c r="S61" s="13"/>
      <c r="T61" s="13"/>
      <c r="U61" s="13"/>
      <c r="V61" s="13"/>
      <c r="W61" s="184"/>
      <c r="X61" s="37"/>
      <c r="Y61" s="22"/>
      <c r="Z61" s="38"/>
      <c r="AA61" s="13"/>
      <c r="AB61" s="13"/>
      <c r="AC61" s="13"/>
      <c r="AD61" s="13"/>
      <c r="AE61" s="13"/>
      <c r="AF61" s="13"/>
      <c r="AG61" s="184"/>
      <c r="AH61" s="45"/>
    </row>
    <row r="62" spans="1:34">
      <c r="A62" s="14">
        <f t="shared" si="25"/>
        <v>46036</v>
      </c>
      <c r="B62" s="11"/>
      <c r="C62" s="13"/>
      <c r="D62" s="12"/>
      <c r="E62" s="12"/>
      <c r="F62" s="12"/>
      <c r="G62" s="12"/>
      <c r="H62" s="12"/>
      <c r="I62" s="36"/>
      <c r="J62" s="13"/>
      <c r="K62" s="184"/>
      <c r="L62" s="26"/>
      <c r="M62" s="22"/>
      <c r="N62" s="29"/>
      <c r="O62" s="13"/>
      <c r="P62" s="13"/>
      <c r="Q62" s="13"/>
      <c r="R62" s="13"/>
      <c r="S62" s="13"/>
      <c r="T62" s="13"/>
      <c r="U62" s="13"/>
      <c r="V62" s="13"/>
      <c r="W62" s="184"/>
      <c r="X62" s="37"/>
      <c r="Y62" s="22"/>
      <c r="Z62" s="38"/>
      <c r="AA62" s="13"/>
      <c r="AB62" s="13"/>
      <c r="AC62" s="13"/>
      <c r="AD62" s="13"/>
      <c r="AE62" s="13"/>
      <c r="AF62" s="13"/>
      <c r="AG62" s="184"/>
      <c r="AH62" s="37"/>
    </row>
    <row r="63" spans="1:34">
      <c r="A63" s="14">
        <f t="shared" si="25"/>
        <v>46037</v>
      </c>
      <c r="B63" s="11"/>
      <c r="C63" s="13"/>
      <c r="D63" s="12"/>
      <c r="E63" s="12"/>
      <c r="F63" s="12"/>
      <c r="G63" s="12"/>
      <c r="H63" s="12"/>
      <c r="I63" s="12"/>
      <c r="J63" s="13"/>
      <c r="K63" s="184"/>
      <c r="L63" s="26"/>
      <c r="M63" s="22"/>
      <c r="N63" s="29"/>
      <c r="O63" s="13"/>
      <c r="P63" s="13"/>
      <c r="Q63" s="13"/>
      <c r="R63" s="13"/>
      <c r="S63" s="13"/>
      <c r="T63" s="13"/>
      <c r="U63" s="13"/>
      <c r="V63" s="13"/>
      <c r="W63" s="184"/>
      <c r="X63" s="37"/>
      <c r="Y63" s="22"/>
      <c r="Z63" s="38"/>
      <c r="AA63" s="13"/>
      <c r="AB63" s="13"/>
      <c r="AC63" s="13"/>
      <c r="AD63" s="13"/>
      <c r="AE63" s="13"/>
      <c r="AF63" s="13"/>
      <c r="AG63" s="184"/>
      <c r="AH63" s="37"/>
    </row>
    <row r="64" spans="1:34">
      <c r="A64" s="14">
        <f t="shared" si="25"/>
        <v>46038</v>
      </c>
      <c r="B64" s="11"/>
      <c r="C64" s="13"/>
      <c r="D64" s="12"/>
      <c r="E64" s="12"/>
      <c r="F64" s="12"/>
      <c r="G64" s="12"/>
      <c r="H64" s="12"/>
      <c r="I64" s="12"/>
      <c r="J64" s="13"/>
      <c r="K64" s="184"/>
      <c r="L64" s="26"/>
      <c r="M64" s="22"/>
      <c r="N64" s="29"/>
      <c r="O64" s="13"/>
      <c r="P64" s="13"/>
      <c r="Q64" s="13"/>
      <c r="R64" s="13"/>
      <c r="S64" s="13"/>
      <c r="T64" s="13"/>
      <c r="U64" s="13"/>
      <c r="V64" s="13"/>
      <c r="W64" s="184"/>
      <c r="X64" s="37"/>
      <c r="Y64" s="22"/>
      <c r="Z64" s="38"/>
      <c r="AA64" s="13"/>
      <c r="AB64" s="13"/>
      <c r="AC64" s="13"/>
      <c r="AD64" s="13"/>
      <c r="AE64" s="13"/>
      <c r="AF64" s="13"/>
      <c r="AG64" s="184"/>
      <c r="AH64" s="37"/>
    </row>
    <row r="65" spans="1:34">
      <c r="A65" s="14">
        <f t="shared" si="25"/>
        <v>46039</v>
      </c>
      <c r="B65" s="11"/>
      <c r="C65" s="13"/>
      <c r="D65" s="12"/>
      <c r="E65" s="12"/>
      <c r="F65" s="12"/>
      <c r="G65" s="12"/>
      <c r="H65" s="12"/>
      <c r="I65" s="12"/>
      <c r="J65" s="13"/>
      <c r="K65" s="184"/>
      <c r="L65" s="26"/>
      <c r="M65" s="22"/>
      <c r="N65" s="29"/>
      <c r="O65" s="13"/>
      <c r="P65" s="13"/>
      <c r="Q65" s="13"/>
      <c r="R65" s="13"/>
      <c r="S65" s="13"/>
      <c r="T65" s="13"/>
      <c r="U65" s="13"/>
      <c r="V65" s="13"/>
      <c r="W65" s="184"/>
      <c r="X65" s="37"/>
      <c r="Y65" s="22"/>
      <c r="Z65" s="38"/>
      <c r="AA65" s="13"/>
      <c r="AB65" s="13"/>
      <c r="AC65" s="13"/>
      <c r="AD65" s="13"/>
      <c r="AE65" s="13"/>
      <c r="AF65" s="13"/>
      <c r="AG65" s="184"/>
      <c r="AH65" s="37"/>
    </row>
    <row r="66" spans="1:34">
      <c r="A66" s="14">
        <f t="shared" si="25"/>
        <v>46040</v>
      </c>
      <c r="B66" s="11"/>
      <c r="C66" s="12"/>
      <c r="D66" s="12"/>
      <c r="E66" s="12"/>
      <c r="F66" s="12"/>
      <c r="G66" s="12"/>
      <c r="H66" s="12"/>
      <c r="I66" s="12"/>
      <c r="J66" s="13"/>
      <c r="K66" s="184"/>
      <c r="L66" s="26"/>
      <c r="M66" s="22"/>
      <c r="N66" s="29"/>
      <c r="O66" s="13"/>
      <c r="P66" s="13"/>
      <c r="Q66" s="13"/>
      <c r="R66" s="13"/>
      <c r="S66" s="13"/>
      <c r="T66" s="13"/>
      <c r="U66" s="13"/>
      <c r="V66" s="13"/>
      <c r="W66" s="184"/>
      <c r="X66" s="37"/>
      <c r="Y66" s="22"/>
      <c r="Z66" s="38"/>
      <c r="AA66" s="13"/>
      <c r="AB66" s="13"/>
      <c r="AC66" s="13"/>
      <c r="AD66" s="13"/>
      <c r="AE66" s="13"/>
      <c r="AF66" s="13"/>
      <c r="AG66" s="184"/>
      <c r="AH66" s="37"/>
    </row>
    <row r="67" spans="1:34">
      <c r="A67" s="14">
        <f t="shared" si="25"/>
        <v>46041</v>
      </c>
      <c r="B67" s="11"/>
      <c r="C67" s="12"/>
      <c r="D67" s="12"/>
      <c r="E67" s="12"/>
      <c r="F67" s="12"/>
      <c r="G67" s="12"/>
      <c r="H67" s="12"/>
      <c r="I67" s="12"/>
      <c r="J67" s="13"/>
      <c r="K67" s="184"/>
      <c r="L67" s="26"/>
      <c r="M67" s="22"/>
      <c r="N67" s="29"/>
      <c r="O67" s="13"/>
      <c r="P67" s="13"/>
      <c r="Q67" s="13"/>
      <c r="R67" s="13"/>
      <c r="S67" s="13"/>
      <c r="T67" s="13"/>
      <c r="U67" s="13"/>
      <c r="V67" s="13"/>
      <c r="W67" s="184"/>
      <c r="X67" s="37"/>
      <c r="Y67" s="22"/>
      <c r="Z67" s="38"/>
      <c r="AA67" s="13"/>
      <c r="AB67" s="13"/>
      <c r="AC67" s="13"/>
      <c r="AD67" s="13"/>
      <c r="AE67" s="13"/>
      <c r="AF67" s="13"/>
      <c r="AG67" s="184"/>
      <c r="AH67" s="37"/>
    </row>
    <row r="68" spans="1:34">
      <c r="A68" s="14">
        <f t="shared" si="25"/>
        <v>46042</v>
      </c>
      <c r="B68" s="11"/>
      <c r="C68" s="13"/>
      <c r="D68" s="12"/>
      <c r="E68" s="12"/>
      <c r="F68" s="12"/>
      <c r="G68" s="12"/>
      <c r="H68" s="12"/>
      <c r="I68" s="13"/>
      <c r="J68" s="13"/>
      <c r="K68" s="184"/>
      <c r="L68" s="26"/>
      <c r="M68" s="22"/>
      <c r="N68" s="29"/>
      <c r="O68" s="13"/>
      <c r="P68" s="13"/>
      <c r="Q68" s="13"/>
      <c r="R68" s="13"/>
      <c r="S68" s="13"/>
      <c r="T68" s="13"/>
      <c r="U68" s="13"/>
      <c r="V68" s="13"/>
      <c r="W68" s="184"/>
      <c r="X68" s="37"/>
      <c r="Y68" s="22"/>
      <c r="Z68" s="38"/>
      <c r="AA68" s="13"/>
      <c r="AB68" s="13"/>
      <c r="AC68" s="13"/>
      <c r="AD68" s="13"/>
      <c r="AE68" s="13"/>
      <c r="AF68" s="13"/>
      <c r="AG68" s="184"/>
      <c r="AH68" s="37"/>
    </row>
    <row r="69" spans="1:34">
      <c r="A69" s="14">
        <f t="shared" si="25"/>
        <v>46043</v>
      </c>
      <c r="B69" s="11"/>
      <c r="C69" s="13"/>
      <c r="D69" s="12"/>
      <c r="E69" s="12"/>
      <c r="F69" s="12"/>
      <c r="G69" s="13"/>
      <c r="H69" s="13"/>
      <c r="I69" s="12"/>
      <c r="J69" s="13"/>
      <c r="K69" s="184"/>
      <c r="L69" s="26"/>
      <c r="M69" s="22"/>
      <c r="N69" s="29"/>
      <c r="O69" s="13"/>
      <c r="P69" s="13"/>
      <c r="Q69" s="13"/>
      <c r="R69" s="13"/>
      <c r="S69" s="13"/>
      <c r="T69" s="13"/>
      <c r="U69" s="13"/>
      <c r="V69" s="13"/>
      <c r="W69" s="184"/>
      <c r="X69" s="37"/>
      <c r="Y69" s="22"/>
      <c r="Z69" s="38"/>
      <c r="AA69" s="13"/>
      <c r="AB69" s="13"/>
      <c r="AC69" s="13"/>
      <c r="AD69" s="13"/>
      <c r="AE69" s="13"/>
      <c r="AF69" s="13"/>
      <c r="AG69" s="184"/>
      <c r="AH69" s="37"/>
    </row>
    <row r="70" spans="1:34">
      <c r="A70" s="14">
        <f t="shared" si="25"/>
        <v>46044</v>
      </c>
      <c r="B70" s="11"/>
      <c r="C70" s="13"/>
      <c r="D70" s="12"/>
      <c r="E70" s="12"/>
      <c r="F70" s="12"/>
      <c r="G70" s="12"/>
      <c r="H70" s="12"/>
      <c r="I70" s="13"/>
      <c r="J70" s="13"/>
      <c r="K70" s="184"/>
      <c r="L70" s="26"/>
      <c r="M70" s="22"/>
      <c r="N70" s="29"/>
      <c r="O70" s="13"/>
      <c r="P70" s="13"/>
      <c r="Q70" s="13"/>
      <c r="R70" s="13"/>
      <c r="S70" s="13"/>
      <c r="T70" s="13"/>
      <c r="U70" s="13"/>
      <c r="V70" s="13"/>
      <c r="W70" s="184"/>
      <c r="X70" s="37"/>
      <c r="Y70" s="22"/>
      <c r="Z70" s="38"/>
      <c r="AA70" s="13"/>
      <c r="AB70" s="13"/>
      <c r="AC70" s="13"/>
      <c r="AD70" s="13"/>
      <c r="AE70" s="13"/>
      <c r="AF70" s="13"/>
      <c r="AG70" s="184"/>
      <c r="AH70" s="37"/>
    </row>
    <row r="71" spans="1:34">
      <c r="A71" s="14">
        <f t="shared" si="25"/>
        <v>46045</v>
      </c>
      <c r="B71" s="38"/>
      <c r="C71" s="12"/>
      <c r="D71" s="12"/>
      <c r="E71" s="12"/>
      <c r="F71" s="12"/>
      <c r="G71" s="12"/>
      <c r="H71" s="12"/>
      <c r="I71" s="12"/>
      <c r="J71" s="13"/>
      <c r="K71" s="184"/>
      <c r="L71" s="26"/>
      <c r="M71" s="22"/>
      <c r="N71" s="61"/>
      <c r="O71" s="13"/>
      <c r="P71" s="13"/>
      <c r="Q71" s="13"/>
      <c r="R71" s="13"/>
      <c r="S71" s="13"/>
      <c r="T71" s="13"/>
      <c r="U71" s="13"/>
      <c r="V71" s="13"/>
      <c r="W71" s="184"/>
      <c r="X71" s="37"/>
      <c r="Y71" s="22"/>
      <c r="Z71" s="38"/>
      <c r="AA71" s="13"/>
      <c r="AB71" s="13"/>
      <c r="AC71" s="13"/>
      <c r="AD71" s="13"/>
      <c r="AE71" s="13"/>
      <c r="AF71" s="13"/>
      <c r="AG71" s="184"/>
      <c r="AH71" s="37"/>
    </row>
    <row r="72" spans="1:34">
      <c r="A72" s="14">
        <f t="shared" si="25"/>
        <v>46046</v>
      </c>
      <c r="B72" s="11"/>
      <c r="C72" s="12"/>
      <c r="D72" s="12"/>
      <c r="E72" s="12"/>
      <c r="F72" s="12"/>
      <c r="G72" s="12"/>
      <c r="H72" s="12"/>
      <c r="I72" s="12"/>
      <c r="J72" s="12"/>
      <c r="K72" s="185"/>
      <c r="L72" s="26"/>
      <c r="M72" s="22"/>
      <c r="N72" s="29"/>
      <c r="O72" s="13"/>
      <c r="P72" s="13"/>
      <c r="Q72" s="13"/>
      <c r="R72" s="13"/>
      <c r="S72" s="13"/>
      <c r="T72" s="13"/>
      <c r="U72" s="13"/>
      <c r="V72" s="13"/>
      <c r="W72" s="185"/>
      <c r="X72" s="37"/>
      <c r="Y72" s="22"/>
      <c r="Z72" s="38"/>
      <c r="AA72" s="13"/>
      <c r="AB72" s="13"/>
      <c r="AC72" s="13"/>
      <c r="AD72" s="13"/>
      <c r="AE72" s="13"/>
      <c r="AF72" s="13"/>
      <c r="AG72" s="185"/>
      <c r="AH72" s="37"/>
    </row>
    <row r="73" spans="1:34">
      <c r="A73" s="14">
        <f t="shared" si="25"/>
        <v>46047</v>
      </c>
      <c r="B73" s="38"/>
      <c r="C73" s="12"/>
      <c r="D73" s="12"/>
      <c r="E73" s="12"/>
      <c r="F73" s="12"/>
      <c r="G73" s="13"/>
      <c r="H73" s="13"/>
      <c r="I73" s="12"/>
      <c r="J73" s="12"/>
      <c r="K73" s="185"/>
      <c r="L73" s="37"/>
      <c r="M73" s="22"/>
      <c r="N73" s="29"/>
      <c r="O73" s="13"/>
      <c r="P73" s="13"/>
      <c r="Q73" s="13"/>
      <c r="R73" s="13"/>
      <c r="S73" s="13"/>
      <c r="T73" s="13"/>
      <c r="U73" s="13"/>
      <c r="V73" s="13"/>
      <c r="W73" s="185"/>
      <c r="X73" s="37"/>
      <c r="Y73" s="22"/>
      <c r="Z73" s="38"/>
      <c r="AA73" s="13"/>
      <c r="AB73" s="13"/>
      <c r="AC73" s="13"/>
      <c r="AD73" s="13"/>
      <c r="AE73" s="13"/>
      <c r="AF73" s="13"/>
      <c r="AG73" s="185"/>
      <c r="AH73" s="37"/>
    </row>
    <row r="74" spans="1:34">
      <c r="A74" s="14">
        <f t="shared" si="25"/>
        <v>46048</v>
      </c>
      <c r="B74" s="11"/>
      <c r="C74" s="13"/>
      <c r="D74" s="12"/>
      <c r="E74" s="12"/>
      <c r="F74" s="12"/>
      <c r="G74" s="13"/>
      <c r="H74" s="13"/>
      <c r="I74" s="13"/>
      <c r="J74" s="12"/>
      <c r="K74" s="185"/>
      <c r="L74" s="26"/>
      <c r="M74" s="22"/>
      <c r="N74" s="29"/>
      <c r="O74" s="13"/>
      <c r="P74" s="13"/>
      <c r="Q74" s="13"/>
      <c r="R74" s="13"/>
      <c r="S74" s="13"/>
      <c r="T74" s="13"/>
      <c r="U74" s="13"/>
      <c r="V74" s="13"/>
      <c r="W74" s="185"/>
      <c r="X74" s="51"/>
      <c r="Y74" s="22"/>
      <c r="Z74" s="38"/>
      <c r="AA74" s="13"/>
      <c r="AB74" s="13"/>
      <c r="AC74" s="13"/>
      <c r="AD74" s="13"/>
      <c r="AE74" s="13"/>
      <c r="AF74" s="13"/>
      <c r="AG74" s="185"/>
      <c r="AH74" s="51"/>
    </row>
    <row r="75" spans="1:34">
      <c r="A75" s="14">
        <f t="shared" si="25"/>
        <v>46049</v>
      </c>
      <c r="B75" s="11"/>
      <c r="C75" s="13"/>
      <c r="D75" s="12"/>
      <c r="E75" s="12"/>
      <c r="F75" s="12"/>
      <c r="G75" s="13"/>
      <c r="H75" s="13"/>
      <c r="I75" s="13"/>
      <c r="J75" s="12"/>
      <c r="K75" s="185"/>
      <c r="L75" s="26"/>
      <c r="M75" s="22"/>
      <c r="N75" s="29"/>
      <c r="O75" s="13"/>
      <c r="P75" s="13"/>
      <c r="Q75" s="13"/>
      <c r="R75" s="13"/>
      <c r="S75" s="13"/>
      <c r="T75" s="13"/>
      <c r="U75" s="13"/>
      <c r="V75" s="13"/>
      <c r="W75" s="185"/>
      <c r="X75" s="37"/>
      <c r="Y75" s="22"/>
      <c r="Z75" s="38"/>
      <c r="AA75" s="13"/>
      <c r="AB75" s="13"/>
      <c r="AC75" s="13"/>
      <c r="AD75" s="13"/>
      <c r="AE75" s="13"/>
      <c r="AF75" s="13"/>
      <c r="AG75" s="185"/>
      <c r="AH75" s="37"/>
    </row>
    <row r="76" spans="1:34">
      <c r="A76" s="14">
        <f t="shared" si="25"/>
        <v>46050</v>
      </c>
      <c r="B76" s="38"/>
      <c r="C76" s="13"/>
      <c r="D76" s="12"/>
      <c r="E76" s="12"/>
      <c r="F76" s="13"/>
      <c r="G76" s="12"/>
      <c r="H76" s="12"/>
      <c r="I76" s="12"/>
      <c r="J76" s="12"/>
      <c r="K76" s="185"/>
      <c r="L76" s="26"/>
      <c r="M76" s="22"/>
      <c r="N76" s="29"/>
      <c r="O76" s="13"/>
      <c r="P76" s="13"/>
      <c r="Q76" s="13"/>
      <c r="R76" s="13"/>
      <c r="S76" s="13"/>
      <c r="T76" s="13"/>
      <c r="U76" s="13"/>
      <c r="V76" s="13"/>
      <c r="W76" s="185"/>
      <c r="X76" s="37"/>
      <c r="Y76" s="22"/>
      <c r="Z76" s="38"/>
      <c r="AA76" s="13"/>
      <c r="AB76" s="13"/>
      <c r="AC76" s="13"/>
      <c r="AD76" s="13"/>
      <c r="AE76" s="13"/>
      <c r="AF76" s="13"/>
      <c r="AG76" s="185"/>
      <c r="AH76" s="37"/>
    </row>
    <row r="77" spans="1:34">
      <c r="A77" s="14">
        <f t="shared" si="25"/>
        <v>46051</v>
      </c>
      <c r="B77" s="38"/>
      <c r="C77" s="12"/>
      <c r="D77" s="12"/>
      <c r="E77" s="12"/>
      <c r="F77" s="12"/>
      <c r="G77" s="12"/>
      <c r="H77" s="12"/>
      <c r="I77" s="12"/>
      <c r="J77" s="59"/>
      <c r="K77" s="186"/>
      <c r="L77" s="26"/>
      <c r="M77" s="22"/>
      <c r="N77" s="29"/>
      <c r="O77" s="13"/>
      <c r="P77" s="13"/>
      <c r="Q77" s="13"/>
      <c r="R77" s="13"/>
      <c r="S77" s="13"/>
      <c r="T77" s="13"/>
      <c r="U77" s="13"/>
      <c r="V77" s="13"/>
      <c r="W77" s="186"/>
      <c r="X77" s="37"/>
      <c r="Y77" s="22"/>
      <c r="Z77" s="38"/>
      <c r="AA77" s="13"/>
      <c r="AB77" s="13"/>
      <c r="AC77" s="13"/>
      <c r="AD77" s="13"/>
      <c r="AE77" s="13"/>
      <c r="AF77" s="13"/>
      <c r="AG77" s="186"/>
      <c r="AH77" s="37"/>
    </row>
    <row r="78" spans="1:34">
      <c r="A78" s="14">
        <f t="shared" si="25"/>
        <v>46052</v>
      </c>
      <c r="B78" s="11"/>
      <c r="C78" s="12"/>
      <c r="D78" s="12"/>
      <c r="E78" s="12"/>
      <c r="F78" s="12"/>
      <c r="G78" s="12"/>
      <c r="H78" s="12"/>
      <c r="I78" s="12"/>
      <c r="J78" s="12"/>
      <c r="K78" s="185"/>
      <c r="L78" s="26"/>
      <c r="M78" s="22"/>
      <c r="N78" s="29"/>
      <c r="O78" s="13"/>
      <c r="P78" s="47"/>
      <c r="Q78" s="47"/>
      <c r="R78" s="47"/>
      <c r="S78" s="47"/>
      <c r="T78" s="47"/>
      <c r="U78" s="47"/>
      <c r="V78" s="53"/>
      <c r="W78" s="185"/>
      <c r="X78" s="48"/>
      <c r="Y78" s="22"/>
      <c r="Z78" s="38"/>
      <c r="AA78" s="13"/>
      <c r="AB78" s="47"/>
      <c r="AC78" s="47"/>
      <c r="AD78" s="47"/>
      <c r="AE78" s="13"/>
      <c r="AF78" s="53"/>
      <c r="AG78" s="185"/>
      <c r="AH78" s="37"/>
    </row>
    <row r="79" spans="1:34" ht="15.75" thickBot="1">
      <c r="A79" s="15">
        <f t="shared" si="25"/>
        <v>46053</v>
      </c>
      <c r="B79" s="57"/>
      <c r="C79" s="58"/>
      <c r="D79" s="58"/>
      <c r="E79" s="58"/>
      <c r="F79" s="58"/>
      <c r="G79" s="58"/>
      <c r="H79" s="58"/>
      <c r="I79" s="58"/>
      <c r="J79" s="58"/>
      <c r="K79" s="187"/>
      <c r="L79" s="60"/>
      <c r="M79" s="22"/>
      <c r="N79" s="56"/>
      <c r="O79" s="47"/>
      <c r="P79" s="47"/>
      <c r="Q79" s="47"/>
      <c r="R79" s="47"/>
      <c r="S79" s="47"/>
      <c r="T79" s="47"/>
      <c r="U79" s="47"/>
      <c r="V79" s="47"/>
      <c r="W79" s="187"/>
      <c r="X79" s="48"/>
      <c r="Y79" s="22"/>
      <c r="Z79" s="39"/>
      <c r="AA79" s="47"/>
      <c r="AB79" s="47"/>
      <c r="AC79" s="47"/>
      <c r="AD79" s="47"/>
      <c r="AE79" s="47"/>
      <c r="AF79" s="47"/>
      <c r="AG79" s="187"/>
      <c r="AH79" s="48"/>
    </row>
    <row r="80" spans="1:34">
      <c r="A80" s="16" t="s">
        <v>31</v>
      </c>
      <c r="B80" s="17">
        <f>MIN(B49:B79)</f>
        <v>0</v>
      </c>
      <c r="C80" s="17">
        <f>MIN(C49:C79)</f>
        <v>0</v>
      </c>
      <c r="D80" s="17">
        <f t="shared" ref="D80:L80" si="26">MIN(D49:D79)</f>
        <v>0</v>
      </c>
      <c r="E80" s="17">
        <f t="shared" si="26"/>
        <v>0</v>
      </c>
      <c r="F80" s="17">
        <f t="shared" si="26"/>
        <v>0</v>
      </c>
      <c r="G80" s="17">
        <f t="shared" si="26"/>
        <v>0</v>
      </c>
      <c r="H80" s="17">
        <f t="shared" si="26"/>
        <v>0</v>
      </c>
      <c r="I80" s="17">
        <f t="shared" si="26"/>
        <v>0</v>
      </c>
      <c r="J80" s="17">
        <f t="shared" si="26"/>
        <v>0</v>
      </c>
      <c r="K80" s="188"/>
      <c r="L80" s="30">
        <f t="shared" si="26"/>
        <v>0</v>
      </c>
      <c r="M80" s="22"/>
      <c r="N80" s="17">
        <f>MIN(N49:N79)</f>
        <v>0</v>
      </c>
      <c r="O80" s="17">
        <f>MIN(O49:O79)</f>
        <v>0</v>
      </c>
      <c r="P80" s="17">
        <f t="shared" ref="P80:X80" si="27">MIN(P49:P79)</f>
        <v>0</v>
      </c>
      <c r="Q80" s="17">
        <f t="shared" si="27"/>
        <v>0</v>
      </c>
      <c r="R80" s="17">
        <f t="shared" si="27"/>
        <v>0</v>
      </c>
      <c r="S80" s="17">
        <f t="shared" si="27"/>
        <v>0</v>
      </c>
      <c r="T80" s="17">
        <f t="shared" si="27"/>
        <v>0</v>
      </c>
      <c r="U80" s="17">
        <f t="shared" si="27"/>
        <v>0</v>
      </c>
      <c r="V80" s="17">
        <f t="shared" si="27"/>
        <v>0</v>
      </c>
      <c r="W80" s="188"/>
      <c r="X80" s="30">
        <f t="shared" si="27"/>
        <v>0</v>
      </c>
      <c r="Z80" s="40">
        <f t="shared" ref="Z80:AH80" si="28">MIN(Z49:Z79)</f>
        <v>0</v>
      </c>
      <c r="AA80" s="17">
        <f t="shared" si="28"/>
        <v>0</v>
      </c>
      <c r="AB80" s="17">
        <f t="shared" si="28"/>
        <v>0</v>
      </c>
      <c r="AC80" s="17">
        <f t="shared" si="28"/>
        <v>0</v>
      </c>
      <c r="AD80" s="17">
        <f t="shared" si="28"/>
        <v>0</v>
      </c>
      <c r="AE80" s="17">
        <f t="shared" si="28"/>
        <v>0</v>
      </c>
      <c r="AF80" s="17">
        <f t="shared" si="28"/>
        <v>0</v>
      </c>
      <c r="AG80" s="188"/>
      <c r="AH80" s="30">
        <f t="shared" si="28"/>
        <v>0</v>
      </c>
    </row>
    <row r="81" spans="1:34">
      <c r="A81" s="18" t="s">
        <v>33</v>
      </c>
      <c r="B81" s="19">
        <f>MAX(B49:B79)</f>
        <v>0</v>
      </c>
      <c r="C81" s="19">
        <f>MAX(C49:C79)</f>
        <v>0</v>
      </c>
      <c r="D81" s="19">
        <f t="shared" ref="D81:L81" si="29">MAX(D49:D79)</f>
        <v>0</v>
      </c>
      <c r="E81" s="19">
        <f t="shared" si="29"/>
        <v>0</v>
      </c>
      <c r="F81" s="19">
        <f t="shared" si="29"/>
        <v>0</v>
      </c>
      <c r="G81" s="19">
        <f t="shared" si="29"/>
        <v>0</v>
      </c>
      <c r="H81" s="19">
        <f t="shared" si="29"/>
        <v>0</v>
      </c>
      <c r="I81" s="19">
        <f t="shared" si="29"/>
        <v>0</v>
      </c>
      <c r="J81" s="19">
        <f t="shared" si="29"/>
        <v>0</v>
      </c>
      <c r="K81" s="189"/>
      <c r="L81" s="31">
        <f t="shared" si="29"/>
        <v>0</v>
      </c>
      <c r="M81" s="22"/>
      <c r="N81" s="19">
        <f>MAX(N49:N79)</f>
        <v>0</v>
      </c>
      <c r="O81" s="19">
        <f>MAX(O49:O79)</f>
        <v>0</v>
      </c>
      <c r="P81" s="19">
        <f t="shared" ref="P81:X81" si="30">MAX(P49:P79)</f>
        <v>0</v>
      </c>
      <c r="Q81" s="19">
        <f t="shared" si="30"/>
        <v>0</v>
      </c>
      <c r="R81" s="19">
        <f t="shared" si="30"/>
        <v>0</v>
      </c>
      <c r="S81" s="19">
        <f t="shared" si="30"/>
        <v>0</v>
      </c>
      <c r="T81" s="19">
        <f t="shared" si="30"/>
        <v>0</v>
      </c>
      <c r="U81" s="19">
        <f t="shared" si="30"/>
        <v>0</v>
      </c>
      <c r="V81" s="19">
        <f t="shared" si="30"/>
        <v>0</v>
      </c>
      <c r="W81" s="189"/>
      <c r="X81" s="31">
        <f t="shared" si="30"/>
        <v>0</v>
      </c>
      <c r="Z81" s="41">
        <f t="shared" ref="Z81:AH81" si="31">MAX(Z49:Z79)</f>
        <v>0</v>
      </c>
      <c r="AA81" s="19">
        <f t="shared" si="31"/>
        <v>0</v>
      </c>
      <c r="AB81" s="19">
        <f t="shared" si="31"/>
        <v>0</v>
      </c>
      <c r="AC81" s="19">
        <f t="shared" si="31"/>
        <v>0</v>
      </c>
      <c r="AD81" s="19">
        <f t="shared" si="31"/>
        <v>0</v>
      </c>
      <c r="AE81" s="19">
        <f t="shared" si="31"/>
        <v>0</v>
      </c>
      <c r="AF81" s="19">
        <f t="shared" si="31"/>
        <v>0</v>
      </c>
      <c r="AG81" s="189"/>
      <c r="AH81" s="31">
        <f t="shared" si="31"/>
        <v>0</v>
      </c>
    </row>
    <row r="82" spans="1:34">
      <c r="A82" s="18" t="s">
        <v>36</v>
      </c>
      <c r="B82" s="19" t="e">
        <f t="shared" ref="B82:L82" si="32">AVERAGE(B49:B79)</f>
        <v>#DIV/0!</v>
      </c>
      <c r="C82" s="19" t="e">
        <f t="shared" si="32"/>
        <v>#DIV/0!</v>
      </c>
      <c r="D82" s="19" t="e">
        <f t="shared" si="32"/>
        <v>#DIV/0!</v>
      </c>
      <c r="E82" s="19" t="e">
        <f t="shared" si="32"/>
        <v>#DIV/0!</v>
      </c>
      <c r="F82" s="19" t="e">
        <f t="shared" si="32"/>
        <v>#DIV/0!</v>
      </c>
      <c r="G82" s="19" t="e">
        <f t="shared" si="32"/>
        <v>#DIV/0!</v>
      </c>
      <c r="H82" s="19" t="e">
        <f t="shared" si="32"/>
        <v>#DIV/0!</v>
      </c>
      <c r="I82" s="19" t="e">
        <f t="shared" si="32"/>
        <v>#DIV/0!</v>
      </c>
      <c r="J82" s="19" t="e">
        <f t="shared" si="32"/>
        <v>#DIV/0!</v>
      </c>
      <c r="K82" s="189"/>
      <c r="L82" s="31" t="e">
        <f t="shared" si="32"/>
        <v>#DIV/0!</v>
      </c>
      <c r="M82" s="22"/>
      <c r="N82" s="19" t="e">
        <f t="shared" ref="N82:X82" si="33">AVERAGE(N49:N79)</f>
        <v>#DIV/0!</v>
      </c>
      <c r="O82" s="19" t="e">
        <f t="shared" si="33"/>
        <v>#DIV/0!</v>
      </c>
      <c r="P82" s="19" t="e">
        <f t="shared" si="33"/>
        <v>#DIV/0!</v>
      </c>
      <c r="Q82" s="19" t="e">
        <f t="shared" si="33"/>
        <v>#DIV/0!</v>
      </c>
      <c r="R82" s="19" t="e">
        <f t="shared" si="33"/>
        <v>#DIV/0!</v>
      </c>
      <c r="S82" s="19" t="e">
        <f t="shared" si="33"/>
        <v>#DIV/0!</v>
      </c>
      <c r="T82" s="19" t="e">
        <f t="shared" si="33"/>
        <v>#DIV/0!</v>
      </c>
      <c r="U82" s="19" t="e">
        <f t="shared" si="33"/>
        <v>#DIV/0!</v>
      </c>
      <c r="V82" s="19" t="e">
        <f t="shared" si="33"/>
        <v>#DIV/0!</v>
      </c>
      <c r="W82" s="189"/>
      <c r="X82" s="31" t="e">
        <f t="shared" si="33"/>
        <v>#DIV/0!</v>
      </c>
      <c r="Z82" s="41" t="e">
        <f>AVERAGE(Z49:Z79)</f>
        <v>#DIV/0!</v>
      </c>
      <c r="AA82" s="19" t="e">
        <f t="shared" ref="AA82:AH82" si="34">AVERAGE(AA49:AA79)</f>
        <v>#DIV/0!</v>
      </c>
      <c r="AB82" s="19" t="e">
        <f t="shared" si="34"/>
        <v>#DIV/0!</v>
      </c>
      <c r="AC82" s="19" t="e">
        <f t="shared" si="34"/>
        <v>#DIV/0!</v>
      </c>
      <c r="AD82" s="19" t="e">
        <f t="shared" si="34"/>
        <v>#DIV/0!</v>
      </c>
      <c r="AE82" s="19" t="e">
        <f t="shared" si="34"/>
        <v>#DIV/0!</v>
      </c>
      <c r="AF82" s="19" t="e">
        <f t="shared" si="34"/>
        <v>#DIV/0!</v>
      </c>
      <c r="AG82" s="189"/>
      <c r="AH82" s="31" t="e">
        <f t="shared" si="34"/>
        <v>#DIV/0!</v>
      </c>
    </row>
    <row r="83" spans="1:34" ht="15.75" thickBot="1">
      <c r="A83" s="20" t="s">
        <v>130</v>
      </c>
      <c r="B83" s="21" t="e">
        <f>STDEV(B49:B79)</f>
        <v>#DIV/0!</v>
      </c>
      <c r="C83" s="21" t="e">
        <f t="shared" ref="C83:L83" si="35">STDEV(C49:C79)</f>
        <v>#DIV/0!</v>
      </c>
      <c r="D83" s="21" t="e">
        <f t="shared" si="35"/>
        <v>#DIV/0!</v>
      </c>
      <c r="E83" s="21" t="e">
        <f t="shared" si="35"/>
        <v>#DIV/0!</v>
      </c>
      <c r="F83" s="21" t="e">
        <f t="shared" si="35"/>
        <v>#DIV/0!</v>
      </c>
      <c r="G83" s="21" t="e">
        <f t="shared" si="35"/>
        <v>#DIV/0!</v>
      </c>
      <c r="H83" s="21" t="e">
        <f t="shared" si="35"/>
        <v>#DIV/0!</v>
      </c>
      <c r="I83" s="21" t="e">
        <f t="shared" si="35"/>
        <v>#DIV/0!</v>
      </c>
      <c r="J83" s="21" t="e">
        <f t="shared" si="35"/>
        <v>#DIV/0!</v>
      </c>
      <c r="K83" s="190"/>
      <c r="L83" s="32" t="e">
        <f t="shared" si="35"/>
        <v>#DIV/0!</v>
      </c>
      <c r="M83" s="152"/>
      <c r="N83" s="21" t="e">
        <f>STDEV(N49:N79)</f>
        <v>#DIV/0!</v>
      </c>
      <c r="O83" s="21" t="e">
        <f t="shared" ref="O83:X83" si="36">STDEV(O49:O79)</f>
        <v>#DIV/0!</v>
      </c>
      <c r="P83" s="21" t="e">
        <f t="shared" si="36"/>
        <v>#DIV/0!</v>
      </c>
      <c r="Q83" s="21" t="e">
        <f t="shared" si="36"/>
        <v>#DIV/0!</v>
      </c>
      <c r="R83" s="21" t="e">
        <f t="shared" si="36"/>
        <v>#DIV/0!</v>
      </c>
      <c r="S83" s="21" t="e">
        <f t="shared" si="36"/>
        <v>#DIV/0!</v>
      </c>
      <c r="T83" s="21" t="e">
        <f t="shared" si="36"/>
        <v>#DIV/0!</v>
      </c>
      <c r="U83" s="21" t="e">
        <f t="shared" si="36"/>
        <v>#DIV/0!</v>
      </c>
      <c r="V83" s="21" t="e">
        <f t="shared" si="36"/>
        <v>#DIV/0!</v>
      </c>
      <c r="W83" s="190"/>
      <c r="X83" s="32" t="e">
        <f t="shared" si="36"/>
        <v>#DIV/0!</v>
      </c>
      <c r="Y83" s="153"/>
      <c r="Z83" s="42" t="e">
        <f>STDEV(Z49:Z79)</f>
        <v>#DIV/0!</v>
      </c>
      <c r="AA83" s="21" t="e">
        <f t="shared" ref="AA83:AH83" si="37">STDEV(AA49:AA79)</f>
        <v>#DIV/0!</v>
      </c>
      <c r="AB83" s="21" t="e">
        <f t="shared" si="37"/>
        <v>#DIV/0!</v>
      </c>
      <c r="AC83" s="21" t="e">
        <f t="shared" si="37"/>
        <v>#DIV/0!</v>
      </c>
      <c r="AD83" s="21" t="e">
        <f t="shared" si="37"/>
        <v>#DIV/0!</v>
      </c>
      <c r="AE83" s="21" t="e">
        <f t="shared" si="37"/>
        <v>#DIV/0!</v>
      </c>
      <c r="AF83" s="21" t="e">
        <f t="shared" si="37"/>
        <v>#DIV/0!</v>
      </c>
      <c r="AG83" s="190"/>
      <c r="AH83" s="32" t="e">
        <f t="shared" si="37"/>
        <v>#DIV/0!</v>
      </c>
    </row>
    <row r="84" spans="1:34" ht="15.75" thickBot="1"/>
    <row r="85" spans="1:34" ht="15.75" thickBot="1">
      <c r="A85" s="150"/>
      <c r="B85" s="338" t="s">
        <v>0</v>
      </c>
      <c r="C85" s="339"/>
      <c r="D85" s="339"/>
      <c r="E85" s="339"/>
      <c r="F85" s="339"/>
      <c r="G85" s="339"/>
      <c r="H85" s="339"/>
      <c r="I85" s="339"/>
      <c r="J85" s="339"/>
      <c r="K85" s="339"/>
      <c r="L85" s="339"/>
      <c r="M85" s="339"/>
      <c r="N85" s="339"/>
      <c r="O85" s="339"/>
      <c r="P85" s="339"/>
      <c r="Q85" s="339"/>
      <c r="R85" s="339"/>
      <c r="S85" s="339"/>
      <c r="T85" s="339"/>
      <c r="U85" s="339"/>
      <c r="V85" s="339"/>
      <c r="W85" s="339"/>
      <c r="X85" s="339"/>
      <c r="Y85" s="339"/>
      <c r="Z85" s="339"/>
      <c r="AA85" s="339"/>
      <c r="AB85" s="339"/>
      <c r="AC85" s="339"/>
      <c r="AD85" s="339"/>
      <c r="AE85" s="339"/>
      <c r="AF85" s="339"/>
      <c r="AG85" s="339"/>
      <c r="AH85" s="363"/>
    </row>
    <row r="86" spans="1:34" ht="15.75" thickBot="1">
      <c r="A86" s="151"/>
      <c r="B86" s="338" t="s">
        <v>165</v>
      </c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  <c r="AA86" s="339"/>
      <c r="AB86" s="339"/>
      <c r="AC86" s="339"/>
      <c r="AD86" s="4"/>
      <c r="AE86" s="43" t="s">
        <v>107</v>
      </c>
      <c r="AF86" s="341">
        <v>46054</v>
      </c>
      <c r="AG86" s="342"/>
      <c r="AH86" s="343"/>
    </row>
    <row r="87" spans="1:34">
      <c r="A87" s="344"/>
      <c r="B87" s="346" t="s">
        <v>132</v>
      </c>
      <c r="C87" s="347"/>
      <c r="D87" s="347"/>
      <c r="E87" s="347"/>
      <c r="F87" s="347"/>
      <c r="G87" s="347"/>
      <c r="H87" s="347"/>
      <c r="I87" s="347"/>
      <c r="J87" s="347"/>
      <c r="K87" s="348"/>
      <c r="L87" s="349"/>
      <c r="M87" s="22"/>
      <c r="N87" s="350" t="s">
        <v>133</v>
      </c>
      <c r="O87" s="347"/>
      <c r="P87" s="347"/>
      <c r="Q87" s="347"/>
      <c r="R87" s="347"/>
      <c r="S87" s="347"/>
      <c r="T87" s="347"/>
      <c r="U87" s="347"/>
      <c r="V87" s="347"/>
      <c r="W87" s="348"/>
      <c r="X87" s="349"/>
      <c r="Y87" s="22"/>
      <c r="Z87" s="346" t="s">
        <v>134</v>
      </c>
      <c r="AA87" s="347"/>
      <c r="AB87" s="347"/>
      <c r="AC87" s="347"/>
      <c r="AD87" s="347"/>
      <c r="AE87" s="347"/>
      <c r="AF87" s="347"/>
      <c r="AG87" s="348"/>
      <c r="AH87" s="349"/>
    </row>
    <row r="88" spans="1:34" ht="25.5">
      <c r="A88" s="345"/>
      <c r="B88" s="359" t="s">
        <v>135</v>
      </c>
      <c r="C88" s="361" t="s">
        <v>136</v>
      </c>
      <c r="D88" s="5" t="s">
        <v>137</v>
      </c>
      <c r="E88" s="5" t="s">
        <v>138</v>
      </c>
      <c r="F88" s="5" t="s">
        <v>139</v>
      </c>
      <c r="G88" s="5" t="s">
        <v>140</v>
      </c>
      <c r="H88" s="5" t="s">
        <v>141</v>
      </c>
      <c r="I88" s="5" t="s">
        <v>142</v>
      </c>
      <c r="J88" s="5" t="s">
        <v>143</v>
      </c>
      <c r="K88" s="181"/>
      <c r="L88" s="23" t="s">
        <v>144</v>
      </c>
      <c r="M88" s="22"/>
      <c r="N88" s="355" t="s">
        <v>135</v>
      </c>
      <c r="O88" s="357" t="s">
        <v>136</v>
      </c>
      <c r="P88" s="5" t="s">
        <v>137</v>
      </c>
      <c r="Q88" s="5" t="s">
        <v>138</v>
      </c>
      <c r="R88" s="5" t="s">
        <v>139</v>
      </c>
      <c r="S88" s="5" t="s">
        <v>140</v>
      </c>
      <c r="T88" s="5" t="s">
        <v>141</v>
      </c>
      <c r="U88" s="5" t="s">
        <v>142</v>
      </c>
      <c r="V88" s="5" t="s">
        <v>143</v>
      </c>
      <c r="W88" s="181"/>
      <c r="X88" s="23" t="s">
        <v>144</v>
      </c>
      <c r="Y88" s="22"/>
      <c r="Z88" s="33" t="s">
        <v>137</v>
      </c>
      <c r="AA88" s="5" t="s">
        <v>138</v>
      </c>
      <c r="AB88" s="5" t="s">
        <v>139</v>
      </c>
      <c r="AC88" s="5" t="s">
        <v>140</v>
      </c>
      <c r="AD88" s="5" t="s">
        <v>141</v>
      </c>
      <c r="AE88" s="5" t="s">
        <v>142</v>
      </c>
      <c r="AF88" s="5" t="s">
        <v>143</v>
      </c>
      <c r="AG88" s="181"/>
      <c r="AH88" s="23" t="s">
        <v>144</v>
      </c>
    </row>
    <row r="89" spans="1:34" ht="25.5">
      <c r="A89" s="6" t="s">
        <v>145</v>
      </c>
      <c r="B89" s="360"/>
      <c r="C89" s="362"/>
      <c r="D89" s="5" t="s">
        <v>128</v>
      </c>
      <c r="E89" s="5" t="s">
        <v>128</v>
      </c>
      <c r="F89" s="5" t="s">
        <v>128</v>
      </c>
      <c r="G89" s="5" t="s">
        <v>128</v>
      </c>
      <c r="H89" s="5" t="s">
        <v>125</v>
      </c>
      <c r="I89" s="5" t="s">
        <v>146</v>
      </c>
      <c r="J89" s="5" t="s">
        <v>127</v>
      </c>
      <c r="K89" s="181"/>
      <c r="L89" s="23" t="s">
        <v>53</v>
      </c>
      <c r="M89" s="22"/>
      <c r="N89" s="356"/>
      <c r="O89" s="358"/>
      <c r="P89" s="5" t="s">
        <v>128</v>
      </c>
      <c r="Q89" s="5" t="s">
        <v>128</v>
      </c>
      <c r="R89" s="5" t="s">
        <v>128</v>
      </c>
      <c r="S89" s="5" t="s">
        <v>128</v>
      </c>
      <c r="T89" s="5" t="s">
        <v>125</v>
      </c>
      <c r="U89" s="5" t="s">
        <v>146</v>
      </c>
      <c r="V89" s="5" t="s">
        <v>127</v>
      </c>
      <c r="W89" s="181"/>
      <c r="X89" s="23" t="s">
        <v>53</v>
      </c>
      <c r="Y89" s="22"/>
      <c r="Z89" s="33" t="s">
        <v>128</v>
      </c>
      <c r="AA89" s="5" t="s">
        <v>128</v>
      </c>
      <c r="AB89" s="5" t="s">
        <v>128</v>
      </c>
      <c r="AC89" s="5" t="s">
        <v>128</v>
      </c>
      <c r="AD89" s="5" t="s">
        <v>125</v>
      </c>
      <c r="AE89" s="5" t="s">
        <v>146</v>
      </c>
      <c r="AF89" s="5" t="s">
        <v>127</v>
      </c>
      <c r="AG89" s="181"/>
      <c r="AH89" s="23" t="s">
        <v>53</v>
      </c>
    </row>
    <row r="90" spans="1:34" ht="39" thickBot="1">
      <c r="A90" s="7" t="s">
        <v>147</v>
      </c>
      <c r="B90" s="8" t="s">
        <v>148</v>
      </c>
      <c r="C90" s="9" t="s">
        <v>166</v>
      </c>
      <c r="D90" s="9" t="s">
        <v>167</v>
      </c>
      <c r="E90" s="9" t="s">
        <v>168</v>
      </c>
      <c r="F90" s="9" t="s">
        <v>169</v>
      </c>
      <c r="G90" s="9" t="s">
        <v>170</v>
      </c>
      <c r="H90" s="9" t="s">
        <v>154</v>
      </c>
      <c r="I90" s="24" t="s">
        <v>155</v>
      </c>
      <c r="J90" s="24" t="s">
        <v>156</v>
      </c>
      <c r="K90" s="182"/>
      <c r="L90" s="25" t="s">
        <v>171</v>
      </c>
      <c r="M90" s="22"/>
      <c r="N90" s="8" t="s">
        <v>148</v>
      </c>
      <c r="O90" s="9" t="s">
        <v>166</v>
      </c>
      <c r="P90" s="9" t="s">
        <v>167</v>
      </c>
      <c r="Q90" s="9" t="s">
        <v>168</v>
      </c>
      <c r="R90" s="9" t="s">
        <v>169</v>
      </c>
      <c r="S90" s="9" t="s">
        <v>170</v>
      </c>
      <c r="T90" s="9" t="s">
        <v>154</v>
      </c>
      <c r="U90" s="24" t="s">
        <v>155</v>
      </c>
      <c r="V90" s="24" t="s">
        <v>156</v>
      </c>
      <c r="W90" s="182"/>
      <c r="X90" s="25" t="s">
        <v>171</v>
      </c>
      <c r="Y90" s="22"/>
      <c r="Z90" s="8" t="s">
        <v>167</v>
      </c>
      <c r="AA90" s="9" t="s">
        <v>168</v>
      </c>
      <c r="AB90" s="9" t="s">
        <v>169</v>
      </c>
      <c r="AC90" s="9" t="s">
        <v>170</v>
      </c>
      <c r="AD90" s="9" t="s">
        <v>154</v>
      </c>
      <c r="AE90" s="9" t="s">
        <v>155</v>
      </c>
      <c r="AF90" s="9" t="s">
        <v>156</v>
      </c>
      <c r="AG90" s="182"/>
      <c r="AH90" s="23" t="s">
        <v>171</v>
      </c>
    </row>
    <row r="91" spans="1:34">
      <c r="A91" s="10">
        <f>AF86+0</f>
        <v>46054</v>
      </c>
      <c r="B91" s="11"/>
      <c r="C91" s="12"/>
      <c r="D91" s="12"/>
      <c r="E91" s="13"/>
      <c r="F91" s="12"/>
      <c r="G91" s="12"/>
      <c r="H91" s="12"/>
      <c r="I91" s="12"/>
      <c r="J91" s="13"/>
      <c r="K91" s="184"/>
      <c r="L91" s="26"/>
      <c r="M91" s="22"/>
      <c r="N91" s="29"/>
      <c r="O91" s="13"/>
      <c r="P91" s="13"/>
      <c r="Q91" s="13"/>
      <c r="R91" s="13"/>
      <c r="S91" s="13"/>
      <c r="T91" s="13"/>
      <c r="U91" s="13"/>
      <c r="V91" s="13"/>
      <c r="W91" s="184"/>
      <c r="X91" s="37"/>
      <c r="Y91" s="22"/>
      <c r="Z91" s="38"/>
      <c r="AA91" s="13"/>
      <c r="AB91" s="13"/>
      <c r="AC91" s="13"/>
      <c r="AD91" s="13"/>
      <c r="AE91" s="13"/>
      <c r="AF91" s="13"/>
      <c r="AG91" s="184"/>
      <c r="AH91" s="45"/>
    </row>
    <row r="92" spans="1:34">
      <c r="A92" s="14">
        <f t="shared" ref="A92:A121" si="38">A91+1</f>
        <v>46055</v>
      </c>
      <c r="B92" s="11"/>
      <c r="C92" s="12"/>
      <c r="D92" s="12"/>
      <c r="E92" s="13"/>
      <c r="F92" s="12"/>
      <c r="G92" s="12"/>
      <c r="H92" s="12"/>
      <c r="I92" s="12"/>
      <c r="J92" s="13"/>
      <c r="K92" s="184"/>
      <c r="L92" s="26"/>
      <c r="M92" s="22"/>
      <c r="N92" s="29"/>
      <c r="O92" s="13"/>
      <c r="P92" s="13"/>
      <c r="Q92" s="13"/>
      <c r="R92" s="13"/>
      <c r="S92" s="13"/>
      <c r="T92" s="13"/>
      <c r="U92" s="13"/>
      <c r="V92" s="13"/>
      <c r="W92" s="184"/>
      <c r="X92" s="37"/>
      <c r="Y92" s="22"/>
      <c r="Z92" s="38"/>
      <c r="AA92" s="13"/>
      <c r="AB92" s="13"/>
      <c r="AC92" s="13"/>
      <c r="AD92" s="13"/>
      <c r="AE92" s="13"/>
      <c r="AF92" s="13"/>
      <c r="AG92" s="184"/>
      <c r="AH92" s="45"/>
    </row>
    <row r="93" spans="1:34">
      <c r="A93" s="14">
        <f t="shared" si="38"/>
        <v>46056</v>
      </c>
      <c r="B93" s="11"/>
      <c r="C93" s="12"/>
      <c r="D93" s="12"/>
      <c r="E93" s="13"/>
      <c r="F93" s="12"/>
      <c r="G93" s="12"/>
      <c r="H93" s="12"/>
      <c r="I93" s="12"/>
      <c r="J93" s="13"/>
      <c r="K93" s="184"/>
      <c r="L93" s="26"/>
      <c r="M93" s="22"/>
      <c r="N93" s="29"/>
      <c r="O93" s="13"/>
      <c r="P93" s="13"/>
      <c r="Q93" s="13"/>
      <c r="R93" s="13"/>
      <c r="S93" s="13"/>
      <c r="T93" s="13"/>
      <c r="U93" s="13"/>
      <c r="V93" s="13"/>
      <c r="W93" s="184"/>
      <c r="X93" s="37"/>
      <c r="Y93" s="22"/>
      <c r="Z93" s="38"/>
      <c r="AA93" s="13"/>
      <c r="AB93" s="13"/>
      <c r="AC93" s="13"/>
      <c r="AD93" s="13"/>
      <c r="AE93" s="13"/>
      <c r="AF93" s="13"/>
      <c r="AG93" s="184"/>
      <c r="AH93" s="45"/>
    </row>
    <row r="94" spans="1:34">
      <c r="A94" s="14">
        <f t="shared" si="38"/>
        <v>46057</v>
      </c>
      <c r="B94" s="11"/>
      <c r="C94" s="12"/>
      <c r="D94" s="12"/>
      <c r="E94" s="13"/>
      <c r="F94" s="12"/>
      <c r="G94" s="12"/>
      <c r="H94" s="12"/>
      <c r="I94" s="12"/>
      <c r="J94" s="13"/>
      <c r="K94" s="184"/>
      <c r="L94" s="26"/>
      <c r="M94" s="22"/>
      <c r="N94" s="29"/>
      <c r="O94" s="13"/>
      <c r="P94" s="13"/>
      <c r="Q94" s="13"/>
      <c r="R94" s="13"/>
      <c r="S94" s="13"/>
      <c r="T94" s="13"/>
      <c r="U94" s="13"/>
      <c r="V94" s="13"/>
      <c r="W94" s="184"/>
      <c r="X94" s="37"/>
      <c r="Y94" s="22"/>
      <c r="Z94" s="38"/>
      <c r="AA94" s="13"/>
      <c r="AB94" s="13"/>
      <c r="AC94" s="13"/>
      <c r="AD94" s="13"/>
      <c r="AE94" s="13"/>
      <c r="AF94" s="13"/>
      <c r="AG94" s="184"/>
      <c r="AH94" s="45"/>
    </row>
    <row r="95" spans="1:34">
      <c r="A95" s="14">
        <f t="shared" si="38"/>
        <v>46058</v>
      </c>
      <c r="B95" s="11"/>
      <c r="C95" s="12"/>
      <c r="D95" s="12"/>
      <c r="E95" s="13"/>
      <c r="F95" s="12"/>
      <c r="G95" s="12"/>
      <c r="H95" s="12"/>
      <c r="I95" s="12"/>
      <c r="J95" s="13"/>
      <c r="K95" s="184"/>
      <c r="L95" s="26"/>
      <c r="M95" s="22"/>
      <c r="N95" s="29"/>
      <c r="O95" s="13"/>
      <c r="P95" s="13"/>
      <c r="Q95" s="13"/>
      <c r="R95" s="13"/>
      <c r="S95" s="13"/>
      <c r="T95" s="13"/>
      <c r="U95" s="13"/>
      <c r="V95" s="13"/>
      <c r="W95" s="184"/>
      <c r="X95" s="37"/>
      <c r="Y95" s="22"/>
      <c r="Z95" s="38"/>
      <c r="AA95" s="13"/>
      <c r="AB95" s="13"/>
      <c r="AC95" s="13"/>
      <c r="AD95" s="13"/>
      <c r="AE95" s="13"/>
      <c r="AF95" s="13"/>
      <c r="AG95" s="184"/>
      <c r="AH95" s="45"/>
    </row>
    <row r="96" spans="1:34">
      <c r="A96" s="14">
        <f t="shared" si="38"/>
        <v>46059</v>
      </c>
      <c r="B96" s="11"/>
      <c r="C96" s="12"/>
      <c r="D96" s="12"/>
      <c r="E96" s="13"/>
      <c r="F96" s="12"/>
      <c r="G96" s="12"/>
      <c r="H96" s="12"/>
      <c r="I96" s="12"/>
      <c r="J96" s="13"/>
      <c r="K96" s="184"/>
      <c r="L96" s="26"/>
      <c r="M96" s="22"/>
      <c r="N96" s="29"/>
      <c r="O96" s="13"/>
      <c r="P96" s="13"/>
      <c r="Q96" s="13"/>
      <c r="R96" s="13"/>
      <c r="S96" s="13"/>
      <c r="T96" s="13"/>
      <c r="U96" s="13"/>
      <c r="V96" s="13"/>
      <c r="W96" s="184"/>
      <c r="X96" s="37"/>
      <c r="Y96" s="22"/>
      <c r="Z96" s="38"/>
      <c r="AA96" s="13"/>
      <c r="AB96" s="13"/>
      <c r="AC96" s="13"/>
      <c r="AD96" s="13"/>
      <c r="AE96" s="13"/>
      <c r="AF96" s="13"/>
      <c r="AG96" s="184"/>
      <c r="AH96" s="45"/>
    </row>
    <row r="97" spans="1:34">
      <c r="A97" s="14">
        <f t="shared" si="38"/>
        <v>46060</v>
      </c>
      <c r="B97" s="11"/>
      <c r="C97" s="12"/>
      <c r="D97" s="12"/>
      <c r="E97" s="12"/>
      <c r="F97" s="12"/>
      <c r="G97" s="12"/>
      <c r="H97" s="12"/>
      <c r="I97" s="12"/>
      <c r="J97" s="13"/>
      <c r="K97" s="184"/>
      <c r="L97" s="26"/>
      <c r="M97" s="22"/>
      <c r="N97" s="29"/>
      <c r="O97" s="50"/>
      <c r="P97" s="13"/>
      <c r="Q97" s="13"/>
      <c r="R97" s="13"/>
      <c r="S97" s="13"/>
      <c r="T97" s="13"/>
      <c r="U97" s="13"/>
      <c r="V97" s="13"/>
      <c r="W97" s="184"/>
      <c r="X97" s="51"/>
      <c r="Y97" s="22"/>
      <c r="Z97" s="38"/>
      <c r="AA97" s="13"/>
      <c r="AB97" s="13"/>
      <c r="AC97" s="13"/>
      <c r="AD97" s="13"/>
      <c r="AE97" s="13"/>
      <c r="AF97" s="13"/>
      <c r="AG97" s="184"/>
      <c r="AH97" s="46"/>
    </row>
    <row r="98" spans="1:34">
      <c r="A98" s="14">
        <f t="shared" si="38"/>
        <v>46061</v>
      </c>
      <c r="B98" s="11"/>
      <c r="C98" s="12"/>
      <c r="D98" s="12"/>
      <c r="E98" s="12"/>
      <c r="F98" s="12"/>
      <c r="G98" s="12"/>
      <c r="H98" s="12"/>
      <c r="I98" s="12"/>
      <c r="J98" s="13"/>
      <c r="K98" s="184"/>
      <c r="L98" s="26"/>
      <c r="M98" s="22"/>
      <c r="N98" s="29"/>
      <c r="O98" s="13"/>
      <c r="P98" s="13"/>
      <c r="Q98" s="13"/>
      <c r="R98" s="13"/>
      <c r="S98" s="13"/>
      <c r="T98" s="13"/>
      <c r="U98" s="13"/>
      <c r="V98" s="13"/>
      <c r="W98" s="184"/>
      <c r="X98" s="37"/>
      <c r="Y98" s="22"/>
      <c r="Z98" s="38"/>
      <c r="AA98" s="13"/>
      <c r="AB98" s="13"/>
      <c r="AC98" s="13"/>
      <c r="AD98" s="13"/>
      <c r="AE98" s="13"/>
      <c r="AF98" s="13"/>
      <c r="AG98" s="184"/>
      <c r="AH98" s="45"/>
    </row>
    <row r="99" spans="1:34">
      <c r="A99" s="14">
        <f t="shared" si="38"/>
        <v>46062</v>
      </c>
      <c r="B99" s="11"/>
      <c r="C99" s="12"/>
      <c r="D99" s="12"/>
      <c r="E99" s="12"/>
      <c r="F99" s="12"/>
      <c r="G99" s="12"/>
      <c r="H99" s="12"/>
      <c r="I99" s="12"/>
      <c r="J99" s="13"/>
      <c r="K99" s="184"/>
      <c r="L99" s="26"/>
      <c r="M99" s="22"/>
      <c r="N99" s="29"/>
      <c r="O99" s="13"/>
      <c r="P99" s="13"/>
      <c r="Q99" s="13"/>
      <c r="R99" s="13"/>
      <c r="S99" s="13"/>
      <c r="T99" s="13"/>
      <c r="U99" s="13"/>
      <c r="V99" s="13"/>
      <c r="W99" s="184"/>
      <c r="X99" s="37"/>
      <c r="Y99" s="22"/>
      <c r="Z99" s="38"/>
      <c r="AA99" s="13"/>
      <c r="AB99" s="13"/>
      <c r="AC99" s="13"/>
      <c r="AD99" s="13"/>
      <c r="AE99" s="13"/>
      <c r="AF99" s="13"/>
      <c r="AG99" s="184"/>
      <c r="AH99" s="45"/>
    </row>
    <row r="100" spans="1:34">
      <c r="A100" s="14">
        <f t="shared" si="38"/>
        <v>46063</v>
      </c>
      <c r="B100" s="11"/>
      <c r="C100" s="12"/>
      <c r="D100" s="12"/>
      <c r="E100" s="12"/>
      <c r="F100" s="12"/>
      <c r="G100" s="12"/>
      <c r="H100" s="12"/>
      <c r="I100" s="12"/>
      <c r="J100" s="13"/>
      <c r="K100" s="184"/>
      <c r="L100" s="26"/>
      <c r="M100" s="22"/>
      <c r="N100" s="29"/>
      <c r="O100" s="13"/>
      <c r="P100" s="13"/>
      <c r="Q100" s="13"/>
      <c r="R100" s="13"/>
      <c r="S100" s="13"/>
      <c r="T100" s="13"/>
      <c r="U100" s="13"/>
      <c r="V100" s="13"/>
      <c r="W100" s="184"/>
      <c r="X100" s="37"/>
      <c r="Y100" s="22"/>
      <c r="Z100" s="38"/>
      <c r="AA100" s="13"/>
      <c r="AB100" s="13"/>
      <c r="AC100" s="13"/>
      <c r="AD100" s="13"/>
      <c r="AE100" s="13"/>
      <c r="AF100" s="13"/>
      <c r="AG100" s="184"/>
      <c r="AH100" s="45"/>
    </row>
    <row r="101" spans="1:34">
      <c r="A101" s="14">
        <f t="shared" si="38"/>
        <v>46064</v>
      </c>
      <c r="B101" s="38"/>
      <c r="C101" s="12"/>
      <c r="D101" s="12"/>
      <c r="E101" s="12"/>
      <c r="F101" s="12"/>
      <c r="G101" s="12"/>
      <c r="H101" s="12"/>
      <c r="I101" s="12"/>
      <c r="J101" s="13"/>
      <c r="K101" s="184"/>
      <c r="L101" s="26"/>
      <c r="M101" s="22"/>
      <c r="N101" s="29"/>
      <c r="O101" s="13"/>
      <c r="P101" s="13"/>
      <c r="Q101" s="13"/>
      <c r="R101" s="13"/>
      <c r="S101" s="13"/>
      <c r="T101" s="13"/>
      <c r="U101" s="13"/>
      <c r="V101" s="13"/>
      <c r="W101" s="184"/>
      <c r="X101" s="37"/>
      <c r="Y101" s="22"/>
      <c r="Z101" s="38"/>
      <c r="AA101" s="13"/>
      <c r="AB101" s="13"/>
      <c r="AC101" s="13"/>
      <c r="AD101" s="13"/>
      <c r="AE101" s="13"/>
      <c r="AF101" s="13"/>
      <c r="AG101" s="184"/>
      <c r="AH101" s="45"/>
    </row>
    <row r="102" spans="1:34">
      <c r="A102" s="14">
        <f t="shared" si="38"/>
        <v>46065</v>
      </c>
      <c r="B102" s="11"/>
      <c r="C102" s="12"/>
      <c r="D102" s="12"/>
      <c r="E102" s="12"/>
      <c r="F102" s="12"/>
      <c r="G102" s="12"/>
      <c r="H102" s="12"/>
      <c r="I102" s="12"/>
      <c r="J102" s="13"/>
      <c r="K102" s="184"/>
      <c r="L102" s="26"/>
      <c r="M102" s="22"/>
      <c r="N102" s="29"/>
      <c r="O102" s="13"/>
      <c r="P102" s="13"/>
      <c r="Q102" s="13"/>
      <c r="R102" s="13"/>
      <c r="S102" s="13"/>
      <c r="T102" s="13"/>
      <c r="U102" s="13"/>
      <c r="V102" s="13"/>
      <c r="W102" s="184"/>
      <c r="X102" s="37"/>
      <c r="Y102" s="22"/>
      <c r="Z102" s="38"/>
      <c r="AA102" s="13"/>
      <c r="AB102" s="13"/>
      <c r="AC102" s="13"/>
      <c r="AD102" s="13"/>
      <c r="AE102" s="13"/>
      <c r="AF102" s="13"/>
      <c r="AG102" s="184"/>
      <c r="AH102" s="45"/>
    </row>
    <row r="103" spans="1:34">
      <c r="A103" s="14">
        <f t="shared" si="38"/>
        <v>46066</v>
      </c>
      <c r="B103" s="38"/>
      <c r="C103" s="13"/>
      <c r="D103" s="12"/>
      <c r="E103" s="12"/>
      <c r="F103" s="12"/>
      <c r="G103" s="12"/>
      <c r="H103" s="12"/>
      <c r="I103" s="12"/>
      <c r="J103" s="13"/>
      <c r="K103" s="184"/>
      <c r="L103" s="26"/>
      <c r="M103" s="22"/>
      <c r="N103" s="29"/>
      <c r="O103" s="13"/>
      <c r="P103" s="13"/>
      <c r="Q103" s="13"/>
      <c r="R103" s="13"/>
      <c r="S103" s="13"/>
      <c r="T103" s="13"/>
      <c r="U103" s="13"/>
      <c r="V103" s="13"/>
      <c r="W103" s="184"/>
      <c r="X103" s="37"/>
      <c r="Y103" s="22"/>
      <c r="Z103" s="38"/>
      <c r="AA103" s="13"/>
      <c r="AB103" s="13"/>
      <c r="AC103" s="13"/>
      <c r="AD103" s="13"/>
      <c r="AE103" s="13"/>
      <c r="AF103" s="13"/>
      <c r="AG103" s="184"/>
      <c r="AH103" s="45"/>
    </row>
    <row r="104" spans="1:34">
      <c r="A104" s="14">
        <f t="shared" si="38"/>
        <v>46067</v>
      </c>
      <c r="B104" s="11"/>
      <c r="C104" s="13"/>
      <c r="D104" s="12"/>
      <c r="E104" s="12"/>
      <c r="F104" s="12"/>
      <c r="G104" s="12"/>
      <c r="H104" s="12"/>
      <c r="I104" s="36"/>
      <c r="J104" s="13"/>
      <c r="K104" s="184"/>
      <c r="L104" s="26"/>
      <c r="M104" s="22"/>
      <c r="N104" s="29"/>
      <c r="O104" s="13"/>
      <c r="P104" s="13"/>
      <c r="Q104" s="13"/>
      <c r="R104" s="13"/>
      <c r="S104" s="13"/>
      <c r="T104" s="13"/>
      <c r="U104" s="13"/>
      <c r="V104" s="13"/>
      <c r="W104" s="184"/>
      <c r="X104" s="37"/>
      <c r="Y104" s="22"/>
      <c r="Z104" s="38"/>
      <c r="AA104" s="13"/>
      <c r="AB104" s="13"/>
      <c r="AC104" s="13"/>
      <c r="AD104" s="13"/>
      <c r="AE104" s="13"/>
      <c r="AF104" s="13"/>
      <c r="AG104" s="184"/>
      <c r="AH104" s="37"/>
    </row>
    <row r="105" spans="1:34">
      <c r="A105" s="14">
        <f t="shared" si="38"/>
        <v>46068</v>
      </c>
      <c r="B105" s="11"/>
      <c r="C105" s="13"/>
      <c r="D105" s="12"/>
      <c r="E105" s="12"/>
      <c r="F105" s="12"/>
      <c r="G105" s="12"/>
      <c r="H105" s="12"/>
      <c r="I105" s="12"/>
      <c r="J105" s="13"/>
      <c r="K105" s="184"/>
      <c r="L105" s="26"/>
      <c r="M105" s="22"/>
      <c r="N105" s="29"/>
      <c r="O105" s="13"/>
      <c r="P105" s="13"/>
      <c r="Q105" s="13"/>
      <c r="R105" s="13"/>
      <c r="S105" s="13"/>
      <c r="T105" s="13"/>
      <c r="U105" s="13"/>
      <c r="V105" s="13"/>
      <c r="W105" s="184"/>
      <c r="X105" s="37"/>
      <c r="Y105" s="22"/>
      <c r="Z105" s="38"/>
      <c r="AA105" s="13"/>
      <c r="AB105" s="13"/>
      <c r="AC105" s="13"/>
      <c r="AD105" s="13"/>
      <c r="AE105" s="13"/>
      <c r="AF105" s="13"/>
      <c r="AG105" s="184"/>
      <c r="AH105" s="37"/>
    </row>
    <row r="106" spans="1:34">
      <c r="A106" s="14">
        <f t="shared" si="38"/>
        <v>46069</v>
      </c>
      <c r="B106" s="11"/>
      <c r="C106" s="13"/>
      <c r="D106" s="12"/>
      <c r="E106" s="12"/>
      <c r="F106" s="12"/>
      <c r="G106" s="12"/>
      <c r="H106" s="12"/>
      <c r="I106" s="12"/>
      <c r="J106" s="13"/>
      <c r="K106" s="184"/>
      <c r="L106" s="26"/>
      <c r="M106" s="22"/>
      <c r="N106" s="29"/>
      <c r="O106" s="13"/>
      <c r="P106" s="13"/>
      <c r="Q106" s="13"/>
      <c r="R106" s="13"/>
      <c r="S106" s="13"/>
      <c r="T106" s="13"/>
      <c r="U106" s="13"/>
      <c r="V106" s="13"/>
      <c r="W106" s="184"/>
      <c r="X106" s="37"/>
      <c r="Y106" s="22"/>
      <c r="Z106" s="38"/>
      <c r="AA106" s="13"/>
      <c r="AB106" s="13"/>
      <c r="AC106" s="13"/>
      <c r="AD106" s="13"/>
      <c r="AE106" s="13"/>
      <c r="AF106" s="13"/>
      <c r="AG106" s="184"/>
      <c r="AH106" s="37"/>
    </row>
    <row r="107" spans="1:34">
      <c r="A107" s="14">
        <f t="shared" si="38"/>
        <v>46070</v>
      </c>
      <c r="B107" s="11"/>
      <c r="C107" s="13"/>
      <c r="D107" s="12"/>
      <c r="E107" s="12"/>
      <c r="F107" s="12"/>
      <c r="G107" s="12"/>
      <c r="H107" s="12"/>
      <c r="I107" s="12"/>
      <c r="J107" s="13"/>
      <c r="K107" s="184"/>
      <c r="L107" s="26"/>
      <c r="M107" s="22"/>
      <c r="N107" s="29"/>
      <c r="O107" s="13"/>
      <c r="P107" s="13"/>
      <c r="Q107" s="13"/>
      <c r="R107" s="13"/>
      <c r="S107" s="13"/>
      <c r="T107" s="13"/>
      <c r="U107" s="13"/>
      <c r="V107" s="13"/>
      <c r="W107" s="184"/>
      <c r="X107" s="37"/>
      <c r="Y107" s="22"/>
      <c r="Z107" s="38"/>
      <c r="AA107" s="13"/>
      <c r="AB107" s="13"/>
      <c r="AC107" s="13"/>
      <c r="AD107" s="13"/>
      <c r="AE107" s="13"/>
      <c r="AF107" s="13"/>
      <c r="AG107" s="184"/>
      <c r="AH107" s="37"/>
    </row>
    <row r="108" spans="1:34">
      <c r="A108" s="14">
        <f t="shared" si="38"/>
        <v>46071</v>
      </c>
      <c r="B108" s="11"/>
      <c r="C108" s="12"/>
      <c r="D108" s="12"/>
      <c r="E108" s="12"/>
      <c r="F108" s="12"/>
      <c r="G108" s="12"/>
      <c r="H108" s="12"/>
      <c r="I108" s="12"/>
      <c r="J108" s="13"/>
      <c r="K108" s="184"/>
      <c r="L108" s="26"/>
      <c r="M108" s="22"/>
      <c r="N108" s="29"/>
      <c r="O108" s="13"/>
      <c r="P108" s="13"/>
      <c r="Q108" s="13"/>
      <c r="R108" s="13"/>
      <c r="S108" s="13"/>
      <c r="T108" s="13"/>
      <c r="U108" s="13"/>
      <c r="V108" s="13"/>
      <c r="W108" s="184"/>
      <c r="X108" s="37"/>
      <c r="Y108" s="22"/>
      <c r="Z108" s="38"/>
      <c r="AA108" s="13"/>
      <c r="AB108" s="13"/>
      <c r="AC108" s="13"/>
      <c r="AD108" s="13"/>
      <c r="AE108" s="13"/>
      <c r="AF108" s="13"/>
      <c r="AG108" s="184"/>
      <c r="AH108" s="37"/>
    </row>
    <row r="109" spans="1:34">
      <c r="A109" s="14">
        <f t="shared" si="38"/>
        <v>46072</v>
      </c>
      <c r="B109" s="11"/>
      <c r="C109" s="12"/>
      <c r="D109" s="12"/>
      <c r="E109" s="12"/>
      <c r="F109" s="12"/>
      <c r="G109" s="12"/>
      <c r="H109" s="12"/>
      <c r="I109" s="12"/>
      <c r="J109" s="13"/>
      <c r="K109" s="184"/>
      <c r="L109" s="26"/>
      <c r="M109" s="22"/>
      <c r="N109" s="29"/>
      <c r="O109" s="13"/>
      <c r="P109" s="13"/>
      <c r="Q109" s="13"/>
      <c r="R109" s="13"/>
      <c r="S109" s="13"/>
      <c r="T109" s="13"/>
      <c r="U109" s="13"/>
      <c r="V109" s="13"/>
      <c r="W109" s="184"/>
      <c r="X109" s="37"/>
      <c r="Y109" s="22"/>
      <c r="Z109" s="38"/>
      <c r="AA109" s="13"/>
      <c r="AB109" s="13"/>
      <c r="AC109" s="13"/>
      <c r="AD109" s="13"/>
      <c r="AE109" s="13"/>
      <c r="AF109" s="13"/>
      <c r="AG109" s="184"/>
      <c r="AH109" s="37"/>
    </row>
    <row r="110" spans="1:34">
      <c r="A110" s="14">
        <f t="shared" si="38"/>
        <v>46073</v>
      </c>
      <c r="B110" s="11"/>
      <c r="C110" s="13"/>
      <c r="D110" s="12"/>
      <c r="E110" s="12"/>
      <c r="F110" s="12"/>
      <c r="G110" s="12"/>
      <c r="H110" s="12"/>
      <c r="I110" s="13"/>
      <c r="J110" s="13"/>
      <c r="K110" s="184"/>
      <c r="L110" s="26"/>
      <c r="M110" s="22"/>
      <c r="N110" s="29"/>
      <c r="O110" s="13"/>
      <c r="P110" s="13"/>
      <c r="Q110" s="13"/>
      <c r="R110" s="13"/>
      <c r="S110" s="13"/>
      <c r="T110" s="13"/>
      <c r="U110" s="13"/>
      <c r="V110" s="13"/>
      <c r="W110" s="184"/>
      <c r="X110" s="37"/>
      <c r="Y110" s="22"/>
      <c r="Z110" s="38"/>
      <c r="AA110" s="13"/>
      <c r="AB110" s="13"/>
      <c r="AC110" s="13"/>
      <c r="AD110" s="13"/>
      <c r="AE110" s="13"/>
      <c r="AF110" s="13"/>
      <c r="AG110" s="184"/>
      <c r="AH110" s="37"/>
    </row>
    <row r="111" spans="1:34">
      <c r="A111" s="14">
        <f t="shared" si="38"/>
        <v>46074</v>
      </c>
      <c r="B111" s="11"/>
      <c r="C111" s="13"/>
      <c r="D111" s="12"/>
      <c r="E111" s="12"/>
      <c r="F111" s="12"/>
      <c r="G111" s="13"/>
      <c r="H111" s="13"/>
      <c r="I111" s="12"/>
      <c r="J111" s="13"/>
      <c r="K111" s="184"/>
      <c r="L111" s="26"/>
      <c r="M111" s="22"/>
      <c r="N111" s="29"/>
      <c r="O111" s="13"/>
      <c r="P111" s="13"/>
      <c r="Q111" s="13"/>
      <c r="R111" s="13"/>
      <c r="S111" s="13"/>
      <c r="T111" s="13"/>
      <c r="U111" s="13"/>
      <c r="V111" s="13"/>
      <c r="W111" s="184"/>
      <c r="X111" s="37"/>
      <c r="Y111" s="22"/>
      <c r="Z111" s="38"/>
      <c r="AA111" s="13"/>
      <c r="AB111" s="13"/>
      <c r="AC111" s="13"/>
      <c r="AD111" s="13"/>
      <c r="AE111" s="13"/>
      <c r="AF111" s="13"/>
      <c r="AG111" s="184"/>
      <c r="AH111" s="37"/>
    </row>
    <row r="112" spans="1:34">
      <c r="A112" s="14">
        <f t="shared" si="38"/>
        <v>46075</v>
      </c>
      <c r="B112" s="11"/>
      <c r="C112" s="13"/>
      <c r="D112" s="12"/>
      <c r="E112" s="12"/>
      <c r="F112" s="12"/>
      <c r="G112" s="12"/>
      <c r="H112" s="12"/>
      <c r="I112" s="13"/>
      <c r="J112" s="13"/>
      <c r="K112" s="184"/>
      <c r="L112" s="26"/>
      <c r="M112" s="22"/>
      <c r="N112" s="29"/>
      <c r="O112" s="13"/>
      <c r="P112" s="13"/>
      <c r="Q112" s="13"/>
      <c r="R112" s="13"/>
      <c r="S112" s="13"/>
      <c r="T112" s="13"/>
      <c r="U112" s="13"/>
      <c r="V112" s="13"/>
      <c r="W112" s="184"/>
      <c r="X112" s="37"/>
      <c r="Y112" s="22"/>
      <c r="Z112" s="38"/>
      <c r="AA112" s="13"/>
      <c r="AB112" s="13"/>
      <c r="AC112" s="13"/>
      <c r="AD112" s="13"/>
      <c r="AE112" s="13"/>
      <c r="AF112" s="13"/>
      <c r="AG112" s="184"/>
      <c r="AH112" s="37"/>
    </row>
    <row r="113" spans="1:34">
      <c r="A113" s="14">
        <f t="shared" si="38"/>
        <v>46076</v>
      </c>
      <c r="B113" s="38"/>
      <c r="C113" s="12"/>
      <c r="D113" s="12"/>
      <c r="E113" s="12"/>
      <c r="F113" s="12"/>
      <c r="G113" s="12"/>
      <c r="H113" s="12"/>
      <c r="I113" s="12"/>
      <c r="J113" s="13"/>
      <c r="K113" s="184"/>
      <c r="L113" s="26"/>
      <c r="M113" s="22"/>
      <c r="N113" s="61"/>
      <c r="O113" s="13"/>
      <c r="P113" s="13"/>
      <c r="Q113" s="13"/>
      <c r="R113" s="13"/>
      <c r="S113" s="13"/>
      <c r="T113" s="13"/>
      <c r="U113" s="13"/>
      <c r="V113" s="13"/>
      <c r="W113" s="184"/>
      <c r="X113" s="37"/>
      <c r="Y113" s="22"/>
      <c r="Z113" s="38"/>
      <c r="AA113" s="13"/>
      <c r="AB113" s="13"/>
      <c r="AC113" s="13"/>
      <c r="AD113" s="13"/>
      <c r="AE113" s="13"/>
      <c r="AF113" s="13"/>
      <c r="AG113" s="184"/>
      <c r="AH113" s="37"/>
    </row>
    <row r="114" spans="1:34">
      <c r="A114" s="14">
        <f t="shared" si="38"/>
        <v>46077</v>
      </c>
      <c r="B114" s="11"/>
      <c r="C114" s="12"/>
      <c r="D114" s="12"/>
      <c r="E114" s="12"/>
      <c r="F114" s="12"/>
      <c r="G114" s="12"/>
      <c r="H114" s="12"/>
      <c r="I114" s="12"/>
      <c r="J114" s="12"/>
      <c r="K114" s="185"/>
      <c r="L114" s="26"/>
      <c r="M114" s="22"/>
      <c r="N114" s="29"/>
      <c r="O114" s="13"/>
      <c r="P114" s="13"/>
      <c r="Q114" s="13"/>
      <c r="R114" s="13"/>
      <c r="S114" s="13"/>
      <c r="T114" s="13"/>
      <c r="U114" s="13"/>
      <c r="V114" s="13"/>
      <c r="W114" s="185"/>
      <c r="X114" s="37"/>
      <c r="Y114" s="22"/>
      <c r="Z114" s="38"/>
      <c r="AA114" s="13"/>
      <c r="AB114" s="13"/>
      <c r="AC114" s="13"/>
      <c r="AD114" s="13"/>
      <c r="AE114" s="13"/>
      <c r="AF114" s="13"/>
      <c r="AG114" s="185"/>
      <c r="AH114" s="37"/>
    </row>
    <row r="115" spans="1:34">
      <c r="A115" s="14">
        <f t="shared" si="38"/>
        <v>46078</v>
      </c>
      <c r="B115" s="38"/>
      <c r="C115" s="12"/>
      <c r="D115" s="12"/>
      <c r="E115" s="12"/>
      <c r="F115" s="12"/>
      <c r="G115" s="13"/>
      <c r="H115" s="13"/>
      <c r="I115" s="12"/>
      <c r="J115" s="12"/>
      <c r="K115" s="185"/>
      <c r="L115" s="37"/>
      <c r="M115" s="22"/>
      <c r="N115" s="29"/>
      <c r="O115" s="13"/>
      <c r="P115" s="13"/>
      <c r="Q115" s="13"/>
      <c r="R115" s="13"/>
      <c r="S115" s="13"/>
      <c r="T115" s="13"/>
      <c r="U115" s="13"/>
      <c r="V115" s="13"/>
      <c r="W115" s="185"/>
      <c r="X115" s="37"/>
      <c r="Y115" s="22"/>
      <c r="Z115" s="38"/>
      <c r="AA115" s="13"/>
      <c r="AB115" s="13"/>
      <c r="AC115" s="13"/>
      <c r="AD115" s="13"/>
      <c r="AE115" s="13"/>
      <c r="AF115" s="13"/>
      <c r="AG115" s="185"/>
      <c r="AH115" s="37"/>
    </row>
    <row r="116" spans="1:34">
      <c r="A116" s="14">
        <f t="shared" si="38"/>
        <v>46079</v>
      </c>
      <c r="B116" s="11"/>
      <c r="C116" s="13"/>
      <c r="D116" s="12"/>
      <c r="E116" s="12"/>
      <c r="F116" s="12"/>
      <c r="G116" s="13"/>
      <c r="H116" s="13"/>
      <c r="I116" s="13"/>
      <c r="J116" s="12"/>
      <c r="K116" s="185"/>
      <c r="L116" s="26"/>
      <c r="M116" s="22"/>
      <c r="N116" s="29"/>
      <c r="O116" s="13"/>
      <c r="P116" s="13"/>
      <c r="Q116" s="13"/>
      <c r="R116" s="13"/>
      <c r="S116" s="13"/>
      <c r="T116" s="13"/>
      <c r="U116" s="13"/>
      <c r="V116" s="13"/>
      <c r="W116" s="185"/>
      <c r="X116" s="51"/>
      <c r="Y116" s="22"/>
      <c r="Z116" s="38"/>
      <c r="AA116" s="13"/>
      <c r="AB116" s="13"/>
      <c r="AC116" s="13"/>
      <c r="AD116" s="13"/>
      <c r="AE116" s="13"/>
      <c r="AF116" s="13"/>
      <c r="AG116" s="185"/>
      <c r="AH116" s="51"/>
    </row>
    <row r="117" spans="1:34">
      <c r="A117" s="14">
        <f t="shared" si="38"/>
        <v>46080</v>
      </c>
      <c r="B117" s="11"/>
      <c r="C117" s="13"/>
      <c r="D117" s="12"/>
      <c r="E117" s="12"/>
      <c r="F117" s="12"/>
      <c r="G117" s="13"/>
      <c r="H117" s="13"/>
      <c r="I117" s="13"/>
      <c r="J117" s="12"/>
      <c r="K117" s="185"/>
      <c r="L117" s="26"/>
      <c r="M117" s="22"/>
      <c r="N117" s="29"/>
      <c r="O117" s="13"/>
      <c r="P117" s="13"/>
      <c r="Q117" s="13"/>
      <c r="R117" s="13"/>
      <c r="S117" s="13"/>
      <c r="T117" s="13"/>
      <c r="U117" s="13"/>
      <c r="V117" s="13"/>
      <c r="W117" s="185"/>
      <c r="X117" s="37"/>
      <c r="Y117" s="22"/>
      <c r="Z117" s="38"/>
      <c r="AA117" s="13"/>
      <c r="AB117" s="13"/>
      <c r="AC117" s="13"/>
      <c r="AD117" s="13"/>
      <c r="AE117" s="13"/>
      <c r="AF117" s="13"/>
      <c r="AG117" s="185"/>
      <c r="AH117" s="37"/>
    </row>
    <row r="118" spans="1:34">
      <c r="A118" s="14">
        <f t="shared" si="38"/>
        <v>46081</v>
      </c>
      <c r="B118" s="38"/>
      <c r="C118" s="13"/>
      <c r="D118" s="12"/>
      <c r="E118" s="12"/>
      <c r="F118" s="13"/>
      <c r="G118" s="12"/>
      <c r="H118" s="12"/>
      <c r="I118" s="12"/>
      <c r="J118" s="12"/>
      <c r="K118" s="185"/>
      <c r="L118" s="26"/>
      <c r="M118" s="22"/>
      <c r="N118" s="29"/>
      <c r="O118" s="13"/>
      <c r="P118" s="13"/>
      <c r="Q118" s="13"/>
      <c r="R118" s="13"/>
      <c r="S118" s="13"/>
      <c r="T118" s="13"/>
      <c r="U118" s="13"/>
      <c r="V118" s="13"/>
      <c r="W118" s="185"/>
      <c r="X118" s="37"/>
      <c r="Y118" s="22"/>
      <c r="Z118" s="38"/>
      <c r="AA118" s="13"/>
      <c r="AB118" s="13"/>
      <c r="AC118" s="13"/>
      <c r="AD118" s="13"/>
      <c r="AE118" s="13"/>
      <c r="AF118" s="13"/>
      <c r="AG118" s="185"/>
      <c r="AH118" s="37"/>
    </row>
    <row r="119" spans="1:34">
      <c r="A119" s="14">
        <f t="shared" si="38"/>
        <v>46082</v>
      </c>
      <c r="B119" s="38"/>
      <c r="C119" s="12"/>
      <c r="D119" s="12"/>
      <c r="E119" s="12"/>
      <c r="F119" s="12"/>
      <c r="G119" s="12"/>
      <c r="H119" s="12"/>
      <c r="I119" s="12"/>
      <c r="J119" s="59"/>
      <c r="K119" s="186"/>
      <c r="L119" s="26"/>
      <c r="M119" s="22"/>
      <c r="N119" s="29"/>
      <c r="O119" s="13"/>
      <c r="P119" s="13"/>
      <c r="Q119" s="13"/>
      <c r="R119" s="13"/>
      <c r="S119" s="13"/>
      <c r="T119" s="13"/>
      <c r="U119" s="13"/>
      <c r="V119" s="13"/>
      <c r="W119" s="186"/>
      <c r="X119" s="37"/>
      <c r="Y119" s="22"/>
      <c r="Z119" s="38"/>
      <c r="AA119" s="13"/>
      <c r="AB119" s="13"/>
      <c r="AC119" s="13"/>
      <c r="AD119" s="13"/>
      <c r="AE119" s="13"/>
      <c r="AF119" s="13"/>
      <c r="AG119" s="186"/>
      <c r="AH119" s="37"/>
    </row>
    <row r="120" spans="1:34">
      <c r="A120" s="14">
        <f t="shared" si="38"/>
        <v>46083</v>
      </c>
      <c r="B120" s="11"/>
      <c r="C120" s="12"/>
      <c r="D120" s="12"/>
      <c r="E120" s="12"/>
      <c r="F120" s="12"/>
      <c r="G120" s="12"/>
      <c r="H120" s="12"/>
      <c r="I120" s="12"/>
      <c r="J120" s="12"/>
      <c r="K120" s="185"/>
      <c r="L120" s="26"/>
      <c r="M120" s="22"/>
      <c r="N120" s="29"/>
      <c r="O120" s="13"/>
      <c r="P120" s="47"/>
      <c r="Q120" s="47"/>
      <c r="R120" s="47"/>
      <c r="S120" s="47"/>
      <c r="T120" s="47"/>
      <c r="U120" s="47"/>
      <c r="V120" s="53"/>
      <c r="W120" s="185"/>
      <c r="X120" s="48"/>
      <c r="Y120" s="22"/>
      <c r="Z120" s="38"/>
      <c r="AA120" s="13"/>
      <c r="AB120" s="47"/>
      <c r="AC120" s="47"/>
      <c r="AD120" s="47"/>
      <c r="AE120" s="13"/>
      <c r="AF120" s="53"/>
      <c r="AG120" s="185"/>
      <c r="AH120" s="37"/>
    </row>
    <row r="121" spans="1:34" ht="15.75" thickBot="1">
      <c r="A121" s="15">
        <f t="shared" si="38"/>
        <v>46084</v>
      </c>
      <c r="B121" s="57"/>
      <c r="C121" s="58"/>
      <c r="D121" s="58"/>
      <c r="E121" s="58"/>
      <c r="F121" s="58"/>
      <c r="G121" s="58"/>
      <c r="H121" s="58"/>
      <c r="I121" s="58"/>
      <c r="J121" s="58"/>
      <c r="K121" s="187"/>
      <c r="L121" s="60"/>
      <c r="M121" s="22"/>
      <c r="N121" s="56"/>
      <c r="O121" s="47"/>
      <c r="P121" s="47"/>
      <c r="Q121" s="47"/>
      <c r="R121" s="47"/>
      <c r="S121" s="47"/>
      <c r="T121" s="47"/>
      <c r="U121" s="47"/>
      <c r="V121" s="47"/>
      <c r="W121" s="187"/>
      <c r="X121" s="48"/>
      <c r="Y121" s="22"/>
      <c r="Z121" s="39"/>
      <c r="AA121" s="47"/>
      <c r="AB121" s="47"/>
      <c r="AC121" s="47"/>
      <c r="AD121" s="47"/>
      <c r="AE121" s="47"/>
      <c r="AF121" s="47"/>
      <c r="AG121" s="187"/>
      <c r="AH121" s="48"/>
    </row>
    <row r="122" spans="1:34">
      <c r="A122" s="16" t="s">
        <v>31</v>
      </c>
      <c r="B122" s="17">
        <f>MIN(B91:B121)</f>
        <v>0</v>
      </c>
      <c r="C122" s="17">
        <f>MIN(C91:C121)</f>
        <v>0</v>
      </c>
      <c r="D122" s="17">
        <f t="shared" ref="D122:L122" si="39">MIN(D91:D121)</f>
        <v>0</v>
      </c>
      <c r="E122" s="17">
        <f t="shared" si="39"/>
        <v>0</v>
      </c>
      <c r="F122" s="17">
        <f t="shared" si="39"/>
        <v>0</v>
      </c>
      <c r="G122" s="17">
        <f t="shared" si="39"/>
        <v>0</v>
      </c>
      <c r="H122" s="17">
        <f t="shared" si="39"/>
        <v>0</v>
      </c>
      <c r="I122" s="17">
        <f t="shared" si="39"/>
        <v>0</v>
      </c>
      <c r="J122" s="17">
        <f t="shared" si="39"/>
        <v>0</v>
      </c>
      <c r="K122" s="188"/>
      <c r="L122" s="30">
        <f t="shared" si="39"/>
        <v>0</v>
      </c>
      <c r="M122" s="22"/>
      <c r="N122" s="17">
        <f>MIN(N91:N121)</f>
        <v>0</v>
      </c>
      <c r="O122" s="17">
        <f>MIN(O91:O121)</f>
        <v>0</v>
      </c>
      <c r="P122" s="17">
        <f t="shared" ref="P122:X122" si="40">MIN(P91:P121)</f>
        <v>0</v>
      </c>
      <c r="Q122" s="17">
        <f t="shared" si="40"/>
        <v>0</v>
      </c>
      <c r="R122" s="17">
        <f t="shared" si="40"/>
        <v>0</v>
      </c>
      <c r="S122" s="17">
        <f t="shared" si="40"/>
        <v>0</v>
      </c>
      <c r="T122" s="17">
        <f t="shared" si="40"/>
        <v>0</v>
      </c>
      <c r="U122" s="17">
        <f t="shared" si="40"/>
        <v>0</v>
      </c>
      <c r="V122" s="17">
        <f t="shared" si="40"/>
        <v>0</v>
      </c>
      <c r="W122" s="188"/>
      <c r="X122" s="30">
        <f t="shared" si="40"/>
        <v>0</v>
      </c>
      <c r="Z122" s="40">
        <f t="shared" ref="Z122:AH122" si="41">MIN(Z91:Z121)</f>
        <v>0</v>
      </c>
      <c r="AA122" s="17">
        <f t="shared" si="41"/>
        <v>0</v>
      </c>
      <c r="AB122" s="17">
        <f t="shared" si="41"/>
        <v>0</v>
      </c>
      <c r="AC122" s="17">
        <f t="shared" si="41"/>
        <v>0</v>
      </c>
      <c r="AD122" s="17">
        <f t="shared" si="41"/>
        <v>0</v>
      </c>
      <c r="AE122" s="17">
        <f t="shared" si="41"/>
        <v>0</v>
      </c>
      <c r="AF122" s="17">
        <f t="shared" si="41"/>
        <v>0</v>
      </c>
      <c r="AG122" s="188"/>
      <c r="AH122" s="30">
        <f t="shared" si="41"/>
        <v>0</v>
      </c>
    </row>
    <row r="123" spans="1:34">
      <c r="A123" s="18" t="s">
        <v>33</v>
      </c>
      <c r="B123" s="19">
        <f>MAX(B91:B121)</f>
        <v>0</v>
      </c>
      <c r="C123" s="19">
        <f>MAX(C91:C121)</f>
        <v>0</v>
      </c>
      <c r="D123" s="19">
        <f t="shared" ref="D123:L123" si="42">MAX(D91:D121)</f>
        <v>0</v>
      </c>
      <c r="E123" s="19">
        <f t="shared" si="42"/>
        <v>0</v>
      </c>
      <c r="F123" s="19">
        <f t="shared" si="42"/>
        <v>0</v>
      </c>
      <c r="G123" s="19">
        <f t="shared" si="42"/>
        <v>0</v>
      </c>
      <c r="H123" s="19">
        <f t="shared" si="42"/>
        <v>0</v>
      </c>
      <c r="I123" s="19">
        <f t="shared" si="42"/>
        <v>0</v>
      </c>
      <c r="J123" s="19">
        <f t="shared" si="42"/>
        <v>0</v>
      </c>
      <c r="K123" s="189"/>
      <c r="L123" s="31">
        <f t="shared" si="42"/>
        <v>0</v>
      </c>
      <c r="M123" s="22"/>
      <c r="N123" s="19">
        <f>MAX(N91:N121)</f>
        <v>0</v>
      </c>
      <c r="O123" s="19">
        <f>MAX(O91:O121)</f>
        <v>0</v>
      </c>
      <c r="P123" s="19">
        <f t="shared" ref="P123:X123" si="43">MAX(P91:P121)</f>
        <v>0</v>
      </c>
      <c r="Q123" s="19">
        <f t="shared" si="43"/>
        <v>0</v>
      </c>
      <c r="R123" s="19">
        <f t="shared" si="43"/>
        <v>0</v>
      </c>
      <c r="S123" s="19">
        <f t="shared" si="43"/>
        <v>0</v>
      </c>
      <c r="T123" s="19">
        <f t="shared" si="43"/>
        <v>0</v>
      </c>
      <c r="U123" s="19">
        <f t="shared" si="43"/>
        <v>0</v>
      </c>
      <c r="V123" s="19">
        <f t="shared" si="43"/>
        <v>0</v>
      </c>
      <c r="W123" s="189"/>
      <c r="X123" s="31">
        <f t="shared" si="43"/>
        <v>0</v>
      </c>
      <c r="Z123" s="41">
        <f t="shared" ref="Z123:AH123" si="44">MAX(Z91:Z121)</f>
        <v>0</v>
      </c>
      <c r="AA123" s="19">
        <f t="shared" si="44"/>
        <v>0</v>
      </c>
      <c r="AB123" s="19">
        <f t="shared" si="44"/>
        <v>0</v>
      </c>
      <c r="AC123" s="19">
        <f t="shared" si="44"/>
        <v>0</v>
      </c>
      <c r="AD123" s="19">
        <f t="shared" si="44"/>
        <v>0</v>
      </c>
      <c r="AE123" s="19">
        <f t="shared" si="44"/>
        <v>0</v>
      </c>
      <c r="AF123" s="19">
        <f t="shared" si="44"/>
        <v>0</v>
      </c>
      <c r="AG123" s="189"/>
      <c r="AH123" s="31">
        <f t="shared" si="44"/>
        <v>0</v>
      </c>
    </row>
    <row r="124" spans="1:34">
      <c r="A124" s="18" t="s">
        <v>36</v>
      </c>
      <c r="B124" s="19" t="e">
        <f t="shared" ref="B124:L124" si="45">AVERAGE(B91:B121)</f>
        <v>#DIV/0!</v>
      </c>
      <c r="C124" s="19" t="e">
        <f t="shared" si="45"/>
        <v>#DIV/0!</v>
      </c>
      <c r="D124" s="19" t="e">
        <f t="shared" si="45"/>
        <v>#DIV/0!</v>
      </c>
      <c r="E124" s="19" t="e">
        <f t="shared" si="45"/>
        <v>#DIV/0!</v>
      </c>
      <c r="F124" s="19" t="e">
        <f t="shared" si="45"/>
        <v>#DIV/0!</v>
      </c>
      <c r="G124" s="19" t="e">
        <f t="shared" si="45"/>
        <v>#DIV/0!</v>
      </c>
      <c r="H124" s="19" t="e">
        <f t="shared" si="45"/>
        <v>#DIV/0!</v>
      </c>
      <c r="I124" s="19" t="e">
        <f t="shared" si="45"/>
        <v>#DIV/0!</v>
      </c>
      <c r="J124" s="19" t="e">
        <f t="shared" si="45"/>
        <v>#DIV/0!</v>
      </c>
      <c r="K124" s="189"/>
      <c r="L124" s="31" t="e">
        <f t="shared" si="45"/>
        <v>#DIV/0!</v>
      </c>
      <c r="M124" s="22"/>
      <c r="N124" s="19" t="e">
        <f t="shared" ref="N124:X124" si="46">AVERAGE(N91:N121)</f>
        <v>#DIV/0!</v>
      </c>
      <c r="O124" s="19" t="e">
        <f t="shared" si="46"/>
        <v>#DIV/0!</v>
      </c>
      <c r="P124" s="19" t="e">
        <f t="shared" si="46"/>
        <v>#DIV/0!</v>
      </c>
      <c r="Q124" s="19" t="e">
        <f t="shared" si="46"/>
        <v>#DIV/0!</v>
      </c>
      <c r="R124" s="19" t="e">
        <f t="shared" si="46"/>
        <v>#DIV/0!</v>
      </c>
      <c r="S124" s="19" t="e">
        <f t="shared" si="46"/>
        <v>#DIV/0!</v>
      </c>
      <c r="T124" s="19" t="e">
        <f t="shared" si="46"/>
        <v>#DIV/0!</v>
      </c>
      <c r="U124" s="19" t="e">
        <f t="shared" si="46"/>
        <v>#DIV/0!</v>
      </c>
      <c r="V124" s="19" t="e">
        <f t="shared" si="46"/>
        <v>#DIV/0!</v>
      </c>
      <c r="W124" s="189"/>
      <c r="X124" s="31" t="e">
        <f t="shared" si="46"/>
        <v>#DIV/0!</v>
      </c>
      <c r="Z124" s="41" t="e">
        <f>AVERAGE(Z91:Z121)</f>
        <v>#DIV/0!</v>
      </c>
      <c r="AA124" s="19" t="e">
        <f t="shared" ref="AA124:AH124" si="47">AVERAGE(AA91:AA121)</f>
        <v>#DIV/0!</v>
      </c>
      <c r="AB124" s="19" t="e">
        <f t="shared" si="47"/>
        <v>#DIV/0!</v>
      </c>
      <c r="AC124" s="19" t="e">
        <f t="shared" si="47"/>
        <v>#DIV/0!</v>
      </c>
      <c r="AD124" s="19" t="e">
        <f t="shared" si="47"/>
        <v>#DIV/0!</v>
      </c>
      <c r="AE124" s="19" t="e">
        <f t="shared" si="47"/>
        <v>#DIV/0!</v>
      </c>
      <c r="AF124" s="19" t="e">
        <f t="shared" si="47"/>
        <v>#DIV/0!</v>
      </c>
      <c r="AG124" s="189"/>
      <c r="AH124" s="31" t="e">
        <f t="shared" si="47"/>
        <v>#DIV/0!</v>
      </c>
    </row>
    <row r="125" spans="1:34" ht="15.75" thickBot="1">
      <c r="A125" s="20" t="s">
        <v>130</v>
      </c>
      <c r="B125" s="21" t="e">
        <f>STDEV(B91:B121)</f>
        <v>#DIV/0!</v>
      </c>
      <c r="C125" s="21" t="e">
        <f t="shared" ref="C125:L125" si="48">STDEV(C91:C121)</f>
        <v>#DIV/0!</v>
      </c>
      <c r="D125" s="21" t="e">
        <f t="shared" si="48"/>
        <v>#DIV/0!</v>
      </c>
      <c r="E125" s="21" t="e">
        <f t="shared" si="48"/>
        <v>#DIV/0!</v>
      </c>
      <c r="F125" s="21" t="e">
        <f t="shared" si="48"/>
        <v>#DIV/0!</v>
      </c>
      <c r="G125" s="21" t="e">
        <f t="shared" si="48"/>
        <v>#DIV/0!</v>
      </c>
      <c r="H125" s="21" t="e">
        <f t="shared" si="48"/>
        <v>#DIV/0!</v>
      </c>
      <c r="I125" s="21" t="e">
        <f t="shared" si="48"/>
        <v>#DIV/0!</v>
      </c>
      <c r="J125" s="21" t="e">
        <f t="shared" si="48"/>
        <v>#DIV/0!</v>
      </c>
      <c r="K125" s="190"/>
      <c r="L125" s="32" t="e">
        <f t="shared" si="48"/>
        <v>#DIV/0!</v>
      </c>
      <c r="M125" s="152"/>
      <c r="N125" s="21" t="e">
        <f>STDEV(N91:N121)</f>
        <v>#DIV/0!</v>
      </c>
      <c r="O125" s="21" t="e">
        <f t="shared" ref="O125:X125" si="49">STDEV(O91:O121)</f>
        <v>#DIV/0!</v>
      </c>
      <c r="P125" s="21" t="e">
        <f t="shared" si="49"/>
        <v>#DIV/0!</v>
      </c>
      <c r="Q125" s="21" t="e">
        <f t="shared" si="49"/>
        <v>#DIV/0!</v>
      </c>
      <c r="R125" s="21" t="e">
        <f t="shared" si="49"/>
        <v>#DIV/0!</v>
      </c>
      <c r="S125" s="21" t="e">
        <f t="shared" si="49"/>
        <v>#DIV/0!</v>
      </c>
      <c r="T125" s="21" t="e">
        <f t="shared" si="49"/>
        <v>#DIV/0!</v>
      </c>
      <c r="U125" s="21" t="e">
        <f t="shared" si="49"/>
        <v>#DIV/0!</v>
      </c>
      <c r="V125" s="21" t="e">
        <f t="shared" si="49"/>
        <v>#DIV/0!</v>
      </c>
      <c r="W125" s="190"/>
      <c r="X125" s="32" t="e">
        <f t="shared" si="49"/>
        <v>#DIV/0!</v>
      </c>
      <c r="Y125" s="153"/>
      <c r="Z125" s="42" t="e">
        <f>STDEV(Z91:Z121)</f>
        <v>#DIV/0!</v>
      </c>
      <c r="AA125" s="21" t="e">
        <f t="shared" ref="AA125:AH125" si="50">STDEV(AA91:AA121)</f>
        <v>#DIV/0!</v>
      </c>
      <c r="AB125" s="21" t="e">
        <f t="shared" si="50"/>
        <v>#DIV/0!</v>
      </c>
      <c r="AC125" s="21" t="e">
        <f t="shared" si="50"/>
        <v>#DIV/0!</v>
      </c>
      <c r="AD125" s="21" t="e">
        <f t="shared" si="50"/>
        <v>#DIV/0!</v>
      </c>
      <c r="AE125" s="21" t="e">
        <f t="shared" si="50"/>
        <v>#DIV/0!</v>
      </c>
      <c r="AF125" s="21" t="e">
        <f t="shared" si="50"/>
        <v>#DIV/0!</v>
      </c>
      <c r="AG125" s="190"/>
      <c r="AH125" s="32" t="e">
        <f t="shared" si="50"/>
        <v>#DIV/0!</v>
      </c>
    </row>
    <row r="126" spans="1:34" ht="15.75" thickBot="1"/>
    <row r="127" spans="1:34" ht="15.75" thickBot="1">
      <c r="A127" s="150"/>
      <c r="B127" s="338" t="s">
        <v>0</v>
      </c>
      <c r="C127" s="339"/>
      <c r="D127" s="339"/>
      <c r="E127" s="339"/>
      <c r="F127" s="339"/>
      <c r="G127" s="339"/>
      <c r="H127" s="339"/>
      <c r="I127" s="339"/>
      <c r="J127" s="339"/>
      <c r="K127" s="339"/>
      <c r="L127" s="339"/>
      <c r="M127" s="339"/>
      <c r="N127" s="339"/>
      <c r="O127" s="339"/>
      <c r="P127" s="339"/>
      <c r="Q127" s="339"/>
      <c r="R127" s="339"/>
      <c r="S127" s="339"/>
      <c r="T127" s="339"/>
      <c r="U127" s="339"/>
      <c r="V127" s="339"/>
      <c r="W127" s="339"/>
      <c r="X127" s="339"/>
      <c r="Y127" s="339"/>
      <c r="Z127" s="339"/>
      <c r="AA127" s="339"/>
      <c r="AB127" s="339"/>
      <c r="AC127" s="339"/>
      <c r="AD127" s="339"/>
      <c r="AE127" s="339"/>
      <c r="AF127" s="339"/>
      <c r="AG127" s="339"/>
      <c r="AH127" s="363"/>
    </row>
    <row r="128" spans="1:34" ht="15.75" thickBot="1">
      <c r="A128" s="151"/>
      <c r="B128" s="338" t="s">
        <v>165</v>
      </c>
      <c r="C128" s="339"/>
      <c r="D128" s="339"/>
      <c r="E128" s="339"/>
      <c r="F128" s="339"/>
      <c r="G128" s="339"/>
      <c r="H128" s="339"/>
      <c r="I128" s="339"/>
      <c r="J128" s="339"/>
      <c r="K128" s="339"/>
      <c r="L128" s="339"/>
      <c r="M128" s="339"/>
      <c r="N128" s="339"/>
      <c r="O128" s="339"/>
      <c r="P128" s="339"/>
      <c r="Q128" s="339"/>
      <c r="R128" s="339"/>
      <c r="S128" s="339"/>
      <c r="T128" s="339"/>
      <c r="U128" s="339"/>
      <c r="V128" s="339"/>
      <c r="W128" s="339"/>
      <c r="X128" s="339"/>
      <c r="Y128" s="339"/>
      <c r="Z128" s="339"/>
      <c r="AA128" s="339"/>
      <c r="AB128" s="339"/>
      <c r="AC128" s="339"/>
      <c r="AD128" s="4"/>
      <c r="AE128" s="43" t="s">
        <v>107</v>
      </c>
      <c r="AF128" s="341">
        <v>46082</v>
      </c>
      <c r="AG128" s="342"/>
      <c r="AH128" s="343"/>
    </row>
    <row r="129" spans="1:34">
      <c r="A129" s="344"/>
      <c r="B129" s="346" t="s">
        <v>132</v>
      </c>
      <c r="C129" s="347"/>
      <c r="D129" s="347"/>
      <c r="E129" s="347"/>
      <c r="F129" s="347"/>
      <c r="G129" s="347"/>
      <c r="H129" s="347"/>
      <c r="I129" s="347"/>
      <c r="J129" s="347"/>
      <c r="K129" s="348"/>
      <c r="L129" s="349"/>
      <c r="M129" s="22"/>
      <c r="N129" s="350" t="s">
        <v>133</v>
      </c>
      <c r="O129" s="347"/>
      <c r="P129" s="347"/>
      <c r="Q129" s="347"/>
      <c r="R129" s="347"/>
      <c r="S129" s="347"/>
      <c r="T129" s="347"/>
      <c r="U129" s="347"/>
      <c r="V129" s="347"/>
      <c r="W129" s="348"/>
      <c r="X129" s="349"/>
      <c r="Y129" s="22"/>
      <c r="Z129" s="346" t="s">
        <v>134</v>
      </c>
      <c r="AA129" s="347"/>
      <c r="AB129" s="347"/>
      <c r="AC129" s="347"/>
      <c r="AD129" s="347"/>
      <c r="AE129" s="347"/>
      <c r="AF129" s="347"/>
      <c r="AG129" s="348"/>
      <c r="AH129" s="349"/>
    </row>
    <row r="130" spans="1:34" ht="25.5">
      <c r="A130" s="345"/>
      <c r="B130" s="359" t="s">
        <v>135</v>
      </c>
      <c r="C130" s="361" t="s">
        <v>136</v>
      </c>
      <c r="D130" s="5" t="s">
        <v>137</v>
      </c>
      <c r="E130" s="5" t="s">
        <v>138</v>
      </c>
      <c r="F130" s="5" t="s">
        <v>139</v>
      </c>
      <c r="G130" s="5" t="s">
        <v>140</v>
      </c>
      <c r="H130" s="5" t="s">
        <v>141</v>
      </c>
      <c r="I130" s="5" t="s">
        <v>142</v>
      </c>
      <c r="J130" s="5" t="s">
        <v>143</v>
      </c>
      <c r="K130" s="181"/>
      <c r="L130" s="23" t="s">
        <v>144</v>
      </c>
      <c r="M130" s="22"/>
      <c r="N130" s="355" t="s">
        <v>135</v>
      </c>
      <c r="O130" s="357" t="s">
        <v>136</v>
      </c>
      <c r="P130" s="5" t="s">
        <v>137</v>
      </c>
      <c r="Q130" s="5" t="s">
        <v>138</v>
      </c>
      <c r="R130" s="5" t="s">
        <v>139</v>
      </c>
      <c r="S130" s="5" t="s">
        <v>140</v>
      </c>
      <c r="T130" s="5" t="s">
        <v>141</v>
      </c>
      <c r="U130" s="5" t="s">
        <v>142</v>
      </c>
      <c r="V130" s="5" t="s">
        <v>143</v>
      </c>
      <c r="W130" s="181"/>
      <c r="X130" s="23" t="s">
        <v>144</v>
      </c>
      <c r="Y130" s="22"/>
      <c r="Z130" s="33" t="s">
        <v>137</v>
      </c>
      <c r="AA130" s="5" t="s">
        <v>138</v>
      </c>
      <c r="AB130" s="5" t="s">
        <v>139</v>
      </c>
      <c r="AC130" s="5" t="s">
        <v>140</v>
      </c>
      <c r="AD130" s="5" t="s">
        <v>141</v>
      </c>
      <c r="AE130" s="5" t="s">
        <v>142</v>
      </c>
      <c r="AF130" s="5" t="s">
        <v>143</v>
      </c>
      <c r="AG130" s="181"/>
      <c r="AH130" s="23" t="s">
        <v>144</v>
      </c>
    </row>
    <row r="131" spans="1:34" ht="25.5">
      <c r="A131" s="6" t="s">
        <v>145</v>
      </c>
      <c r="B131" s="360"/>
      <c r="C131" s="362"/>
      <c r="D131" s="5" t="s">
        <v>128</v>
      </c>
      <c r="E131" s="5" t="s">
        <v>128</v>
      </c>
      <c r="F131" s="5" t="s">
        <v>128</v>
      </c>
      <c r="G131" s="5" t="s">
        <v>128</v>
      </c>
      <c r="H131" s="5" t="s">
        <v>125</v>
      </c>
      <c r="I131" s="5" t="s">
        <v>146</v>
      </c>
      <c r="J131" s="5" t="s">
        <v>127</v>
      </c>
      <c r="K131" s="181"/>
      <c r="L131" s="23" t="s">
        <v>53</v>
      </c>
      <c r="M131" s="22"/>
      <c r="N131" s="356"/>
      <c r="O131" s="358"/>
      <c r="P131" s="5" t="s">
        <v>128</v>
      </c>
      <c r="Q131" s="5" t="s">
        <v>128</v>
      </c>
      <c r="R131" s="5" t="s">
        <v>128</v>
      </c>
      <c r="S131" s="5" t="s">
        <v>128</v>
      </c>
      <c r="T131" s="5" t="s">
        <v>125</v>
      </c>
      <c r="U131" s="5" t="s">
        <v>146</v>
      </c>
      <c r="V131" s="5" t="s">
        <v>127</v>
      </c>
      <c r="W131" s="181"/>
      <c r="X131" s="23" t="s">
        <v>53</v>
      </c>
      <c r="Y131" s="22"/>
      <c r="Z131" s="33" t="s">
        <v>128</v>
      </c>
      <c r="AA131" s="5" t="s">
        <v>128</v>
      </c>
      <c r="AB131" s="5" t="s">
        <v>128</v>
      </c>
      <c r="AC131" s="5" t="s">
        <v>128</v>
      </c>
      <c r="AD131" s="5" t="s">
        <v>125</v>
      </c>
      <c r="AE131" s="5" t="s">
        <v>146</v>
      </c>
      <c r="AF131" s="5" t="s">
        <v>127</v>
      </c>
      <c r="AG131" s="181"/>
      <c r="AH131" s="23" t="s">
        <v>53</v>
      </c>
    </row>
    <row r="132" spans="1:34" ht="39" thickBot="1">
      <c r="A132" s="7" t="s">
        <v>147</v>
      </c>
      <c r="B132" s="8" t="s">
        <v>148</v>
      </c>
      <c r="C132" s="9" t="s">
        <v>166</v>
      </c>
      <c r="D132" s="9" t="s">
        <v>167</v>
      </c>
      <c r="E132" s="9" t="s">
        <v>168</v>
      </c>
      <c r="F132" s="9" t="s">
        <v>169</v>
      </c>
      <c r="G132" s="9" t="s">
        <v>170</v>
      </c>
      <c r="H132" s="9" t="s">
        <v>154</v>
      </c>
      <c r="I132" s="24" t="s">
        <v>155</v>
      </c>
      <c r="J132" s="24" t="s">
        <v>156</v>
      </c>
      <c r="K132" s="182"/>
      <c r="L132" s="25" t="s">
        <v>171</v>
      </c>
      <c r="M132" s="22"/>
      <c r="N132" s="8" t="s">
        <v>148</v>
      </c>
      <c r="O132" s="9" t="s">
        <v>166</v>
      </c>
      <c r="P132" s="9" t="s">
        <v>167</v>
      </c>
      <c r="Q132" s="9" t="s">
        <v>168</v>
      </c>
      <c r="R132" s="9" t="s">
        <v>169</v>
      </c>
      <c r="S132" s="9" t="s">
        <v>170</v>
      </c>
      <c r="T132" s="9" t="s">
        <v>154</v>
      </c>
      <c r="U132" s="24" t="s">
        <v>155</v>
      </c>
      <c r="V132" s="24" t="s">
        <v>156</v>
      </c>
      <c r="W132" s="182"/>
      <c r="X132" s="25" t="s">
        <v>171</v>
      </c>
      <c r="Y132" s="22"/>
      <c r="Z132" s="8" t="s">
        <v>167</v>
      </c>
      <c r="AA132" s="9" t="s">
        <v>168</v>
      </c>
      <c r="AB132" s="9" t="s">
        <v>169</v>
      </c>
      <c r="AC132" s="9" t="s">
        <v>170</v>
      </c>
      <c r="AD132" s="9" t="s">
        <v>154</v>
      </c>
      <c r="AE132" s="9" t="s">
        <v>155</v>
      </c>
      <c r="AF132" s="9" t="s">
        <v>156</v>
      </c>
      <c r="AG132" s="182"/>
      <c r="AH132" s="23" t="s">
        <v>171</v>
      </c>
    </row>
    <row r="133" spans="1:34">
      <c r="A133" s="10">
        <f>AF128+0</f>
        <v>46082</v>
      </c>
      <c r="B133" s="11"/>
      <c r="C133" s="12"/>
      <c r="D133" s="12"/>
      <c r="E133" s="13"/>
      <c r="F133" s="12"/>
      <c r="G133" s="12"/>
      <c r="H133" s="12"/>
      <c r="I133" s="12"/>
      <c r="J133" s="13"/>
      <c r="K133" s="184"/>
      <c r="L133" s="26"/>
      <c r="M133" s="22"/>
      <c r="N133" s="29"/>
      <c r="O133" s="13"/>
      <c r="P133" s="13"/>
      <c r="Q133" s="13"/>
      <c r="R133" s="13"/>
      <c r="S133" s="13"/>
      <c r="T133" s="13"/>
      <c r="U133" s="13"/>
      <c r="V133" s="13"/>
      <c r="W133" s="184"/>
      <c r="X133" s="37"/>
      <c r="Y133" s="22"/>
      <c r="Z133" s="38"/>
      <c r="AA133" s="13"/>
      <c r="AB133" s="13"/>
      <c r="AC133" s="13"/>
      <c r="AD133" s="13"/>
      <c r="AE133" s="13"/>
      <c r="AF133" s="13"/>
      <c r="AG133" s="184"/>
      <c r="AH133" s="45"/>
    </row>
    <row r="134" spans="1:34">
      <c r="A134" s="14">
        <f t="shared" ref="A134:A163" si="51">A133+1</f>
        <v>46083</v>
      </c>
      <c r="B134" s="11"/>
      <c r="C134" s="12"/>
      <c r="D134" s="12"/>
      <c r="E134" s="13"/>
      <c r="F134" s="12"/>
      <c r="G134" s="12"/>
      <c r="H134" s="12"/>
      <c r="I134" s="12"/>
      <c r="J134" s="13"/>
      <c r="K134" s="184"/>
      <c r="L134" s="26"/>
      <c r="M134" s="22"/>
      <c r="N134" s="29"/>
      <c r="O134" s="13"/>
      <c r="P134" s="13"/>
      <c r="Q134" s="13"/>
      <c r="R134" s="13"/>
      <c r="S134" s="13"/>
      <c r="T134" s="13"/>
      <c r="U134" s="13"/>
      <c r="V134" s="13"/>
      <c r="W134" s="184"/>
      <c r="X134" s="37"/>
      <c r="Y134" s="22"/>
      <c r="Z134" s="38"/>
      <c r="AA134" s="13"/>
      <c r="AB134" s="13"/>
      <c r="AC134" s="13"/>
      <c r="AD134" s="13"/>
      <c r="AE134" s="13"/>
      <c r="AF134" s="13"/>
      <c r="AG134" s="184"/>
      <c r="AH134" s="45"/>
    </row>
    <row r="135" spans="1:34">
      <c r="A135" s="14">
        <f t="shared" si="51"/>
        <v>46084</v>
      </c>
      <c r="B135" s="11"/>
      <c r="C135" s="12"/>
      <c r="D135" s="12"/>
      <c r="E135" s="13"/>
      <c r="F135" s="12"/>
      <c r="G135" s="12"/>
      <c r="H135" s="12"/>
      <c r="I135" s="12"/>
      <c r="J135" s="13"/>
      <c r="K135" s="184"/>
      <c r="L135" s="26"/>
      <c r="M135" s="22"/>
      <c r="N135" s="29"/>
      <c r="O135" s="13"/>
      <c r="P135" s="13"/>
      <c r="Q135" s="13"/>
      <c r="R135" s="13"/>
      <c r="S135" s="13"/>
      <c r="T135" s="13"/>
      <c r="U135" s="13"/>
      <c r="V135" s="13"/>
      <c r="W135" s="184"/>
      <c r="X135" s="37"/>
      <c r="Y135" s="22"/>
      <c r="Z135" s="38"/>
      <c r="AA135" s="13"/>
      <c r="AB135" s="13"/>
      <c r="AC135" s="13"/>
      <c r="AD135" s="13"/>
      <c r="AE135" s="13"/>
      <c r="AF135" s="13"/>
      <c r="AG135" s="184"/>
      <c r="AH135" s="45"/>
    </row>
    <row r="136" spans="1:34">
      <c r="A136" s="14">
        <f t="shared" si="51"/>
        <v>46085</v>
      </c>
      <c r="B136" s="11"/>
      <c r="C136" s="12"/>
      <c r="D136" s="12"/>
      <c r="E136" s="13"/>
      <c r="F136" s="12"/>
      <c r="G136" s="12"/>
      <c r="H136" s="12"/>
      <c r="I136" s="12"/>
      <c r="J136" s="13"/>
      <c r="K136" s="184"/>
      <c r="L136" s="26"/>
      <c r="M136" s="22"/>
      <c r="N136" s="29"/>
      <c r="O136" s="13"/>
      <c r="P136" s="13"/>
      <c r="Q136" s="13"/>
      <c r="R136" s="13"/>
      <c r="S136" s="13"/>
      <c r="T136" s="13"/>
      <c r="U136" s="13"/>
      <c r="V136" s="13"/>
      <c r="W136" s="184"/>
      <c r="X136" s="37"/>
      <c r="Y136" s="22"/>
      <c r="Z136" s="38"/>
      <c r="AA136" s="13"/>
      <c r="AB136" s="13"/>
      <c r="AC136" s="13"/>
      <c r="AD136" s="13"/>
      <c r="AE136" s="13"/>
      <c r="AF136" s="13"/>
      <c r="AG136" s="184"/>
      <c r="AH136" s="45"/>
    </row>
    <row r="137" spans="1:34">
      <c r="A137" s="14">
        <f t="shared" si="51"/>
        <v>46086</v>
      </c>
      <c r="B137" s="11"/>
      <c r="C137" s="12"/>
      <c r="D137" s="12"/>
      <c r="E137" s="13"/>
      <c r="F137" s="12"/>
      <c r="G137" s="12"/>
      <c r="H137" s="12"/>
      <c r="I137" s="12"/>
      <c r="J137" s="13"/>
      <c r="K137" s="184"/>
      <c r="L137" s="26"/>
      <c r="M137" s="22"/>
      <c r="N137" s="29"/>
      <c r="O137" s="13"/>
      <c r="P137" s="13"/>
      <c r="Q137" s="13"/>
      <c r="R137" s="13"/>
      <c r="S137" s="13"/>
      <c r="T137" s="13"/>
      <c r="U137" s="13"/>
      <c r="V137" s="13"/>
      <c r="W137" s="184"/>
      <c r="X137" s="37"/>
      <c r="Y137" s="22"/>
      <c r="Z137" s="38"/>
      <c r="AA137" s="13"/>
      <c r="AB137" s="13"/>
      <c r="AC137" s="13"/>
      <c r="AD137" s="13"/>
      <c r="AE137" s="13"/>
      <c r="AF137" s="13"/>
      <c r="AG137" s="184"/>
      <c r="AH137" s="45"/>
    </row>
    <row r="138" spans="1:34">
      <c r="A138" s="14">
        <f t="shared" si="51"/>
        <v>46087</v>
      </c>
      <c r="B138" s="11"/>
      <c r="C138" s="12"/>
      <c r="D138" s="12"/>
      <c r="E138" s="13"/>
      <c r="F138" s="12"/>
      <c r="G138" s="12"/>
      <c r="H138" s="12"/>
      <c r="I138" s="12"/>
      <c r="J138" s="13"/>
      <c r="K138" s="184"/>
      <c r="L138" s="26"/>
      <c r="M138" s="22"/>
      <c r="N138" s="29"/>
      <c r="O138" s="13"/>
      <c r="P138" s="13"/>
      <c r="Q138" s="13"/>
      <c r="R138" s="13"/>
      <c r="S138" s="13"/>
      <c r="T138" s="13"/>
      <c r="U138" s="13"/>
      <c r="V138" s="13"/>
      <c r="W138" s="184"/>
      <c r="X138" s="37"/>
      <c r="Y138" s="22"/>
      <c r="Z138" s="38"/>
      <c r="AA138" s="13"/>
      <c r="AB138" s="13"/>
      <c r="AC138" s="13"/>
      <c r="AD138" s="13"/>
      <c r="AE138" s="13"/>
      <c r="AF138" s="13"/>
      <c r="AG138" s="184"/>
      <c r="AH138" s="45"/>
    </row>
    <row r="139" spans="1:34">
      <c r="A139" s="14">
        <f t="shared" si="51"/>
        <v>46088</v>
      </c>
      <c r="B139" s="11"/>
      <c r="C139" s="12"/>
      <c r="D139" s="12"/>
      <c r="E139" s="12"/>
      <c r="F139" s="12"/>
      <c r="G139" s="12"/>
      <c r="H139" s="12"/>
      <c r="I139" s="12"/>
      <c r="J139" s="13"/>
      <c r="K139" s="184"/>
      <c r="L139" s="26"/>
      <c r="M139" s="22"/>
      <c r="N139" s="29"/>
      <c r="O139" s="50"/>
      <c r="P139" s="13"/>
      <c r="Q139" s="13"/>
      <c r="R139" s="13"/>
      <c r="S139" s="13"/>
      <c r="T139" s="13"/>
      <c r="U139" s="13"/>
      <c r="V139" s="13"/>
      <c r="W139" s="184"/>
      <c r="X139" s="51"/>
      <c r="Y139" s="22"/>
      <c r="Z139" s="38"/>
      <c r="AA139" s="13"/>
      <c r="AB139" s="13"/>
      <c r="AC139" s="13"/>
      <c r="AD139" s="13"/>
      <c r="AE139" s="13"/>
      <c r="AF139" s="13"/>
      <c r="AG139" s="184"/>
      <c r="AH139" s="46"/>
    </row>
    <row r="140" spans="1:34">
      <c r="A140" s="14">
        <f t="shared" si="51"/>
        <v>46089</v>
      </c>
      <c r="B140" s="11"/>
      <c r="C140" s="12"/>
      <c r="D140" s="12"/>
      <c r="E140" s="12"/>
      <c r="F140" s="12"/>
      <c r="G140" s="12"/>
      <c r="H140" s="12"/>
      <c r="I140" s="12"/>
      <c r="J140" s="13"/>
      <c r="K140" s="184"/>
      <c r="L140" s="26"/>
      <c r="M140" s="22"/>
      <c r="N140" s="29"/>
      <c r="O140" s="13"/>
      <c r="P140" s="13"/>
      <c r="Q140" s="13"/>
      <c r="R140" s="13"/>
      <c r="S140" s="13"/>
      <c r="T140" s="13"/>
      <c r="U140" s="13"/>
      <c r="V140" s="13"/>
      <c r="W140" s="184"/>
      <c r="X140" s="37"/>
      <c r="Y140" s="22"/>
      <c r="Z140" s="38"/>
      <c r="AA140" s="13"/>
      <c r="AB140" s="13"/>
      <c r="AC140" s="13"/>
      <c r="AD140" s="13"/>
      <c r="AE140" s="13"/>
      <c r="AF140" s="13"/>
      <c r="AG140" s="184"/>
      <c r="AH140" s="45"/>
    </row>
    <row r="141" spans="1:34">
      <c r="A141" s="14">
        <f t="shared" si="51"/>
        <v>46090</v>
      </c>
      <c r="B141" s="11"/>
      <c r="C141" s="12"/>
      <c r="D141" s="12"/>
      <c r="E141" s="12"/>
      <c r="F141" s="12"/>
      <c r="G141" s="12"/>
      <c r="H141" s="12"/>
      <c r="I141" s="12"/>
      <c r="J141" s="13"/>
      <c r="K141" s="184"/>
      <c r="L141" s="26"/>
      <c r="M141" s="22"/>
      <c r="N141" s="29"/>
      <c r="O141" s="13"/>
      <c r="P141" s="13"/>
      <c r="Q141" s="13"/>
      <c r="R141" s="13"/>
      <c r="S141" s="13"/>
      <c r="T141" s="13"/>
      <c r="U141" s="13"/>
      <c r="V141" s="13"/>
      <c r="W141" s="184"/>
      <c r="X141" s="37"/>
      <c r="Y141" s="22"/>
      <c r="Z141" s="38"/>
      <c r="AA141" s="13"/>
      <c r="AB141" s="13"/>
      <c r="AC141" s="13"/>
      <c r="AD141" s="13"/>
      <c r="AE141" s="13"/>
      <c r="AF141" s="13"/>
      <c r="AG141" s="184"/>
      <c r="AH141" s="45"/>
    </row>
    <row r="142" spans="1:34">
      <c r="A142" s="14">
        <f t="shared" si="51"/>
        <v>46091</v>
      </c>
      <c r="B142" s="11"/>
      <c r="C142" s="12"/>
      <c r="D142" s="12"/>
      <c r="E142" s="12"/>
      <c r="F142" s="12"/>
      <c r="G142" s="12"/>
      <c r="H142" s="12"/>
      <c r="I142" s="12"/>
      <c r="J142" s="13"/>
      <c r="K142" s="184"/>
      <c r="L142" s="26"/>
      <c r="M142" s="22"/>
      <c r="N142" s="29"/>
      <c r="O142" s="13"/>
      <c r="P142" s="13"/>
      <c r="Q142" s="13"/>
      <c r="R142" s="13"/>
      <c r="S142" s="13"/>
      <c r="T142" s="13"/>
      <c r="U142" s="13"/>
      <c r="V142" s="13"/>
      <c r="W142" s="184"/>
      <c r="X142" s="37"/>
      <c r="Y142" s="22"/>
      <c r="Z142" s="38"/>
      <c r="AA142" s="13"/>
      <c r="AB142" s="13"/>
      <c r="AC142" s="13"/>
      <c r="AD142" s="13"/>
      <c r="AE142" s="13"/>
      <c r="AF142" s="13"/>
      <c r="AG142" s="184"/>
      <c r="AH142" s="45"/>
    </row>
    <row r="143" spans="1:34">
      <c r="A143" s="14">
        <f t="shared" si="51"/>
        <v>46092</v>
      </c>
      <c r="B143" s="38"/>
      <c r="C143" s="12"/>
      <c r="D143" s="12"/>
      <c r="E143" s="12"/>
      <c r="F143" s="12"/>
      <c r="G143" s="12"/>
      <c r="H143" s="12"/>
      <c r="I143" s="12"/>
      <c r="J143" s="13"/>
      <c r="K143" s="184"/>
      <c r="L143" s="26"/>
      <c r="M143" s="22"/>
      <c r="N143" s="29"/>
      <c r="O143" s="13"/>
      <c r="P143" s="13"/>
      <c r="Q143" s="13"/>
      <c r="R143" s="13"/>
      <c r="S143" s="13"/>
      <c r="T143" s="13"/>
      <c r="U143" s="13"/>
      <c r="V143" s="13"/>
      <c r="W143" s="184"/>
      <c r="X143" s="37"/>
      <c r="Y143" s="22"/>
      <c r="Z143" s="38"/>
      <c r="AA143" s="13"/>
      <c r="AB143" s="13"/>
      <c r="AC143" s="13"/>
      <c r="AD143" s="13"/>
      <c r="AE143" s="13"/>
      <c r="AF143" s="13"/>
      <c r="AG143" s="184"/>
      <c r="AH143" s="45"/>
    </row>
    <row r="144" spans="1:34">
      <c r="A144" s="14">
        <f t="shared" si="51"/>
        <v>46093</v>
      </c>
      <c r="B144" s="11"/>
      <c r="C144" s="12"/>
      <c r="D144" s="12"/>
      <c r="E144" s="12"/>
      <c r="F144" s="12"/>
      <c r="G144" s="12"/>
      <c r="H144" s="12"/>
      <c r="I144" s="12"/>
      <c r="J144" s="13"/>
      <c r="K144" s="184"/>
      <c r="L144" s="26"/>
      <c r="M144" s="22"/>
      <c r="N144" s="29"/>
      <c r="O144" s="13"/>
      <c r="P144" s="13"/>
      <c r="Q144" s="13"/>
      <c r="R144" s="13"/>
      <c r="S144" s="13"/>
      <c r="T144" s="13"/>
      <c r="U144" s="13"/>
      <c r="V144" s="13"/>
      <c r="W144" s="184"/>
      <c r="X144" s="37"/>
      <c r="Y144" s="22"/>
      <c r="Z144" s="38"/>
      <c r="AA144" s="13"/>
      <c r="AB144" s="13"/>
      <c r="AC144" s="13"/>
      <c r="AD144" s="13"/>
      <c r="AE144" s="13"/>
      <c r="AF144" s="13"/>
      <c r="AG144" s="184"/>
      <c r="AH144" s="45"/>
    </row>
    <row r="145" spans="1:34">
      <c r="A145" s="14">
        <f t="shared" si="51"/>
        <v>46094</v>
      </c>
      <c r="B145" s="38"/>
      <c r="C145" s="13"/>
      <c r="D145" s="12"/>
      <c r="E145" s="12"/>
      <c r="F145" s="12"/>
      <c r="G145" s="12"/>
      <c r="H145" s="12"/>
      <c r="I145" s="12"/>
      <c r="J145" s="13"/>
      <c r="K145" s="184"/>
      <c r="L145" s="26"/>
      <c r="M145" s="22"/>
      <c r="N145" s="29"/>
      <c r="O145" s="13"/>
      <c r="P145" s="13"/>
      <c r="Q145" s="13"/>
      <c r="R145" s="13"/>
      <c r="S145" s="13"/>
      <c r="T145" s="13"/>
      <c r="U145" s="13"/>
      <c r="V145" s="13"/>
      <c r="W145" s="184"/>
      <c r="X145" s="37"/>
      <c r="Y145" s="22"/>
      <c r="Z145" s="38"/>
      <c r="AA145" s="13"/>
      <c r="AB145" s="13"/>
      <c r="AC145" s="13"/>
      <c r="AD145" s="13"/>
      <c r="AE145" s="13"/>
      <c r="AF145" s="13"/>
      <c r="AG145" s="184"/>
      <c r="AH145" s="45"/>
    </row>
    <row r="146" spans="1:34">
      <c r="A146" s="14">
        <f t="shared" si="51"/>
        <v>46095</v>
      </c>
      <c r="B146" s="11"/>
      <c r="C146" s="13"/>
      <c r="D146" s="12"/>
      <c r="E146" s="12"/>
      <c r="F146" s="12"/>
      <c r="G146" s="12"/>
      <c r="H146" s="12"/>
      <c r="I146" s="36"/>
      <c r="J146" s="13"/>
      <c r="K146" s="184"/>
      <c r="L146" s="26"/>
      <c r="M146" s="22"/>
      <c r="N146" s="29"/>
      <c r="O146" s="13"/>
      <c r="P146" s="13"/>
      <c r="Q146" s="13"/>
      <c r="R146" s="13"/>
      <c r="S146" s="13"/>
      <c r="T146" s="13"/>
      <c r="U146" s="13"/>
      <c r="V146" s="13"/>
      <c r="W146" s="184"/>
      <c r="X146" s="37"/>
      <c r="Y146" s="22"/>
      <c r="Z146" s="38"/>
      <c r="AA146" s="13"/>
      <c r="AB146" s="13"/>
      <c r="AC146" s="13"/>
      <c r="AD146" s="13"/>
      <c r="AE146" s="13"/>
      <c r="AF146" s="13"/>
      <c r="AG146" s="184"/>
      <c r="AH146" s="37"/>
    </row>
    <row r="147" spans="1:34">
      <c r="A147" s="14">
        <f t="shared" si="51"/>
        <v>46096</v>
      </c>
      <c r="B147" s="11"/>
      <c r="C147" s="13"/>
      <c r="D147" s="12"/>
      <c r="E147" s="12"/>
      <c r="F147" s="12"/>
      <c r="G147" s="12"/>
      <c r="H147" s="12"/>
      <c r="I147" s="12"/>
      <c r="J147" s="13"/>
      <c r="K147" s="184"/>
      <c r="L147" s="26"/>
      <c r="M147" s="22"/>
      <c r="N147" s="29"/>
      <c r="O147" s="13"/>
      <c r="P147" s="13"/>
      <c r="Q147" s="13"/>
      <c r="R147" s="13"/>
      <c r="S147" s="13"/>
      <c r="T147" s="13"/>
      <c r="U147" s="13"/>
      <c r="V147" s="13"/>
      <c r="W147" s="184"/>
      <c r="X147" s="37"/>
      <c r="Y147" s="22"/>
      <c r="Z147" s="38"/>
      <c r="AA147" s="13"/>
      <c r="AB147" s="13"/>
      <c r="AC147" s="13"/>
      <c r="AD147" s="13"/>
      <c r="AE147" s="13"/>
      <c r="AF147" s="13"/>
      <c r="AG147" s="184"/>
      <c r="AH147" s="37"/>
    </row>
    <row r="148" spans="1:34">
      <c r="A148" s="14">
        <f t="shared" si="51"/>
        <v>46097</v>
      </c>
      <c r="B148" s="11"/>
      <c r="C148" s="13"/>
      <c r="D148" s="12"/>
      <c r="E148" s="12"/>
      <c r="F148" s="12"/>
      <c r="G148" s="12"/>
      <c r="H148" s="12"/>
      <c r="I148" s="12"/>
      <c r="J148" s="13"/>
      <c r="K148" s="184"/>
      <c r="L148" s="26"/>
      <c r="M148" s="22"/>
      <c r="N148" s="29"/>
      <c r="O148" s="13"/>
      <c r="P148" s="13"/>
      <c r="Q148" s="13"/>
      <c r="R148" s="13"/>
      <c r="S148" s="13"/>
      <c r="T148" s="13"/>
      <c r="U148" s="13"/>
      <c r="V148" s="13"/>
      <c r="W148" s="184"/>
      <c r="X148" s="37"/>
      <c r="Y148" s="22"/>
      <c r="Z148" s="38"/>
      <c r="AA148" s="13"/>
      <c r="AB148" s="13"/>
      <c r="AC148" s="13"/>
      <c r="AD148" s="13"/>
      <c r="AE148" s="13"/>
      <c r="AF148" s="13"/>
      <c r="AG148" s="184"/>
      <c r="AH148" s="37"/>
    </row>
    <row r="149" spans="1:34">
      <c r="A149" s="14">
        <f t="shared" si="51"/>
        <v>46098</v>
      </c>
      <c r="B149" s="11"/>
      <c r="C149" s="13"/>
      <c r="D149" s="12"/>
      <c r="E149" s="12"/>
      <c r="F149" s="12"/>
      <c r="G149" s="12"/>
      <c r="H149" s="12"/>
      <c r="I149" s="12"/>
      <c r="J149" s="13"/>
      <c r="K149" s="184"/>
      <c r="L149" s="26"/>
      <c r="M149" s="22"/>
      <c r="N149" s="29"/>
      <c r="O149" s="13"/>
      <c r="P149" s="13"/>
      <c r="Q149" s="13"/>
      <c r="R149" s="13"/>
      <c r="S149" s="13"/>
      <c r="T149" s="13"/>
      <c r="U149" s="13"/>
      <c r="V149" s="13"/>
      <c r="W149" s="184"/>
      <c r="X149" s="37"/>
      <c r="Y149" s="22"/>
      <c r="Z149" s="38"/>
      <c r="AA149" s="13"/>
      <c r="AB149" s="13"/>
      <c r="AC149" s="13"/>
      <c r="AD149" s="13"/>
      <c r="AE149" s="13"/>
      <c r="AF149" s="13"/>
      <c r="AG149" s="184"/>
      <c r="AH149" s="37"/>
    </row>
    <row r="150" spans="1:34">
      <c r="A150" s="14">
        <f t="shared" si="51"/>
        <v>46099</v>
      </c>
      <c r="B150" s="11"/>
      <c r="C150" s="12"/>
      <c r="D150" s="12"/>
      <c r="E150" s="12"/>
      <c r="F150" s="12"/>
      <c r="G150" s="12"/>
      <c r="H150" s="12"/>
      <c r="I150" s="12"/>
      <c r="J150" s="13"/>
      <c r="K150" s="184"/>
      <c r="L150" s="26"/>
      <c r="M150" s="22"/>
      <c r="N150" s="29"/>
      <c r="O150" s="13"/>
      <c r="P150" s="13"/>
      <c r="Q150" s="13"/>
      <c r="R150" s="13"/>
      <c r="S150" s="13"/>
      <c r="T150" s="13"/>
      <c r="U150" s="13"/>
      <c r="V150" s="13"/>
      <c r="W150" s="184"/>
      <c r="X150" s="37"/>
      <c r="Y150" s="22"/>
      <c r="Z150" s="38"/>
      <c r="AA150" s="13"/>
      <c r="AB150" s="13"/>
      <c r="AC150" s="13"/>
      <c r="AD150" s="13"/>
      <c r="AE150" s="13"/>
      <c r="AF150" s="13"/>
      <c r="AG150" s="184"/>
      <c r="AH150" s="37"/>
    </row>
    <row r="151" spans="1:34">
      <c r="A151" s="14">
        <f t="shared" si="51"/>
        <v>46100</v>
      </c>
      <c r="B151" s="11"/>
      <c r="C151" s="12"/>
      <c r="D151" s="12"/>
      <c r="E151" s="12"/>
      <c r="F151" s="12"/>
      <c r="G151" s="12"/>
      <c r="H151" s="12"/>
      <c r="I151" s="12"/>
      <c r="J151" s="13"/>
      <c r="K151" s="184"/>
      <c r="L151" s="26"/>
      <c r="M151" s="22"/>
      <c r="N151" s="29"/>
      <c r="O151" s="13"/>
      <c r="P151" s="13"/>
      <c r="Q151" s="13"/>
      <c r="R151" s="13"/>
      <c r="S151" s="13"/>
      <c r="T151" s="13"/>
      <c r="U151" s="13"/>
      <c r="V151" s="13"/>
      <c r="W151" s="184"/>
      <c r="X151" s="37"/>
      <c r="Y151" s="22"/>
      <c r="Z151" s="38"/>
      <c r="AA151" s="13"/>
      <c r="AB151" s="13"/>
      <c r="AC151" s="13"/>
      <c r="AD151" s="13"/>
      <c r="AE151" s="13"/>
      <c r="AF151" s="13"/>
      <c r="AG151" s="184"/>
      <c r="AH151" s="37"/>
    </row>
    <row r="152" spans="1:34">
      <c r="A152" s="14">
        <f t="shared" si="51"/>
        <v>46101</v>
      </c>
      <c r="B152" s="11"/>
      <c r="C152" s="13"/>
      <c r="D152" s="12"/>
      <c r="E152" s="12"/>
      <c r="F152" s="12"/>
      <c r="G152" s="12"/>
      <c r="H152" s="12"/>
      <c r="I152" s="13"/>
      <c r="J152" s="13"/>
      <c r="K152" s="184"/>
      <c r="L152" s="26"/>
      <c r="M152" s="22"/>
      <c r="N152" s="29"/>
      <c r="O152" s="13"/>
      <c r="P152" s="13"/>
      <c r="Q152" s="13"/>
      <c r="R152" s="13"/>
      <c r="S152" s="13"/>
      <c r="T152" s="13"/>
      <c r="U152" s="13"/>
      <c r="V152" s="13"/>
      <c r="W152" s="184"/>
      <c r="X152" s="37"/>
      <c r="Y152" s="22"/>
      <c r="Z152" s="38"/>
      <c r="AA152" s="13"/>
      <c r="AB152" s="13"/>
      <c r="AC152" s="13"/>
      <c r="AD152" s="13"/>
      <c r="AE152" s="13"/>
      <c r="AF152" s="13"/>
      <c r="AG152" s="184"/>
      <c r="AH152" s="37"/>
    </row>
    <row r="153" spans="1:34">
      <c r="A153" s="14">
        <f t="shared" si="51"/>
        <v>46102</v>
      </c>
      <c r="B153" s="11"/>
      <c r="C153" s="13"/>
      <c r="D153" s="12"/>
      <c r="E153" s="12"/>
      <c r="F153" s="12"/>
      <c r="G153" s="13"/>
      <c r="H153" s="13"/>
      <c r="I153" s="12"/>
      <c r="J153" s="13"/>
      <c r="K153" s="184"/>
      <c r="L153" s="26"/>
      <c r="M153" s="22"/>
      <c r="N153" s="29"/>
      <c r="O153" s="13"/>
      <c r="P153" s="13"/>
      <c r="Q153" s="13"/>
      <c r="R153" s="13"/>
      <c r="S153" s="13"/>
      <c r="T153" s="13"/>
      <c r="U153" s="13"/>
      <c r="V153" s="13"/>
      <c r="W153" s="184"/>
      <c r="X153" s="37"/>
      <c r="Y153" s="22"/>
      <c r="Z153" s="38"/>
      <c r="AA153" s="13"/>
      <c r="AB153" s="13"/>
      <c r="AC153" s="13"/>
      <c r="AD153" s="13"/>
      <c r="AE153" s="13"/>
      <c r="AF153" s="13"/>
      <c r="AG153" s="184"/>
      <c r="AH153" s="37"/>
    </row>
    <row r="154" spans="1:34">
      <c r="A154" s="14">
        <f t="shared" si="51"/>
        <v>46103</v>
      </c>
      <c r="B154" s="11"/>
      <c r="C154" s="13"/>
      <c r="D154" s="12"/>
      <c r="E154" s="12"/>
      <c r="F154" s="12"/>
      <c r="G154" s="12"/>
      <c r="H154" s="12"/>
      <c r="I154" s="13"/>
      <c r="J154" s="13"/>
      <c r="K154" s="184"/>
      <c r="L154" s="26"/>
      <c r="M154" s="22"/>
      <c r="N154" s="29"/>
      <c r="O154" s="13"/>
      <c r="P154" s="13"/>
      <c r="Q154" s="13"/>
      <c r="R154" s="13"/>
      <c r="S154" s="13"/>
      <c r="T154" s="13"/>
      <c r="U154" s="13"/>
      <c r="V154" s="13"/>
      <c r="W154" s="184"/>
      <c r="X154" s="37"/>
      <c r="Y154" s="22"/>
      <c r="Z154" s="38"/>
      <c r="AA154" s="13"/>
      <c r="AB154" s="13"/>
      <c r="AC154" s="13"/>
      <c r="AD154" s="13"/>
      <c r="AE154" s="13"/>
      <c r="AF154" s="13"/>
      <c r="AG154" s="184"/>
      <c r="AH154" s="37"/>
    </row>
    <row r="155" spans="1:34">
      <c r="A155" s="14">
        <f t="shared" si="51"/>
        <v>46104</v>
      </c>
      <c r="B155" s="38"/>
      <c r="C155" s="12"/>
      <c r="D155" s="12"/>
      <c r="E155" s="12"/>
      <c r="F155" s="12"/>
      <c r="G155" s="12"/>
      <c r="H155" s="12"/>
      <c r="I155" s="12"/>
      <c r="J155" s="13"/>
      <c r="K155" s="184"/>
      <c r="L155" s="26"/>
      <c r="M155" s="22"/>
      <c r="N155" s="61"/>
      <c r="O155" s="13"/>
      <c r="P155" s="13"/>
      <c r="Q155" s="13"/>
      <c r="R155" s="13"/>
      <c r="S155" s="13"/>
      <c r="T155" s="13"/>
      <c r="U155" s="13"/>
      <c r="V155" s="13"/>
      <c r="W155" s="184"/>
      <c r="X155" s="37"/>
      <c r="Y155" s="22"/>
      <c r="Z155" s="38"/>
      <c r="AA155" s="13"/>
      <c r="AB155" s="13"/>
      <c r="AC155" s="13"/>
      <c r="AD155" s="13"/>
      <c r="AE155" s="13"/>
      <c r="AF155" s="13"/>
      <c r="AG155" s="184"/>
      <c r="AH155" s="37"/>
    </row>
    <row r="156" spans="1:34">
      <c r="A156" s="14">
        <f t="shared" si="51"/>
        <v>46105</v>
      </c>
      <c r="B156" s="11"/>
      <c r="C156" s="12"/>
      <c r="D156" s="12"/>
      <c r="E156" s="12"/>
      <c r="F156" s="12"/>
      <c r="G156" s="12"/>
      <c r="H156" s="12"/>
      <c r="I156" s="12"/>
      <c r="J156" s="12"/>
      <c r="K156" s="185"/>
      <c r="L156" s="26"/>
      <c r="M156" s="22"/>
      <c r="N156" s="29"/>
      <c r="O156" s="13"/>
      <c r="P156" s="13"/>
      <c r="Q156" s="13"/>
      <c r="R156" s="13"/>
      <c r="S156" s="13"/>
      <c r="T156" s="13"/>
      <c r="U156" s="13"/>
      <c r="V156" s="13"/>
      <c r="W156" s="185"/>
      <c r="X156" s="37"/>
      <c r="Y156" s="22"/>
      <c r="Z156" s="38"/>
      <c r="AA156" s="13"/>
      <c r="AB156" s="13"/>
      <c r="AC156" s="13"/>
      <c r="AD156" s="13"/>
      <c r="AE156" s="13"/>
      <c r="AF156" s="13"/>
      <c r="AG156" s="185"/>
      <c r="AH156" s="37"/>
    </row>
    <row r="157" spans="1:34">
      <c r="A157" s="14">
        <f t="shared" si="51"/>
        <v>46106</v>
      </c>
      <c r="B157" s="38"/>
      <c r="C157" s="12"/>
      <c r="D157" s="12"/>
      <c r="E157" s="12"/>
      <c r="F157" s="12"/>
      <c r="G157" s="13"/>
      <c r="H157" s="13"/>
      <c r="I157" s="12"/>
      <c r="J157" s="12"/>
      <c r="K157" s="185"/>
      <c r="L157" s="37"/>
      <c r="M157" s="22"/>
      <c r="N157" s="29"/>
      <c r="O157" s="13"/>
      <c r="P157" s="13"/>
      <c r="Q157" s="13"/>
      <c r="R157" s="13"/>
      <c r="S157" s="13"/>
      <c r="T157" s="13"/>
      <c r="U157" s="13"/>
      <c r="V157" s="13"/>
      <c r="W157" s="185"/>
      <c r="X157" s="37"/>
      <c r="Y157" s="22"/>
      <c r="Z157" s="38"/>
      <c r="AA157" s="13"/>
      <c r="AB157" s="13"/>
      <c r="AC157" s="13"/>
      <c r="AD157" s="13"/>
      <c r="AE157" s="13"/>
      <c r="AF157" s="13"/>
      <c r="AG157" s="185"/>
      <c r="AH157" s="37"/>
    </row>
    <row r="158" spans="1:34">
      <c r="A158" s="14">
        <f t="shared" si="51"/>
        <v>46107</v>
      </c>
      <c r="B158" s="11"/>
      <c r="C158" s="13"/>
      <c r="D158" s="12"/>
      <c r="E158" s="12"/>
      <c r="F158" s="12"/>
      <c r="G158" s="13"/>
      <c r="H158" s="13"/>
      <c r="I158" s="13"/>
      <c r="J158" s="12"/>
      <c r="K158" s="185"/>
      <c r="L158" s="26"/>
      <c r="M158" s="22"/>
      <c r="N158" s="29"/>
      <c r="O158" s="13"/>
      <c r="P158" s="13"/>
      <c r="Q158" s="13"/>
      <c r="R158" s="13"/>
      <c r="S158" s="13"/>
      <c r="T158" s="13"/>
      <c r="U158" s="13"/>
      <c r="V158" s="13"/>
      <c r="W158" s="185"/>
      <c r="X158" s="51"/>
      <c r="Y158" s="22"/>
      <c r="Z158" s="38"/>
      <c r="AA158" s="13"/>
      <c r="AB158" s="13"/>
      <c r="AC158" s="13"/>
      <c r="AD158" s="13"/>
      <c r="AE158" s="13"/>
      <c r="AF158" s="13"/>
      <c r="AG158" s="185"/>
      <c r="AH158" s="51"/>
    </row>
    <row r="159" spans="1:34">
      <c r="A159" s="14">
        <f t="shared" si="51"/>
        <v>46108</v>
      </c>
      <c r="B159" s="11"/>
      <c r="C159" s="13"/>
      <c r="D159" s="12"/>
      <c r="E159" s="12"/>
      <c r="F159" s="12"/>
      <c r="G159" s="13"/>
      <c r="H159" s="13"/>
      <c r="I159" s="13"/>
      <c r="J159" s="12"/>
      <c r="K159" s="185"/>
      <c r="L159" s="26"/>
      <c r="M159" s="22"/>
      <c r="N159" s="29"/>
      <c r="O159" s="13"/>
      <c r="P159" s="13"/>
      <c r="Q159" s="13"/>
      <c r="R159" s="13"/>
      <c r="S159" s="13"/>
      <c r="T159" s="13"/>
      <c r="U159" s="13"/>
      <c r="V159" s="13"/>
      <c r="W159" s="185"/>
      <c r="X159" s="37"/>
      <c r="Y159" s="22"/>
      <c r="Z159" s="38"/>
      <c r="AA159" s="13"/>
      <c r="AB159" s="13"/>
      <c r="AC159" s="13"/>
      <c r="AD159" s="13"/>
      <c r="AE159" s="13"/>
      <c r="AF159" s="13"/>
      <c r="AG159" s="185"/>
      <c r="AH159" s="37"/>
    </row>
    <row r="160" spans="1:34">
      <c r="A160" s="14">
        <f t="shared" si="51"/>
        <v>46109</v>
      </c>
      <c r="B160" s="38"/>
      <c r="C160" s="13"/>
      <c r="D160" s="12"/>
      <c r="E160" s="12"/>
      <c r="F160" s="13"/>
      <c r="G160" s="12"/>
      <c r="H160" s="12"/>
      <c r="I160" s="12"/>
      <c r="J160" s="12"/>
      <c r="K160" s="185"/>
      <c r="L160" s="26"/>
      <c r="M160" s="22"/>
      <c r="N160" s="29"/>
      <c r="O160" s="13"/>
      <c r="P160" s="13"/>
      <c r="Q160" s="13"/>
      <c r="R160" s="13"/>
      <c r="S160" s="13"/>
      <c r="T160" s="13"/>
      <c r="U160" s="13"/>
      <c r="V160" s="13"/>
      <c r="W160" s="185"/>
      <c r="X160" s="37"/>
      <c r="Y160" s="22"/>
      <c r="Z160" s="38"/>
      <c r="AA160" s="13"/>
      <c r="AB160" s="13"/>
      <c r="AC160" s="13"/>
      <c r="AD160" s="13"/>
      <c r="AE160" s="13"/>
      <c r="AF160" s="13"/>
      <c r="AG160" s="185"/>
      <c r="AH160" s="37"/>
    </row>
    <row r="161" spans="1:34">
      <c r="A161" s="14">
        <f t="shared" si="51"/>
        <v>46110</v>
      </c>
      <c r="B161" s="38"/>
      <c r="C161" s="12"/>
      <c r="D161" s="12"/>
      <c r="E161" s="12"/>
      <c r="F161" s="12"/>
      <c r="G161" s="12"/>
      <c r="H161" s="12"/>
      <c r="I161" s="12"/>
      <c r="J161" s="59"/>
      <c r="K161" s="186"/>
      <c r="L161" s="26"/>
      <c r="M161" s="22"/>
      <c r="N161" s="29"/>
      <c r="O161" s="13"/>
      <c r="P161" s="13"/>
      <c r="Q161" s="13"/>
      <c r="R161" s="13"/>
      <c r="S161" s="13"/>
      <c r="T161" s="13"/>
      <c r="U161" s="13"/>
      <c r="V161" s="13"/>
      <c r="W161" s="186"/>
      <c r="X161" s="37"/>
      <c r="Y161" s="22"/>
      <c r="Z161" s="38"/>
      <c r="AA161" s="13"/>
      <c r="AB161" s="13"/>
      <c r="AC161" s="13"/>
      <c r="AD161" s="13"/>
      <c r="AE161" s="13"/>
      <c r="AF161" s="13"/>
      <c r="AG161" s="186"/>
      <c r="AH161" s="37"/>
    </row>
    <row r="162" spans="1:34">
      <c r="A162" s="14">
        <f t="shared" si="51"/>
        <v>46111</v>
      </c>
      <c r="B162" s="11"/>
      <c r="C162" s="12"/>
      <c r="D162" s="12"/>
      <c r="E162" s="12"/>
      <c r="F162" s="12"/>
      <c r="G162" s="12"/>
      <c r="H162" s="12"/>
      <c r="I162" s="12"/>
      <c r="J162" s="12"/>
      <c r="K162" s="185"/>
      <c r="L162" s="26"/>
      <c r="M162" s="22"/>
      <c r="N162" s="29"/>
      <c r="O162" s="13"/>
      <c r="P162" s="47"/>
      <c r="Q162" s="47"/>
      <c r="R162" s="47"/>
      <c r="S162" s="47"/>
      <c r="T162" s="47"/>
      <c r="U162" s="47"/>
      <c r="V162" s="53"/>
      <c r="W162" s="185"/>
      <c r="X162" s="48"/>
      <c r="Y162" s="22"/>
      <c r="Z162" s="38"/>
      <c r="AA162" s="13"/>
      <c r="AB162" s="47"/>
      <c r="AC162" s="47"/>
      <c r="AD162" s="47"/>
      <c r="AE162" s="13"/>
      <c r="AF162" s="53"/>
      <c r="AG162" s="185"/>
      <c r="AH162" s="37"/>
    </row>
    <row r="163" spans="1:34" ht="15.75" thickBot="1">
      <c r="A163" s="15">
        <f t="shared" si="51"/>
        <v>46112</v>
      </c>
      <c r="B163" s="57"/>
      <c r="C163" s="58"/>
      <c r="D163" s="58"/>
      <c r="E163" s="58"/>
      <c r="F163" s="58"/>
      <c r="G163" s="58"/>
      <c r="H163" s="58"/>
      <c r="I163" s="58"/>
      <c r="J163" s="58"/>
      <c r="K163" s="187"/>
      <c r="L163" s="60"/>
      <c r="M163" s="22"/>
      <c r="N163" s="56"/>
      <c r="O163" s="47"/>
      <c r="P163" s="47"/>
      <c r="Q163" s="47"/>
      <c r="R163" s="47"/>
      <c r="S163" s="47"/>
      <c r="T163" s="47"/>
      <c r="U163" s="47"/>
      <c r="V163" s="47"/>
      <c r="W163" s="187"/>
      <c r="X163" s="48"/>
      <c r="Y163" s="22"/>
      <c r="Z163" s="39"/>
      <c r="AA163" s="47"/>
      <c r="AB163" s="47"/>
      <c r="AC163" s="47"/>
      <c r="AD163" s="47"/>
      <c r="AE163" s="47"/>
      <c r="AF163" s="47"/>
      <c r="AG163" s="187"/>
      <c r="AH163" s="48"/>
    </row>
    <row r="164" spans="1:34">
      <c r="A164" s="16" t="s">
        <v>31</v>
      </c>
      <c r="B164" s="17">
        <f>MIN(B133:B163)</f>
        <v>0</v>
      </c>
      <c r="C164" s="17">
        <f>MIN(C133:C163)</f>
        <v>0</v>
      </c>
      <c r="D164" s="17">
        <f t="shared" ref="D164:L164" si="52">MIN(D133:D163)</f>
        <v>0</v>
      </c>
      <c r="E164" s="17">
        <f t="shared" si="52"/>
        <v>0</v>
      </c>
      <c r="F164" s="17">
        <f t="shared" si="52"/>
        <v>0</v>
      </c>
      <c r="G164" s="17">
        <f t="shared" si="52"/>
        <v>0</v>
      </c>
      <c r="H164" s="17">
        <f t="shared" si="52"/>
        <v>0</v>
      </c>
      <c r="I164" s="17">
        <f t="shared" si="52"/>
        <v>0</v>
      </c>
      <c r="J164" s="17">
        <f t="shared" si="52"/>
        <v>0</v>
      </c>
      <c r="K164" s="188"/>
      <c r="L164" s="30">
        <f t="shared" si="52"/>
        <v>0</v>
      </c>
      <c r="M164" s="22"/>
      <c r="N164" s="17">
        <f>MIN(N133:N163)</f>
        <v>0</v>
      </c>
      <c r="O164" s="17">
        <f>MIN(O133:O163)</f>
        <v>0</v>
      </c>
      <c r="P164" s="17">
        <f t="shared" ref="P164:X164" si="53">MIN(P133:P163)</f>
        <v>0</v>
      </c>
      <c r="Q164" s="17">
        <f t="shared" si="53"/>
        <v>0</v>
      </c>
      <c r="R164" s="17">
        <f t="shared" si="53"/>
        <v>0</v>
      </c>
      <c r="S164" s="17">
        <f t="shared" si="53"/>
        <v>0</v>
      </c>
      <c r="T164" s="17">
        <f t="shared" si="53"/>
        <v>0</v>
      </c>
      <c r="U164" s="17">
        <f t="shared" si="53"/>
        <v>0</v>
      </c>
      <c r="V164" s="17">
        <f t="shared" si="53"/>
        <v>0</v>
      </c>
      <c r="W164" s="188"/>
      <c r="X164" s="30">
        <f t="shared" si="53"/>
        <v>0</v>
      </c>
      <c r="Z164" s="40">
        <f t="shared" ref="Z164:AH164" si="54">MIN(Z133:Z163)</f>
        <v>0</v>
      </c>
      <c r="AA164" s="17">
        <f t="shared" si="54"/>
        <v>0</v>
      </c>
      <c r="AB164" s="17">
        <f t="shared" si="54"/>
        <v>0</v>
      </c>
      <c r="AC164" s="17">
        <f t="shared" si="54"/>
        <v>0</v>
      </c>
      <c r="AD164" s="17">
        <f t="shared" si="54"/>
        <v>0</v>
      </c>
      <c r="AE164" s="17">
        <f t="shared" si="54"/>
        <v>0</v>
      </c>
      <c r="AF164" s="17">
        <f t="shared" si="54"/>
        <v>0</v>
      </c>
      <c r="AG164" s="188"/>
      <c r="AH164" s="30">
        <f t="shared" si="54"/>
        <v>0</v>
      </c>
    </row>
    <row r="165" spans="1:34">
      <c r="A165" s="18" t="s">
        <v>33</v>
      </c>
      <c r="B165" s="19">
        <f>MAX(B133:B163)</f>
        <v>0</v>
      </c>
      <c r="C165" s="19">
        <f>MAX(C133:C163)</f>
        <v>0</v>
      </c>
      <c r="D165" s="19">
        <f t="shared" ref="D165:L165" si="55">MAX(D133:D163)</f>
        <v>0</v>
      </c>
      <c r="E165" s="19">
        <f t="shared" si="55"/>
        <v>0</v>
      </c>
      <c r="F165" s="19">
        <f t="shared" si="55"/>
        <v>0</v>
      </c>
      <c r="G165" s="19">
        <f t="shared" si="55"/>
        <v>0</v>
      </c>
      <c r="H165" s="19">
        <f t="shared" si="55"/>
        <v>0</v>
      </c>
      <c r="I165" s="19">
        <f t="shared" si="55"/>
        <v>0</v>
      </c>
      <c r="J165" s="19">
        <f t="shared" si="55"/>
        <v>0</v>
      </c>
      <c r="K165" s="189"/>
      <c r="L165" s="31">
        <f t="shared" si="55"/>
        <v>0</v>
      </c>
      <c r="M165" s="22"/>
      <c r="N165" s="19">
        <f>MAX(N133:N163)</f>
        <v>0</v>
      </c>
      <c r="O165" s="19">
        <f>MAX(O133:O163)</f>
        <v>0</v>
      </c>
      <c r="P165" s="19">
        <f t="shared" ref="P165:X165" si="56">MAX(P133:P163)</f>
        <v>0</v>
      </c>
      <c r="Q165" s="19">
        <f t="shared" si="56"/>
        <v>0</v>
      </c>
      <c r="R165" s="19">
        <f t="shared" si="56"/>
        <v>0</v>
      </c>
      <c r="S165" s="19">
        <f t="shared" si="56"/>
        <v>0</v>
      </c>
      <c r="T165" s="19">
        <f t="shared" si="56"/>
        <v>0</v>
      </c>
      <c r="U165" s="19">
        <f t="shared" si="56"/>
        <v>0</v>
      </c>
      <c r="V165" s="19">
        <f t="shared" si="56"/>
        <v>0</v>
      </c>
      <c r="W165" s="189"/>
      <c r="X165" s="31">
        <f t="shared" si="56"/>
        <v>0</v>
      </c>
      <c r="Z165" s="41">
        <f t="shared" ref="Z165:AH165" si="57">MAX(Z133:Z163)</f>
        <v>0</v>
      </c>
      <c r="AA165" s="19">
        <f t="shared" si="57"/>
        <v>0</v>
      </c>
      <c r="AB165" s="19">
        <f t="shared" si="57"/>
        <v>0</v>
      </c>
      <c r="AC165" s="19">
        <f t="shared" si="57"/>
        <v>0</v>
      </c>
      <c r="AD165" s="19">
        <f t="shared" si="57"/>
        <v>0</v>
      </c>
      <c r="AE165" s="19">
        <f t="shared" si="57"/>
        <v>0</v>
      </c>
      <c r="AF165" s="19">
        <f t="shared" si="57"/>
        <v>0</v>
      </c>
      <c r="AG165" s="189"/>
      <c r="AH165" s="31">
        <f t="shared" si="57"/>
        <v>0</v>
      </c>
    </row>
    <row r="166" spans="1:34">
      <c r="A166" s="18" t="s">
        <v>36</v>
      </c>
      <c r="B166" s="19" t="e">
        <f t="shared" ref="B166:L166" si="58">AVERAGE(B133:B163)</f>
        <v>#DIV/0!</v>
      </c>
      <c r="C166" s="19" t="e">
        <f t="shared" si="58"/>
        <v>#DIV/0!</v>
      </c>
      <c r="D166" s="19" t="e">
        <f t="shared" si="58"/>
        <v>#DIV/0!</v>
      </c>
      <c r="E166" s="19" t="e">
        <f t="shared" si="58"/>
        <v>#DIV/0!</v>
      </c>
      <c r="F166" s="19" t="e">
        <f t="shared" si="58"/>
        <v>#DIV/0!</v>
      </c>
      <c r="G166" s="19" t="e">
        <f t="shared" si="58"/>
        <v>#DIV/0!</v>
      </c>
      <c r="H166" s="19" t="e">
        <f t="shared" si="58"/>
        <v>#DIV/0!</v>
      </c>
      <c r="I166" s="19" t="e">
        <f t="shared" si="58"/>
        <v>#DIV/0!</v>
      </c>
      <c r="J166" s="19" t="e">
        <f t="shared" si="58"/>
        <v>#DIV/0!</v>
      </c>
      <c r="K166" s="189"/>
      <c r="L166" s="31" t="e">
        <f t="shared" si="58"/>
        <v>#DIV/0!</v>
      </c>
      <c r="M166" s="22"/>
      <c r="N166" s="19" t="e">
        <f t="shared" ref="N166:X166" si="59">AVERAGE(N133:N163)</f>
        <v>#DIV/0!</v>
      </c>
      <c r="O166" s="19" t="e">
        <f t="shared" si="59"/>
        <v>#DIV/0!</v>
      </c>
      <c r="P166" s="19" t="e">
        <f t="shared" si="59"/>
        <v>#DIV/0!</v>
      </c>
      <c r="Q166" s="19" t="e">
        <f t="shared" si="59"/>
        <v>#DIV/0!</v>
      </c>
      <c r="R166" s="19" t="e">
        <f t="shared" si="59"/>
        <v>#DIV/0!</v>
      </c>
      <c r="S166" s="19" t="e">
        <f t="shared" si="59"/>
        <v>#DIV/0!</v>
      </c>
      <c r="T166" s="19" t="e">
        <f t="shared" si="59"/>
        <v>#DIV/0!</v>
      </c>
      <c r="U166" s="19" t="e">
        <f t="shared" si="59"/>
        <v>#DIV/0!</v>
      </c>
      <c r="V166" s="19" t="e">
        <f t="shared" si="59"/>
        <v>#DIV/0!</v>
      </c>
      <c r="W166" s="189"/>
      <c r="X166" s="31" t="e">
        <f t="shared" si="59"/>
        <v>#DIV/0!</v>
      </c>
      <c r="Z166" s="41" t="e">
        <f>AVERAGE(Z133:Z163)</f>
        <v>#DIV/0!</v>
      </c>
      <c r="AA166" s="19" t="e">
        <f t="shared" ref="AA166:AH166" si="60">AVERAGE(AA133:AA163)</f>
        <v>#DIV/0!</v>
      </c>
      <c r="AB166" s="19" t="e">
        <f t="shared" si="60"/>
        <v>#DIV/0!</v>
      </c>
      <c r="AC166" s="19" t="e">
        <f t="shared" si="60"/>
        <v>#DIV/0!</v>
      </c>
      <c r="AD166" s="19" t="e">
        <f t="shared" si="60"/>
        <v>#DIV/0!</v>
      </c>
      <c r="AE166" s="19" t="e">
        <f t="shared" si="60"/>
        <v>#DIV/0!</v>
      </c>
      <c r="AF166" s="19" t="e">
        <f t="shared" si="60"/>
        <v>#DIV/0!</v>
      </c>
      <c r="AG166" s="189"/>
      <c r="AH166" s="31" t="e">
        <f t="shared" si="60"/>
        <v>#DIV/0!</v>
      </c>
    </row>
    <row r="167" spans="1:34" ht="15.75" thickBot="1">
      <c r="A167" s="20" t="s">
        <v>130</v>
      </c>
      <c r="B167" s="21" t="e">
        <f>STDEV(B133:B163)</f>
        <v>#DIV/0!</v>
      </c>
      <c r="C167" s="21" t="e">
        <f t="shared" ref="C167:L167" si="61">STDEV(C133:C163)</f>
        <v>#DIV/0!</v>
      </c>
      <c r="D167" s="21" t="e">
        <f t="shared" si="61"/>
        <v>#DIV/0!</v>
      </c>
      <c r="E167" s="21" t="e">
        <f t="shared" si="61"/>
        <v>#DIV/0!</v>
      </c>
      <c r="F167" s="21" t="e">
        <f t="shared" si="61"/>
        <v>#DIV/0!</v>
      </c>
      <c r="G167" s="21" t="e">
        <f t="shared" si="61"/>
        <v>#DIV/0!</v>
      </c>
      <c r="H167" s="21" t="e">
        <f t="shared" si="61"/>
        <v>#DIV/0!</v>
      </c>
      <c r="I167" s="21" t="e">
        <f t="shared" si="61"/>
        <v>#DIV/0!</v>
      </c>
      <c r="J167" s="21" t="e">
        <f t="shared" si="61"/>
        <v>#DIV/0!</v>
      </c>
      <c r="K167" s="190"/>
      <c r="L167" s="32" t="e">
        <f t="shared" si="61"/>
        <v>#DIV/0!</v>
      </c>
      <c r="M167" s="152"/>
      <c r="N167" s="21" t="e">
        <f>STDEV(N133:N163)</f>
        <v>#DIV/0!</v>
      </c>
      <c r="O167" s="21" t="e">
        <f t="shared" ref="O167:X167" si="62">STDEV(O133:O163)</f>
        <v>#DIV/0!</v>
      </c>
      <c r="P167" s="21" t="e">
        <f t="shared" si="62"/>
        <v>#DIV/0!</v>
      </c>
      <c r="Q167" s="21" t="e">
        <f t="shared" si="62"/>
        <v>#DIV/0!</v>
      </c>
      <c r="R167" s="21" t="e">
        <f t="shared" si="62"/>
        <v>#DIV/0!</v>
      </c>
      <c r="S167" s="21" t="e">
        <f t="shared" si="62"/>
        <v>#DIV/0!</v>
      </c>
      <c r="T167" s="21" t="e">
        <f t="shared" si="62"/>
        <v>#DIV/0!</v>
      </c>
      <c r="U167" s="21" t="e">
        <f t="shared" si="62"/>
        <v>#DIV/0!</v>
      </c>
      <c r="V167" s="21" t="e">
        <f t="shared" si="62"/>
        <v>#DIV/0!</v>
      </c>
      <c r="W167" s="190"/>
      <c r="X167" s="32" t="e">
        <f t="shared" si="62"/>
        <v>#DIV/0!</v>
      </c>
      <c r="Y167" s="153"/>
      <c r="Z167" s="42" t="e">
        <f>STDEV(Z133:Z163)</f>
        <v>#DIV/0!</v>
      </c>
      <c r="AA167" s="21" t="e">
        <f t="shared" ref="AA167:AH167" si="63">STDEV(AA133:AA163)</f>
        <v>#DIV/0!</v>
      </c>
      <c r="AB167" s="21" t="e">
        <f t="shared" si="63"/>
        <v>#DIV/0!</v>
      </c>
      <c r="AC167" s="21" t="e">
        <f t="shared" si="63"/>
        <v>#DIV/0!</v>
      </c>
      <c r="AD167" s="21" t="e">
        <f t="shared" si="63"/>
        <v>#DIV/0!</v>
      </c>
      <c r="AE167" s="21" t="e">
        <f t="shared" si="63"/>
        <v>#DIV/0!</v>
      </c>
      <c r="AF167" s="21" t="e">
        <f t="shared" si="63"/>
        <v>#DIV/0!</v>
      </c>
      <c r="AG167" s="190"/>
      <c r="AH167" s="32" t="e">
        <f t="shared" si="63"/>
        <v>#DIV/0!</v>
      </c>
    </row>
    <row r="168" spans="1:34" ht="15.75" thickBot="1"/>
    <row r="169" spans="1:34" ht="15.75" thickBot="1">
      <c r="A169" s="150"/>
      <c r="B169" s="338" t="s">
        <v>0</v>
      </c>
      <c r="C169" s="339"/>
      <c r="D169" s="339"/>
      <c r="E169" s="339"/>
      <c r="F169" s="339"/>
      <c r="G169" s="339"/>
      <c r="H169" s="339"/>
      <c r="I169" s="339"/>
      <c r="J169" s="339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  <c r="AA169" s="339"/>
      <c r="AB169" s="339"/>
      <c r="AC169" s="339"/>
      <c r="AD169" s="339"/>
      <c r="AE169" s="339"/>
      <c r="AF169" s="339"/>
      <c r="AG169" s="339"/>
      <c r="AH169" s="363"/>
    </row>
    <row r="170" spans="1:34" ht="15.75" thickBot="1">
      <c r="A170" s="151"/>
      <c r="B170" s="338" t="s">
        <v>165</v>
      </c>
      <c r="C170" s="339"/>
      <c r="D170" s="339"/>
      <c r="E170" s="339"/>
      <c r="F170" s="339"/>
      <c r="G170" s="339"/>
      <c r="H170" s="339"/>
      <c r="I170" s="339"/>
      <c r="J170" s="339"/>
      <c r="K170" s="339"/>
      <c r="L170" s="339"/>
      <c r="M170" s="339"/>
      <c r="N170" s="339"/>
      <c r="O170" s="339"/>
      <c r="P170" s="339"/>
      <c r="Q170" s="339"/>
      <c r="R170" s="339"/>
      <c r="S170" s="339"/>
      <c r="T170" s="339"/>
      <c r="U170" s="339"/>
      <c r="V170" s="339"/>
      <c r="W170" s="339"/>
      <c r="X170" s="339"/>
      <c r="Y170" s="339"/>
      <c r="Z170" s="339"/>
      <c r="AA170" s="339"/>
      <c r="AB170" s="339"/>
      <c r="AC170" s="339"/>
      <c r="AD170" s="4"/>
      <c r="AE170" s="43" t="s">
        <v>107</v>
      </c>
      <c r="AF170" s="341">
        <v>46113</v>
      </c>
      <c r="AG170" s="342"/>
      <c r="AH170" s="343"/>
    </row>
    <row r="171" spans="1:34">
      <c r="A171" s="344"/>
      <c r="B171" s="346" t="s">
        <v>132</v>
      </c>
      <c r="C171" s="347"/>
      <c r="D171" s="347"/>
      <c r="E171" s="347"/>
      <c r="F171" s="347"/>
      <c r="G171" s="347"/>
      <c r="H171" s="347"/>
      <c r="I171" s="347"/>
      <c r="J171" s="347"/>
      <c r="K171" s="348"/>
      <c r="L171" s="349"/>
      <c r="M171" s="22"/>
      <c r="N171" s="350" t="s">
        <v>133</v>
      </c>
      <c r="O171" s="347"/>
      <c r="P171" s="347"/>
      <c r="Q171" s="347"/>
      <c r="R171" s="347"/>
      <c r="S171" s="347"/>
      <c r="T171" s="347"/>
      <c r="U171" s="347"/>
      <c r="V171" s="347"/>
      <c r="W171" s="348"/>
      <c r="X171" s="349"/>
      <c r="Y171" s="22"/>
      <c r="Z171" s="346" t="s">
        <v>134</v>
      </c>
      <c r="AA171" s="347"/>
      <c r="AB171" s="347"/>
      <c r="AC171" s="347"/>
      <c r="AD171" s="347"/>
      <c r="AE171" s="347"/>
      <c r="AF171" s="347"/>
      <c r="AG171" s="348"/>
      <c r="AH171" s="349"/>
    </row>
    <row r="172" spans="1:34" ht="25.5">
      <c r="A172" s="345"/>
      <c r="B172" s="359" t="s">
        <v>135</v>
      </c>
      <c r="C172" s="361" t="s">
        <v>136</v>
      </c>
      <c r="D172" s="5" t="s">
        <v>137</v>
      </c>
      <c r="E172" s="5" t="s">
        <v>138</v>
      </c>
      <c r="F172" s="5" t="s">
        <v>139</v>
      </c>
      <c r="G172" s="5" t="s">
        <v>140</v>
      </c>
      <c r="H172" s="5" t="s">
        <v>141</v>
      </c>
      <c r="I172" s="5" t="s">
        <v>142</v>
      </c>
      <c r="J172" s="5" t="s">
        <v>143</v>
      </c>
      <c r="K172" s="181"/>
      <c r="L172" s="23" t="s">
        <v>144</v>
      </c>
      <c r="M172" s="22"/>
      <c r="N172" s="355" t="s">
        <v>135</v>
      </c>
      <c r="O172" s="357" t="s">
        <v>136</v>
      </c>
      <c r="P172" s="5" t="s">
        <v>137</v>
      </c>
      <c r="Q172" s="5" t="s">
        <v>138</v>
      </c>
      <c r="R172" s="5" t="s">
        <v>139</v>
      </c>
      <c r="S172" s="5" t="s">
        <v>140</v>
      </c>
      <c r="T172" s="5" t="s">
        <v>141</v>
      </c>
      <c r="U172" s="5" t="s">
        <v>142</v>
      </c>
      <c r="V172" s="5" t="s">
        <v>143</v>
      </c>
      <c r="W172" s="181"/>
      <c r="X172" s="23" t="s">
        <v>144</v>
      </c>
      <c r="Y172" s="22"/>
      <c r="Z172" s="33" t="s">
        <v>137</v>
      </c>
      <c r="AA172" s="5" t="s">
        <v>138</v>
      </c>
      <c r="AB172" s="5" t="s">
        <v>139</v>
      </c>
      <c r="AC172" s="5" t="s">
        <v>140</v>
      </c>
      <c r="AD172" s="5" t="s">
        <v>141</v>
      </c>
      <c r="AE172" s="5" t="s">
        <v>142</v>
      </c>
      <c r="AF172" s="5" t="s">
        <v>143</v>
      </c>
      <c r="AG172" s="181"/>
      <c r="AH172" s="23" t="s">
        <v>144</v>
      </c>
    </row>
    <row r="173" spans="1:34" ht="25.5">
      <c r="A173" s="6" t="s">
        <v>145</v>
      </c>
      <c r="B173" s="360"/>
      <c r="C173" s="362"/>
      <c r="D173" s="5" t="s">
        <v>128</v>
      </c>
      <c r="E173" s="5" t="s">
        <v>128</v>
      </c>
      <c r="F173" s="5" t="s">
        <v>128</v>
      </c>
      <c r="G173" s="5" t="s">
        <v>128</v>
      </c>
      <c r="H173" s="5" t="s">
        <v>125</v>
      </c>
      <c r="I173" s="5" t="s">
        <v>146</v>
      </c>
      <c r="J173" s="5" t="s">
        <v>127</v>
      </c>
      <c r="K173" s="181"/>
      <c r="L173" s="23" t="s">
        <v>53</v>
      </c>
      <c r="M173" s="22"/>
      <c r="N173" s="356"/>
      <c r="O173" s="358"/>
      <c r="P173" s="5" t="s">
        <v>128</v>
      </c>
      <c r="Q173" s="5" t="s">
        <v>128</v>
      </c>
      <c r="R173" s="5" t="s">
        <v>128</v>
      </c>
      <c r="S173" s="5" t="s">
        <v>128</v>
      </c>
      <c r="T173" s="5" t="s">
        <v>125</v>
      </c>
      <c r="U173" s="5" t="s">
        <v>146</v>
      </c>
      <c r="V173" s="5" t="s">
        <v>127</v>
      </c>
      <c r="W173" s="181"/>
      <c r="X173" s="23" t="s">
        <v>53</v>
      </c>
      <c r="Y173" s="22"/>
      <c r="Z173" s="33" t="s">
        <v>128</v>
      </c>
      <c r="AA173" s="5" t="s">
        <v>128</v>
      </c>
      <c r="AB173" s="5" t="s">
        <v>128</v>
      </c>
      <c r="AC173" s="5" t="s">
        <v>128</v>
      </c>
      <c r="AD173" s="5" t="s">
        <v>125</v>
      </c>
      <c r="AE173" s="5" t="s">
        <v>146</v>
      </c>
      <c r="AF173" s="5" t="s">
        <v>127</v>
      </c>
      <c r="AG173" s="181"/>
      <c r="AH173" s="23" t="s">
        <v>53</v>
      </c>
    </row>
    <row r="174" spans="1:34" ht="39" thickBot="1">
      <c r="A174" s="7" t="s">
        <v>147</v>
      </c>
      <c r="B174" s="8" t="s">
        <v>148</v>
      </c>
      <c r="C174" s="9" t="s">
        <v>166</v>
      </c>
      <c r="D174" s="9" t="s">
        <v>167</v>
      </c>
      <c r="E174" s="9" t="s">
        <v>168</v>
      </c>
      <c r="F174" s="9" t="s">
        <v>169</v>
      </c>
      <c r="G174" s="9" t="s">
        <v>170</v>
      </c>
      <c r="H174" s="9" t="s">
        <v>154</v>
      </c>
      <c r="I174" s="24" t="s">
        <v>155</v>
      </c>
      <c r="J174" s="24" t="s">
        <v>156</v>
      </c>
      <c r="K174" s="182"/>
      <c r="L174" s="25" t="s">
        <v>171</v>
      </c>
      <c r="M174" s="22"/>
      <c r="N174" s="8" t="s">
        <v>148</v>
      </c>
      <c r="O174" s="9" t="s">
        <v>166</v>
      </c>
      <c r="P174" s="9" t="s">
        <v>167</v>
      </c>
      <c r="Q174" s="9" t="s">
        <v>168</v>
      </c>
      <c r="R174" s="9" t="s">
        <v>169</v>
      </c>
      <c r="S174" s="9" t="s">
        <v>170</v>
      </c>
      <c r="T174" s="9" t="s">
        <v>154</v>
      </c>
      <c r="U174" s="24" t="s">
        <v>155</v>
      </c>
      <c r="V174" s="24" t="s">
        <v>156</v>
      </c>
      <c r="W174" s="182"/>
      <c r="X174" s="25" t="s">
        <v>171</v>
      </c>
      <c r="Y174" s="22"/>
      <c r="Z174" s="8" t="s">
        <v>167</v>
      </c>
      <c r="AA174" s="9" t="s">
        <v>168</v>
      </c>
      <c r="AB174" s="9" t="s">
        <v>169</v>
      </c>
      <c r="AC174" s="9" t="s">
        <v>170</v>
      </c>
      <c r="AD174" s="9" t="s">
        <v>154</v>
      </c>
      <c r="AE174" s="9" t="s">
        <v>155</v>
      </c>
      <c r="AF174" s="9" t="s">
        <v>156</v>
      </c>
      <c r="AG174" s="182"/>
      <c r="AH174" s="23" t="s">
        <v>171</v>
      </c>
    </row>
    <row r="175" spans="1:34">
      <c r="A175" s="10">
        <f>AF170+0</f>
        <v>46113</v>
      </c>
      <c r="B175" s="11"/>
      <c r="C175" s="12"/>
      <c r="D175" s="12"/>
      <c r="E175" s="13"/>
      <c r="F175" s="12"/>
      <c r="G175" s="12"/>
      <c r="H175" s="12"/>
      <c r="I175" s="12"/>
      <c r="J175" s="13"/>
      <c r="K175" s="184"/>
      <c r="L175" s="26"/>
      <c r="M175" s="22"/>
      <c r="N175" s="29"/>
      <c r="O175" s="13"/>
      <c r="P175" s="13"/>
      <c r="Q175" s="13"/>
      <c r="R175" s="13"/>
      <c r="S175" s="13"/>
      <c r="T175" s="13"/>
      <c r="U175" s="13"/>
      <c r="V175" s="13"/>
      <c r="W175" s="184"/>
      <c r="X175" s="37"/>
      <c r="Y175" s="22"/>
      <c r="Z175" s="38"/>
      <c r="AA175" s="13"/>
      <c r="AB175" s="13"/>
      <c r="AC175" s="13"/>
      <c r="AD175" s="13"/>
      <c r="AE175" s="13"/>
      <c r="AF175" s="13"/>
      <c r="AG175" s="184"/>
      <c r="AH175" s="45"/>
    </row>
    <row r="176" spans="1:34">
      <c r="A176" s="14">
        <f t="shared" ref="A176:A205" si="64">A175+1</f>
        <v>46114</v>
      </c>
      <c r="B176" s="11"/>
      <c r="C176" s="12"/>
      <c r="D176" s="12"/>
      <c r="E176" s="13"/>
      <c r="F176" s="12"/>
      <c r="G176" s="12"/>
      <c r="H176" s="12"/>
      <c r="I176" s="12"/>
      <c r="J176" s="13"/>
      <c r="K176" s="184"/>
      <c r="L176" s="26"/>
      <c r="M176" s="22"/>
      <c r="N176" s="29"/>
      <c r="O176" s="13"/>
      <c r="P176" s="13"/>
      <c r="Q176" s="13"/>
      <c r="R176" s="13"/>
      <c r="S176" s="13"/>
      <c r="T176" s="13"/>
      <c r="U176" s="13"/>
      <c r="V176" s="13"/>
      <c r="W176" s="184"/>
      <c r="X176" s="37"/>
      <c r="Y176" s="22"/>
      <c r="Z176" s="38"/>
      <c r="AA176" s="13"/>
      <c r="AB176" s="13"/>
      <c r="AC176" s="13"/>
      <c r="AD176" s="13"/>
      <c r="AE176" s="13"/>
      <c r="AF176" s="13"/>
      <c r="AG176" s="184"/>
      <c r="AH176" s="45"/>
    </row>
    <row r="177" spans="1:34">
      <c r="A177" s="14">
        <f t="shared" si="64"/>
        <v>46115</v>
      </c>
      <c r="B177" s="11"/>
      <c r="C177" s="12"/>
      <c r="D177" s="12"/>
      <c r="E177" s="13"/>
      <c r="F177" s="12"/>
      <c r="G177" s="12"/>
      <c r="H177" s="12"/>
      <c r="I177" s="12"/>
      <c r="J177" s="13"/>
      <c r="K177" s="184"/>
      <c r="L177" s="26"/>
      <c r="M177" s="22"/>
      <c r="N177" s="29"/>
      <c r="O177" s="13"/>
      <c r="P177" s="13"/>
      <c r="Q177" s="13"/>
      <c r="R177" s="13"/>
      <c r="S177" s="13"/>
      <c r="T177" s="13"/>
      <c r="U177" s="13"/>
      <c r="V177" s="13"/>
      <c r="W177" s="184"/>
      <c r="X177" s="37"/>
      <c r="Y177" s="22"/>
      <c r="Z177" s="38"/>
      <c r="AA177" s="13"/>
      <c r="AB177" s="13"/>
      <c r="AC177" s="13"/>
      <c r="AD177" s="13"/>
      <c r="AE177" s="13"/>
      <c r="AF177" s="13"/>
      <c r="AG177" s="184"/>
      <c r="AH177" s="45"/>
    </row>
    <row r="178" spans="1:34">
      <c r="A178" s="14">
        <f t="shared" si="64"/>
        <v>46116</v>
      </c>
      <c r="B178" s="11"/>
      <c r="C178" s="12"/>
      <c r="D178" s="12"/>
      <c r="E178" s="13"/>
      <c r="F178" s="12"/>
      <c r="G178" s="12"/>
      <c r="H178" s="12"/>
      <c r="I178" s="12"/>
      <c r="J178" s="13"/>
      <c r="K178" s="184"/>
      <c r="L178" s="26"/>
      <c r="M178" s="22"/>
      <c r="N178" s="29"/>
      <c r="O178" s="13"/>
      <c r="P178" s="13"/>
      <c r="Q178" s="13"/>
      <c r="R178" s="13"/>
      <c r="S178" s="13"/>
      <c r="T178" s="13"/>
      <c r="U178" s="13"/>
      <c r="V178" s="13"/>
      <c r="W178" s="184"/>
      <c r="X178" s="37"/>
      <c r="Y178" s="22"/>
      <c r="Z178" s="38"/>
      <c r="AA178" s="13"/>
      <c r="AB178" s="13"/>
      <c r="AC178" s="13"/>
      <c r="AD178" s="13"/>
      <c r="AE178" s="13"/>
      <c r="AF178" s="13"/>
      <c r="AG178" s="184"/>
      <c r="AH178" s="45"/>
    </row>
    <row r="179" spans="1:34">
      <c r="A179" s="14">
        <f t="shared" si="64"/>
        <v>46117</v>
      </c>
      <c r="B179" s="11"/>
      <c r="C179" s="12"/>
      <c r="D179" s="12"/>
      <c r="E179" s="13"/>
      <c r="F179" s="12"/>
      <c r="G179" s="12"/>
      <c r="H179" s="12"/>
      <c r="I179" s="12"/>
      <c r="J179" s="13"/>
      <c r="K179" s="184"/>
      <c r="L179" s="26"/>
      <c r="M179" s="22"/>
      <c r="N179" s="29"/>
      <c r="O179" s="13"/>
      <c r="P179" s="13"/>
      <c r="Q179" s="13"/>
      <c r="R179" s="13"/>
      <c r="S179" s="13"/>
      <c r="T179" s="13"/>
      <c r="U179" s="13"/>
      <c r="V179" s="13"/>
      <c r="W179" s="184"/>
      <c r="X179" s="37"/>
      <c r="Y179" s="22"/>
      <c r="Z179" s="38"/>
      <c r="AA179" s="13"/>
      <c r="AB179" s="13"/>
      <c r="AC179" s="13"/>
      <c r="AD179" s="13"/>
      <c r="AE179" s="13"/>
      <c r="AF179" s="13"/>
      <c r="AG179" s="184"/>
      <c r="AH179" s="45"/>
    </row>
    <row r="180" spans="1:34">
      <c r="A180" s="14">
        <f t="shared" si="64"/>
        <v>46118</v>
      </c>
      <c r="B180" s="11"/>
      <c r="C180" s="12"/>
      <c r="D180" s="12"/>
      <c r="E180" s="13"/>
      <c r="F180" s="12"/>
      <c r="G180" s="12"/>
      <c r="H180" s="12"/>
      <c r="I180" s="12"/>
      <c r="J180" s="13"/>
      <c r="K180" s="184"/>
      <c r="L180" s="26"/>
      <c r="M180" s="22"/>
      <c r="N180" s="29"/>
      <c r="O180" s="13"/>
      <c r="P180" s="13"/>
      <c r="Q180" s="13"/>
      <c r="R180" s="13"/>
      <c r="S180" s="13"/>
      <c r="T180" s="13"/>
      <c r="U180" s="13"/>
      <c r="V180" s="13"/>
      <c r="W180" s="184"/>
      <c r="X180" s="37"/>
      <c r="Y180" s="22"/>
      <c r="Z180" s="38"/>
      <c r="AA180" s="13"/>
      <c r="AB180" s="13"/>
      <c r="AC180" s="13"/>
      <c r="AD180" s="13"/>
      <c r="AE180" s="13"/>
      <c r="AF180" s="13"/>
      <c r="AG180" s="184"/>
      <c r="AH180" s="45"/>
    </row>
    <row r="181" spans="1:34">
      <c r="A181" s="14">
        <f t="shared" si="64"/>
        <v>46119</v>
      </c>
      <c r="B181" s="11"/>
      <c r="C181" s="12"/>
      <c r="D181" s="12"/>
      <c r="E181" s="12"/>
      <c r="F181" s="12"/>
      <c r="G181" s="12"/>
      <c r="H181" s="12"/>
      <c r="I181" s="12"/>
      <c r="J181" s="13"/>
      <c r="K181" s="184"/>
      <c r="L181" s="26"/>
      <c r="M181" s="22"/>
      <c r="N181" s="29"/>
      <c r="O181" s="50"/>
      <c r="P181" s="13"/>
      <c r="Q181" s="13"/>
      <c r="R181" s="13"/>
      <c r="S181" s="13"/>
      <c r="T181" s="13"/>
      <c r="U181" s="13"/>
      <c r="V181" s="13"/>
      <c r="W181" s="184"/>
      <c r="X181" s="51"/>
      <c r="Y181" s="22"/>
      <c r="Z181" s="38"/>
      <c r="AA181" s="13"/>
      <c r="AB181" s="13"/>
      <c r="AC181" s="13"/>
      <c r="AD181" s="13"/>
      <c r="AE181" s="13"/>
      <c r="AF181" s="13"/>
      <c r="AG181" s="184"/>
      <c r="AH181" s="46"/>
    </row>
    <row r="182" spans="1:34">
      <c r="A182" s="14">
        <f t="shared" si="64"/>
        <v>46120</v>
      </c>
      <c r="B182" s="11"/>
      <c r="C182" s="12"/>
      <c r="D182" s="12"/>
      <c r="E182" s="12"/>
      <c r="F182" s="12"/>
      <c r="G182" s="12"/>
      <c r="H182" s="12"/>
      <c r="I182" s="12"/>
      <c r="J182" s="13"/>
      <c r="K182" s="184"/>
      <c r="L182" s="26"/>
      <c r="M182" s="22"/>
      <c r="N182" s="29"/>
      <c r="O182" s="13"/>
      <c r="P182" s="13"/>
      <c r="Q182" s="13"/>
      <c r="R182" s="13"/>
      <c r="S182" s="13"/>
      <c r="T182" s="13"/>
      <c r="U182" s="13"/>
      <c r="V182" s="13"/>
      <c r="W182" s="184"/>
      <c r="X182" s="37"/>
      <c r="Y182" s="22"/>
      <c r="Z182" s="38"/>
      <c r="AA182" s="13"/>
      <c r="AB182" s="13"/>
      <c r="AC182" s="13"/>
      <c r="AD182" s="13"/>
      <c r="AE182" s="13"/>
      <c r="AF182" s="13"/>
      <c r="AG182" s="184"/>
      <c r="AH182" s="45"/>
    </row>
    <row r="183" spans="1:34">
      <c r="A183" s="14">
        <f t="shared" si="64"/>
        <v>46121</v>
      </c>
      <c r="B183" s="11"/>
      <c r="C183" s="12"/>
      <c r="D183" s="12"/>
      <c r="E183" s="12"/>
      <c r="F183" s="12"/>
      <c r="G183" s="12"/>
      <c r="H183" s="12"/>
      <c r="I183" s="12"/>
      <c r="J183" s="13"/>
      <c r="K183" s="184"/>
      <c r="L183" s="26"/>
      <c r="M183" s="22"/>
      <c r="N183" s="29"/>
      <c r="O183" s="13"/>
      <c r="P183" s="13"/>
      <c r="Q183" s="13"/>
      <c r="R183" s="13"/>
      <c r="S183" s="13"/>
      <c r="T183" s="13"/>
      <c r="U183" s="13"/>
      <c r="V183" s="13"/>
      <c r="W183" s="184"/>
      <c r="X183" s="37"/>
      <c r="Y183" s="22"/>
      <c r="Z183" s="38"/>
      <c r="AA183" s="13"/>
      <c r="AB183" s="13"/>
      <c r="AC183" s="13"/>
      <c r="AD183" s="13"/>
      <c r="AE183" s="13"/>
      <c r="AF183" s="13"/>
      <c r="AG183" s="184"/>
      <c r="AH183" s="45"/>
    </row>
    <row r="184" spans="1:34">
      <c r="A184" s="14">
        <f t="shared" si="64"/>
        <v>46122</v>
      </c>
      <c r="B184" s="11"/>
      <c r="C184" s="12"/>
      <c r="D184" s="12"/>
      <c r="E184" s="12"/>
      <c r="F184" s="12"/>
      <c r="G184" s="12"/>
      <c r="H184" s="12"/>
      <c r="I184" s="12"/>
      <c r="J184" s="13"/>
      <c r="K184" s="184"/>
      <c r="L184" s="26"/>
      <c r="M184" s="22"/>
      <c r="N184" s="29"/>
      <c r="O184" s="13"/>
      <c r="P184" s="13"/>
      <c r="Q184" s="13"/>
      <c r="R184" s="13"/>
      <c r="S184" s="13"/>
      <c r="T184" s="13"/>
      <c r="U184" s="13"/>
      <c r="V184" s="13"/>
      <c r="W184" s="184"/>
      <c r="X184" s="37"/>
      <c r="Y184" s="22"/>
      <c r="Z184" s="38"/>
      <c r="AA184" s="13"/>
      <c r="AB184" s="13"/>
      <c r="AC184" s="13"/>
      <c r="AD184" s="13"/>
      <c r="AE184" s="13"/>
      <c r="AF184" s="13"/>
      <c r="AG184" s="184"/>
      <c r="AH184" s="45"/>
    </row>
    <row r="185" spans="1:34">
      <c r="A185" s="14">
        <f t="shared" si="64"/>
        <v>46123</v>
      </c>
      <c r="B185" s="38"/>
      <c r="C185" s="12"/>
      <c r="D185" s="12"/>
      <c r="E185" s="12"/>
      <c r="F185" s="12"/>
      <c r="G185" s="12"/>
      <c r="H185" s="12"/>
      <c r="I185" s="12"/>
      <c r="J185" s="13"/>
      <c r="K185" s="184"/>
      <c r="L185" s="26"/>
      <c r="M185" s="22"/>
      <c r="N185" s="29"/>
      <c r="O185" s="13"/>
      <c r="P185" s="13"/>
      <c r="Q185" s="13"/>
      <c r="R185" s="13"/>
      <c r="S185" s="13"/>
      <c r="T185" s="13"/>
      <c r="U185" s="13"/>
      <c r="V185" s="13"/>
      <c r="W185" s="184"/>
      <c r="X185" s="37"/>
      <c r="Y185" s="22"/>
      <c r="Z185" s="38"/>
      <c r="AA185" s="13"/>
      <c r="AB185" s="13"/>
      <c r="AC185" s="13"/>
      <c r="AD185" s="13"/>
      <c r="AE185" s="13"/>
      <c r="AF185" s="13"/>
      <c r="AG185" s="184"/>
      <c r="AH185" s="45"/>
    </row>
    <row r="186" spans="1:34">
      <c r="A186" s="14">
        <f t="shared" si="64"/>
        <v>46124</v>
      </c>
      <c r="B186" s="11"/>
      <c r="C186" s="12"/>
      <c r="D186" s="12"/>
      <c r="E186" s="12"/>
      <c r="F186" s="12"/>
      <c r="G186" s="12"/>
      <c r="H186" s="12"/>
      <c r="I186" s="12"/>
      <c r="J186" s="13"/>
      <c r="K186" s="184"/>
      <c r="L186" s="26"/>
      <c r="M186" s="22"/>
      <c r="N186" s="29"/>
      <c r="O186" s="13"/>
      <c r="P186" s="13"/>
      <c r="Q186" s="13"/>
      <c r="R186" s="13"/>
      <c r="S186" s="13"/>
      <c r="T186" s="13"/>
      <c r="U186" s="13"/>
      <c r="V186" s="13"/>
      <c r="W186" s="184"/>
      <c r="X186" s="37"/>
      <c r="Y186" s="22"/>
      <c r="Z186" s="38"/>
      <c r="AA186" s="13"/>
      <c r="AB186" s="13"/>
      <c r="AC186" s="13"/>
      <c r="AD186" s="13"/>
      <c r="AE186" s="13"/>
      <c r="AF186" s="13"/>
      <c r="AG186" s="184"/>
      <c r="AH186" s="45"/>
    </row>
    <row r="187" spans="1:34">
      <c r="A187" s="14">
        <f t="shared" si="64"/>
        <v>46125</v>
      </c>
      <c r="B187" s="38"/>
      <c r="C187" s="13"/>
      <c r="D187" s="12"/>
      <c r="E187" s="12"/>
      <c r="F187" s="12"/>
      <c r="G187" s="12"/>
      <c r="H187" s="12"/>
      <c r="I187" s="12"/>
      <c r="J187" s="13"/>
      <c r="K187" s="184"/>
      <c r="L187" s="26"/>
      <c r="M187" s="22"/>
      <c r="N187" s="29"/>
      <c r="O187" s="13"/>
      <c r="P187" s="13"/>
      <c r="Q187" s="13"/>
      <c r="R187" s="13"/>
      <c r="S187" s="13"/>
      <c r="T187" s="13"/>
      <c r="U187" s="13"/>
      <c r="V187" s="13"/>
      <c r="W187" s="184"/>
      <c r="X187" s="37"/>
      <c r="Y187" s="22"/>
      <c r="Z187" s="38"/>
      <c r="AA187" s="13"/>
      <c r="AB187" s="13"/>
      <c r="AC187" s="13"/>
      <c r="AD187" s="13"/>
      <c r="AE187" s="13"/>
      <c r="AF187" s="13"/>
      <c r="AG187" s="184"/>
      <c r="AH187" s="45"/>
    </row>
    <row r="188" spans="1:34">
      <c r="A188" s="14">
        <f t="shared" si="64"/>
        <v>46126</v>
      </c>
      <c r="B188" s="11"/>
      <c r="C188" s="13"/>
      <c r="D188" s="12"/>
      <c r="E188" s="12"/>
      <c r="F188" s="12"/>
      <c r="G188" s="12"/>
      <c r="H188" s="12"/>
      <c r="I188" s="36"/>
      <c r="J188" s="13"/>
      <c r="K188" s="184"/>
      <c r="L188" s="26"/>
      <c r="M188" s="22"/>
      <c r="N188" s="29"/>
      <c r="O188" s="13"/>
      <c r="P188" s="13"/>
      <c r="Q188" s="13"/>
      <c r="R188" s="13"/>
      <c r="S188" s="13"/>
      <c r="T188" s="13"/>
      <c r="U188" s="13"/>
      <c r="V188" s="13"/>
      <c r="W188" s="184"/>
      <c r="X188" s="37"/>
      <c r="Y188" s="22"/>
      <c r="Z188" s="38"/>
      <c r="AA188" s="13"/>
      <c r="AB188" s="13"/>
      <c r="AC188" s="13"/>
      <c r="AD188" s="13"/>
      <c r="AE188" s="13"/>
      <c r="AF188" s="13"/>
      <c r="AG188" s="184"/>
      <c r="AH188" s="37"/>
    </row>
    <row r="189" spans="1:34">
      <c r="A189" s="14">
        <f t="shared" si="64"/>
        <v>46127</v>
      </c>
      <c r="B189" s="11"/>
      <c r="C189" s="13"/>
      <c r="D189" s="12"/>
      <c r="E189" s="12"/>
      <c r="F189" s="12"/>
      <c r="G189" s="12"/>
      <c r="H189" s="12"/>
      <c r="I189" s="12"/>
      <c r="J189" s="13"/>
      <c r="K189" s="184"/>
      <c r="L189" s="26"/>
      <c r="M189" s="22"/>
      <c r="N189" s="29"/>
      <c r="O189" s="13"/>
      <c r="P189" s="13"/>
      <c r="Q189" s="13"/>
      <c r="R189" s="13"/>
      <c r="S189" s="13"/>
      <c r="T189" s="13"/>
      <c r="U189" s="13"/>
      <c r="V189" s="13"/>
      <c r="W189" s="184"/>
      <c r="X189" s="37"/>
      <c r="Y189" s="22"/>
      <c r="Z189" s="38"/>
      <c r="AA189" s="13"/>
      <c r="AB189" s="13"/>
      <c r="AC189" s="13"/>
      <c r="AD189" s="13"/>
      <c r="AE189" s="13"/>
      <c r="AF189" s="13"/>
      <c r="AG189" s="184"/>
      <c r="AH189" s="37"/>
    </row>
    <row r="190" spans="1:34">
      <c r="A190" s="14">
        <f t="shared" si="64"/>
        <v>46128</v>
      </c>
      <c r="B190" s="11"/>
      <c r="C190" s="13"/>
      <c r="D190" s="12"/>
      <c r="E190" s="12"/>
      <c r="F190" s="12"/>
      <c r="G190" s="12"/>
      <c r="H190" s="12"/>
      <c r="I190" s="12"/>
      <c r="J190" s="13"/>
      <c r="K190" s="184"/>
      <c r="L190" s="26"/>
      <c r="M190" s="22"/>
      <c r="N190" s="29"/>
      <c r="O190" s="13"/>
      <c r="P190" s="13"/>
      <c r="Q190" s="13"/>
      <c r="R190" s="13"/>
      <c r="S190" s="13"/>
      <c r="T190" s="13"/>
      <c r="U190" s="13"/>
      <c r="V190" s="13"/>
      <c r="W190" s="184"/>
      <c r="X190" s="37"/>
      <c r="Y190" s="22"/>
      <c r="Z190" s="38"/>
      <c r="AA190" s="13"/>
      <c r="AB190" s="13"/>
      <c r="AC190" s="13"/>
      <c r="AD190" s="13"/>
      <c r="AE190" s="13"/>
      <c r="AF190" s="13"/>
      <c r="AG190" s="184"/>
      <c r="AH190" s="37"/>
    </row>
    <row r="191" spans="1:34">
      <c r="A191" s="14">
        <f t="shared" si="64"/>
        <v>46129</v>
      </c>
      <c r="B191" s="11"/>
      <c r="C191" s="13"/>
      <c r="D191" s="12"/>
      <c r="E191" s="12"/>
      <c r="F191" s="12"/>
      <c r="G191" s="12"/>
      <c r="H191" s="12"/>
      <c r="I191" s="12"/>
      <c r="J191" s="13"/>
      <c r="K191" s="184"/>
      <c r="L191" s="26"/>
      <c r="M191" s="22"/>
      <c r="N191" s="29"/>
      <c r="O191" s="13"/>
      <c r="P191" s="13"/>
      <c r="Q191" s="13"/>
      <c r="R191" s="13"/>
      <c r="S191" s="13"/>
      <c r="T191" s="13"/>
      <c r="U191" s="13"/>
      <c r="V191" s="13"/>
      <c r="W191" s="184"/>
      <c r="X191" s="37"/>
      <c r="Y191" s="22"/>
      <c r="Z191" s="38"/>
      <c r="AA191" s="13"/>
      <c r="AB191" s="13"/>
      <c r="AC191" s="13"/>
      <c r="AD191" s="13"/>
      <c r="AE191" s="13"/>
      <c r="AF191" s="13"/>
      <c r="AG191" s="184"/>
      <c r="AH191" s="37"/>
    </row>
    <row r="192" spans="1:34">
      <c r="A192" s="14">
        <f t="shared" si="64"/>
        <v>46130</v>
      </c>
      <c r="B192" s="11"/>
      <c r="C192" s="12"/>
      <c r="D192" s="12"/>
      <c r="E192" s="12"/>
      <c r="F192" s="12"/>
      <c r="G192" s="12"/>
      <c r="H192" s="12"/>
      <c r="I192" s="12"/>
      <c r="J192" s="13"/>
      <c r="K192" s="184"/>
      <c r="L192" s="26"/>
      <c r="M192" s="22"/>
      <c r="N192" s="29"/>
      <c r="O192" s="13"/>
      <c r="P192" s="13"/>
      <c r="Q192" s="13"/>
      <c r="R192" s="13"/>
      <c r="S192" s="13"/>
      <c r="T192" s="13"/>
      <c r="U192" s="13"/>
      <c r="V192" s="13"/>
      <c r="W192" s="184"/>
      <c r="X192" s="37"/>
      <c r="Y192" s="22"/>
      <c r="Z192" s="38"/>
      <c r="AA192" s="13"/>
      <c r="AB192" s="13"/>
      <c r="AC192" s="13"/>
      <c r="AD192" s="13"/>
      <c r="AE192" s="13"/>
      <c r="AF192" s="13"/>
      <c r="AG192" s="184"/>
      <c r="AH192" s="37"/>
    </row>
    <row r="193" spans="1:34">
      <c r="A193" s="14">
        <f t="shared" si="64"/>
        <v>46131</v>
      </c>
      <c r="B193" s="11"/>
      <c r="C193" s="12"/>
      <c r="D193" s="12"/>
      <c r="E193" s="12"/>
      <c r="F193" s="12"/>
      <c r="G193" s="12"/>
      <c r="H193" s="12"/>
      <c r="I193" s="12"/>
      <c r="J193" s="13"/>
      <c r="K193" s="184"/>
      <c r="L193" s="26"/>
      <c r="M193" s="22"/>
      <c r="N193" s="29"/>
      <c r="O193" s="13"/>
      <c r="P193" s="13"/>
      <c r="Q193" s="13"/>
      <c r="R193" s="13"/>
      <c r="S193" s="13"/>
      <c r="T193" s="13"/>
      <c r="U193" s="13"/>
      <c r="V193" s="13"/>
      <c r="W193" s="184"/>
      <c r="X193" s="37"/>
      <c r="Y193" s="22"/>
      <c r="Z193" s="38"/>
      <c r="AA193" s="13"/>
      <c r="AB193" s="13"/>
      <c r="AC193" s="13"/>
      <c r="AD193" s="13"/>
      <c r="AE193" s="13"/>
      <c r="AF193" s="13"/>
      <c r="AG193" s="184"/>
      <c r="AH193" s="37"/>
    </row>
    <row r="194" spans="1:34">
      <c r="A194" s="14">
        <f t="shared" si="64"/>
        <v>46132</v>
      </c>
      <c r="B194" s="11"/>
      <c r="C194" s="13"/>
      <c r="D194" s="12"/>
      <c r="E194" s="12"/>
      <c r="F194" s="12"/>
      <c r="G194" s="12"/>
      <c r="H194" s="12"/>
      <c r="I194" s="13"/>
      <c r="J194" s="13"/>
      <c r="K194" s="184"/>
      <c r="L194" s="26"/>
      <c r="M194" s="22"/>
      <c r="N194" s="29"/>
      <c r="O194" s="13"/>
      <c r="P194" s="13"/>
      <c r="Q194" s="13"/>
      <c r="R194" s="13"/>
      <c r="S194" s="13"/>
      <c r="T194" s="13"/>
      <c r="U194" s="13"/>
      <c r="V194" s="13"/>
      <c r="W194" s="184"/>
      <c r="X194" s="37"/>
      <c r="Y194" s="22"/>
      <c r="Z194" s="38"/>
      <c r="AA194" s="13"/>
      <c r="AB194" s="13"/>
      <c r="AC194" s="13"/>
      <c r="AD194" s="13"/>
      <c r="AE194" s="13"/>
      <c r="AF194" s="13"/>
      <c r="AG194" s="184"/>
      <c r="AH194" s="37"/>
    </row>
    <row r="195" spans="1:34">
      <c r="A195" s="14">
        <f t="shared" si="64"/>
        <v>46133</v>
      </c>
      <c r="B195" s="11"/>
      <c r="C195" s="13"/>
      <c r="D195" s="12"/>
      <c r="E195" s="12"/>
      <c r="F195" s="12"/>
      <c r="G195" s="13"/>
      <c r="H195" s="13"/>
      <c r="I195" s="12"/>
      <c r="J195" s="13"/>
      <c r="K195" s="184"/>
      <c r="L195" s="26"/>
      <c r="M195" s="22"/>
      <c r="N195" s="29"/>
      <c r="O195" s="13"/>
      <c r="P195" s="13"/>
      <c r="Q195" s="13"/>
      <c r="R195" s="13"/>
      <c r="S195" s="13"/>
      <c r="T195" s="13"/>
      <c r="U195" s="13"/>
      <c r="V195" s="13"/>
      <c r="W195" s="184"/>
      <c r="X195" s="37"/>
      <c r="Y195" s="22"/>
      <c r="Z195" s="38"/>
      <c r="AA195" s="13"/>
      <c r="AB195" s="13"/>
      <c r="AC195" s="13"/>
      <c r="AD195" s="13"/>
      <c r="AE195" s="13"/>
      <c r="AF195" s="13"/>
      <c r="AG195" s="184"/>
      <c r="AH195" s="37"/>
    </row>
    <row r="196" spans="1:34">
      <c r="A196" s="14">
        <f t="shared" si="64"/>
        <v>46134</v>
      </c>
      <c r="B196" s="11"/>
      <c r="C196" s="13"/>
      <c r="D196" s="12"/>
      <c r="E196" s="12"/>
      <c r="F196" s="12"/>
      <c r="G196" s="12"/>
      <c r="H196" s="12"/>
      <c r="I196" s="13"/>
      <c r="J196" s="13"/>
      <c r="K196" s="184"/>
      <c r="L196" s="26"/>
      <c r="M196" s="22"/>
      <c r="N196" s="29"/>
      <c r="O196" s="13"/>
      <c r="P196" s="13"/>
      <c r="Q196" s="13"/>
      <c r="R196" s="13"/>
      <c r="S196" s="13"/>
      <c r="T196" s="13"/>
      <c r="U196" s="13"/>
      <c r="V196" s="13"/>
      <c r="W196" s="184"/>
      <c r="X196" s="37"/>
      <c r="Y196" s="22"/>
      <c r="Z196" s="38"/>
      <c r="AA196" s="13"/>
      <c r="AB196" s="13"/>
      <c r="AC196" s="13"/>
      <c r="AD196" s="13"/>
      <c r="AE196" s="13"/>
      <c r="AF196" s="13"/>
      <c r="AG196" s="184"/>
      <c r="AH196" s="37"/>
    </row>
    <row r="197" spans="1:34">
      <c r="A197" s="14">
        <f t="shared" si="64"/>
        <v>46135</v>
      </c>
      <c r="B197" s="38"/>
      <c r="C197" s="12"/>
      <c r="D197" s="12"/>
      <c r="E197" s="12"/>
      <c r="F197" s="12"/>
      <c r="G197" s="12"/>
      <c r="H197" s="12"/>
      <c r="I197" s="12"/>
      <c r="J197" s="13"/>
      <c r="K197" s="184"/>
      <c r="L197" s="26"/>
      <c r="M197" s="22"/>
      <c r="N197" s="61"/>
      <c r="O197" s="13"/>
      <c r="P197" s="13"/>
      <c r="Q197" s="13"/>
      <c r="R197" s="13"/>
      <c r="S197" s="13"/>
      <c r="T197" s="13"/>
      <c r="U197" s="13"/>
      <c r="V197" s="13"/>
      <c r="W197" s="184"/>
      <c r="X197" s="37"/>
      <c r="Y197" s="22"/>
      <c r="Z197" s="38"/>
      <c r="AA197" s="13"/>
      <c r="AB197" s="13"/>
      <c r="AC197" s="13"/>
      <c r="AD197" s="13"/>
      <c r="AE197" s="13"/>
      <c r="AF197" s="13"/>
      <c r="AG197" s="184"/>
      <c r="AH197" s="37"/>
    </row>
    <row r="198" spans="1:34">
      <c r="A198" s="14">
        <f t="shared" si="64"/>
        <v>46136</v>
      </c>
      <c r="B198" s="11"/>
      <c r="C198" s="12"/>
      <c r="D198" s="12"/>
      <c r="E198" s="12"/>
      <c r="F198" s="12"/>
      <c r="G198" s="12"/>
      <c r="H198" s="12"/>
      <c r="I198" s="12"/>
      <c r="J198" s="12"/>
      <c r="K198" s="185"/>
      <c r="L198" s="26"/>
      <c r="M198" s="22"/>
      <c r="N198" s="29"/>
      <c r="O198" s="13"/>
      <c r="P198" s="13"/>
      <c r="Q198" s="13"/>
      <c r="R198" s="13"/>
      <c r="S198" s="13"/>
      <c r="T198" s="13"/>
      <c r="U198" s="13"/>
      <c r="V198" s="13"/>
      <c r="W198" s="185"/>
      <c r="X198" s="37"/>
      <c r="Y198" s="22"/>
      <c r="Z198" s="38"/>
      <c r="AA198" s="13"/>
      <c r="AB198" s="13"/>
      <c r="AC198" s="13"/>
      <c r="AD198" s="13"/>
      <c r="AE198" s="13"/>
      <c r="AF198" s="13"/>
      <c r="AG198" s="185"/>
      <c r="AH198" s="37"/>
    </row>
    <row r="199" spans="1:34">
      <c r="A199" s="14">
        <f t="shared" si="64"/>
        <v>46137</v>
      </c>
      <c r="B199" s="38"/>
      <c r="C199" s="12"/>
      <c r="D199" s="12"/>
      <c r="E199" s="12"/>
      <c r="F199" s="12"/>
      <c r="G199" s="13"/>
      <c r="H199" s="13"/>
      <c r="I199" s="12"/>
      <c r="J199" s="12"/>
      <c r="K199" s="185"/>
      <c r="L199" s="37"/>
      <c r="M199" s="22"/>
      <c r="N199" s="29"/>
      <c r="O199" s="13"/>
      <c r="P199" s="13"/>
      <c r="Q199" s="13"/>
      <c r="R199" s="13"/>
      <c r="S199" s="13"/>
      <c r="T199" s="13"/>
      <c r="U199" s="13"/>
      <c r="V199" s="13"/>
      <c r="W199" s="185"/>
      <c r="X199" s="37"/>
      <c r="Y199" s="22"/>
      <c r="Z199" s="38"/>
      <c r="AA199" s="13"/>
      <c r="AB199" s="13"/>
      <c r="AC199" s="13"/>
      <c r="AD199" s="13"/>
      <c r="AE199" s="13"/>
      <c r="AF199" s="13"/>
      <c r="AG199" s="185"/>
      <c r="AH199" s="37"/>
    </row>
    <row r="200" spans="1:34">
      <c r="A200" s="14">
        <f t="shared" si="64"/>
        <v>46138</v>
      </c>
      <c r="B200" s="11"/>
      <c r="C200" s="13"/>
      <c r="D200" s="12"/>
      <c r="E200" s="12"/>
      <c r="F200" s="12"/>
      <c r="G200" s="13"/>
      <c r="H200" s="13"/>
      <c r="I200" s="13"/>
      <c r="J200" s="12"/>
      <c r="K200" s="185"/>
      <c r="L200" s="26"/>
      <c r="M200" s="22"/>
      <c r="N200" s="29"/>
      <c r="O200" s="13"/>
      <c r="P200" s="13"/>
      <c r="Q200" s="13"/>
      <c r="R200" s="13"/>
      <c r="S200" s="13"/>
      <c r="T200" s="13"/>
      <c r="U200" s="13"/>
      <c r="V200" s="13"/>
      <c r="W200" s="185"/>
      <c r="X200" s="51"/>
      <c r="Y200" s="22"/>
      <c r="Z200" s="38"/>
      <c r="AA200" s="13"/>
      <c r="AB200" s="13"/>
      <c r="AC200" s="13"/>
      <c r="AD200" s="13"/>
      <c r="AE200" s="13"/>
      <c r="AF200" s="13"/>
      <c r="AG200" s="185"/>
      <c r="AH200" s="51"/>
    </row>
    <row r="201" spans="1:34">
      <c r="A201" s="14">
        <f t="shared" si="64"/>
        <v>46139</v>
      </c>
      <c r="B201" s="11"/>
      <c r="C201" s="13"/>
      <c r="D201" s="12"/>
      <c r="E201" s="12"/>
      <c r="F201" s="12"/>
      <c r="G201" s="13"/>
      <c r="H201" s="13"/>
      <c r="I201" s="13"/>
      <c r="J201" s="12"/>
      <c r="K201" s="185"/>
      <c r="L201" s="26"/>
      <c r="M201" s="22"/>
      <c r="N201" s="29"/>
      <c r="O201" s="13"/>
      <c r="P201" s="13"/>
      <c r="Q201" s="13"/>
      <c r="R201" s="13"/>
      <c r="S201" s="13"/>
      <c r="T201" s="13"/>
      <c r="U201" s="13"/>
      <c r="V201" s="13"/>
      <c r="W201" s="185"/>
      <c r="X201" s="37"/>
      <c r="Y201" s="22"/>
      <c r="Z201" s="38"/>
      <c r="AA201" s="13"/>
      <c r="AB201" s="13"/>
      <c r="AC201" s="13"/>
      <c r="AD201" s="13"/>
      <c r="AE201" s="13"/>
      <c r="AF201" s="13"/>
      <c r="AG201" s="185"/>
      <c r="AH201" s="37"/>
    </row>
    <row r="202" spans="1:34">
      <c r="A202" s="14">
        <f t="shared" si="64"/>
        <v>46140</v>
      </c>
      <c r="B202" s="38"/>
      <c r="C202" s="13"/>
      <c r="D202" s="12"/>
      <c r="E202" s="12"/>
      <c r="F202" s="13"/>
      <c r="G202" s="12"/>
      <c r="H202" s="12"/>
      <c r="I202" s="12"/>
      <c r="J202" s="12"/>
      <c r="K202" s="185"/>
      <c r="L202" s="26"/>
      <c r="M202" s="22"/>
      <c r="N202" s="29"/>
      <c r="O202" s="13"/>
      <c r="P202" s="13"/>
      <c r="Q202" s="13"/>
      <c r="R202" s="13"/>
      <c r="S202" s="13"/>
      <c r="T202" s="13"/>
      <c r="U202" s="13"/>
      <c r="V202" s="13"/>
      <c r="W202" s="185"/>
      <c r="X202" s="37"/>
      <c r="Y202" s="22"/>
      <c r="Z202" s="38"/>
      <c r="AA202" s="13"/>
      <c r="AB202" s="13"/>
      <c r="AC202" s="13"/>
      <c r="AD202" s="13"/>
      <c r="AE202" s="13"/>
      <c r="AF202" s="13"/>
      <c r="AG202" s="185"/>
      <c r="AH202" s="37"/>
    </row>
    <row r="203" spans="1:34">
      <c r="A203" s="14">
        <f t="shared" si="64"/>
        <v>46141</v>
      </c>
      <c r="B203" s="38"/>
      <c r="C203" s="12"/>
      <c r="D203" s="12"/>
      <c r="E203" s="12"/>
      <c r="F203" s="12"/>
      <c r="G203" s="12"/>
      <c r="H203" s="12"/>
      <c r="I203" s="12"/>
      <c r="J203" s="59"/>
      <c r="K203" s="186"/>
      <c r="L203" s="26"/>
      <c r="M203" s="22"/>
      <c r="N203" s="29"/>
      <c r="O203" s="13"/>
      <c r="P203" s="13"/>
      <c r="Q203" s="13"/>
      <c r="R203" s="13"/>
      <c r="S203" s="13"/>
      <c r="T203" s="13"/>
      <c r="U203" s="13"/>
      <c r="V203" s="13"/>
      <c r="W203" s="186"/>
      <c r="X203" s="37"/>
      <c r="Y203" s="22"/>
      <c r="Z203" s="38"/>
      <c r="AA203" s="13"/>
      <c r="AB203" s="13"/>
      <c r="AC203" s="13"/>
      <c r="AD203" s="13"/>
      <c r="AE203" s="13"/>
      <c r="AF203" s="13"/>
      <c r="AG203" s="186"/>
      <c r="AH203" s="37"/>
    </row>
    <row r="204" spans="1:34">
      <c r="A204" s="14">
        <f t="shared" si="64"/>
        <v>46142</v>
      </c>
      <c r="B204" s="11"/>
      <c r="C204" s="12"/>
      <c r="D204" s="12"/>
      <c r="E204" s="12"/>
      <c r="F204" s="12"/>
      <c r="G204" s="12"/>
      <c r="H204" s="12"/>
      <c r="I204" s="12"/>
      <c r="J204" s="12"/>
      <c r="K204" s="185"/>
      <c r="L204" s="26"/>
      <c r="M204" s="22"/>
      <c r="N204" s="29"/>
      <c r="O204" s="13"/>
      <c r="P204" s="47"/>
      <c r="Q204" s="47"/>
      <c r="R204" s="47"/>
      <c r="S204" s="47"/>
      <c r="T204" s="47"/>
      <c r="U204" s="47"/>
      <c r="V204" s="53"/>
      <c r="W204" s="185"/>
      <c r="X204" s="48"/>
      <c r="Y204" s="22"/>
      <c r="Z204" s="38"/>
      <c r="AA204" s="13"/>
      <c r="AB204" s="47"/>
      <c r="AC204" s="47"/>
      <c r="AD204" s="47"/>
      <c r="AE204" s="13"/>
      <c r="AF204" s="53"/>
      <c r="AG204" s="185"/>
      <c r="AH204" s="37"/>
    </row>
    <row r="205" spans="1:34" ht="15.75" thickBot="1">
      <c r="A205" s="15">
        <f t="shared" si="64"/>
        <v>46143</v>
      </c>
      <c r="B205" s="57"/>
      <c r="C205" s="58"/>
      <c r="D205" s="58"/>
      <c r="E205" s="58"/>
      <c r="F205" s="58"/>
      <c r="G205" s="58"/>
      <c r="H205" s="58"/>
      <c r="I205" s="58"/>
      <c r="J205" s="58"/>
      <c r="K205" s="187"/>
      <c r="L205" s="60"/>
      <c r="M205" s="22"/>
      <c r="N205" s="56"/>
      <c r="O205" s="47"/>
      <c r="P205" s="47"/>
      <c r="Q205" s="47"/>
      <c r="R205" s="47"/>
      <c r="S205" s="47"/>
      <c r="T205" s="47"/>
      <c r="U205" s="47"/>
      <c r="V205" s="47"/>
      <c r="W205" s="187"/>
      <c r="X205" s="48"/>
      <c r="Y205" s="22"/>
      <c r="Z205" s="39"/>
      <c r="AA205" s="47"/>
      <c r="AB205" s="47"/>
      <c r="AC205" s="47"/>
      <c r="AD205" s="47"/>
      <c r="AE205" s="47"/>
      <c r="AF205" s="47"/>
      <c r="AG205" s="187"/>
      <c r="AH205" s="48"/>
    </row>
    <row r="206" spans="1:34">
      <c r="A206" s="16" t="s">
        <v>31</v>
      </c>
      <c r="B206" s="17">
        <f>MIN(B175:B205)</f>
        <v>0</v>
      </c>
      <c r="C206" s="17">
        <f>MIN(C175:C205)</f>
        <v>0</v>
      </c>
      <c r="D206" s="17">
        <f t="shared" ref="D206:L206" si="65">MIN(D175:D205)</f>
        <v>0</v>
      </c>
      <c r="E206" s="17">
        <f t="shared" si="65"/>
        <v>0</v>
      </c>
      <c r="F206" s="17">
        <f t="shared" si="65"/>
        <v>0</v>
      </c>
      <c r="G206" s="17">
        <f t="shared" si="65"/>
        <v>0</v>
      </c>
      <c r="H206" s="17">
        <f t="shared" si="65"/>
        <v>0</v>
      </c>
      <c r="I206" s="17">
        <f t="shared" si="65"/>
        <v>0</v>
      </c>
      <c r="J206" s="17">
        <f t="shared" si="65"/>
        <v>0</v>
      </c>
      <c r="K206" s="188"/>
      <c r="L206" s="30">
        <f t="shared" si="65"/>
        <v>0</v>
      </c>
      <c r="M206" s="22"/>
      <c r="N206" s="17">
        <f>MIN(N175:N205)</f>
        <v>0</v>
      </c>
      <c r="O206" s="17">
        <f>MIN(O175:O205)</f>
        <v>0</v>
      </c>
      <c r="P206" s="17">
        <f t="shared" ref="P206:X206" si="66">MIN(P175:P205)</f>
        <v>0</v>
      </c>
      <c r="Q206" s="17">
        <f t="shared" si="66"/>
        <v>0</v>
      </c>
      <c r="R206" s="17">
        <f t="shared" si="66"/>
        <v>0</v>
      </c>
      <c r="S206" s="17">
        <f t="shared" si="66"/>
        <v>0</v>
      </c>
      <c r="T206" s="17">
        <f t="shared" si="66"/>
        <v>0</v>
      </c>
      <c r="U206" s="17">
        <f t="shared" si="66"/>
        <v>0</v>
      </c>
      <c r="V206" s="17">
        <f t="shared" si="66"/>
        <v>0</v>
      </c>
      <c r="W206" s="188"/>
      <c r="X206" s="30">
        <f t="shared" si="66"/>
        <v>0</v>
      </c>
      <c r="Z206" s="40">
        <f t="shared" ref="Z206:AH206" si="67">MIN(Z175:Z205)</f>
        <v>0</v>
      </c>
      <c r="AA206" s="17">
        <f t="shared" si="67"/>
        <v>0</v>
      </c>
      <c r="AB206" s="17">
        <f t="shared" si="67"/>
        <v>0</v>
      </c>
      <c r="AC206" s="17">
        <f t="shared" si="67"/>
        <v>0</v>
      </c>
      <c r="AD206" s="17">
        <f t="shared" si="67"/>
        <v>0</v>
      </c>
      <c r="AE206" s="17">
        <f t="shared" si="67"/>
        <v>0</v>
      </c>
      <c r="AF206" s="17">
        <f t="shared" si="67"/>
        <v>0</v>
      </c>
      <c r="AG206" s="188"/>
      <c r="AH206" s="30">
        <f t="shared" si="67"/>
        <v>0</v>
      </c>
    </row>
    <row r="207" spans="1:34">
      <c r="A207" s="18" t="s">
        <v>33</v>
      </c>
      <c r="B207" s="19">
        <f>MAX(B175:B205)</f>
        <v>0</v>
      </c>
      <c r="C207" s="19">
        <f>MAX(C175:C205)</f>
        <v>0</v>
      </c>
      <c r="D207" s="19">
        <f t="shared" ref="D207:L207" si="68">MAX(D175:D205)</f>
        <v>0</v>
      </c>
      <c r="E207" s="19">
        <f t="shared" si="68"/>
        <v>0</v>
      </c>
      <c r="F207" s="19">
        <f t="shared" si="68"/>
        <v>0</v>
      </c>
      <c r="G207" s="19">
        <f t="shared" si="68"/>
        <v>0</v>
      </c>
      <c r="H207" s="19">
        <f t="shared" si="68"/>
        <v>0</v>
      </c>
      <c r="I207" s="19">
        <f t="shared" si="68"/>
        <v>0</v>
      </c>
      <c r="J207" s="19">
        <f t="shared" si="68"/>
        <v>0</v>
      </c>
      <c r="K207" s="189"/>
      <c r="L207" s="31">
        <f t="shared" si="68"/>
        <v>0</v>
      </c>
      <c r="M207" s="22"/>
      <c r="N207" s="19">
        <f>MAX(N175:N205)</f>
        <v>0</v>
      </c>
      <c r="O207" s="19">
        <f>MAX(O175:O205)</f>
        <v>0</v>
      </c>
      <c r="P207" s="19">
        <f t="shared" ref="P207:X207" si="69">MAX(P175:P205)</f>
        <v>0</v>
      </c>
      <c r="Q207" s="19">
        <f t="shared" si="69"/>
        <v>0</v>
      </c>
      <c r="R207" s="19">
        <f t="shared" si="69"/>
        <v>0</v>
      </c>
      <c r="S207" s="19">
        <f t="shared" si="69"/>
        <v>0</v>
      </c>
      <c r="T207" s="19">
        <f t="shared" si="69"/>
        <v>0</v>
      </c>
      <c r="U207" s="19">
        <f t="shared" si="69"/>
        <v>0</v>
      </c>
      <c r="V207" s="19">
        <f t="shared" si="69"/>
        <v>0</v>
      </c>
      <c r="W207" s="189"/>
      <c r="X207" s="31">
        <f t="shared" si="69"/>
        <v>0</v>
      </c>
      <c r="Z207" s="41">
        <f t="shared" ref="Z207:AH207" si="70">MAX(Z175:Z205)</f>
        <v>0</v>
      </c>
      <c r="AA207" s="19">
        <f t="shared" si="70"/>
        <v>0</v>
      </c>
      <c r="AB207" s="19">
        <f t="shared" si="70"/>
        <v>0</v>
      </c>
      <c r="AC207" s="19">
        <f t="shared" si="70"/>
        <v>0</v>
      </c>
      <c r="AD207" s="19">
        <f t="shared" si="70"/>
        <v>0</v>
      </c>
      <c r="AE207" s="19">
        <f t="shared" si="70"/>
        <v>0</v>
      </c>
      <c r="AF207" s="19">
        <f t="shared" si="70"/>
        <v>0</v>
      </c>
      <c r="AG207" s="189"/>
      <c r="AH207" s="31">
        <f t="shared" si="70"/>
        <v>0</v>
      </c>
    </row>
    <row r="208" spans="1:34">
      <c r="A208" s="18" t="s">
        <v>36</v>
      </c>
      <c r="B208" s="19" t="e">
        <f t="shared" ref="B208:L208" si="71">AVERAGE(B175:B205)</f>
        <v>#DIV/0!</v>
      </c>
      <c r="C208" s="19" t="e">
        <f t="shared" si="71"/>
        <v>#DIV/0!</v>
      </c>
      <c r="D208" s="19" t="e">
        <f t="shared" si="71"/>
        <v>#DIV/0!</v>
      </c>
      <c r="E208" s="19" t="e">
        <f t="shared" si="71"/>
        <v>#DIV/0!</v>
      </c>
      <c r="F208" s="19" t="e">
        <f t="shared" si="71"/>
        <v>#DIV/0!</v>
      </c>
      <c r="G208" s="19" t="e">
        <f t="shared" si="71"/>
        <v>#DIV/0!</v>
      </c>
      <c r="H208" s="19" t="e">
        <f t="shared" si="71"/>
        <v>#DIV/0!</v>
      </c>
      <c r="I208" s="19" t="e">
        <f t="shared" si="71"/>
        <v>#DIV/0!</v>
      </c>
      <c r="J208" s="19" t="e">
        <f t="shared" si="71"/>
        <v>#DIV/0!</v>
      </c>
      <c r="K208" s="189"/>
      <c r="L208" s="31" t="e">
        <f t="shared" si="71"/>
        <v>#DIV/0!</v>
      </c>
      <c r="M208" s="22"/>
      <c r="N208" s="19" t="e">
        <f t="shared" ref="N208:X208" si="72">AVERAGE(N175:N205)</f>
        <v>#DIV/0!</v>
      </c>
      <c r="O208" s="19" t="e">
        <f t="shared" si="72"/>
        <v>#DIV/0!</v>
      </c>
      <c r="P208" s="19" t="e">
        <f t="shared" si="72"/>
        <v>#DIV/0!</v>
      </c>
      <c r="Q208" s="19" t="e">
        <f t="shared" si="72"/>
        <v>#DIV/0!</v>
      </c>
      <c r="R208" s="19" t="e">
        <f t="shared" si="72"/>
        <v>#DIV/0!</v>
      </c>
      <c r="S208" s="19" t="e">
        <f t="shared" si="72"/>
        <v>#DIV/0!</v>
      </c>
      <c r="T208" s="19" t="e">
        <f t="shared" si="72"/>
        <v>#DIV/0!</v>
      </c>
      <c r="U208" s="19" t="e">
        <f t="shared" si="72"/>
        <v>#DIV/0!</v>
      </c>
      <c r="V208" s="19" t="e">
        <f t="shared" si="72"/>
        <v>#DIV/0!</v>
      </c>
      <c r="W208" s="189"/>
      <c r="X208" s="31" t="e">
        <f t="shared" si="72"/>
        <v>#DIV/0!</v>
      </c>
      <c r="Z208" s="41" t="e">
        <f>AVERAGE(Z175:Z205)</f>
        <v>#DIV/0!</v>
      </c>
      <c r="AA208" s="19" t="e">
        <f t="shared" ref="AA208:AH208" si="73">AVERAGE(AA175:AA205)</f>
        <v>#DIV/0!</v>
      </c>
      <c r="AB208" s="19" t="e">
        <f t="shared" si="73"/>
        <v>#DIV/0!</v>
      </c>
      <c r="AC208" s="19" t="e">
        <f t="shared" si="73"/>
        <v>#DIV/0!</v>
      </c>
      <c r="AD208" s="19" t="e">
        <f t="shared" si="73"/>
        <v>#DIV/0!</v>
      </c>
      <c r="AE208" s="19" t="e">
        <f t="shared" si="73"/>
        <v>#DIV/0!</v>
      </c>
      <c r="AF208" s="19" t="e">
        <f t="shared" si="73"/>
        <v>#DIV/0!</v>
      </c>
      <c r="AG208" s="189"/>
      <c r="AH208" s="31" t="e">
        <f t="shared" si="73"/>
        <v>#DIV/0!</v>
      </c>
    </row>
    <row r="209" spans="1:34" ht="15.75" thickBot="1">
      <c r="A209" s="20" t="s">
        <v>130</v>
      </c>
      <c r="B209" s="21" t="e">
        <f>STDEV(B175:B205)</f>
        <v>#DIV/0!</v>
      </c>
      <c r="C209" s="21" t="e">
        <f t="shared" ref="C209:L209" si="74">STDEV(C175:C205)</f>
        <v>#DIV/0!</v>
      </c>
      <c r="D209" s="21" t="e">
        <f t="shared" si="74"/>
        <v>#DIV/0!</v>
      </c>
      <c r="E209" s="21" t="e">
        <f t="shared" si="74"/>
        <v>#DIV/0!</v>
      </c>
      <c r="F209" s="21" t="e">
        <f t="shared" si="74"/>
        <v>#DIV/0!</v>
      </c>
      <c r="G209" s="21" t="e">
        <f t="shared" si="74"/>
        <v>#DIV/0!</v>
      </c>
      <c r="H209" s="21" t="e">
        <f t="shared" si="74"/>
        <v>#DIV/0!</v>
      </c>
      <c r="I209" s="21" t="e">
        <f t="shared" si="74"/>
        <v>#DIV/0!</v>
      </c>
      <c r="J209" s="21" t="e">
        <f t="shared" si="74"/>
        <v>#DIV/0!</v>
      </c>
      <c r="K209" s="190"/>
      <c r="L209" s="32" t="e">
        <f t="shared" si="74"/>
        <v>#DIV/0!</v>
      </c>
      <c r="M209" s="152"/>
      <c r="N209" s="21" t="e">
        <f>STDEV(N175:N205)</f>
        <v>#DIV/0!</v>
      </c>
      <c r="O209" s="21" t="e">
        <f t="shared" ref="O209:X209" si="75">STDEV(O175:O205)</f>
        <v>#DIV/0!</v>
      </c>
      <c r="P209" s="21" t="e">
        <f t="shared" si="75"/>
        <v>#DIV/0!</v>
      </c>
      <c r="Q209" s="21" t="e">
        <f t="shared" si="75"/>
        <v>#DIV/0!</v>
      </c>
      <c r="R209" s="21" t="e">
        <f t="shared" si="75"/>
        <v>#DIV/0!</v>
      </c>
      <c r="S209" s="21" t="e">
        <f t="shared" si="75"/>
        <v>#DIV/0!</v>
      </c>
      <c r="T209" s="21" t="e">
        <f t="shared" si="75"/>
        <v>#DIV/0!</v>
      </c>
      <c r="U209" s="21" t="e">
        <f t="shared" si="75"/>
        <v>#DIV/0!</v>
      </c>
      <c r="V209" s="21" t="e">
        <f t="shared" si="75"/>
        <v>#DIV/0!</v>
      </c>
      <c r="W209" s="190"/>
      <c r="X209" s="32" t="e">
        <f t="shared" si="75"/>
        <v>#DIV/0!</v>
      </c>
      <c r="Y209" s="153"/>
      <c r="Z209" s="42" t="e">
        <f>STDEV(Z175:Z205)</f>
        <v>#DIV/0!</v>
      </c>
      <c r="AA209" s="21" t="e">
        <f t="shared" ref="AA209:AH209" si="76">STDEV(AA175:AA205)</f>
        <v>#DIV/0!</v>
      </c>
      <c r="AB209" s="21" t="e">
        <f t="shared" si="76"/>
        <v>#DIV/0!</v>
      </c>
      <c r="AC209" s="21" t="e">
        <f t="shared" si="76"/>
        <v>#DIV/0!</v>
      </c>
      <c r="AD209" s="21" t="e">
        <f t="shared" si="76"/>
        <v>#DIV/0!</v>
      </c>
      <c r="AE209" s="21" t="e">
        <f t="shared" si="76"/>
        <v>#DIV/0!</v>
      </c>
      <c r="AF209" s="21" t="e">
        <f t="shared" si="76"/>
        <v>#DIV/0!</v>
      </c>
      <c r="AG209" s="190"/>
      <c r="AH209" s="32" t="e">
        <f t="shared" si="76"/>
        <v>#DIV/0!</v>
      </c>
    </row>
    <row r="210" spans="1:34" ht="15.75" thickBot="1"/>
    <row r="211" spans="1:34" ht="15.75" thickBot="1">
      <c r="A211" s="150"/>
      <c r="B211" s="338" t="s">
        <v>0</v>
      </c>
      <c r="C211" s="339"/>
      <c r="D211" s="339"/>
      <c r="E211" s="339"/>
      <c r="F211" s="339"/>
      <c r="G211" s="339"/>
      <c r="H211" s="339"/>
      <c r="I211" s="339"/>
      <c r="J211" s="339"/>
      <c r="K211" s="339"/>
      <c r="L211" s="339"/>
      <c r="M211" s="339"/>
      <c r="N211" s="339"/>
      <c r="O211" s="339"/>
      <c r="P211" s="339"/>
      <c r="Q211" s="339"/>
      <c r="R211" s="339"/>
      <c r="S211" s="339"/>
      <c r="T211" s="339"/>
      <c r="U211" s="339"/>
      <c r="V211" s="339"/>
      <c r="W211" s="339"/>
      <c r="X211" s="339"/>
      <c r="Y211" s="339"/>
      <c r="Z211" s="339"/>
      <c r="AA211" s="339"/>
      <c r="AB211" s="339"/>
      <c r="AC211" s="339"/>
      <c r="AD211" s="339"/>
      <c r="AE211" s="339"/>
      <c r="AF211" s="339"/>
      <c r="AG211" s="339"/>
      <c r="AH211" s="363"/>
    </row>
    <row r="212" spans="1:34" ht="15.75" thickBot="1">
      <c r="A212" s="151"/>
      <c r="B212" s="338" t="s">
        <v>165</v>
      </c>
      <c r="C212" s="339"/>
      <c r="D212" s="339"/>
      <c r="E212" s="339"/>
      <c r="F212" s="339"/>
      <c r="G212" s="339"/>
      <c r="H212" s="339"/>
      <c r="I212" s="339"/>
      <c r="J212" s="339"/>
      <c r="K212" s="339"/>
      <c r="L212" s="339"/>
      <c r="M212" s="339"/>
      <c r="N212" s="339"/>
      <c r="O212" s="339"/>
      <c r="P212" s="339"/>
      <c r="Q212" s="339"/>
      <c r="R212" s="339"/>
      <c r="S212" s="339"/>
      <c r="T212" s="339"/>
      <c r="U212" s="339"/>
      <c r="V212" s="339"/>
      <c r="W212" s="339"/>
      <c r="X212" s="339"/>
      <c r="Y212" s="339"/>
      <c r="Z212" s="339"/>
      <c r="AA212" s="339"/>
      <c r="AB212" s="339"/>
      <c r="AC212" s="339"/>
      <c r="AD212" s="4"/>
      <c r="AE212" s="43" t="s">
        <v>107</v>
      </c>
      <c r="AF212" s="341">
        <v>46143</v>
      </c>
      <c r="AG212" s="342"/>
      <c r="AH212" s="343"/>
    </row>
    <row r="213" spans="1:34">
      <c r="A213" s="344"/>
      <c r="B213" s="346" t="s">
        <v>132</v>
      </c>
      <c r="C213" s="347"/>
      <c r="D213" s="347"/>
      <c r="E213" s="347"/>
      <c r="F213" s="347"/>
      <c r="G213" s="347"/>
      <c r="H213" s="347"/>
      <c r="I213" s="347"/>
      <c r="J213" s="347"/>
      <c r="K213" s="348"/>
      <c r="L213" s="349"/>
      <c r="M213" s="22"/>
      <c r="N213" s="350" t="s">
        <v>133</v>
      </c>
      <c r="O213" s="347"/>
      <c r="P213" s="347"/>
      <c r="Q213" s="347"/>
      <c r="R213" s="347"/>
      <c r="S213" s="347"/>
      <c r="T213" s="347"/>
      <c r="U213" s="347"/>
      <c r="V213" s="347"/>
      <c r="W213" s="348"/>
      <c r="X213" s="349"/>
      <c r="Y213" s="22"/>
      <c r="Z213" s="346" t="s">
        <v>134</v>
      </c>
      <c r="AA213" s="347"/>
      <c r="AB213" s="347"/>
      <c r="AC213" s="347"/>
      <c r="AD213" s="347"/>
      <c r="AE213" s="347"/>
      <c r="AF213" s="347"/>
      <c r="AG213" s="348"/>
      <c r="AH213" s="349"/>
    </row>
    <row r="214" spans="1:34" ht="25.5">
      <c r="A214" s="345"/>
      <c r="B214" s="359" t="s">
        <v>135</v>
      </c>
      <c r="C214" s="361" t="s">
        <v>136</v>
      </c>
      <c r="D214" s="5" t="s">
        <v>137</v>
      </c>
      <c r="E214" s="5" t="s">
        <v>138</v>
      </c>
      <c r="F214" s="5" t="s">
        <v>139</v>
      </c>
      <c r="G214" s="5" t="s">
        <v>140</v>
      </c>
      <c r="H214" s="5" t="s">
        <v>141</v>
      </c>
      <c r="I214" s="5" t="s">
        <v>142</v>
      </c>
      <c r="J214" s="5" t="s">
        <v>143</v>
      </c>
      <c r="K214" s="181"/>
      <c r="L214" s="23" t="s">
        <v>144</v>
      </c>
      <c r="M214" s="22"/>
      <c r="N214" s="355" t="s">
        <v>135</v>
      </c>
      <c r="O214" s="357" t="s">
        <v>136</v>
      </c>
      <c r="P214" s="5" t="s">
        <v>137</v>
      </c>
      <c r="Q214" s="5" t="s">
        <v>138</v>
      </c>
      <c r="R214" s="5" t="s">
        <v>139</v>
      </c>
      <c r="S214" s="5" t="s">
        <v>140</v>
      </c>
      <c r="T214" s="5" t="s">
        <v>141</v>
      </c>
      <c r="U214" s="5" t="s">
        <v>142</v>
      </c>
      <c r="V214" s="5" t="s">
        <v>143</v>
      </c>
      <c r="W214" s="181"/>
      <c r="X214" s="23" t="s">
        <v>144</v>
      </c>
      <c r="Y214" s="22"/>
      <c r="Z214" s="33" t="s">
        <v>137</v>
      </c>
      <c r="AA214" s="5" t="s">
        <v>138</v>
      </c>
      <c r="AB214" s="5" t="s">
        <v>139</v>
      </c>
      <c r="AC214" s="5" t="s">
        <v>140</v>
      </c>
      <c r="AD214" s="5" t="s">
        <v>141</v>
      </c>
      <c r="AE214" s="5" t="s">
        <v>142</v>
      </c>
      <c r="AF214" s="5" t="s">
        <v>143</v>
      </c>
      <c r="AG214" s="181"/>
      <c r="AH214" s="23" t="s">
        <v>144</v>
      </c>
    </row>
    <row r="215" spans="1:34" ht="25.5">
      <c r="A215" s="6" t="s">
        <v>145</v>
      </c>
      <c r="B215" s="360"/>
      <c r="C215" s="362"/>
      <c r="D215" s="5" t="s">
        <v>128</v>
      </c>
      <c r="E215" s="5" t="s">
        <v>128</v>
      </c>
      <c r="F215" s="5" t="s">
        <v>128</v>
      </c>
      <c r="G215" s="5" t="s">
        <v>128</v>
      </c>
      <c r="H215" s="5" t="s">
        <v>125</v>
      </c>
      <c r="I215" s="5" t="s">
        <v>146</v>
      </c>
      <c r="J215" s="5" t="s">
        <v>127</v>
      </c>
      <c r="K215" s="181"/>
      <c r="L215" s="23" t="s">
        <v>53</v>
      </c>
      <c r="M215" s="22"/>
      <c r="N215" s="356"/>
      <c r="O215" s="358"/>
      <c r="P215" s="5" t="s">
        <v>128</v>
      </c>
      <c r="Q215" s="5" t="s">
        <v>128</v>
      </c>
      <c r="R215" s="5" t="s">
        <v>128</v>
      </c>
      <c r="S215" s="5" t="s">
        <v>128</v>
      </c>
      <c r="T215" s="5" t="s">
        <v>125</v>
      </c>
      <c r="U215" s="5" t="s">
        <v>146</v>
      </c>
      <c r="V215" s="5" t="s">
        <v>127</v>
      </c>
      <c r="W215" s="181"/>
      <c r="X215" s="23" t="s">
        <v>53</v>
      </c>
      <c r="Y215" s="22"/>
      <c r="Z215" s="33" t="s">
        <v>128</v>
      </c>
      <c r="AA215" s="5" t="s">
        <v>128</v>
      </c>
      <c r="AB215" s="5" t="s">
        <v>128</v>
      </c>
      <c r="AC215" s="5" t="s">
        <v>128</v>
      </c>
      <c r="AD215" s="5" t="s">
        <v>125</v>
      </c>
      <c r="AE215" s="5" t="s">
        <v>146</v>
      </c>
      <c r="AF215" s="5" t="s">
        <v>127</v>
      </c>
      <c r="AG215" s="181"/>
      <c r="AH215" s="23" t="s">
        <v>53</v>
      </c>
    </row>
    <row r="216" spans="1:34" ht="39" thickBot="1">
      <c r="A216" s="7" t="s">
        <v>147</v>
      </c>
      <c r="B216" s="8" t="s">
        <v>148</v>
      </c>
      <c r="C216" s="9" t="s">
        <v>166</v>
      </c>
      <c r="D216" s="9" t="s">
        <v>167</v>
      </c>
      <c r="E216" s="9" t="s">
        <v>168</v>
      </c>
      <c r="F216" s="9" t="s">
        <v>169</v>
      </c>
      <c r="G216" s="9" t="s">
        <v>170</v>
      </c>
      <c r="H216" s="9" t="s">
        <v>154</v>
      </c>
      <c r="I216" s="24" t="s">
        <v>155</v>
      </c>
      <c r="J216" s="24" t="s">
        <v>156</v>
      </c>
      <c r="K216" s="182"/>
      <c r="L216" s="25" t="s">
        <v>171</v>
      </c>
      <c r="M216" s="22"/>
      <c r="N216" s="8" t="s">
        <v>148</v>
      </c>
      <c r="O216" s="9" t="s">
        <v>166</v>
      </c>
      <c r="P216" s="9" t="s">
        <v>167</v>
      </c>
      <c r="Q216" s="9" t="s">
        <v>168</v>
      </c>
      <c r="R216" s="9" t="s">
        <v>169</v>
      </c>
      <c r="S216" s="9" t="s">
        <v>170</v>
      </c>
      <c r="T216" s="9" t="s">
        <v>154</v>
      </c>
      <c r="U216" s="24" t="s">
        <v>155</v>
      </c>
      <c r="V216" s="24" t="s">
        <v>156</v>
      </c>
      <c r="W216" s="182"/>
      <c r="X216" s="25" t="s">
        <v>171</v>
      </c>
      <c r="Y216" s="22"/>
      <c r="Z216" s="8" t="s">
        <v>167</v>
      </c>
      <c r="AA216" s="9" t="s">
        <v>168</v>
      </c>
      <c r="AB216" s="9" t="s">
        <v>169</v>
      </c>
      <c r="AC216" s="9" t="s">
        <v>170</v>
      </c>
      <c r="AD216" s="9" t="s">
        <v>154</v>
      </c>
      <c r="AE216" s="9" t="s">
        <v>155</v>
      </c>
      <c r="AF216" s="9" t="s">
        <v>156</v>
      </c>
      <c r="AG216" s="182"/>
      <c r="AH216" s="23" t="s">
        <v>171</v>
      </c>
    </row>
    <row r="217" spans="1:34">
      <c r="A217" s="10">
        <f>AF212+0</f>
        <v>46143</v>
      </c>
      <c r="B217" s="11"/>
      <c r="C217" s="12"/>
      <c r="D217" s="12"/>
      <c r="E217" s="13"/>
      <c r="F217" s="12"/>
      <c r="G217" s="12"/>
      <c r="H217" s="12"/>
      <c r="I217" s="12"/>
      <c r="J217" s="13"/>
      <c r="K217" s="184"/>
      <c r="L217" s="26"/>
      <c r="M217" s="22"/>
      <c r="N217" s="29"/>
      <c r="O217" s="13"/>
      <c r="P217" s="13"/>
      <c r="Q217" s="13"/>
      <c r="R217" s="13"/>
      <c r="S217" s="13"/>
      <c r="T217" s="13"/>
      <c r="U217" s="13"/>
      <c r="V217" s="13"/>
      <c r="W217" s="184"/>
      <c r="X217" s="37"/>
      <c r="Y217" s="22"/>
      <c r="Z217" s="38"/>
      <c r="AA217" s="13"/>
      <c r="AB217" s="13"/>
      <c r="AC217" s="13"/>
      <c r="AD217" s="13"/>
      <c r="AE217" s="13"/>
      <c r="AF217" s="13"/>
      <c r="AG217" s="184"/>
      <c r="AH217" s="45"/>
    </row>
    <row r="218" spans="1:34">
      <c r="A218" s="14">
        <f t="shared" ref="A218:A247" si="77">A217+1</f>
        <v>46144</v>
      </c>
      <c r="B218" s="11"/>
      <c r="C218" s="12"/>
      <c r="D218" s="12"/>
      <c r="E218" s="13"/>
      <c r="F218" s="12"/>
      <c r="G218" s="12"/>
      <c r="H218" s="12"/>
      <c r="I218" s="12"/>
      <c r="J218" s="13"/>
      <c r="K218" s="184"/>
      <c r="L218" s="26"/>
      <c r="M218" s="22"/>
      <c r="N218" s="29"/>
      <c r="O218" s="13"/>
      <c r="P218" s="13"/>
      <c r="Q218" s="13"/>
      <c r="R218" s="13"/>
      <c r="S218" s="13"/>
      <c r="T218" s="13"/>
      <c r="U218" s="13"/>
      <c r="V218" s="13"/>
      <c r="W218" s="184"/>
      <c r="X218" s="37"/>
      <c r="Y218" s="22"/>
      <c r="Z218" s="38"/>
      <c r="AA218" s="13"/>
      <c r="AB218" s="13"/>
      <c r="AC218" s="13"/>
      <c r="AD218" s="13"/>
      <c r="AE218" s="13"/>
      <c r="AF218" s="13"/>
      <c r="AG218" s="184"/>
      <c r="AH218" s="45"/>
    </row>
    <row r="219" spans="1:34">
      <c r="A219" s="14">
        <f t="shared" si="77"/>
        <v>46145</v>
      </c>
      <c r="B219" s="11"/>
      <c r="C219" s="12"/>
      <c r="D219" s="12"/>
      <c r="E219" s="13"/>
      <c r="F219" s="12"/>
      <c r="G219" s="12"/>
      <c r="H219" s="12"/>
      <c r="I219" s="12"/>
      <c r="J219" s="13"/>
      <c r="K219" s="184"/>
      <c r="L219" s="26"/>
      <c r="M219" s="22"/>
      <c r="N219" s="29"/>
      <c r="O219" s="13"/>
      <c r="P219" s="13"/>
      <c r="Q219" s="13"/>
      <c r="R219" s="13"/>
      <c r="S219" s="13"/>
      <c r="T219" s="13"/>
      <c r="U219" s="13"/>
      <c r="V219" s="13"/>
      <c r="W219" s="184"/>
      <c r="X219" s="37"/>
      <c r="Y219" s="22"/>
      <c r="Z219" s="38"/>
      <c r="AA219" s="13"/>
      <c r="AB219" s="13"/>
      <c r="AC219" s="13"/>
      <c r="AD219" s="13"/>
      <c r="AE219" s="13"/>
      <c r="AF219" s="13"/>
      <c r="AG219" s="184"/>
      <c r="AH219" s="45"/>
    </row>
    <row r="220" spans="1:34">
      <c r="A220" s="14">
        <f t="shared" si="77"/>
        <v>46146</v>
      </c>
      <c r="B220" s="11"/>
      <c r="C220" s="12"/>
      <c r="D220" s="12"/>
      <c r="E220" s="13"/>
      <c r="F220" s="12"/>
      <c r="G220" s="12"/>
      <c r="H220" s="12"/>
      <c r="I220" s="12"/>
      <c r="J220" s="13"/>
      <c r="K220" s="184"/>
      <c r="L220" s="26"/>
      <c r="M220" s="22"/>
      <c r="N220" s="29"/>
      <c r="O220" s="13"/>
      <c r="P220" s="13"/>
      <c r="Q220" s="13"/>
      <c r="R220" s="13"/>
      <c r="S220" s="13"/>
      <c r="T220" s="13"/>
      <c r="U220" s="13"/>
      <c r="V220" s="13"/>
      <c r="W220" s="184"/>
      <c r="X220" s="37"/>
      <c r="Y220" s="22"/>
      <c r="Z220" s="38"/>
      <c r="AA220" s="13"/>
      <c r="AB220" s="13"/>
      <c r="AC220" s="13"/>
      <c r="AD220" s="13"/>
      <c r="AE220" s="13"/>
      <c r="AF220" s="13"/>
      <c r="AG220" s="184"/>
      <c r="AH220" s="45"/>
    </row>
    <row r="221" spans="1:34">
      <c r="A221" s="14">
        <f t="shared" si="77"/>
        <v>46147</v>
      </c>
      <c r="B221" s="11"/>
      <c r="C221" s="12"/>
      <c r="D221" s="12"/>
      <c r="E221" s="13"/>
      <c r="F221" s="12"/>
      <c r="G221" s="12"/>
      <c r="H221" s="12"/>
      <c r="I221" s="12"/>
      <c r="J221" s="13"/>
      <c r="K221" s="184"/>
      <c r="L221" s="26"/>
      <c r="M221" s="22"/>
      <c r="N221" s="29"/>
      <c r="O221" s="13"/>
      <c r="P221" s="13"/>
      <c r="Q221" s="13"/>
      <c r="R221" s="13"/>
      <c r="S221" s="13"/>
      <c r="T221" s="13"/>
      <c r="U221" s="13"/>
      <c r="V221" s="13"/>
      <c r="W221" s="184"/>
      <c r="X221" s="37"/>
      <c r="Y221" s="22"/>
      <c r="Z221" s="38"/>
      <c r="AA221" s="13"/>
      <c r="AB221" s="13"/>
      <c r="AC221" s="13"/>
      <c r="AD221" s="13"/>
      <c r="AE221" s="13"/>
      <c r="AF221" s="13"/>
      <c r="AG221" s="184"/>
      <c r="AH221" s="45"/>
    </row>
    <row r="222" spans="1:34">
      <c r="A222" s="14">
        <f t="shared" si="77"/>
        <v>46148</v>
      </c>
      <c r="B222" s="11"/>
      <c r="C222" s="12"/>
      <c r="D222" s="12"/>
      <c r="E222" s="13"/>
      <c r="F222" s="12"/>
      <c r="G222" s="12"/>
      <c r="H222" s="12"/>
      <c r="I222" s="12"/>
      <c r="J222" s="13"/>
      <c r="K222" s="184"/>
      <c r="L222" s="26"/>
      <c r="M222" s="22"/>
      <c r="N222" s="29"/>
      <c r="O222" s="13"/>
      <c r="P222" s="13"/>
      <c r="Q222" s="13"/>
      <c r="R222" s="13"/>
      <c r="S222" s="13"/>
      <c r="T222" s="13"/>
      <c r="U222" s="13"/>
      <c r="V222" s="13"/>
      <c r="W222" s="184"/>
      <c r="X222" s="37"/>
      <c r="Y222" s="22"/>
      <c r="Z222" s="38"/>
      <c r="AA222" s="13"/>
      <c r="AB222" s="13"/>
      <c r="AC222" s="13"/>
      <c r="AD222" s="13"/>
      <c r="AE222" s="13"/>
      <c r="AF222" s="13"/>
      <c r="AG222" s="184"/>
      <c r="AH222" s="45"/>
    </row>
    <row r="223" spans="1:34">
      <c r="A223" s="14">
        <f t="shared" si="77"/>
        <v>46149</v>
      </c>
      <c r="B223" s="11"/>
      <c r="C223" s="12"/>
      <c r="D223" s="12"/>
      <c r="E223" s="12"/>
      <c r="F223" s="12"/>
      <c r="G223" s="12"/>
      <c r="H223" s="12"/>
      <c r="I223" s="12"/>
      <c r="J223" s="13"/>
      <c r="K223" s="184"/>
      <c r="L223" s="26"/>
      <c r="M223" s="22"/>
      <c r="N223" s="29"/>
      <c r="O223" s="50"/>
      <c r="P223" s="13"/>
      <c r="Q223" s="13"/>
      <c r="R223" s="13"/>
      <c r="S223" s="13"/>
      <c r="T223" s="13"/>
      <c r="U223" s="13"/>
      <c r="V223" s="13"/>
      <c r="W223" s="184"/>
      <c r="X223" s="51"/>
      <c r="Y223" s="22"/>
      <c r="Z223" s="38"/>
      <c r="AA223" s="13"/>
      <c r="AB223" s="13"/>
      <c r="AC223" s="13"/>
      <c r="AD223" s="13"/>
      <c r="AE223" s="13"/>
      <c r="AF223" s="13"/>
      <c r="AG223" s="184"/>
      <c r="AH223" s="46"/>
    </row>
    <row r="224" spans="1:34">
      <c r="A224" s="14">
        <f t="shared" si="77"/>
        <v>46150</v>
      </c>
      <c r="B224" s="11"/>
      <c r="C224" s="12"/>
      <c r="D224" s="12"/>
      <c r="E224" s="12"/>
      <c r="F224" s="12"/>
      <c r="G224" s="12"/>
      <c r="H224" s="12"/>
      <c r="I224" s="12"/>
      <c r="J224" s="13"/>
      <c r="K224" s="184"/>
      <c r="L224" s="26"/>
      <c r="M224" s="22"/>
      <c r="N224" s="29"/>
      <c r="O224" s="13"/>
      <c r="P224" s="13"/>
      <c r="Q224" s="13"/>
      <c r="R224" s="13"/>
      <c r="S224" s="13"/>
      <c r="T224" s="13"/>
      <c r="U224" s="13"/>
      <c r="V224" s="13"/>
      <c r="W224" s="184"/>
      <c r="X224" s="37"/>
      <c r="Y224" s="22"/>
      <c r="Z224" s="38"/>
      <c r="AA224" s="13"/>
      <c r="AB224" s="13"/>
      <c r="AC224" s="13"/>
      <c r="AD224" s="13"/>
      <c r="AE224" s="13"/>
      <c r="AF224" s="13"/>
      <c r="AG224" s="184"/>
      <c r="AH224" s="45"/>
    </row>
    <row r="225" spans="1:34">
      <c r="A225" s="14">
        <f t="shared" si="77"/>
        <v>46151</v>
      </c>
      <c r="B225" s="11"/>
      <c r="C225" s="12"/>
      <c r="D225" s="12"/>
      <c r="E225" s="12"/>
      <c r="F225" s="12"/>
      <c r="G225" s="12"/>
      <c r="H225" s="12"/>
      <c r="I225" s="12"/>
      <c r="J225" s="13"/>
      <c r="K225" s="184"/>
      <c r="L225" s="26"/>
      <c r="M225" s="22"/>
      <c r="N225" s="29"/>
      <c r="O225" s="13"/>
      <c r="P225" s="13"/>
      <c r="Q225" s="13"/>
      <c r="R225" s="13"/>
      <c r="S225" s="13"/>
      <c r="T225" s="13"/>
      <c r="U225" s="13"/>
      <c r="V225" s="13"/>
      <c r="W225" s="184"/>
      <c r="X225" s="37"/>
      <c r="Y225" s="22"/>
      <c r="Z225" s="38"/>
      <c r="AA225" s="13"/>
      <c r="AB225" s="13"/>
      <c r="AC225" s="13"/>
      <c r="AD225" s="13"/>
      <c r="AE225" s="13"/>
      <c r="AF225" s="13"/>
      <c r="AG225" s="184"/>
      <c r="AH225" s="45"/>
    </row>
    <row r="226" spans="1:34">
      <c r="A226" s="14">
        <f t="shared" si="77"/>
        <v>46152</v>
      </c>
      <c r="B226" s="11"/>
      <c r="C226" s="12"/>
      <c r="D226" s="12"/>
      <c r="E226" s="12"/>
      <c r="F226" s="12"/>
      <c r="G226" s="12"/>
      <c r="H226" s="12"/>
      <c r="I226" s="12"/>
      <c r="J226" s="13"/>
      <c r="K226" s="184"/>
      <c r="L226" s="26"/>
      <c r="M226" s="22"/>
      <c r="N226" s="29"/>
      <c r="O226" s="13"/>
      <c r="P226" s="13"/>
      <c r="Q226" s="13"/>
      <c r="R226" s="13"/>
      <c r="S226" s="13"/>
      <c r="T226" s="13"/>
      <c r="U226" s="13"/>
      <c r="V226" s="13"/>
      <c r="W226" s="184"/>
      <c r="X226" s="37"/>
      <c r="Y226" s="22"/>
      <c r="Z226" s="38"/>
      <c r="AA226" s="13"/>
      <c r="AB226" s="13"/>
      <c r="AC226" s="13"/>
      <c r="AD226" s="13"/>
      <c r="AE226" s="13"/>
      <c r="AF226" s="13"/>
      <c r="AG226" s="184"/>
      <c r="AH226" s="45"/>
    </row>
    <row r="227" spans="1:34">
      <c r="A227" s="14">
        <f t="shared" si="77"/>
        <v>46153</v>
      </c>
      <c r="B227" s="38"/>
      <c r="C227" s="12"/>
      <c r="D227" s="12"/>
      <c r="E227" s="12"/>
      <c r="F227" s="12"/>
      <c r="G227" s="12"/>
      <c r="H227" s="12"/>
      <c r="I227" s="12"/>
      <c r="J227" s="13"/>
      <c r="K227" s="184"/>
      <c r="L227" s="26"/>
      <c r="M227" s="22"/>
      <c r="N227" s="29"/>
      <c r="O227" s="13"/>
      <c r="P227" s="13"/>
      <c r="Q227" s="13"/>
      <c r="R227" s="13"/>
      <c r="S227" s="13"/>
      <c r="T227" s="13"/>
      <c r="U227" s="13"/>
      <c r="V227" s="13"/>
      <c r="W227" s="184"/>
      <c r="X227" s="37"/>
      <c r="Y227" s="22"/>
      <c r="Z227" s="38"/>
      <c r="AA227" s="13"/>
      <c r="AB227" s="13"/>
      <c r="AC227" s="13"/>
      <c r="AD227" s="13"/>
      <c r="AE227" s="13"/>
      <c r="AF227" s="13"/>
      <c r="AG227" s="184"/>
      <c r="AH227" s="45"/>
    </row>
    <row r="228" spans="1:34">
      <c r="A228" s="14">
        <f t="shared" si="77"/>
        <v>46154</v>
      </c>
      <c r="B228" s="11"/>
      <c r="C228" s="12"/>
      <c r="D228" s="12"/>
      <c r="E228" s="12"/>
      <c r="F228" s="12"/>
      <c r="G228" s="12"/>
      <c r="H228" s="12"/>
      <c r="I228" s="12"/>
      <c r="J228" s="13"/>
      <c r="K228" s="184"/>
      <c r="L228" s="26"/>
      <c r="M228" s="22"/>
      <c r="N228" s="29"/>
      <c r="O228" s="13"/>
      <c r="P228" s="13"/>
      <c r="Q228" s="13"/>
      <c r="R228" s="13"/>
      <c r="S228" s="13"/>
      <c r="T228" s="13"/>
      <c r="U228" s="13"/>
      <c r="V228" s="13"/>
      <c r="W228" s="184"/>
      <c r="X228" s="37"/>
      <c r="Y228" s="22"/>
      <c r="Z228" s="38"/>
      <c r="AA228" s="13"/>
      <c r="AB228" s="13"/>
      <c r="AC228" s="13"/>
      <c r="AD228" s="13"/>
      <c r="AE228" s="13"/>
      <c r="AF228" s="13"/>
      <c r="AG228" s="184"/>
      <c r="AH228" s="45"/>
    </row>
    <row r="229" spans="1:34">
      <c r="A229" s="14">
        <f t="shared" si="77"/>
        <v>46155</v>
      </c>
      <c r="B229" s="38"/>
      <c r="C229" s="13"/>
      <c r="D229" s="12"/>
      <c r="E229" s="12"/>
      <c r="F229" s="12"/>
      <c r="G229" s="12"/>
      <c r="H229" s="12"/>
      <c r="I229" s="12"/>
      <c r="J229" s="13"/>
      <c r="K229" s="184"/>
      <c r="L229" s="26"/>
      <c r="M229" s="22"/>
      <c r="N229" s="29"/>
      <c r="O229" s="13"/>
      <c r="P229" s="13"/>
      <c r="Q229" s="13"/>
      <c r="R229" s="13"/>
      <c r="S229" s="13"/>
      <c r="T229" s="13"/>
      <c r="U229" s="13"/>
      <c r="V229" s="13"/>
      <c r="W229" s="184"/>
      <c r="X229" s="37"/>
      <c r="Y229" s="22"/>
      <c r="Z229" s="38"/>
      <c r="AA229" s="13"/>
      <c r="AB229" s="13"/>
      <c r="AC229" s="13"/>
      <c r="AD229" s="13"/>
      <c r="AE229" s="13"/>
      <c r="AF229" s="13"/>
      <c r="AG229" s="184"/>
      <c r="AH229" s="45"/>
    </row>
    <row r="230" spans="1:34">
      <c r="A230" s="14">
        <f t="shared" si="77"/>
        <v>46156</v>
      </c>
      <c r="B230" s="11"/>
      <c r="C230" s="13"/>
      <c r="D230" s="12"/>
      <c r="E230" s="12"/>
      <c r="F230" s="12"/>
      <c r="G230" s="12"/>
      <c r="H230" s="12"/>
      <c r="I230" s="36"/>
      <c r="J230" s="13"/>
      <c r="K230" s="184"/>
      <c r="L230" s="26"/>
      <c r="M230" s="22"/>
      <c r="N230" s="29"/>
      <c r="O230" s="13"/>
      <c r="P230" s="13"/>
      <c r="Q230" s="13"/>
      <c r="R230" s="13"/>
      <c r="S230" s="13"/>
      <c r="T230" s="13"/>
      <c r="U230" s="13"/>
      <c r="V230" s="13"/>
      <c r="W230" s="184"/>
      <c r="X230" s="37"/>
      <c r="Y230" s="22"/>
      <c r="Z230" s="38"/>
      <c r="AA230" s="13"/>
      <c r="AB230" s="13"/>
      <c r="AC230" s="13"/>
      <c r="AD230" s="13"/>
      <c r="AE230" s="13"/>
      <c r="AF230" s="13"/>
      <c r="AG230" s="184"/>
      <c r="AH230" s="37"/>
    </row>
    <row r="231" spans="1:34">
      <c r="A231" s="14">
        <f t="shared" si="77"/>
        <v>46157</v>
      </c>
      <c r="B231" s="11"/>
      <c r="C231" s="13"/>
      <c r="D231" s="12"/>
      <c r="E231" s="12"/>
      <c r="F231" s="12"/>
      <c r="G231" s="12"/>
      <c r="H231" s="12"/>
      <c r="I231" s="12"/>
      <c r="J231" s="13"/>
      <c r="K231" s="184"/>
      <c r="L231" s="26"/>
      <c r="M231" s="22"/>
      <c r="N231" s="29"/>
      <c r="O231" s="13"/>
      <c r="P231" s="13"/>
      <c r="Q231" s="13"/>
      <c r="R231" s="13"/>
      <c r="S231" s="13"/>
      <c r="T231" s="13"/>
      <c r="U231" s="13"/>
      <c r="V231" s="13"/>
      <c r="W231" s="184"/>
      <c r="X231" s="37"/>
      <c r="Y231" s="22"/>
      <c r="Z231" s="38"/>
      <c r="AA231" s="13"/>
      <c r="AB231" s="13"/>
      <c r="AC231" s="13"/>
      <c r="AD231" s="13"/>
      <c r="AE231" s="13"/>
      <c r="AF231" s="13"/>
      <c r="AG231" s="184"/>
      <c r="AH231" s="37"/>
    </row>
    <row r="232" spans="1:34">
      <c r="A232" s="14">
        <f t="shared" si="77"/>
        <v>46158</v>
      </c>
      <c r="B232" s="11"/>
      <c r="C232" s="13"/>
      <c r="D232" s="12"/>
      <c r="E232" s="12"/>
      <c r="F232" s="12"/>
      <c r="G232" s="12"/>
      <c r="H232" s="12"/>
      <c r="I232" s="12"/>
      <c r="J232" s="13"/>
      <c r="K232" s="184"/>
      <c r="L232" s="26"/>
      <c r="M232" s="22"/>
      <c r="N232" s="29"/>
      <c r="O232" s="13"/>
      <c r="P232" s="13"/>
      <c r="Q232" s="13"/>
      <c r="R232" s="13"/>
      <c r="S232" s="13"/>
      <c r="T232" s="13"/>
      <c r="U232" s="13"/>
      <c r="V232" s="13"/>
      <c r="W232" s="184"/>
      <c r="X232" s="37"/>
      <c r="Y232" s="22"/>
      <c r="Z232" s="38"/>
      <c r="AA232" s="13"/>
      <c r="AB232" s="13"/>
      <c r="AC232" s="13"/>
      <c r="AD232" s="13"/>
      <c r="AE232" s="13"/>
      <c r="AF232" s="13"/>
      <c r="AG232" s="184"/>
      <c r="AH232" s="37"/>
    </row>
    <row r="233" spans="1:34">
      <c r="A233" s="14">
        <f t="shared" si="77"/>
        <v>46159</v>
      </c>
      <c r="B233" s="11"/>
      <c r="C233" s="13"/>
      <c r="D233" s="12"/>
      <c r="E233" s="12"/>
      <c r="F233" s="12"/>
      <c r="G233" s="12"/>
      <c r="H233" s="12"/>
      <c r="I233" s="12"/>
      <c r="J233" s="13"/>
      <c r="K233" s="184"/>
      <c r="L233" s="26"/>
      <c r="M233" s="22"/>
      <c r="N233" s="29"/>
      <c r="O233" s="13"/>
      <c r="P233" s="13"/>
      <c r="Q233" s="13"/>
      <c r="R233" s="13"/>
      <c r="S233" s="13"/>
      <c r="T233" s="13"/>
      <c r="U233" s="13"/>
      <c r="V233" s="13"/>
      <c r="W233" s="184"/>
      <c r="X233" s="37"/>
      <c r="Y233" s="22"/>
      <c r="Z233" s="38"/>
      <c r="AA233" s="13"/>
      <c r="AB233" s="13"/>
      <c r="AC233" s="13"/>
      <c r="AD233" s="13"/>
      <c r="AE233" s="13"/>
      <c r="AF233" s="13"/>
      <c r="AG233" s="184"/>
      <c r="AH233" s="37"/>
    </row>
    <row r="234" spans="1:34">
      <c r="A234" s="14">
        <f t="shared" si="77"/>
        <v>46160</v>
      </c>
      <c r="B234" s="11"/>
      <c r="C234" s="12"/>
      <c r="D234" s="12"/>
      <c r="E234" s="12"/>
      <c r="F234" s="12"/>
      <c r="G234" s="12"/>
      <c r="H234" s="12"/>
      <c r="I234" s="12"/>
      <c r="J234" s="13"/>
      <c r="K234" s="184"/>
      <c r="L234" s="26"/>
      <c r="M234" s="22"/>
      <c r="N234" s="29"/>
      <c r="O234" s="13"/>
      <c r="P234" s="13"/>
      <c r="Q234" s="13"/>
      <c r="R234" s="13"/>
      <c r="S234" s="13"/>
      <c r="T234" s="13"/>
      <c r="U234" s="13"/>
      <c r="V234" s="13"/>
      <c r="W234" s="184"/>
      <c r="X234" s="37"/>
      <c r="Y234" s="22"/>
      <c r="Z234" s="38"/>
      <c r="AA234" s="13"/>
      <c r="AB234" s="13"/>
      <c r="AC234" s="13"/>
      <c r="AD234" s="13"/>
      <c r="AE234" s="13"/>
      <c r="AF234" s="13"/>
      <c r="AG234" s="184"/>
      <c r="AH234" s="37"/>
    </row>
    <row r="235" spans="1:34">
      <c r="A235" s="14">
        <f t="shared" si="77"/>
        <v>46161</v>
      </c>
      <c r="B235" s="11"/>
      <c r="C235" s="12"/>
      <c r="D235" s="12"/>
      <c r="E235" s="12"/>
      <c r="F235" s="12"/>
      <c r="G235" s="12"/>
      <c r="H235" s="12"/>
      <c r="I235" s="12"/>
      <c r="J235" s="13"/>
      <c r="K235" s="184"/>
      <c r="L235" s="26"/>
      <c r="M235" s="22"/>
      <c r="N235" s="29"/>
      <c r="O235" s="13"/>
      <c r="P235" s="13"/>
      <c r="Q235" s="13"/>
      <c r="R235" s="13"/>
      <c r="S235" s="13"/>
      <c r="T235" s="13"/>
      <c r="U235" s="13"/>
      <c r="V235" s="13"/>
      <c r="W235" s="184"/>
      <c r="X235" s="37"/>
      <c r="Y235" s="22"/>
      <c r="Z235" s="38"/>
      <c r="AA235" s="13"/>
      <c r="AB235" s="13"/>
      <c r="AC235" s="13"/>
      <c r="AD235" s="13"/>
      <c r="AE235" s="13"/>
      <c r="AF235" s="13"/>
      <c r="AG235" s="184"/>
      <c r="AH235" s="37"/>
    </row>
    <row r="236" spans="1:34">
      <c r="A236" s="14">
        <f t="shared" si="77"/>
        <v>46162</v>
      </c>
      <c r="B236" s="11"/>
      <c r="C236" s="13"/>
      <c r="D236" s="12"/>
      <c r="E236" s="12"/>
      <c r="F236" s="12"/>
      <c r="G236" s="12"/>
      <c r="H236" s="12"/>
      <c r="I236" s="13"/>
      <c r="J236" s="13"/>
      <c r="K236" s="184"/>
      <c r="L236" s="26"/>
      <c r="M236" s="22"/>
      <c r="N236" s="29"/>
      <c r="O236" s="13"/>
      <c r="P236" s="13"/>
      <c r="Q236" s="13"/>
      <c r="R236" s="13"/>
      <c r="S236" s="13"/>
      <c r="T236" s="13"/>
      <c r="U236" s="13"/>
      <c r="V236" s="13"/>
      <c r="W236" s="184"/>
      <c r="X236" s="37"/>
      <c r="Y236" s="22"/>
      <c r="Z236" s="38"/>
      <c r="AA236" s="13"/>
      <c r="AB236" s="13"/>
      <c r="AC236" s="13"/>
      <c r="AD236" s="13"/>
      <c r="AE236" s="13"/>
      <c r="AF236" s="13"/>
      <c r="AG236" s="184"/>
      <c r="AH236" s="37"/>
    </row>
    <row r="237" spans="1:34">
      <c r="A237" s="14">
        <f t="shared" si="77"/>
        <v>46163</v>
      </c>
      <c r="B237" s="11"/>
      <c r="C237" s="13"/>
      <c r="D237" s="12"/>
      <c r="E237" s="12"/>
      <c r="F237" s="12"/>
      <c r="G237" s="13"/>
      <c r="H237" s="13"/>
      <c r="I237" s="12"/>
      <c r="J237" s="13"/>
      <c r="K237" s="184"/>
      <c r="L237" s="26"/>
      <c r="M237" s="22"/>
      <c r="N237" s="29"/>
      <c r="O237" s="13"/>
      <c r="P237" s="13"/>
      <c r="Q237" s="13"/>
      <c r="R237" s="13"/>
      <c r="S237" s="13"/>
      <c r="T237" s="13"/>
      <c r="U237" s="13"/>
      <c r="V237" s="13"/>
      <c r="W237" s="184"/>
      <c r="X237" s="37"/>
      <c r="Y237" s="22"/>
      <c r="Z237" s="38"/>
      <c r="AA237" s="13"/>
      <c r="AB237" s="13"/>
      <c r="AC237" s="13"/>
      <c r="AD237" s="13"/>
      <c r="AE237" s="13"/>
      <c r="AF237" s="13"/>
      <c r="AG237" s="184"/>
      <c r="AH237" s="37"/>
    </row>
    <row r="238" spans="1:34">
      <c r="A238" s="14">
        <f t="shared" si="77"/>
        <v>46164</v>
      </c>
      <c r="B238" s="11"/>
      <c r="C238" s="13"/>
      <c r="D238" s="12"/>
      <c r="E238" s="12"/>
      <c r="F238" s="12"/>
      <c r="G238" s="12"/>
      <c r="H238" s="12"/>
      <c r="I238" s="13"/>
      <c r="J238" s="13"/>
      <c r="K238" s="184"/>
      <c r="L238" s="26"/>
      <c r="M238" s="22"/>
      <c r="N238" s="29"/>
      <c r="O238" s="13"/>
      <c r="P238" s="13"/>
      <c r="Q238" s="13"/>
      <c r="R238" s="13"/>
      <c r="S238" s="13"/>
      <c r="T238" s="13"/>
      <c r="U238" s="13"/>
      <c r="V238" s="13"/>
      <c r="W238" s="184"/>
      <c r="X238" s="37"/>
      <c r="Y238" s="22"/>
      <c r="Z238" s="38"/>
      <c r="AA238" s="13"/>
      <c r="AB238" s="13"/>
      <c r="AC238" s="13"/>
      <c r="AD238" s="13"/>
      <c r="AE238" s="13"/>
      <c r="AF238" s="13"/>
      <c r="AG238" s="184"/>
      <c r="AH238" s="37"/>
    </row>
    <row r="239" spans="1:34">
      <c r="A239" s="14">
        <f t="shared" si="77"/>
        <v>46165</v>
      </c>
      <c r="B239" s="38"/>
      <c r="C239" s="12"/>
      <c r="D239" s="12"/>
      <c r="E239" s="12"/>
      <c r="F239" s="12"/>
      <c r="G239" s="12"/>
      <c r="H239" s="12"/>
      <c r="I239" s="12"/>
      <c r="J239" s="13"/>
      <c r="K239" s="184"/>
      <c r="L239" s="26"/>
      <c r="M239" s="22"/>
      <c r="N239" s="61"/>
      <c r="O239" s="13"/>
      <c r="P239" s="13"/>
      <c r="Q239" s="13"/>
      <c r="R239" s="13"/>
      <c r="S239" s="13"/>
      <c r="T239" s="13"/>
      <c r="U239" s="13"/>
      <c r="V239" s="13"/>
      <c r="W239" s="184"/>
      <c r="X239" s="37"/>
      <c r="Y239" s="22"/>
      <c r="Z239" s="38"/>
      <c r="AA239" s="13"/>
      <c r="AB239" s="13"/>
      <c r="AC239" s="13"/>
      <c r="AD239" s="13"/>
      <c r="AE239" s="13"/>
      <c r="AF239" s="13"/>
      <c r="AG239" s="184"/>
      <c r="AH239" s="37"/>
    </row>
    <row r="240" spans="1:34">
      <c r="A240" s="14">
        <f t="shared" si="77"/>
        <v>46166</v>
      </c>
      <c r="B240" s="11"/>
      <c r="C240" s="12"/>
      <c r="D240" s="12"/>
      <c r="E240" s="12"/>
      <c r="F240" s="12"/>
      <c r="G240" s="12"/>
      <c r="H240" s="12"/>
      <c r="I240" s="12"/>
      <c r="J240" s="12"/>
      <c r="K240" s="185"/>
      <c r="L240" s="26"/>
      <c r="M240" s="22"/>
      <c r="N240" s="29"/>
      <c r="O240" s="13"/>
      <c r="P240" s="13"/>
      <c r="Q240" s="13"/>
      <c r="R240" s="13"/>
      <c r="S240" s="13"/>
      <c r="T240" s="13"/>
      <c r="U240" s="13"/>
      <c r="V240" s="13"/>
      <c r="W240" s="185"/>
      <c r="X240" s="37"/>
      <c r="Y240" s="22"/>
      <c r="Z240" s="38"/>
      <c r="AA240" s="13"/>
      <c r="AB240" s="13"/>
      <c r="AC240" s="13"/>
      <c r="AD240" s="13"/>
      <c r="AE240" s="13"/>
      <c r="AF240" s="13"/>
      <c r="AG240" s="185"/>
      <c r="AH240" s="37"/>
    </row>
    <row r="241" spans="1:34">
      <c r="A241" s="14">
        <f t="shared" si="77"/>
        <v>46167</v>
      </c>
      <c r="B241" s="38"/>
      <c r="C241" s="12"/>
      <c r="D241" s="12"/>
      <c r="E241" s="12"/>
      <c r="F241" s="12"/>
      <c r="G241" s="13"/>
      <c r="H241" s="13"/>
      <c r="I241" s="12"/>
      <c r="J241" s="12"/>
      <c r="K241" s="185"/>
      <c r="L241" s="37"/>
      <c r="M241" s="22"/>
      <c r="N241" s="29"/>
      <c r="O241" s="13"/>
      <c r="P241" s="13"/>
      <c r="Q241" s="13"/>
      <c r="R241" s="13"/>
      <c r="S241" s="13"/>
      <c r="T241" s="13"/>
      <c r="U241" s="13"/>
      <c r="V241" s="13"/>
      <c r="W241" s="185"/>
      <c r="X241" s="37"/>
      <c r="Y241" s="22"/>
      <c r="Z241" s="38"/>
      <c r="AA241" s="13"/>
      <c r="AB241" s="13"/>
      <c r="AC241" s="13"/>
      <c r="AD241" s="13"/>
      <c r="AE241" s="13"/>
      <c r="AF241" s="13"/>
      <c r="AG241" s="185"/>
      <c r="AH241" s="37"/>
    </row>
    <row r="242" spans="1:34">
      <c r="A242" s="14">
        <f t="shared" si="77"/>
        <v>46168</v>
      </c>
      <c r="B242" s="11"/>
      <c r="C242" s="13"/>
      <c r="D242" s="12"/>
      <c r="E242" s="12"/>
      <c r="F242" s="12"/>
      <c r="G242" s="13"/>
      <c r="H242" s="13"/>
      <c r="I242" s="13"/>
      <c r="J242" s="12"/>
      <c r="K242" s="185"/>
      <c r="L242" s="26"/>
      <c r="M242" s="22"/>
      <c r="N242" s="29"/>
      <c r="O242" s="13"/>
      <c r="P242" s="13"/>
      <c r="Q242" s="13"/>
      <c r="R242" s="13"/>
      <c r="S242" s="13"/>
      <c r="T242" s="13"/>
      <c r="U242" s="13"/>
      <c r="V242" s="13"/>
      <c r="W242" s="185"/>
      <c r="X242" s="51"/>
      <c r="Y242" s="22"/>
      <c r="Z242" s="38"/>
      <c r="AA242" s="13"/>
      <c r="AB242" s="13"/>
      <c r="AC242" s="13"/>
      <c r="AD242" s="13"/>
      <c r="AE242" s="13"/>
      <c r="AF242" s="13"/>
      <c r="AG242" s="185"/>
      <c r="AH242" s="51"/>
    </row>
    <row r="243" spans="1:34">
      <c r="A243" s="14">
        <f t="shared" si="77"/>
        <v>46169</v>
      </c>
      <c r="B243" s="11"/>
      <c r="C243" s="13"/>
      <c r="D243" s="12"/>
      <c r="E243" s="12"/>
      <c r="F243" s="12"/>
      <c r="G243" s="13"/>
      <c r="H243" s="13"/>
      <c r="I243" s="13"/>
      <c r="J243" s="12"/>
      <c r="K243" s="185"/>
      <c r="L243" s="26"/>
      <c r="M243" s="22"/>
      <c r="N243" s="29"/>
      <c r="O243" s="13"/>
      <c r="P243" s="13"/>
      <c r="Q243" s="13"/>
      <c r="R243" s="13"/>
      <c r="S243" s="13"/>
      <c r="T243" s="13"/>
      <c r="U243" s="13"/>
      <c r="V243" s="13"/>
      <c r="W243" s="185"/>
      <c r="X243" s="37"/>
      <c r="Y243" s="22"/>
      <c r="Z243" s="38"/>
      <c r="AA243" s="13"/>
      <c r="AB243" s="13"/>
      <c r="AC243" s="13"/>
      <c r="AD243" s="13"/>
      <c r="AE243" s="13"/>
      <c r="AF243" s="13"/>
      <c r="AG243" s="185"/>
      <c r="AH243" s="37"/>
    </row>
    <row r="244" spans="1:34">
      <c r="A244" s="14">
        <f t="shared" si="77"/>
        <v>46170</v>
      </c>
      <c r="B244" s="38"/>
      <c r="C244" s="13"/>
      <c r="D244" s="12"/>
      <c r="E244" s="12"/>
      <c r="F244" s="13"/>
      <c r="G244" s="12"/>
      <c r="H244" s="12"/>
      <c r="I244" s="12"/>
      <c r="J244" s="12"/>
      <c r="K244" s="185"/>
      <c r="L244" s="26"/>
      <c r="M244" s="22"/>
      <c r="N244" s="29"/>
      <c r="O244" s="13"/>
      <c r="P244" s="13"/>
      <c r="Q244" s="13"/>
      <c r="R244" s="13"/>
      <c r="S244" s="13"/>
      <c r="T244" s="13"/>
      <c r="U244" s="13"/>
      <c r="V244" s="13"/>
      <c r="W244" s="185"/>
      <c r="X244" s="37"/>
      <c r="Y244" s="22"/>
      <c r="Z244" s="38"/>
      <c r="AA244" s="13"/>
      <c r="AB244" s="13"/>
      <c r="AC244" s="13"/>
      <c r="AD244" s="13"/>
      <c r="AE244" s="13"/>
      <c r="AF244" s="13"/>
      <c r="AG244" s="185"/>
      <c r="AH244" s="37"/>
    </row>
    <row r="245" spans="1:34">
      <c r="A245" s="14">
        <f t="shared" si="77"/>
        <v>46171</v>
      </c>
      <c r="B245" s="38"/>
      <c r="C245" s="12"/>
      <c r="D245" s="12"/>
      <c r="E245" s="12"/>
      <c r="F245" s="12"/>
      <c r="G245" s="12"/>
      <c r="H245" s="12"/>
      <c r="I245" s="12"/>
      <c r="J245" s="59"/>
      <c r="K245" s="186"/>
      <c r="L245" s="26"/>
      <c r="M245" s="22"/>
      <c r="N245" s="29"/>
      <c r="O245" s="13"/>
      <c r="P245" s="13"/>
      <c r="Q245" s="13"/>
      <c r="R245" s="13"/>
      <c r="S245" s="13"/>
      <c r="T245" s="13"/>
      <c r="U245" s="13"/>
      <c r="V245" s="13"/>
      <c r="W245" s="186"/>
      <c r="X245" s="37"/>
      <c r="Y245" s="22"/>
      <c r="Z245" s="38"/>
      <c r="AA245" s="13"/>
      <c r="AB245" s="13"/>
      <c r="AC245" s="13"/>
      <c r="AD245" s="13"/>
      <c r="AE245" s="13"/>
      <c r="AF245" s="13"/>
      <c r="AG245" s="186"/>
      <c r="AH245" s="37"/>
    </row>
    <row r="246" spans="1:34">
      <c r="A246" s="14">
        <f t="shared" si="77"/>
        <v>46172</v>
      </c>
      <c r="B246" s="11"/>
      <c r="C246" s="12"/>
      <c r="D246" s="12"/>
      <c r="E246" s="12"/>
      <c r="F246" s="12"/>
      <c r="G246" s="12"/>
      <c r="H246" s="12"/>
      <c r="I246" s="12"/>
      <c r="J246" s="12"/>
      <c r="K246" s="185"/>
      <c r="L246" s="26"/>
      <c r="M246" s="22"/>
      <c r="N246" s="29"/>
      <c r="O246" s="13"/>
      <c r="P246" s="47"/>
      <c r="Q246" s="47"/>
      <c r="R246" s="47"/>
      <c r="S246" s="47"/>
      <c r="T246" s="47"/>
      <c r="U246" s="47"/>
      <c r="V246" s="53"/>
      <c r="W246" s="185"/>
      <c r="X246" s="48"/>
      <c r="Y246" s="22"/>
      <c r="Z246" s="38"/>
      <c r="AA246" s="13"/>
      <c r="AB246" s="47"/>
      <c r="AC246" s="47"/>
      <c r="AD246" s="47"/>
      <c r="AE246" s="13"/>
      <c r="AF246" s="53"/>
      <c r="AG246" s="185"/>
      <c r="AH246" s="37"/>
    </row>
    <row r="247" spans="1:34" ht="15.75" thickBot="1">
      <c r="A247" s="15">
        <f t="shared" si="77"/>
        <v>46173</v>
      </c>
      <c r="B247" s="57"/>
      <c r="C247" s="58"/>
      <c r="D247" s="58"/>
      <c r="E247" s="58"/>
      <c r="F247" s="58"/>
      <c r="G247" s="58"/>
      <c r="H247" s="58"/>
      <c r="I247" s="58"/>
      <c r="J247" s="58"/>
      <c r="K247" s="187"/>
      <c r="L247" s="60"/>
      <c r="M247" s="22"/>
      <c r="N247" s="56"/>
      <c r="O247" s="47"/>
      <c r="P247" s="47"/>
      <c r="Q247" s="47"/>
      <c r="R247" s="47"/>
      <c r="S247" s="47"/>
      <c r="T247" s="47"/>
      <c r="U247" s="47"/>
      <c r="V247" s="47"/>
      <c r="W247" s="187"/>
      <c r="X247" s="48"/>
      <c r="Y247" s="22"/>
      <c r="Z247" s="39"/>
      <c r="AA247" s="47"/>
      <c r="AB247" s="47"/>
      <c r="AC247" s="47"/>
      <c r="AD247" s="47"/>
      <c r="AE247" s="47"/>
      <c r="AF247" s="47"/>
      <c r="AG247" s="187"/>
      <c r="AH247" s="48"/>
    </row>
    <row r="248" spans="1:34">
      <c r="A248" s="16" t="s">
        <v>31</v>
      </c>
      <c r="B248" s="17">
        <f>MIN(B217:B247)</f>
        <v>0</v>
      </c>
      <c r="C248" s="17">
        <f>MIN(C217:C247)</f>
        <v>0</v>
      </c>
      <c r="D248" s="17">
        <f t="shared" ref="D248:L248" si="78">MIN(D217:D247)</f>
        <v>0</v>
      </c>
      <c r="E248" s="17">
        <f t="shared" si="78"/>
        <v>0</v>
      </c>
      <c r="F248" s="17">
        <f t="shared" si="78"/>
        <v>0</v>
      </c>
      <c r="G248" s="17">
        <f t="shared" si="78"/>
        <v>0</v>
      </c>
      <c r="H248" s="17">
        <f t="shared" si="78"/>
        <v>0</v>
      </c>
      <c r="I248" s="17">
        <f t="shared" si="78"/>
        <v>0</v>
      </c>
      <c r="J248" s="17">
        <f t="shared" si="78"/>
        <v>0</v>
      </c>
      <c r="K248" s="188"/>
      <c r="L248" s="30">
        <f t="shared" si="78"/>
        <v>0</v>
      </c>
      <c r="M248" s="22"/>
      <c r="N248" s="17">
        <f>MIN(N217:N247)</f>
        <v>0</v>
      </c>
      <c r="O248" s="17">
        <f>MIN(O217:O247)</f>
        <v>0</v>
      </c>
      <c r="P248" s="17">
        <f t="shared" ref="P248:X248" si="79">MIN(P217:P247)</f>
        <v>0</v>
      </c>
      <c r="Q248" s="17">
        <f t="shared" si="79"/>
        <v>0</v>
      </c>
      <c r="R248" s="17">
        <f t="shared" si="79"/>
        <v>0</v>
      </c>
      <c r="S248" s="17">
        <f t="shared" si="79"/>
        <v>0</v>
      </c>
      <c r="T248" s="17">
        <f t="shared" si="79"/>
        <v>0</v>
      </c>
      <c r="U248" s="17">
        <f t="shared" si="79"/>
        <v>0</v>
      </c>
      <c r="V248" s="17">
        <f t="shared" si="79"/>
        <v>0</v>
      </c>
      <c r="W248" s="188"/>
      <c r="X248" s="30">
        <f t="shared" si="79"/>
        <v>0</v>
      </c>
      <c r="Z248" s="40">
        <f t="shared" ref="Z248:AH248" si="80">MIN(Z217:Z247)</f>
        <v>0</v>
      </c>
      <c r="AA248" s="17">
        <f t="shared" si="80"/>
        <v>0</v>
      </c>
      <c r="AB248" s="17">
        <f t="shared" si="80"/>
        <v>0</v>
      </c>
      <c r="AC248" s="17">
        <f t="shared" si="80"/>
        <v>0</v>
      </c>
      <c r="AD248" s="17">
        <f t="shared" si="80"/>
        <v>0</v>
      </c>
      <c r="AE248" s="17">
        <f t="shared" si="80"/>
        <v>0</v>
      </c>
      <c r="AF248" s="17">
        <f t="shared" si="80"/>
        <v>0</v>
      </c>
      <c r="AG248" s="188"/>
      <c r="AH248" s="30">
        <f t="shared" si="80"/>
        <v>0</v>
      </c>
    </row>
    <row r="249" spans="1:34">
      <c r="A249" s="18" t="s">
        <v>33</v>
      </c>
      <c r="B249" s="19">
        <f>MAX(B217:B247)</f>
        <v>0</v>
      </c>
      <c r="C249" s="19">
        <f>MAX(C217:C247)</f>
        <v>0</v>
      </c>
      <c r="D249" s="19">
        <f t="shared" ref="D249:L249" si="81">MAX(D217:D247)</f>
        <v>0</v>
      </c>
      <c r="E249" s="19">
        <f t="shared" si="81"/>
        <v>0</v>
      </c>
      <c r="F249" s="19">
        <f t="shared" si="81"/>
        <v>0</v>
      </c>
      <c r="G249" s="19">
        <f t="shared" si="81"/>
        <v>0</v>
      </c>
      <c r="H249" s="19">
        <f t="shared" si="81"/>
        <v>0</v>
      </c>
      <c r="I249" s="19">
        <f t="shared" si="81"/>
        <v>0</v>
      </c>
      <c r="J249" s="19">
        <f t="shared" si="81"/>
        <v>0</v>
      </c>
      <c r="K249" s="189"/>
      <c r="L249" s="31">
        <f t="shared" si="81"/>
        <v>0</v>
      </c>
      <c r="M249" s="22"/>
      <c r="N249" s="19">
        <f>MAX(N217:N247)</f>
        <v>0</v>
      </c>
      <c r="O249" s="19">
        <f>MAX(O217:O247)</f>
        <v>0</v>
      </c>
      <c r="P249" s="19">
        <f t="shared" ref="P249:X249" si="82">MAX(P217:P247)</f>
        <v>0</v>
      </c>
      <c r="Q249" s="19">
        <f t="shared" si="82"/>
        <v>0</v>
      </c>
      <c r="R249" s="19">
        <f t="shared" si="82"/>
        <v>0</v>
      </c>
      <c r="S249" s="19">
        <f t="shared" si="82"/>
        <v>0</v>
      </c>
      <c r="T249" s="19">
        <f t="shared" si="82"/>
        <v>0</v>
      </c>
      <c r="U249" s="19">
        <f t="shared" si="82"/>
        <v>0</v>
      </c>
      <c r="V249" s="19">
        <f t="shared" si="82"/>
        <v>0</v>
      </c>
      <c r="W249" s="189"/>
      <c r="X249" s="31">
        <f t="shared" si="82"/>
        <v>0</v>
      </c>
      <c r="Z249" s="41">
        <f t="shared" ref="Z249:AH249" si="83">MAX(Z217:Z247)</f>
        <v>0</v>
      </c>
      <c r="AA249" s="19">
        <f t="shared" si="83"/>
        <v>0</v>
      </c>
      <c r="AB249" s="19">
        <f t="shared" si="83"/>
        <v>0</v>
      </c>
      <c r="AC249" s="19">
        <f t="shared" si="83"/>
        <v>0</v>
      </c>
      <c r="AD249" s="19">
        <f t="shared" si="83"/>
        <v>0</v>
      </c>
      <c r="AE249" s="19">
        <f t="shared" si="83"/>
        <v>0</v>
      </c>
      <c r="AF249" s="19">
        <f t="shared" si="83"/>
        <v>0</v>
      </c>
      <c r="AG249" s="189"/>
      <c r="AH249" s="31">
        <f t="shared" si="83"/>
        <v>0</v>
      </c>
    </row>
    <row r="250" spans="1:34">
      <c r="A250" s="18" t="s">
        <v>36</v>
      </c>
      <c r="B250" s="19" t="e">
        <f t="shared" ref="B250:L250" si="84">AVERAGE(B217:B247)</f>
        <v>#DIV/0!</v>
      </c>
      <c r="C250" s="19" t="e">
        <f t="shared" si="84"/>
        <v>#DIV/0!</v>
      </c>
      <c r="D250" s="19" t="e">
        <f t="shared" si="84"/>
        <v>#DIV/0!</v>
      </c>
      <c r="E250" s="19" t="e">
        <f t="shared" si="84"/>
        <v>#DIV/0!</v>
      </c>
      <c r="F250" s="19" t="e">
        <f t="shared" si="84"/>
        <v>#DIV/0!</v>
      </c>
      <c r="G250" s="19" t="e">
        <f t="shared" si="84"/>
        <v>#DIV/0!</v>
      </c>
      <c r="H250" s="19" t="e">
        <f t="shared" si="84"/>
        <v>#DIV/0!</v>
      </c>
      <c r="I250" s="19" t="e">
        <f t="shared" si="84"/>
        <v>#DIV/0!</v>
      </c>
      <c r="J250" s="19" t="e">
        <f t="shared" si="84"/>
        <v>#DIV/0!</v>
      </c>
      <c r="K250" s="189"/>
      <c r="L250" s="31" t="e">
        <f t="shared" si="84"/>
        <v>#DIV/0!</v>
      </c>
      <c r="M250" s="22"/>
      <c r="N250" s="19" t="e">
        <f t="shared" ref="N250:X250" si="85">AVERAGE(N217:N247)</f>
        <v>#DIV/0!</v>
      </c>
      <c r="O250" s="19" t="e">
        <f t="shared" si="85"/>
        <v>#DIV/0!</v>
      </c>
      <c r="P250" s="19" t="e">
        <f t="shared" si="85"/>
        <v>#DIV/0!</v>
      </c>
      <c r="Q250" s="19" t="e">
        <f t="shared" si="85"/>
        <v>#DIV/0!</v>
      </c>
      <c r="R250" s="19" t="e">
        <f t="shared" si="85"/>
        <v>#DIV/0!</v>
      </c>
      <c r="S250" s="19" t="e">
        <f t="shared" si="85"/>
        <v>#DIV/0!</v>
      </c>
      <c r="T250" s="19" t="e">
        <f t="shared" si="85"/>
        <v>#DIV/0!</v>
      </c>
      <c r="U250" s="19" t="e">
        <f t="shared" si="85"/>
        <v>#DIV/0!</v>
      </c>
      <c r="V250" s="19" t="e">
        <f t="shared" si="85"/>
        <v>#DIV/0!</v>
      </c>
      <c r="W250" s="189"/>
      <c r="X250" s="31" t="e">
        <f t="shared" si="85"/>
        <v>#DIV/0!</v>
      </c>
      <c r="Z250" s="41" t="e">
        <f>AVERAGE(Z217:Z247)</f>
        <v>#DIV/0!</v>
      </c>
      <c r="AA250" s="19" t="e">
        <f t="shared" ref="AA250:AH250" si="86">AVERAGE(AA217:AA247)</f>
        <v>#DIV/0!</v>
      </c>
      <c r="AB250" s="19" t="e">
        <f t="shared" si="86"/>
        <v>#DIV/0!</v>
      </c>
      <c r="AC250" s="19" t="e">
        <f t="shared" si="86"/>
        <v>#DIV/0!</v>
      </c>
      <c r="AD250" s="19" t="e">
        <f t="shared" si="86"/>
        <v>#DIV/0!</v>
      </c>
      <c r="AE250" s="19" t="e">
        <f t="shared" si="86"/>
        <v>#DIV/0!</v>
      </c>
      <c r="AF250" s="19" t="e">
        <f t="shared" si="86"/>
        <v>#DIV/0!</v>
      </c>
      <c r="AG250" s="189"/>
      <c r="AH250" s="31" t="e">
        <f t="shared" si="86"/>
        <v>#DIV/0!</v>
      </c>
    </row>
    <row r="251" spans="1:34" ht="15.75" thickBot="1">
      <c r="A251" s="20" t="s">
        <v>130</v>
      </c>
      <c r="B251" s="21" t="e">
        <f>STDEV(B217:B247)</f>
        <v>#DIV/0!</v>
      </c>
      <c r="C251" s="21" t="e">
        <f t="shared" ref="C251:L251" si="87">STDEV(C217:C247)</f>
        <v>#DIV/0!</v>
      </c>
      <c r="D251" s="21" t="e">
        <f t="shared" si="87"/>
        <v>#DIV/0!</v>
      </c>
      <c r="E251" s="21" t="e">
        <f t="shared" si="87"/>
        <v>#DIV/0!</v>
      </c>
      <c r="F251" s="21" t="e">
        <f t="shared" si="87"/>
        <v>#DIV/0!</v>
      </c>
      <c r="G251" s="21" t="e">
        <f t="shared" si="87"/>
        <v>#DIV/0!</v>
      </c>
      <c r="H251" s="21" t="e">
        <f t="shared" si="87"/>
        <v>#DIV/0!</v>
      </c>
      <c r="I251" s="21" t="e">
        <f t="shared" si="87"/>
        <v>#DIV/0!</v>
      </c>
      <c r="J251" s="21" t="e">
        <f t="shared" si="87"/>
        <v>#DIV/0!</v>
      </c>
      <c r="K251" s="190"/>
      <c r="L251" s="32" t="e">
        <f t="shared" si="87"/>
        <v>#DIV/0!</v>
      </c>
      <c r="M251" s="152"/>
      <c r="N251" s="21" t="e">
        <f>STDEV(N217:N247)</f>
        <v>#DIV/0!</v>
      </c>
      <c r="O251" s="21" t="e">
        <f t="shared" ref="O251:X251" si="88">STDEV(O217:O247)</f>
        <v>#DIV/0!</v>
      </c>
      <c r="P251" s="21" t="e">
        <f t="shared" si="88"/>
        <v>#DIV/0!</v>
      </c>
      <c r="Q251" s="21" t="e">
        <f t="shared" si="88"/>
        <v>#DIV/0!</v>
      </c>
      <c r="R251" s="21" t="e">
        <f t="shared" si="88"/>
        <v>#DIV/0!</v>
      </c>
      <c r="S251" s="21" t="e">
        <f t="shared" si="88"/>
        <v>#DIV/0!</v>
      </c>
      <c r="T251" s="21" t="e">
        <f t="shared" si="88"/>
        <v>#DIV/0!</v>
      </c>
      <c r="U251" s="21" t="e">
        <f t="shared" si="88"/>
        <v>#DIV/0!</v>
      </c>
      <c r="V251" s="21" t="e">
        <f t="shared" si="88"/>
        <v>#DIV/0!</v>
      </c>
      <c r="W251" s="190"/>
      <c r="X251" s="32" t="e">
        <f t="shared" si="88"/>
        <v>#DIV/0!</v>
      </c>
      <c r="Y251" s="153"/>
      <c r="Z251" s="42" t="e">
        <f>STDEV(Z217:Z247)</f>
        <v>#DIV/0!</v>
      </c>
      <c r="AA251" s="21" t="e">
        <f t="shared" ref="AA251:AH251" si="89">STDEV(AA217:AA247)</f>
        <v>#DIV/0!</v>
      </c>
      <c r="AB251" s="21" t="e">
        <f t="shared" si="89"/>
        <v>#DIV/0!</v>
      </c>
      <c r="AC251" s="21" t="e">
        <f t="shared" si="89"/>
        <v>#DIV/0!</v>
      </c>
      <c r="AD251" s="21" t="e">
        <f t="shared" si="89"/>
        <v>#DIV/0!</v>
      </c>
      <c r="AE251" s="21" t="e">
        <f t="shared" si="89"/>
        <v>#DIV/0!</v>
      </c>
      <c r="AF251" s="21" t="e">
        <f t="shared" si="89"/>
        <v>#DIV/0!</v>
      </c>
      <c r="AG251" s="190"/>
      <c r="AH251" s="32" t="e">
        <f t="shared" si="89"/>
        <v>#DIV/0!</v>
      </c>
    </row>
    <row r="252" spans="1:34" ht="15.75" thickBot="1"/>
    <row r="253" spans="1:34" ht="15.75" thickBot="1">
      <c r="A253" s="150"/>
      <c r="B253" s="338" t="s">
        <v>0</v>
      </c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39"/>
      <c r="N253" s="339"/>
      <c r="O253" s="339"/>
      <c r="P253" s="339"/>
      <c r="Q253" s="339"/>
      <c r="R253" s="339"/>
      <c r="S253" s="339"/>
      <c r="T253" s="339"/>
      <c r="U253" s="339"/>
      <c r="V253" s="339"/>
      <c r="W253" s="339"/>
      <c r="X253" s="339"/>
      <c r="Y253" s="339"/>
      <c r="Z253" s="339"/>
      <c r="AA253" s="339"/>
      <c r="AB253" s="339"/>
      <c r="AC253" s="339"/>
      <c r="AD253" s="339"/>
      <c r="AE253" s="339"/>
      <c r="AF253" s="339"/>
      <c r="AG253" s="339"/>
      <c r="AH253" s="363"/>
    </row>
    <row r="254" spans="1:34" ht="15.75" thickBot="1">
      <c r="A254" s="151"/>
      <c r="B254" s="338" t="s">
        <v>165</v>
      </c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339"/>
      <c r="N254" s="339"/>
      <c r="O254" s="339"/>
      <c r="P254" s="339"/>
      <c r="Q254" s="339"/>
      <c r="R254" s="339"/>
      <c r="S254" s="339"/>
      <c r="T254" s="339"/>
      <c r="U254" s="339"/>
      <c r="V254" s="339"/>
      <c r="W254" s="339"/>
      <c r="X254" s="339"/>
      <c r="Y254" s="339"/>
      <c r="Z254" s="339"/>
      <c r="AA254" s="339"/>
      <c r="AB254" s="339"/>
      <c r="AC254" s="339"/>
      <c r="AD254" s="4"/>
      <c r="AE254" s="43" t="s">
        <v>107</v>
      </c>
      <c r="AF254" s="341">
        <v>46174</v>
      </c>
      <c r="AG254" s="342"/>
      <c r="AH254" s="343"/>
    </row>
    <row r="255" spans="1:34">
      <c r="A255" s="344"/>
      <c r="B255" s="346" t="s">
        <v>132</v>
      </c>
      <c r="C255" s="347"/>
      <c r="D255" s="347"/>
      <c r="E255" s="347"/>
      <c r="F255" s="347"/>
      <c r="G255" s="347"/>
      <c r="H255" s="347"/>
      <c r="I255" s="347"/>
      <c r="J255" s="347"/>
      <c r="K255" s="348"/>
      <c r="L255" s="349"/>
      <c r="M255" s="22"/>
      <c r="N255" s="350" t="s">
        <v>133</v>
      </c>
      <c r="O255" s="347"/>
      <c r="P255" s="347"/>
      <c r="Q255" s="347"/>
      <c r="R255" s="347"/>
      <c r="S255" s="347"/>
      <c r="T255" s="347"/>
      <c r="U255" s="347"/>
      <c r="V255" s="347"/>
      <c r="W255" s="348"/>
      <c r="X255" s="349"/>
      <c r="Y255" s="22"/>
      <c r="Z255" s="346" t="s">
        <v>134</v>
      </c>
      <c r="AA255" s="347"/>
      <c r="AB255" s="347"/>
      <c r="AC255" s="347"/>
      <c r="AD255" s="347"/>
      <c r="AE255" s="347"/>
      <c r="AF255" s="347"/>
      <c r="AG255" s="348"/>
      <c r="AH255" s="349"/>
    </row>
    <row r="256" spans="1:34" ht="25.5">
      <c r="A256" s="345"/>
      <c r="B256" s="359" t="s">
        <v>135</v>
      </c>
      <c r="C256" s="361" t="s">
        <v>136</v>
      </c>
      <c r="D256" s="5" t="s">
        <v>137</v>
      </c>
      <c r="E256" s="5" t="s">
        <v>138</v>
      </c>
      <c r="F256" s="5" t="s">
        <v>139</v>
      </c>
      <c r="G256" s="5" t="s">
        <v>140</v>
      </c>
      <c r="H256" s="5" t="s">
        <v>141</v>
      </c>
      <c r="I256" s="5" t="s">
        <v>142</v>
      </c>
      <c r="J256" s="5" t="s">
        <v>143</v>
      </c>
      <c r="K256" s="181"/>
      <c r="L256" s="23" t="s">
        <v>144</v>
      </c>
      <c r="M256" s="22"/>
      <c r="N256" s="355" t="s">
        <v>135</v>
      </c>
      <c r="O256" s="357" t="s">
        <v>136</v>
      </c>
      <c r="P256" s="5" t="s">
        <v>137</v>
      </c>
      <c r="Q256" s="5" t="s">
        <v>138</v>
      </c>
      <c r="R256" s="5" t="s">
        <v>139</v>
      </c>
      <c r="S256" s="5" t="s">
        <v>140</v>
      </c>
      <c r="T256" s="5" t="s">
        <v>141</v>
      </c>
      <c r="U256" s="5" t="s">
        <v>142</v>
      </c>
      <c r="V256" s="5" t="s">
        <v>143</v>
      </c>
      <c r="W256" s="181"/>
      <c r="X256" s="23" t="s">
        <v>144</v>
      </c>
      <c r="Y256" s="22"/>
      <c r="Z256" s="33" t="s">
        <v>137</v>
      </c>
      <c r="AA256" s="5" t="s">
        <v>138</v>
      </c>
      <c r="AB256" s="5" t="s">
        <v>139</v>
      </c>
      <c r="AC256" s="5" t="s">
        <v>140</v>
      </c>
      <c r="AD256" s="5" t="s">
        <v>141</v>
      </c>
      <c r="AE256" s="5" t="s">
        <v>142</v>
      </c>
      <c r="AF256" s="5" t="s">
        <v>143</v>
      </c>
      <c r="AG256" s="181"/>
      <c r="AH256" s="23" t="s">
        <v>144</v>
      </c>
    </row>
    <row r="257" spans="1:34" ht="25.5">
      <c r="A257" s="6" t="s">
        <v>145</v>
      </c>
      <c r="B257" s="360"/>
      <c r="C257" s="362"/>
      <c r="D257" s="5" t="s">
        <v>128</v>
      </c>
      <c r="E257" s="5" t="s">
        <v>128</v>
      </c>
      <c r="F257" s="5" t="s">
        <v>128</v>
      </c>
      <c r="G257" s="5" t="s">
        <v>128</v>
      </c>
      <c r="H257" s="5" t="s">
        <v>125</v>
      </c>
      <c r="I257" s="5" t="s">
        <v>146</v>
      </c>
      <c r="J257" s="5" t="s">
        <v>127</v>
      </c>
      <c r="K257" s="181"/>
      <c r="L257" s="23" t="s">
        <v>53</v>
      </c>
      <c r="M257" s="22"/>
      <c r="N257" s="356"/>
      <c r="O257" s="358"/>
      <c r="P257" s="5" t="s">
        <v>128</v>
      </c>
      <c r="Q257" s="5" t="s">
        <v>128</v>
      </c>
      <c r="R257" s="5" t="s">
        <v>128</v>
      </c>
      <c r="S257" s="5" t="s">
        <v>128</v>
      </c>
      <c r="T257" s="5" t="s">
        <v>125</v>
      </c>
      <c r="U257" s="5" t="s">
        <v>146</v>
      </c>
      <c r="V257" s="5" t="s">
        <v>127</v>
      </c>
      <c r="W257" s="181"/>
      <c r="X257" s="23" t="s">
        <v>53</v>
      </c>
      <c r="Y257" s="22"/>
      <c r="Z257" s="33" t="s">
        <v>128</v>
      </c>
      <c r="AA257" s="5" t="s">
        <v>128</v>
      </c>
      <c r="AB257" s="5" t="s">
        <v>128</v>
      </c>
      <c r="AC257" s="5" t="s">
        <v>128</v>
      </c>
      <c r="AD257" s="5" t="s">
        <v>125</v>
      </c>
      <c r="AE257" s="5" t="s">
        <v>146</v>
      </c>
      <c r="AF257" s="5" t="s">
        <v>127</v>
      </c>
      <c r="AG257" s="181"/>
      <c r="AH257" s="23" t="s">
        <v>53</v>
      </c>
    </row>
    <row r="258" spans="1:34" ht="39" thickBot="1">
      <c r="A258" s="7" t="s">
        <v>147</v>
      </c>
      <c r="B258" s="8" t="s">
        <v>148</v>
      </c>
      <c r="C258" s="9" t="s">
        <v>166</v>
      </c>
      <c r="D258" s="9" t="s">
        <v>167</v>
      </c>
      <c r="E258" s="9" t="s">
        <v>168</v>
      </c>
      <c r="F258" s="9" t="s">
        <v>169</v>
      </c>
      <c r="G258" s="9" t="s">
        <v>170</v>
      </c>
      <c r="H258" s="9" t="s">
        <v>154</v>
      </c>
      <c r="I258" s="24" t="s">
        <v>155</v>
      </c>
      <c r="J258" s="24" t="s">
        <v>156</v>
      </c>
      <c r="K258" s="182"/>
      <c r="L258" s="25" t="s">
        <v>171</v>
      </c>
      <c r="M258" s="22"/>
      <c r="N258" s="8" t="s">
        <v>148</v>
      </c>
      <c r="O258" s="9" t="s">
        <v>166</v>
      </c>
      <c r="P258" s="9" t="s">
        <v>167</v>
      </c>
      <c r="Q258" s="9" t="s">
        <v>168</v>
      </c>
      <c r="R258" s="9" t="s">
        <v>169</v>
      </c>
      <c r="S258" s="9" t="s">
        <v>170</v>
      </c>
      <c r="T258" s="9" t="s">
        <v>154</v>
      </c>
      <c r="U258" s="24" t="s">
        <v>155</v>
      </c>
      <c r="V258" s="24" t="s">
        <v>156</v>
      </c>
      <c r="W258" s="182"/>
      <c r="X258" s="25" t="s">
        <v>171</v>
      </c>
      <c r="Y258" s="22"/>
      <c r="Z258" s="8" t="s">
        <v>167</v>
      </c>
      <c r="AA258" s="9" t="s">
        <v>168</v>
      </c>
      <c r="AB258" s="9" t="s">
        <v>169</v>
      </c>
      <c r="AC258" s="9" t="s">
        <v>170</v>
      </c>
      <c r="AD258" s="9" t="s">
        <v>154</v>
      </c>
      <c r="AE258" s="9" t="s">
        <v>155</v>
      </c>
      <c r="AF258" s="9" t="s">
        <v>156</v>
      </c>
      <c r="AG258" s="182"/>
      <c r="AH258" s="23" t="s">
        <v>171</v>
      </c>
    </row>
    <row r="259" spans="1:34">
      <c r="A259" s="10">
        <f>AF254+0</f>
        <v>46174</v>
      </c>
      <c r="B259" s="11"/>
      <c r="C259" s="12"/>
      <c r="D259" s="12"/>
      <c r="E259" s="13"/>
      <c r="F259" s="12"/>
      <c r="G259" s="12"/>
      <c r="H259" s="12"/>
      <c r="I259" s="12"/>
      <c r="J259" s="13"/>
      <c r="K259" s="184"/>
      <c r="L259" s="26"/>
      <c r="M259" s="22"/>
      <c r="N259" s="29"/>
      <c r="O259" s="13"/>
      <c r="P259" s="13"/>
      <c r="Q259" s="13"/>
      <c r="R259" s="13"/>
      <c r="S259" s="13"/>
      <c r="T259" s="13"/>
      <c r="U259" s="13"/>
      <c r="V259" s="13"/>
      <c r="W259" s="184"/>
      <c r="X259" s="37"/>
      <c r="Y259" s="22"/>
      <c r="Z259" s="38"/>
      <c r="AA259" s="13"/>
      <c r="AB259" s="13"/>
      <c r="AC259" s="13"/>
      <c r="AD259" s="13"/>
      <c r="AE259" s="13"/>
      <c r="AF259" s="13"/>
      <c r="AG259" s="184"/>
      <c r="AH259" s="45"/>
    </row>
    <row r="260" spans="1:34">
      <c r="A260" s="14">
        <f t="shared" ref="A260:A289" si="90">A259+1</f>
        <v>46175</v>
      </c>
      <c r="B260" s="11"/>
      <c r="C260" s="12"/>
      <c r="D260" s="12"/>
      <c r="E260" s="13"/>
      <c r="F260" s="12"/>
      <c r="G260" s="12"/>
      <c r="H260" s="12"/>
      <c r="I260" s="12"/>
      <c r="J260" s="13"/>
      <c r="K260" s="184"/>
      <c r="L260" s="26"/>
      <c r="M260" s="22"/>
      <c r="N260" s="29"/>
      <c r="O260" s="13"/>
      <c r="P260" s="13"/>
      <c r="Q260" s="13"/>
      <c r="R260" s="13"/>
      <c r="S260" s="13"/>
      <c r="T260" s="13"/>
      <c r="U260" s="13"/>
      <c r="V260" s="13"/>
      <c r="W260" s="184"/>
      <c r="X260" s="37"/>
      <c r="Y260" s="22"/>
      <c r="Z260" s="38"/>
      <c r="AA260" s="13"/>
      <c r="AB260" s="13"/>
      <c r="AC260" s="13"/>
      <c r="AD260" s="13"/>
      <c r="AE260" s="13"/>
      <c r="AF260" s="13"/>
      <c r="AG260" s="184"/>
      <c r="AH260" s="45"/>
    </row>
    <row r="261" spans="1:34">
      <c r="A261" s="14">
        <f t="shared" si="90"/>
        <v>46176</v>
      </c>
      <c r="B261" s="11"/>
      <c r="C261" s="12"/>
      <c r="D261" s="12"/>
      <c r="E261" s="13"/>
      <c r="F261" s="12"/>
      <c r="G261" s="12"/>
      <c r="H261" s="12"/>
      <c r="I261" s="12"/>
      <c r="J261" s="13"/>
      <c r="K261" s="184"/>
      <c r="L261" s="26"/>
      <c r="M261" s="22"/>
      <c r="N261" s="29"/>
      <c r="O261" s="13"/>
      <c r="P261" s="13"/>
      <c r="Q261" s="13"/>
      <c r="R261" s="13"/>
      <c r="S261" s="13"/>
      <c r="T261" s="13"/>
      <c r="U261" s="13"/>
      <c r="V261" s="13"/>
      <c r="W261" s="184"/>
      <c r="X261" s="37"/>
      <c r="Y261" s="22"/>
      <c r="Z261" s="38"/>
      <c r="AA261" s="13"/>
      <c r="AB261" s="13"/>
      <c r="AC261" s="13"/>
      <c r="AD261" s="13"/>
      <c r="AE261" s="13"/>
      <c r="AF261" s="13"/>
      <c r="AG261" s="184"/>
      <c r="AH261" s="45"/>
    </row>
    <row r="262" spans="1:34">
      <c r="A262" s="14">
        <f t="shared" si="90"/>
        <v>46177</v>
      </c>
      <c r="B262" s="11"/>
      <c r="C262" s="12"/>
      <c r="D262" s="12"/>
      <c r="E262" s="13"/>
      <c r="F262" s="12"/>
      <c r="G262" s="12"/>
      <c r="H262" s="12"/>
      <c r="I262" s="12"/>
      <c r="J262" s="13"/>
      <c r="K262" s="184"/>
      <c r="L262" s="26"/>
      <c r="M262" s="22"/>
      <c r="N262" s="29"/>
      <c r="O262" s="13"/>
      <c r="P262" s="13"/>
      <c r="Q262" s="13"/>
      <c r="R262" s="13"/>
      <c r="S262" s="13"/>
      <c r="T262" s="13"/>
      <c r="U262" s="13"/>
      <c r="V262" s="13"/>
      <c r="W262" s="184"/>
      <c r="X262" s="37"/>
      <c r="Y262" s="22"/>
      <c r="Z262" s="38"/>
      <c r="AA262" s="13"/>
      <c r="AB262" s="13"/>
      <c r="AC262" s="13"/>
      <c r="AD262" s="13"/>
      <c r="AE262" s="13"/>
      <c r="AF262" s="13"/>
      <c r="AG262" s="184"/>
      <c r="AH262" s="45"/>
    </row>
    <row r="263" spans="1:34">
      <c r="A263" s="14">
        <f t="shared" si="90"/>
        <v>46178</v>
      </c>
      <c r="B263" s="11"/>
      <c r="C263" s="12"/>
      <c r="D263" s="12"/>
      <c r="E263" s="13"/>
      <c r="F263" s="12"/>
      <c r="G263" s="12"/>
      <c r="H263" s="12"/>
      <c r="I263" s="12"/>
      <c r="J263" s="13"/>
      <c r="K263" s="184"/>
      <c r="L263" s="26"/>
      <c r="M263" s="22"/>
      <c r="N263" s="29"/>
      <c r="O263" s="13"/>
      <c r="P263" s="13"/>
      <c r="Q263" s="13"/>
      <c r="R263" s="13"/>
      <c r="S263" s="13"/>
      <c r="T263" s="13"/>
      <c r="U263" s="13"/>
      <c r="V263" s="13"/>
      <c r="W263" s="184"/>
      <c r="X263" s="37"/>
      <c r="Y263" s="22"/>
      <c r="Z263" s="38"/>
      <c r="AA263" s="13"/>
      <c r="AB263" s="13"/>
      <c r="AC263" s="13"/>
      <c r="AD263" s="13"/>
      <c r="AE263" s="13"/>
      <c r="AF263" s="13"/>
      <c r="AG263" s="184"/>
      <c r="AH263" s="45"/>
    </row>
    <row r="264" spans="1:34">
      <c r="A264" s="14">
        <f t="shared" si="90"/>
        <v>46179</v>
      </c>
      <c r="B264" s="11"/>
      <c r="C264" s="12"/>
      <c r="D264" s="12"/>
      <c r="E264" s="13"/>
      <c r="F264" s="12"/>
      <c r="G264" s="12"/>
      <c r="H264" s="12"/>
      <c r="I264" s="12"/>
      <c r="J264" s="13"/>
      <c r="K264" s="184"/>
      <c r="L264" s="26"/>
      <c r="M264" s="22"/>
      <c r="N264" s="29"/>
      <c r="O264" s="13"/>
      <c r="P264" s="13"/>
      <c r="Q264" s="13"/>
      <c r="R264" s="13"/>
      <c r="S264" s="13"/>
      <c r="T264" s="13"/>
      <c r="U264" s="13"/>
      <c r="V264" s="13"/>
      <c r="W264" s="184"/>
      <c r="X264" s="37"/>
      <c r="Y264" s="22"/>
      <c r="Z264" s="38"/>
      <c r="AA264" s="13"/>
      <c r="AB264" s="13"/>
      <c r="AC264" s="13"/>
      <c r="AD264" s="13"/>
      <c r="AE264" s="13"/>
      <c r="AF264" s="13"/>
      <c r="AG264" s="184"/>
      <c r="AH264" s="45"/>
    </row>
    <row r="265" spans="1:34">
      <c r="A265" s="14">
        <f t="shared" si="90"/>
        <v>46180</v>
      </c>
      <c r="B265" s="11"/>
      <c r="C265" s="12"/>
      <c r="D265" s="12"/>
      <c r="E265" s="12"/>
      <c r="F265" s="12"/>
      <c r="G265" s="12"/>
      <c r="H265" s="12"/>
      <c r="I265" s="12"/>
      <c r="J265" s="13"/>
      <c r="K265" s="184"/>
      <c r="L265" s="26"/>
      <c r="M265" s="22"/>
      <c r="N265" s="29"/>
      <c r="O265" s="50"/>
      <c r="P265" s="13"/>
      <c r="Q265" s="13"/>
      <c r="R265" s="13"/>
      <c r="S265" s="13"/>
      <c r="T265" s="13"/>
      <c r="U265" s="13"/>
      <c r="V265" s="13"/>
      <c r="W265" s="184"/>
      <c r="X265" s="51"/>
      <c r="Y265" s="22"/>
      <c r="Z265" s="38"/>
      <c r="AA265" s="13"/>
      <c r="AB265" s="13"/>
      <c r="AC265" s="13"/>
      <c r="AD265" s="13"/>
      <c r="AE265" s="13"/>
      <c r="AF265" s="13"/>
      <c r="AG265" s="184"/>
      <c r="AH265" s="46"/>
    </row>
    <row r="266" spans="1:34">
      <c r="A266" s="14">
        <f t="shared" si="90"/>
        <v>46181</v>
      </c>
      <c r="B266" s="11"/>
      <c r="C266" s="12"/>
      <c r="D266" s="12"/>
      <c r="E266" s="12"/>
      <c r="F266" s="12"/>
      <c r="G266" s="12"/>
      <c r="H266" s="12"/>
      <c r="I266" s="12"/>
      <c r="J266" s="13"/>
      <c r="K266" s="184"/>
      <c r="L266" s="26"/>
      <c r="M266" s="22"/>
      <c r="N266" s="29"/>
      <c r="O266" s="13"/>
      <c r="P266" s="13"/>
      <c r="Q266" s="13"/>
      <c r="R266" s="13"/>
      <c r="S266" s="13"/>
      <c r="T266" s="13"/>
      <c r="U266" s="13"/>
      <c r="V266" s="13"/>
      <c r="W266" s="184"/>
      <c r="X266" s="37"/>
      <c r="Y266" s="22"/>
      <c r="Z266" s="38"/>
      <c r="AA266" s="13"/>
      <c r="AB266" s="13"/>
      <c r="AC266" s="13"/>
      <c r="AD266" s="13"/>
      <c r="AE266" s="13"/>
      <c r="AF266" s="13"/>
      <c r="AG266" s="184"/>
      <c r="AH266" s="45"/>
    </row>
    <row r="267" spans="1:34">
      <c r="A267" s="14">
        <f t="shared" si="90"/>
        <v>46182</v>
      </c>
      <c r="B267" s="11"/>
      <c r="C267" s="12"/>
      <c r="D267" s="12"/>
      <c r="E267" s="12"/>
      <c r="F267" s="12"/>
      <c r="G267" s="12"/>
      <c r="H267" s="12"/>
      <c r="I267" s="12"/>
      <c r="J267" s="13"/>
      <c r="K267" s="184"/>
      <c r="L267" s="26"/>
      <c r="M267" s="22"/>
      <c r="N267" s="29"/>
      <c r="O267" s="13"/>
      <c r="P267" s="13"/>
      <c r="Q267" s="13"/>
      <c r="R267" s="13"/>
      <c r="S267" s="13"/>
      <c r="T267" s="13"/>
      <c r="U267" s="13"/>
      <c r="V267" s="13"/>
      <c r="W267" s="184"/>
      <c r="X267" s="37"/>
      <c r="Y267" s="22"/>
      <c r="Z267" s="38"/>
      <c r="AA267" s="13"/>
      <c r="AB267" s="13"/>
      <c r="AC267" s="13"/>
      <c r="AD267" s="13"/>
      <c r="AE267" s="13"/>
      <c r="AF267" s="13"/>
      <c r="AG267" s="184"/>
      <c r="AH267" s="45"/>
    </row>
    <row r="268" spans="1:34">
      <c r="A268" s="14">
        <f t="shared" si="90"/>
        <v>46183</v>
      </c>
      <c r="B268" s="11"/>
      <c r="C268" s="12"/>
      <c r="D268" s="12"/>
      <c r="E268" s="12"/>
      <c r="F268" s="12"/>
      <c r="G268" s="12"/>
      <c r="H268" s="12"/>
      <c r="I268" s="12"/>
      <c r="J268" s="13"/>
      <c r="K268" s="184"/>
      <c r="L268" s="26"/>
      <c r="M268" s="22"/>
      <c r="N268" s="29"/>
      <c r="O268" s="13"/>
      <c r="P268" s="13"/>
      <c r="Q268" s="13"/>
      <c r="R268" s="13"/>
      <c r="S268" s="13"/>
      <c r="T268" s="13"/>
      <c r="U268" s="13"/>
      <c r="V268" s="13"/>
      <c r="W268" s="184"/>
      <c r="X268" s="37"/>
      <c r="Y268" s="22"/>
      <c r="Z268" s="38"/>
      <c r="AA268" s="13"/>
      <c r="AB268" s="13"/>
      <c r="AC268" s="13"/>
      <c r="AD268" s="13"/>
      <c r="AE268" s="13"/>
      <c r="AF268" s="13"/>
      <c r="AG268" s="184"/>
      <c r="AH268" s="45"/>
    </row>
    <row r="269" spans="1:34">
      <c r="A269" s="14">
        <f t="shared" si="90"/>
        <v>46184</v>
      </c>
      <c r="B269" s="38"/>
      <c r="C269" s="12"/>
      <c r="D269" s="12"/>
      <c r="E269" s="12"/>
      <c r="F269" s="12"/>
      <c r="G269" s="12"/>
      <c r="H269" s="12"/>
      <c r="I269" s="12"/>
      <c r="J269" s="13"/>
      <c r="K269" s="184"/>
      <c r="L269" s="26"/>
      <c r="M269" s="22"/>
      <c r="N269" s="29"/>
      <c r="O269" s="13"/>
      <c r="P269" s="13"/>
      <c r="Q269" s="13"/>
      <c r="R269" s="13"/>
      <c r="S269" s="13"/>
      <c r="T269" s="13"/>
      <c r="U269" s="13"/>
      <c r="V269" s="13"/>
      <c r="W269" s="184"/>
      <c r="X269" s="37"/>
      <c r="Y269" s="22"/>
      <c r="Z269" s="38"/>
      <c r="AA269" s="13"/>
      <c r="AB269" s="13"/>
      <c r="AC269" s="13"/>
      <c r="AD269" s="13"/>
      <c r="AE269" s="13"/>
      <c r="AF269" s="13"/>
      <c r="AG269" s="184"/>
      <c r="AH269" s="45"/>
    </row>
    <row r="270" spans="1:34">
      <c r="A270" s="14">
        <f t="shared" si="90"/>
        <v>46185</v>
      </c>
      <c r="B270" s="11"/>
      <c r="C270" s="12"/>
      <c r="D270" s="12"/>
      <c r="E270" s="12"/>
      <c r="F270" s="12"/>
      <c r="G270" s="12"/>
      <c r="H270" s="12"/>
      <c r="I270" s="12"/>
      <c r="J270" s="13"/>
      <c r="K270" s="184"/>
      <c r="L270" s="26"/>
      <c r="M270" s="22"/>
      <c r="N270" s="29"/>
      <c r="O270" s="13"/>
      <c r="P270" s="13"/>
      <c r="Q270" s="13"/>
      <c r="R270" s="13"/>
      <c r="S270" s="13"/>
      <c r="T270" s="13"/>
      <c r="U270" s="13"/>
      <c r="V270" s="13"/>
      <c r="W270" s="184"/>
      <c r="X270" s="37"/>
      <c r="Y270" s="22"/>
      <c r="Z270" s="38"/>
      <c r="AA270" s="13"/>
      <c r="AB270" s="13"/>
      <c r="AC270" s="13"/>
      <c r="AD270" s="13"/>
      <c r="AE270" s="13"/>
      <c r="AF270" s="13"/>
      <c r="AG270" s="184"/>
      <c r="AH270" s="45"/>
    </row>
    <row r="271" spans="1:34">
      <c r="A271" s="14">
        <f t="shared" si="90"/>
        <v>46186</v>
      </c>
      <c r="B271" s="38"/>
      <c r="C271" s="13"/>
      <c r="D271" s="12"/>
      <c r="E271" s="12"/>
      <c r="F271" s="12"/>
      <c r="G271" s="12"/>
      <c r="H271" s="12"/>
      <c r="I271" s="12"/>
      <c r="J271" s="13"/>
      <c r="K271" s="184"/>
      <c r="L271" s="26"/>
      <c r="M271" s="22"/>
      <c r="N271" s="29"/>
      <c r="O271" s="13"/>
      <c r="P271" s="13"/>
      <c r="Q271" s="13"/>
      <c r="R271" s="13"/>
      <c r="S271" s="13"/>
      <c r="T271" s="13"/>
      <c r="U271" s="13"/>
      <c r="V271" s="13"/>
      <c r="W271" s="184"/>
      <c r="X271" s="37"/>
      <c r="Y271" s="22"/>
      <c r="Z271" s="38"/>
      <c r="AA271" s="13"/>
      <c r="AB271" s="13"/>
      <c r="AC271" s="13"/>
      <c r="AD271" s="13"/>
      <c r="AE271" s="13"/>
      <c r="AF271" s="13"/>
      <c r="AG271" s="184"/>
      <c r="AH271" s="45"/>
    </row>
    <row r="272" spans="1:34">
      <c r="A272" s="14">
        <f t="shared" si="90"/>
        <v>46187</v>
      </c>
      <c r="B272" s="11"/>
      <c r="C272" s="13"/>
      <c r="D272" s="12"/>
      <c r="E272" s="12"/>
      <c r="F272" s="12"/>
      <c r="G272" s="12"/>
      <c r="H272" s="12"/>
      <c r="I272" s="36"/>
      <c r="J272" s="13"/>
      <c r="K272" s="184"/>
      <c r="L272" s="26"/>
      <c r="M272" s="22"/>
      <c r="N272" s="29"/>
      <c r="O272" s="13"/>
      <c r="P272" s="13"/>
      <c r="Q272" s="13"/>
      <c r="R272" s="13"/>
      <c r="S272" s="13"/>
      <c r="T272" s="13"/>
      <c r="U272" s="13"/>
      <c r="V272" s="13"/>
      <c r="W272" s="184"/>
      <c r="X272" s="37"/>
      <c r="Y272" s="22"/>
      <c r="Z272" s="38"/>
      <c r="AA272" s="13"/>
      <c r="AB272" s="13"/>
      <c r="AC272" s="13"/>
      <c r="AD272" s="13"/>
      <c r="AE272" s="13"/>
      <c r="AF272" s="13"/>
      <c r="AG272" s="184"/>
      <c r="AH272" s="37"/>
    </row>
    <row r="273" spans="1:34">
      <c r="A273" s="14">
        <f t="shared" si="90"/>
        <v>46188</v>
      </c>
      <c r="B273" s="11"/>
      <c r="C273" s="13"/>
      <c r="D273" s="12"/>
      <c r="E273" s="12"/>
      <c r="F273" s="12"/>
      <c r="G273" s="12"/>
      <c r="H273" s="12"/>
      <c r="I273" s="12"/>
      <c r="J273" s="13"/>
      <c r="K273" s="184"/>
      <c r="L273" s="26"/>
      <c r="M273" s="22"/>
      <c r="N273" s="29"/>
      <c r="O273" s="13"/>
      <c r="P273" s="13"/>
      <c r="Q273" s="13"/>
      <c r="R273" s="13"/>
      <c r="S273" s="13"/>
      <c r="T273" s="13"/>
      <c r="U273" s="13"/>
      <c r="V273" s="13"/>
      <c r="W273" s="184"/>
      <c r="X273" s="37"/>
      <c r="Y273" s="22"/>
      <c r="Z273" s="38"/>
      <c r="AA273" s="13"/>
      <c r="AB273" s="13"/>
      <c r="AC273" s="13"/>
      <c r="AD273" s="13"/>
      <c r="AE273" s="13"/>
      <c r="AF273" s="13"/>
      <c r="AG273" s="184"/>
      <c r="AH273" s="37"/>
    </row>
    <row r="274" spans="1:34">
      <c r="A274" s="14">
        <f t="shared" si="90"/>
        <v>46189</v>
      </c>
      <c r="B274" s="11"/>
      <c r="C274" s="13"/>
      <c r="D274" s="12"/>
      <c r="E274" s="12"/>
      <c r="F274" s="12"/>
      <c r="G274" s="12"/>
      <c r="H274" s="12"/>
      <c r="I274" s="12"/>
      <c r="J274" s="13"/>
      <c r="K274" s="184"/>
      <c r="L274" s="26"/>
      <c r="M274" s="22"/>
      <c r="N274" s="29"/>
      <c r="O274" s="13"/>
      <c r="P274" s="13"/>
      <c r="Q274" s="13"/>
      <c r="R274" s="13"/>
      <c r="S274" s="13"/>
      <c r="T274" s="13"/>
      <c r="U274" s="13"/>
      <c r="V274" s="13"/>
      <c r="W274" s="184"/>
      <c r="X274" s="37"/>
      <c r="Y274" s="22"/>
      <c r="Z274" s="38"/>
      <c r="AA274" s="13"/>
      <c r="AB274" s="13"/>
      <c r="AC274" s="13"/>
      <c r="AD274" s="13"/>
      <c r="AE274" s="13"/>
      <c r="AF274" s="13"/>
      <c r="AG274" s="184"/>
      <c r="AH274" s="37"/>
    </row>
    <row r="275" spans="1:34">
      <c r="A275" s="14">
        <f t="shared" si="90"/>
        <v>46190</v>
      </c>
      <c r="B275" s="11"/>
      <c r="C275" s="13"/>
      <c r="D275" s="12"/>
      <c r="E275" s="12"/>
      <c r="F275" s="12"/>
      <c r="G275" s="12"/>
      <c r="H275" s="12"/>
      <c r="I275" s="12"/>
      <c r="J275" s="13"/>
      <c r="K275" s="184"/>
      <c r="L275" s="26"/>
      <c r="M275" s="22"/>
      <c r="N275" s="29"/>
      <c r="O275" s="13"/>
      <c r="P275" s="13"/>
      <c r="Q275" s="13"/>
      <c r="R275" s="13"/>
      <c r="S275" s="13"/>
      <c r="T275" s="13"/>
      <c r="U275" s="13"/>
      <c r="V275" s="13"/>
      <c r="W275" s="184"/>
      <c r="X275" s="37"/>
      <c r="Y275" s="22"/>
      <c r="Z275" s="38"/>
      <c r="AA275" s="13"/>
      <c r="AB275" s="13"/>
      <c r="AC275" s="13"/>
      <c r="AD275" s="13"/>
      <c r="AE275" s="13"/>
      <c r="AF275" s="13"/>
      <c r="AG275" s="184"/>
      <c r="AH275" s="37"/>
    </row>
    <row r="276" spans="1:34">
      <c r="A276" s="14">
        <f t="shared" si="90"/>
        <v>46191</v>
      </c>
      <c r="B276" s="11"/>
      <c r="C276" s="12"/>
      <c r="D276" s="12"/>
      <c r="E276" s="12"/>
      <c r="F276" s="12"/>
      <c r="G276" s="12"/>
      <c r="H276" s="12"/>
      <c r="I276" s="12"/>
      <c r="J276" s="13"/>
      <c r="K276" s="184"/>
      <c r="L276" s="26"/>
      <c r="M276" s="22"/>
      <c r="N276" s="29"/>
      <c r="O276" s="13"/>
      <c r="P276" s="13"/>
      <c r="Q276" s="13"/>
      <c r="R276" s="13"/>
      <c r="S276" s="13"/>
      <c r="T276" s="13"/>
      <c r="U276" s="13"/>
      <c r="V276" s="13"/>
      <c r="W276" s="184"/>
      <c r="X276" s="37"/>
      <c r="Y276" s="22"/>
      <c r="Z276" s="38"/>
      <c r="AA276" s="13"/>
      <c r="AB276" s="13"/>
      <c r="AC276" s="13"/>
      <c r="AD276" s="13"/>
      <c r="AE276" s="13"/>
      <c r="AF276" s="13"/>
      <c r="AG276" s="184"/>
      <c r="AH276" s="37"/>
    </row>
    <row r="277" spans="1:34">
      <c r="A277" s="14">
        <f t="shared" si="90"/>
        <v>46192</v>
      </c>
      <c r="B277" s="11"/>
      <c r="C277" s="12"/>
      <c r="D277" s="12"/>
      <c r="E277" s="12"/>
      <c r="F277" s="12"/>
      <c r="G277" s="12"/>
      <c r="H277" s="12"/>
      <c r="I277" s="12"/>
      <c r="J277" s="13"/>
      <c r="K277" s="184"/>
      <c r="L277" s="26"/>
      <c r="M277" s="22"/>
      <c r="N277" s="29"/>
      <c r="O277" s="13"/>
      <c r="P277" s="13"/>
      <c r="Q277" s="13"/>
      <c r="R277" s="13"/>
      <c r="S277" s="13"/>
      <c r="T277" s="13"/>
      <c r="U277" s="13"/>
      <c r="V277" s="13"/>
      <c r="W277" s="184"/>
      <c r="X277" s="37"/>
      <c r="Y277" s="22"/>
      <c r="Z277" s="38"/>
      <c r="AA277" s="13"/>
      <c r="AB277" s="13"/>
      <c r="AC277" s="13"/>
      <c r="AD277" s="13"/>
      <c r="AE277" s="13"/>
      <c r="AF277" s="13"/>
      <c r="AG277" s="184"/>
      <c r="AH277" s="37"/>
    </row>
    <row r="278" spans="1:34">
      <c r="A278" s="14">
        <f t="shared" si="90"/>
        <v>46193</v>
      </c>
      <c r="B278" s="11"/>
      <c r="C278" s="13"/>
      <c r="D278" s="12"/>
      <c r="E278" s="12"/>
      <c r="F278" s="12"/>
      <c r="G278" s="12"/>
      <c r="H278" s="12"/>
      <c r="I278" s="13"/>
      <c r="J278" s="13"/>
      <c r="K278" s="184"/>
      <c r="L278" s="26"/>
      <c r="M278" s="22"/>
      <c r="N278" s="29"/>
      <c r="O278" s="13"/>
      <c r="P278" s="13"/>
      <c r="Q278" s="13"/>
      <c r="R278" s="13"/>
      <c r="S278" s="13"/>
      <c r="T278" s="13"/>
      <c r="U278" s="13"/>
      <c r="V278" s="13"/>
      <c r="W278" s="184"/>
      <c r="X278" s="37"/>
      <c r="Y278" s="22"/>
      <c r="Z278" s="38"/>
      <c r="AA278" s="13"/>
      <c r="AB278" s="13"/>
      <c r="AC278" s="13"/>
      <c r="AD278" s="13"/>
      <c r="AE278" s="13"/>
      <c r="AF278" s="13"/>
      <c r="AG278" s="184"/>
      <c r="AH278" s="37"/>
    </row>
    <row r="279" spans="1:34">
      <c r="A279" s="14">
        <f t="shared" si="90"/>
        <v>46194</v>
      </c>
      <c r="B279" s="11"/>
      <c r="C279" s="13"/>
      <c r="D279" s="12"/>
      <c r="E279" s="12"/>
      <c r="F279" s="12"/>
      <c r="G279" s="13"/>
      <c r="H279" s="13"/>
      <c r="I279" s="12"/>
      <c r="J279" s="13"/>
      <c r="K279" s="184"/>
      <c r="L279" s="26"/>
      <c r="M279" s="22"/>
      <c r="N279" s="29"/>
      <c r="O279" s="13"/>
      <c r="P279" s="13"/>
      <c r="Q279" s="13"/>
      <c r="R279" s="13"/>
      <c r="S279" s="13"/>
      <c r="T279" s="13"/>
      <c r="U279" s="13"/>
      <c r="V279" s="13"/>
      <c r="W279" s="184"/>
      <c r="X279" s="37"/>
      <c r="Y279" s="22"/>
      <c r="Z279" s="38"/>
      <c r="AA279" s="13"/>
      <c r="AB279" s="13"/>
      <c r="AC279" s="13"/>
      <c r="AD279" s="13"/>
      <c r="AE279" s="13"/>
      <c r="AF279" s="13"/>
      <c r="AG279" s="184"/>
      <c r="AH279" s="37"/>
    </row>
    <row r="280" spans="1:34">
      <c r="A280" s="14">
        <f t="shared" si="90"/>
        <v>46195</v>
      </c>
      <c r="B280" s="11"/>
      <c r="C280" s="13"/>
      <c r="D280" s="12"/>
      <c r="E280" s="12"/>
      <c r="F280" s="12"/>
      <c r="G280" s="12"/>
      <c r="H280" s="12"/>
      <c r="I280" s="13"/>
      <c r="J280" s="13"/>
      <c r="K280" s="184"/>
      <c r="L280" s="26"/>
      <c r="M280" s="22"/>
      <c r="N280" s="29"/>
      <c r="O280" s="13"/>
      <c r="P280" s="13"/>
      <c r="Q280" s="13"/>
      <c r="R280" s="13"/>
      <c r="S280" s="13"/>
      <c r="T280" s="13"/>
      <c r="U280" s="13"/>
      <c r="V280" s="13"/>
      <c r="W280" s="184"/>
      <c r="X280" s="37"/>
      <c r="Y280" s="22"/>
      <c r="Z280" s="38"/>
      <c r="AA280" s="13"/>
      <c r="AB280" s="13"/>
      <c r="AC280" s="13"/>
      <c r="AD280" s="13"/>
      <c r="AE280" s="13"/>
      <c r="AF280" s="13"/>
      <c r="AG280" s="184"/>
      <c r="AH280" s="37"/>
    </row>
    <row r="281" spans="1:34">
      <c r="A281" s="14">
        <f t="shared" si="90"/>
        <v>46196</v>
      </c>
      <c r="B281" s="38"/>
      <c r="C281" s="12"/>
      <c r="D281" s="12"/>
      <c r="E281" s="12"/>
      <c r="F281" s="12"/>
      <c r="G281" s="12"/>
      <c r="H281" s="12"/>
      <c r="I281" s="12"/>
      <c r="J281" s="13"/>
      <c r="K281" s="184"/>
      <c r="L281" s="26"/>
      <c r="M281" s="22"/>
      <c r="N281" s="61"/>
      <c r="O281" s="13"/>
      <c r="P281" s="13"/>
      <c r="Q281" s="13"/>
      <c r="R281" s="13"/>
      <c r="S281" s="13"/>
      <c r="T281" s="13"/>
      <c r="U281" s="13"/>
      <c r="V281" s="13"/>
      <c r="W281" s="184"/>
      <c r="X281" s="37"/>
      <c r="Y281" s="22"/>
      <c r="Z281" s="38"/>
      <c r="AA281" s="13"/>
      <c r="AB281" s="13"/>
      <c r="AC281" s="13"/>
      <c r="AD281" s="13"/>
      <c r="AE281" s="13"/>
      <c r="AF281" s="13"/>
      <c r="AG281" s="184"/>
      <c r="AH281" s="37"/>
    </row>
    <row r="282" spans="1:34">
      <c r="A282" s="14">
        <f t="shared" si="90"/>
        <v>46197</v>
      </c>
      <c r="B282" s="11"/>
      <c r="C282" s="12"/>
      <c r="D282" s="12"/>
      <c r="E282" s="12"/>
      <c r="F282" s="12"/>
      <c r="G282" s="12"/>
      <c r="H282" s="12"/>
      <c r="I282" s="12"/>
      <c r="J282" s="12"/>
      <c r="K282" s="185"/>
      <c r="L282" s="26"/>
      <c r="M282" s="22"/>
      <c r="N282" s="29"/>
      <c r="O282" s="13"/>
      <c r="P282" s="13"/>
      <c r="Q282" s="13"/>
      <c r="R282" s="13"/>
      <c r="S282" s="13"/>
      <c r="T282" s="13"/>
      <c r="U282" s="13"/>
      <c r="V282" s="13"/>
      <c r="W282" s="185"/>
      <c r="X282" s="37"/>
      <c r="Y282" s="22"/>
      <c r="Z282" s="38"/>
      <c r="AA282" s="13"/>
      <c r="AB282" s="13"/>
      <c r="AC282" s="13"/>
      <c r="AD282" s="13"/>
      <c r="AE282" s="13"/>
      <c r="AF282" s="13"/>
      <c r="AG282" s="185"/>
      <c r="AH282" s="37"/>
    </row>
    <row r="283" spans="1:34">
      <c r="A283" s="14">
        <f t="shared" si="90"/>
        <v>46198</v>
      </c>
      <c r="B283" s="38"/>
      <c r="C283" s="12"/>
      <c r="D283" s="12"/>
      <c r="E283" s="12"/>
      <c r="F283" s="12"/>
      <c r="G283" s="13"/>
      <c r="H283" s="13"/>
      <c r="I283" s="12"/>
      <c r="J283" s="12"/>
      <c r="K283" s="185"/>
      <c r="L283" s="37"/>
      <c r="M283" s="22"/>
      <c r="N283" s="29"/>
      <c r="O283" s="13"/>
      <c r="P283" s="13"/>
      <c r="Q283" s="13"/>
      <c r="R283" s="13"/>
      <c r="S283" s="13"/>
      <c r="T283" s="13"/>
      <c r="U283" s="13"/>
      <c r="V283" s="13"/>
      <c r="W283" s="185"/>
      <c r="X283" s="37"/>
      <c r="Y283" s="22"/>
      <c r="Z283" s="38"/>
      <c r="AA283" s="13"/>
      <c r="AB283" s="13"/>
      <c r="AC283" s="13"/>
      <c r="AD283" s="13"/>
      <c r="AE283" s="13"/>
      <c r="AF283" s="13"/>
      <c r="AG283" s="185"/>
      <c r="AH283" s="37"/>
    </row>
    <row r="284" spans="1:34">
      <c r="A284" s="14">
        <f t="shared" si="90"/>
        <v>46199</v>
      </c>
      <c r="B284" s="11"/>
      <c r="C284" s="13"/>
      <c r="D284" s="12"/>
      <c r="E284" s="12"/>
      <c r="F284" s="12"/>
      <c r="G284" s="13"/>
      <c r="H284" s="13"/>
      <c r="I284" s="13"/>
      <c r="J284" s="12"/>
      <c r="K284" s="185"/>
      <c r="L284" s="26"/>
      <c r="M284" s="22"/>
      <c r="N284" s="29"/>
      <c r="O284" s="13"/>
      <c r="P284" s="13"/>
      <c r="Q284" s="13"/>
      <c r="R284" s="13"/>
      <c r="S284" s="13"/>
      <c r="T284" s="13"/>
      <c r="U284" s="13"/>
      <c r="V284" s="13"/>
      <c r="W284" s="185"/>
      <c r="X284" s="51"/>
      <c r="Y284" s="22"/>
      <c r="Z284" s="38"/>
      <c r="AA284" s="13"/>
      <c r="AB284" s="13"/>
      <c r="AC284" s="13"/>
      <c r="AD284" s="13"/>
      <c r="AE284" s="13"/>
      <c r="AF284" s="13"/>
      <c r="AG284" s="185"/>
      <c r="AH284" s="51"/>
    </row>
    <row r="285" spans="1:34">
      <c r="A285" s="14">
        <f t="shared" si="90"/>
        <v>46200</v>
      </c>
      <c r="B285" s="11"/>
      <c r="C285" s="13"/>
      <c r="D285" s="12"/>
      <c r="E285" s="12"/>
      <c r="F285" s="12"/>
      <c r="G285" s="13"/>
      <c r="H285" s="13"/>
      <c r="I285" s="13"/>
      <c r="J285" s="12"/>
      <c r="K285" s="185"/>
      <c r="L285" s="26"/>
      <c r="M285" s="22"/>
      <c r="N285" s="29"/>
      <c r="O285" s="13"/>
      <c r="P285" s="13"/>
      <c r="Q285" s="13"/>
      <c r="R285" s="13"/>
      <c r="S285" s="13"/>
      <c r="T285" s="13"/>
      <c r="U285" s="13"/>
      <c r="V285" s="13"/>
      <c r="W285" s="185"/>
      <c r="X285" s="37"/>
      <c r="Y285" s="22"/>
      <c r="Z285" s="38"/>
      <c r="AA285" s="13"/>
      <c r="AB285" s="13"/>
      <c r="AC285" s="13"/>
      <c r="AD285" s="13"/>
      <c r="AE285" s="13"/>
      <c r="AF285" s="13"/>
      <c r="AG285" s="185"/>
      <c r="AH285" s="37"/>
    </row>
    <row r="286" spans="1:34">
      <c r="A286" s="14">
        <f t="shared" si="90"/>
        <v>46201</v>
      </c>
      <c r="B286" s="38"/>
      <c r="C286" s="13"/>
      <c r="D286" s="12"/>
      <c r="E286" s="12"/>
      <c r="F286" s="13"/>
      <c r="G286" s="12"/>
      <c r="H286" s="12"/>
      <c r="I286" s="12"/>
      <c r="J286" s="12"/>
      <c r="K286" s="185"/>
      <c r="L286" s="26"/>
      <c r="M286" s="22"/>
      <c r="N286" s="29"/>
      <c r="O286" s="13"/>
      <c r="P286" s="13"/>
      <c r="Q286" s="13"/>
      <c r="R286" s="13"/>
      <c r="S286" s="13"/>
      <c r="T286" s="13"/>
      <c r="U286" s="13"/>
      <c r="V286" s="13"/>
      <c r="W286" s="185"/>
      <c r="X286" s="37"/>
      <c r="Y286" s="22"/>
      <c r="Z286" s="38"/>
      <c r="AA286" s="13"/>
      <c r="AB286" s="13"/>
      <c r="AC286" s="13"/>
      <c r="AD286" s="13"/>
      <c r="AE286" s="13"/>
      <c r="AF286" s="13"/>
      <c r="AG286" s="185"/>
      <c r="AH286" s="37"/>
    </row>
    <row r="287" spans="1:34">
      <c r="A287" s="14">
        <f t="shared" si="90"/>
        <v>46202</v>
      </c>
      <c r="B287" s="38"/>
      <c r="C287" s="12"/>
      <c r="D287" s="12"/>
      <c r="E287" s="12"/>
      <c r="F287" s="12"/>
      <c r="G287" s="12"/>
      <c r="H287" s="12"/>
      <c r="I287" s="12"/>
      <c r="J287" s="59"/>
      <c r="K287" s="186"/>
      <c r="L287" s="26"/>
      <c r="M287" s="22"/>
      <c r="N287" s="29"/>
      <c r="O287" s="13"/>
      <c r="P287" s="13"/>
      <c r="Q287" s="13"/>
      <c r="R287" s="13"/>
      <c r="S287" s="13"/>
      <c r="T287" s="13"/>
      <c r="U287" s="13"/>
      <c r="V287" s="13"/>
      <c r="W287" s="186"/>
      <c r="X287" s="37"/>
      <c r="Y287" s="22"/>
      <c r="Z287" s="38"/>
      <c r="AA287" s="13"/>
      <c r="AB287" s="13"/>
      <c r="AC287" s="13"/>
      <c r="AD287" s="13"/>
      <c r="AE287" s="13"/>
      <c r="AF287" s="13"/>
      <c r="AG287" s="186"/>
      <c r="AH287" s="37"/>
    </row>
    <row r="288" spans="1:34">
      <c r="A288" s="14">
        <f t="shared" si="90"/>
        <v>46203</v>
      </c>
      <c r="B288" s="11"/>
      <c r="C288" s="12"/>
      <c r="D288" s="12"/>
      <c r="E288" s="12"/>
      <c r="F288" s="12"/>
      <c r="G288" s="12"/>
      <c r="H288" s="12"/>
      <c r="I288" s="12"/>
      <c r="J288" s="12"/>
      <c r="K288" s="185"/>
      <c r="L288" s="26"/>
      <c r="M288" s="22"/>
      <c r="N288" s="29"/>
      <c r="O288" s="13"/>
      <c r="P288" s="47"/>
      <c r="Q288" s="47"/>
      <c r="R288" s="47"/>
      <c r="S288" s="47"/>
      <c r="T288" s="47"/>
      <c r="U288" s="47"/>
      <c r="V288" s="53"/>
      <c r="W288" s="185"/>
      <c r="X288" s="48"/>
      <c r="Y288" s="22"/>
      <c r="Z288" s="38"/>
      <c r="AA288" s="13"/>
      <c r="AB288" s="47"/>
      <c r="AC288" s="47"/>
      <c r="AD288" s="47"/>
      <c r="AE288" s="13"/>
      <c r="AF288" s="53"/>
      <c r="AG288" s="185"/>
      <c r="AH288" s="37"/>
    </row>
    <row r="289" spans="1:34" ht="15.75" thickBot="1">
      <c r="A289" s="15">
        <f t="shared" si="90"/>
        <v>46204</v>
      </c>
      <c r="B289" s="57"/>
      <c r="C289" s="58"/>
      <c r="D289" s="58"/>
      <c r="E289" s="58"/>
      <c r="F289" s="58"/>
      <c r="G289" s="58"/>
      <c r="H289" s="58"/>
      <c r="I289" s="58"/>
      <c r="J289" s="58"/>
      <c r="K289" s="187"/>
      <c r="L289" s="60"/>
      <c r="M289" s="22"/>
      <c r="N289" s="56"/>
      <c r="O289" s="47"/>
      <c r="P289" s="47"/>
      <c r="Q289" s="47"/>
      <c r="R289" s="47"/>
      <c r="S289" s="47"/>
      <c r="T289" s="47"/>
      <c r="U289" s="47"/>
      <c r="V289" s="47"/>
      <c r="W289" s="187"/>
      <c r="X289" s="48"/>
      <c r="Y289" s="22"/>
      <c r="Z289" s="39"/>
      <c r="AA289" s="47"/>
      <c r="AB289" s="47"/>
      <c r="AC289" s="47"/>
      <c r="AD289" s="47"/>
      <c r="AE289" s="47"/>
      <c r="AF289" s="47"/>
      <c r="AG289" s="187"/>
      <c r="AH289" s="48"/>
    </row>
    <row r="290" spans="1:34">
      <c r="A290" s="16" t="s">
        <v>31</v>
      </c>
      <c r="B290" s="17">
        <f>MIN(B259:B289)</f>
        <v>0</v>
      </c>
      <c r="C290" s="17">
        <f>MIN(C259:C289)</f>
        <v>0</v>
      </c>
      <c r="D290" s="17">
        <f t="shared" ref="D290:L290" si="91">MIN(D259:D289)</f>
        <v>0</v>
      </c>
      <c r="E290" s="17">
        <f t="shared" si="91"/>
        <v>0</v>
      </c>
      <c r="F290" s="17">
        <f t="shared" si="91"/>
        <v>0</v>
      </c>
      <c r="G290" s="17">
        <f t="shared" si="91"/>
        <v>0</v>
      </c>
      <c r="H290" s="17">
        <f t="shared" si="91"/>
        <v>0</v>
      </c>
      <c r="I290" s="17">
        <f t="shared" si="91"/>
        <v>0</v>
      </c>
      <c r="J290" s="17">
        <f t="shared" si="91"/>
        <v>0</v>
      </c>
      <c r="K290" s="188"/>
      <c r="L290" s="30">
        <f t="shared" si="91"/>
        <v>0</v>
      </c>
      <c r="M290" s="22"/>
      <c r="N290" s="17">
        <f>MIN(N259:N289)</f>
        <v>0</v>
      </c>
      <c r="O290" s="17">
        <f>MIN(O259:O289)</f>
        <v>0</v>
      </c>
      <c r="P290" s="17">
        <f t="shared" ref="P290:X290" si="92">MIN(P259:P289)</f>
        <v>0</v>
      </c>
      <c r="Q290" s="17">
        <f t="shared" si="92"/>
        <v>0</v>
      </c>
      <c r="R290" s="17">
        <f t="shared" si="92"/>
        <v>0</v>
      </c>
      <c r="S290" s="17">
        <f t="shared" si="92"/>
        <v>0</v>
      </c>
      <c r="T290" s="17">
        <f t="shared" si="92"/>
        <v>0</v>
      </c>
      <c r="U290" s="17">
        <f t="shared" si="92"/>
        <v>0</v>
      </c>
      <c r="V290" s="17">
        <f t="shared" si="92"/>
        <v>0</v>
      </c>
      <c r="W290" s="188"/>
      <c r="X290" s="30">
        <f t="shared" si="92"/>
        <v>0</v>
      </c>
      <c r="Z290" s="40">
        <f t="shared" ref="Z290:AH290" si="93">MIN(Z259:Z289)</f>
        <v>0</v>
      </c>
      <c r="AA290" s="17">
        <f t="shared" si="93"/>
        <v>0</v>
      </c>
      <c r="AB290" s="17">
        <f t="shared" si="93"/>
        <v>0</v>
      </c>
      <c r="AC290" s="17">
        <f t="shared" si="93"/>
        <v>0</v>
      </c>
      <c r="AD290" s="17">
        <f t="shared" si="93"/>
        <v>0</v>
      </c>
      <c r="AE290" s="17">
        <f t="shared" si="93"/>
        <v>0</v>
      </c>
      <c r="AF290" s="17">
        <f t="shared" si="93"/>
        <v>0</v>
      </c>
      <c r="AG290" s="188"/>
      <c r="AH290" s="30">
        <f t="shared" si="93"/>
        <v>0</v>
      </c>
    </row>
    <row r="291" spans="1:34">
      <c r="A291" s="18" t="s">
        <v>33</v>
      </c>
      <c r="B291" s="19">
        <f>MAX(B259:B289)</f>
        <v>0</v>
      </c>
      <c r="C291" s="19">
        <f>MAX(C259:C289)</f>
        <v>0</v>
      </c>
      <c r="D291" s="19">
        <f t="shared" ref="D291:L291" si="94">MAX(D259:D289)</f>
        <v>0</v>
      </c>
      <c r="E291" s="19">
        <f t="shared" si="94"/>
        <v>0</v>
      </c>
      <c r="F291" s="19">
        <f t="shared" si="94"/>
        <v>0</v>
      </c>
      <c r="G291" s="19">
        <f t="shared" si="94"/>
        <v>0</v>
      </c>
      <c r="H291" s="19">
        <f t="shared" si="94"/>
        <v>0</v>
      </c>
      <c r="I291" s="19">
        <f t="shared" si="94"/>
        <v>0</v>
      </c>
      <c r="J291" s="19">
        <f t="shared" si="94"/>
        <v>0</v>
      </c>
      <c r="K291" s="189"/>
      <c r="L291" s="31">
        <f t="shared" si="94"/>
        <v>0</v>
      </c>
      <c r="M291" s="22"/>
      <c r="N291" s="19">
        <f>MAX(N259:N289)</f>
        <v>0</v>
      </c>
      <c r="O291" s="19">
        <f>MAX(O259:O289)</f>
        <v>0</v>
      </c>
      <c r="P291" s="19">
        <f t="shared" ref="P291:X291" si="95">MAX(P259:P289)</f>
        <v>0</v>
      </c>
      <c r="Q291" s="19">
        <f t="shared" si="95"/>
        <v>0</v>
      </c>
      <c r="R291" s="19">
        <f t="shared" si="95"/>
        <v>0</v>
      </c>
      <c r="S291" s="19">
        <f t="shared" si="95"/>
        <v>0</v>
      </c>
      <c r="T291" s="19">
        <f t="shared" si="95"/>
        <v>0</v>
      </c>
      <c r="U291" s="19">
        <f t="shared" si="95"/>
        <v>0</v>
      </c>
      <c r="V291" s="19">
        <f t="shared" si="95"/>
        <v>0</v>
      </c>
      <c r="W291" s="189"/>
      <c r="X291" s="31">
        <f t="shared" si="95"/>
        <v>0</v>
      </c>
      <c r="Z291" s="41">
        <f t="shared" ref="Z291:AH291" si="96">MAX(Z259:Z289)</f>
        <v>0</v>
      </c>
      <c r="AA291" s="19">
        <f t="shared" si="96"/>
        <v>0</v>
      </c>
      <c r="AB291" s="19">
        <f t="shared" si="96"/>
        <v>0</v>
      </c>
      <c r="AC291" s="19">
        <f t="shared" si="96"/>
        <v>0</v>
      </c>
      <c r="AD291" s="19">
        <f t="shared" si="96"/>
        <v>0</v>
      </c>
      <c r="AE291" s="19">
        <f t="shared" si="96"/>
        <v>0</v>
      </c>
      <c r="AF291" s="19">
        <f t="shared" si="96"/>
        <v>0</v>
      </c>
      <c r="AG291" s="189"/>
      <c r="AH291" s="31">
        <f t="shared" si="96"/>
        <v>0</v>
      </c>
    </row>
    <row r="292" spans="1:34">
      <c r="A292" s="18" t="s">
        <v>36</v>
      </c>
      <c r="B292" s="19" t="e">
        <f t="shared" ref="B292:L292" si="97">AVERAGE(B259:B289)</f>
        <v>#DIV/0!</v>
      </c>
      <c r="C292" s="19" t="e">
        <f t="shared" si="97"/>
        <v>#DIV/0!</v>
      </c>
      <c r="D292" s="19" t="e">
        <f t="shared" si="97"/>
        <v>#DIV/0!</v>
      </c>
      <c r="E292" s="19" t="e">
        <f t="shared" si="97"/>
        <v>#DIV/0!</v>
      </c>
      <c r="F292" s="19" t="e">
        <f t="shared" si="97"/>
        <v>#DIV/0!</v>
      </c>
      <c r="G292" s="19" t="e">
        <f t="shared" si="97"/>
        <v>#DIV/0!</v>
      </c>
      <c r="H292" s="19" t="e">
        <f t="shared" si="97"/>
        <v>#DIV/0!</v>
      </c>
      <c r="I292" s="19" t="e">
        <f t="shared" si="97"/>
        <v>#DIV/0!</v>
      </c>
      <c r="J292" s="19" t="e">
        <f t="shared" si="97"/>
        <v>#DIV/0!</v>
      </c>
      <c r="K292" s="189"/>
      <c r="L292" s="31" t="e">
        <f t="shared" si="97"/>
        <v>#DIV/0!</v>
      </c>
      <c r="M292" s="22"/>
      <c r="N292" s="19" t="e">
        <f t="shared" ref="N292:X292" si="98">AVERAGE(N259:N289)</f>
        <v>#DIV/0!</v>
      </c>
      <c r="O292" s="19" t="e">
        <f t="shared" si="98"/>
        <v>#DIV/0!</v>
      </c>
      <c r="P292" s="19" t="e">
        <f t="shared" si="98"/>
        <v>#DIV/0!</v>
      </c>
      <c r="Q292" s="19" t="e">
        <f t="shared" si="98"/>
        <v>#DIV/0!</v>
      </c>
      <c r="R292" s="19" t="e">
        <f t="shared" si="98"/>
        <v>#DIV/0!</v>
      </c>
      <c r="S292" s="19" t="e">
        <f t="shared" si="98"/>
        <v>#DIV/0!</v>
      </c>
      <c r="T292" s="19" t="e">
        <f t="shared" si="98"/>
        <v>#DIV/0!</v>
      </c>
      <c r="U292" s="19" t="e">
        <f t="shared" si="98"/>
        <v>#DIV/0!</v>
      </c>
      <c r="V292" s="19" t="e">
        <f t="shared" si="98"/>
        <v>#DIV/0!</v>
      </c>
      <c r="W292" s="189"/>
      <c r="X292" s="31" t="e">
        <f t="shared" si="98"/>
        <v>#DIV/0!</v>
      </c>
      <c r="Z292" s="41" t="e">
        <f>AVERAGE(Z259:Z289)</f>
        <v>#DIV/0!</v>
      </c>
      <c r="AA292" s="19" t="e">
        <f t="shared" ref="AA292:AH292" si="99">AVERAGE(AA259:AA289)</f>
        <v>#DIV/0!</v>
      </c>
      <c r="AB292" s="19" t="e">
        <f t="shared" si="99"/>
        <v>#DIV/0!</v>
      </c>
      <c r="AC292" s="19" t="e">
        <f t="shared" si="99"/>
        <v>#DIV/0!</v>
      </c>
      <c r="AD292" s="19" t="e">
        <f t="shared" si="99"/>
        <v>#DIV/0!</v>
      </c>
      <c r="AE292" s="19" t="e">
        <f t="shared" si="99"/>
        <v>#DIV/0!</v>
      </c>
      <c r="AF292" s="19" t="e">
        <f t="shared" si="99"/>
        <v>#DIV/0!</v>
      </c>
      <c r="AG292" s="189"/>
      <c r="AH292" s="31" t="e">
        <f t="shared" si="99"/>
        <v>#DIV/0!</v>
      </c>
    </row>
    <row r="293" spans="1:34" ht="15.75" thickBot="1">
      <c r="A293" s="20" t="s">
        <v>130</v>
      </c>
      <c r="B293" s="21" t="e">
        <f>STDEV(B259:B289)</f>
        <v>#DIV/0!</v>
      </c>
      <c r="C293" s="21" t="e">
        <f t="shared" ref="C293:L293" si="100">STDEV(C259:C289)</f>
        <v>#DIV/0!</v>
      </c>
      <c r="D293" s="21" t="e">
        <f t="shared" si="100"/>
        <v>#DIV/0!</v>
      </c>
      <c r="E293" s="21" t="e">
        <f t="shared" si="100"/>
        <v>#DIV/0!</v>
      </c>
      <c r="F293" s="21" t="e">
        <f t="shared" si="100"/>
        <v>#DIV/0!</v>
      </c>
      <c r="G293" s="21" t="e">
        <f t="shared" si="100"/>
        <v>#DIV/0!</v>
      </c>
      <c r="H293" s="21" t="e">
        <f t="shared" si="100"/>
        <v>#DIV/0!</v>
      </c>
      <c r="I293" s="21" t="e">
        <f t="shared" si="100"/>
        <v>#DIV/0!</v>
      </c>
      <c r="J293" s="21" t="e">
        <f t="shared" si="100"/>
        <v>#DIV/0!</v>
      </c>
      <c r="K293" s="190"/>
      <c r="L293" s="32" t="e">
        <f t="shared" si="100"/>
        <v>#DIV/0!</v>
      </c>
      <c r="M293" s="152"/>
      <c r="N293" s="21" t="e">
        <f>STDEV(N259:N289)</f>
        <v>#DIV/0!</v>
      </c>
      <c r="O293" s="21" t="e">
        <f t="shared" ref="O293:X293" si="101">STDEV(O259:O289)</f>
        <v>#DIV/0!</v>
      </c>
      <c r="P293" s="21" t="e">
        <f t="shared" si="101"/>
        <v>#DIV/0!</v>
      </c>
      <c r="Q293" s="21" t="e">
        <f t="shared" si="101"/>
        <v>#DIV/0!</v>
      </c>
      <c r="R293" s="21" t="e">
        <f t="shared" si="101"/>
        <v>#DIV/0!</v>
      </c>
      <c r="S293" s="21" t="e">
        <f t="shared" si="101"/>
        <v>#DIV/0!</v>
      </c>
      <c r="T293" s="21" t="e">
        <f t="shared" si="101"/>
        <v>#DIV/0!</v>
      </c>
      <c r="U293" s="21" t="e">
        <f t="shared" si="101"/>
        <v>#DIV/0!</v>
      </c>
      <c r="V293" s="21" t="e">
        <f t="shared" si="101"/>
        <v>#DIV/0!</v>
      </c>
      <c r="W293" s="190"/>
      <c r="X293" s="32" t="e">
        <f t="shared" si="101"/>
        <v>#DIV/0!</v>
      </c>
      <c r="Y293" s="153"/>
      <c r="Z293" s="42" t="e">
        <f>STDEV(Z259:Z289)</f>
        <v>#DIV/0!</v>
      </c>
      <c r="AA293" s="21" t="e">
        <f t="shared" ref="AA293:AH293" si="102">STDEV(AA259:AA289)</f>
        <v>#DIV/0!</v>
      </c>
      <c r="AB293" s="21" t="e">
        <f t="shared" si="102"/>
        <v>#DIV/0!</v>
      </c>
      <c r="AC293" s="21" t="e">
        <f t="shared" si="102"/>
        <v>#DIV/0!</v>
      </c>
      <c r="AD293" s="21" t="e">
        <f t="shared" si="102"/>
        <v>#DIV/0!</v>
      </c>
      <c r="AE293" s="21" t="e">
        <f t="shared" si="102"/>
        <v>#DIV/0!</v>
      </c>
      <c r="AF293" s="21" t="e">
        <f t="shared" si="102"/>
        <v>#DIV/0!</v>
      </c>
      <c r="AG293" s="190"/>
      <c r="AH293" s="32" t="e">
        <f t="shared" si="102"/>
        <v>#DIV/0!</v>
      </c>
    </row>
    <row r="294" spans="1:34" ht="15.75" thickBot="1"/>
    <row r="295" spans="1:34" ht="15.75" thickBot="1">
      <c r="A295" s="150"/>
      <c r="B295" s="338" t="s">
        <v>0</v>
      </c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  <c r="AA295" s="339"/>
      <c r="AB295" s="339"/>
      <c r="AC295" s="339"/>
      <c r="AD295" s="339"/>
      <c r="AE295" s="339"/>
      <c r="AF295" s="339"/>
      <c r="AG295" s="339"/>
      <c r="AH295" s="363"/>
    </row>
    <row r="296" spans="1:34" ht="15.75" thickBot="1">
      <c r="A296" s="151"/>
      <c r="B296" s="338" t="s">
        <v>165</v>
      </c>
      <c r="C296" s="339"/>
      <c r="D296" s="339"/>
      <c r="E296" s="339"/>
      <c r="F296" s="339"/>
      <c r="G296" s="339"/>
      <c r="H296" s="339"/>
      <c r="I296" s="339"/>
      <c r="J296" s="339"/>
      <c r="K296" s="339"/>
      <c r="L296" s="339"/>
      <c r="M296" s="339"/>
      <c r="N296" s="339"/>
      <c r="O296" s="339"/>
      <c r="P296" s="339"/>
      <c r="Q296" s="339"/>
      <c r="R296" s="339"/>
      <c r="S296" s="339"/>
      <c r="T296" s="339"/>
      <c r="U296" s="339"/>
      <c r="V296" s="339"/>
      <c r="W296" s="339"/>
      <c r="X296" s="339"/>
      <c r="Y296" s="339"/>
      <c r="Z296" s="339"/>
      <c r="AA296" s="339"/>
      <c r="AB296" s="339"/>
      <c r="AC296" s="339"/>
      <c r="AD296" s="4"/>
      <c r="AE296" s="43" t="s">
        <v>107</v>
      </c>
      <c r="AF296" s="341">
        <v>46204</v>
      </c>
      <c r="AG296" s="342"/>
      <c r="AH296" s="343"/>
    </row>
    <row r="297" spans="1:34">
      <c r="A297" s="344"/>
      <c r="B297" s="346" t="s">
        <v>132</v>
      </c>
      <c r="C297" s="347"/>
      <c r="D297" s="347"/>
      <c r="E297" s="347"/>
      <c r="F297" s="347"/>
      <c r="G297" s="347"/>
      <c r="H297" s="347"/>
      <c r="I297" s="347"/>
      <c r="J297" s="347"/>
      <c r="K297" s="348"/>
      <c r="L297" s="349"/>
      <c r="M297" s="22"/>
      <c r="N297" s="350" t="s">
        <v>133</v>
      </c>
      <c r="O297" s="347"/>
      <c r="P297" s="347"/>
      <c r="Q297" s="347"/>
      <c r="R297" s="347"/>
      <c r="S297" s="347"/>
      <c r="T297" s="347"/>
      <c r="U297" s="347"/>
      <c r="V297" s="347"/>
      <c r="W297" s="348"/>
      <c r="X297" s="349"/>
      <c r="Y297" s="22"/>
      <c r="Z297" s="346" t="s">
        <v>134</v>
      </c>
      <c r="AA297" s="347"/>
      <c r="AB297" s="347"/>
      <c r="AC297" s="347"/>
      <c r="AD297" s="347"/>
      <c r="AE297" s="347"/>
      <c r="AF297" s="347"/>
      <c r="AG297" s="348"/>
      <c r="AH297" s="349"/>
    </row>
    <row r="298" spans="1:34" ht="25.5">
      <c r="A298" s="345"/>
      <c r="B298" s="359" t="s">
        <v>135</v>
      </c>
      <c r="C298" s="361" t="s">
        <v>136</v>
      </c>
      <c r="D298" s="5" t="s">
        <v>137</v>
      </c>
      <c r="E298" s="5" t="s">
        <v>138</v>
      </c>
      <c r="F298" s="5" t="s">
        <v>139</v>
      </c>
      <c r="G298" s="5" t="s">
        <v>140</v>
      </c>
      <c r="H298" s="5" t="s">
        <v>141</v>
      </c>
      <c r="I298" s="5" t="s">
        <v>142</v>
      </c>
      <c r="J298" s="5" t="s">
        <v>143</v>
      </c>
      <c r="K298" s="181"/>
      <c r="L298" s="23" t="s">
        <v>144</v>
      </c>
      <c r="M298" s="22"/>
      <c r="N298" s="355" t="s">
        <v>135</v>
      </c>
      <c r="O298" s="357" t="s">
        <v>136</v>
      </c>
      <c r="P298" s="5" t="s">
        <v>137</v>
      </c>
      <c r="Q298" s="5" t="s">
        <v>138</v>
      </c>
      <c r="R298" s="5" t="s">
        <v>139</v>
      </c>
      <c r="S298" s="5" t="s">
        <v>140</v>
      </c>
      <c r="T298" s="5" t="s">
        <v>141</v>
      </c>
      <c r="U298" s="5" t="s">
        <v>142</v>
      </c>
      <c r="V298" s="5" t="s">
        <v>143</v>
      </c>
      <c r="W298" s="181"/>
      <c r="X298" s="23" t="s">
        <v>144</v>
      </c>
      <c r="Y298" s="22"/>
      <c r="Z298" s="33" t="s">
        <v>137</v>
      </c>
      <c r="AA298" s="5" t="s">
        <v>138</v>
      </c>
      <c r="AB298" s="5" t="s">
        <v>139</v>
      </c>
      <c r="AC298" s="5" t="s">
        <v>140</v>
      </c>
      <c r="AD298" s="5" t="s">
        <v>141</v>
      </c>
      <c r="AE298" s="5" t="s">
        <v>142</v>
      </c>
      <c r="AF298" s="5" t="s">
        <v>143</v>
      </c>
      <c r="AG298" s="181"/>
      <c r="AH298" s="23" t="s">
        <v>144</v>
      </c>
    </row>
    <row r="299" spans="1:34" ht="25.5">
      <c r="A299" s="6" t="s">
        <v>145</v>
      </c>
      <c r="B299" s="360"/>
      <c r="C299" s="362"/>
      <c r="D299" s="5" t="s">
        <v>128</v>
      </c>
      <c r="E299" s="5" t="s">
        <v>128</v>
      </c>
      <c r="F299" s="5" t="s">
        <v>128</v>
      </c>
      <c r="G299" s="5" t="s">
        <v>128</v>
      </c>
      <c r="H299" s="5" t="s">
        <v>125</v>
      </c>
      <c r="I299" s="5" t="s">
        <v>146</v>
      </c>
      <c r="J299" s="5" t="s">
        <v>127</v>
      </c>
      <c r="K299" s="181"/>
      <c r="L299" s="23" t="s">
        <v>53</v>
      </c>
      <c r="M299" s="22"/>
      <c r="N299" s="356"/>
      <c r="O299" s="358"/>
      <c r="P299" s="5" t="s">
        <v>128</v>
      </c>
      <c r="Q299" s="5" t="s">
        <v>128</v>
      </c>
      <c r="R299" s="5" t="s">
        <v>128</v>
      </c>
      <c r="S299" s="5" t="s">
        <v>128</v>
      </c>
      <c r="T299" s="5" t="s">
        <v>125</v>
      </c>
      <c r="U299" s="5" t="s">
        <v>146</v>
      </c>
      <c r="V299" s="5" t="s">
        <v>127</v>
      </c>
      <c r="W299" s="181"/>
      <c r="X299" s="23" t="s">
        <v>53</v>
      </c>
      <c r="Y299" s="22"/>
      <c r="Z299" s="33" t="s">
        <v>128</v>
      </c>
      <c r="AA299" s="5" t="s">
        <v>128</v>
      </c>
      <c r="AB299" s="5" t="s">
        <v>128</v>
      </c>
      <c r="AC299" s="5" t="s">
        <v>128</v>
      </c>
      <c r="AD299" s="5" t="s">
        <v>125</v>
      </c>
      <c r="AE299" s="5" t="s">
        <v>146</v>
      </c>
      <c r="AF299" s="5" t="s">
        <v>127</v>
      </c>
      <c r="AG299" s="181"/>
      <c r="AH299" s="23" t="s">
        <v>53</v>
      </c>
    </row>
    <row r="300" spans="1:34" ht="39" thickBot="1">
      <c r="A300" s="7" t="s">
        <v>147</v>
      </c>
      <c r="B300" s="8" t="s">
        <v>148</v>
      </c>
      <c r="C300" s="9" t="s">
        <v>166</v>
      </c>
      <c r="D300" s="9" t="s">
        <v>167</v>
      </c>
      <c r="E300" s="9" t="s">
        <v>168</v>
      </c>
      <c r="F300" s="9" t="s">
        <v>169</v>
      </c>
      <c r="G300" s="9" t="s">
        <v>170</v>
      </c>
      <c r="H300" s="9" t="s">
        <v>154</v>
      </c>
      <c r="I300" s="24" t="s">
        <v>155</v>
      </c>
      <c r="J300" s="24" t="s">
        <v>156</v>
      </c>
      <c r="K300" s="182"/>
      <c r="L300" s="25" t="s">
        <v>171</v>
      </c>
      <c r="M300" s="22"/>
      <c r="N300" s="8" t="s">
        <v>148</v>
      </c>
      <c r="O300" s="9" t="s">
        <v>166</v>
      </c>
      <c r="P300" s="9" t="s">
        <v>167</v>
      </c>
      <c r="Q300" s="9" t="s">
        <v>168</v>
      </c>
      <c r="R300" s="9" t="s">
        <v>169</v>
      </c>
      <c r="S300" s="9" t="s">
        <v>170</v>
      </c>
      <c r="T300" s="9" t="s">
        <v>154</v>
      </c>
      <c r="U300" s="24" t="s">
        <v>155</v>
      </c>
      <c r="V300" s="24" t="s">
        <v>156</v>
      </c>
      <c r="W300" s="182"/>
      <c r="X300" s="25" t="s">
        <v>171</v>
      </c>
      <c r="Y300" s="22"/>
      <c r="Z300" s="8" t="s">
        <v>167</v>
      </c>
      <c r="AA300" s="9" t="s">
        <v>168</v>
      </c>
      <c r="AB300" s="9" t="s">
        <v>169</v>
      </c>
      <c r="AC300" s="9" t="s">
        <v>170</v>
      </c>
      <c r="AD300" s="9" t="s">
        <v>154</v>
      </c>
      <c r="AE300" s="9" t="s">
        <v>155</v>
      </c>
      <c r="AF300" s="9" t="s">
        <v>156</v>
      </c>
      <c r="AG300" s="182"/>
      <c r="AH300" s="23" t="s">
        <v>171</v>
      </c>
    </row>
    <row r="301" spans="1:34">
      <c r="A301" s="10">
        <f>AF296+0</f>
        <v>46204</v>
      </c>
      <c r="B301" s="11"/>
      <c r="C301" s="12"/>
      <c r="D301" s="12"/>
      <c r="E301" s="13"/>
      <c r="F301" s="12"/>
      <c r="G301" s="12"/>
      <c r="H301" s="12"/>
      <c r="I301" s="12"/>
      <c r="J301" s="13"/>
      <c r="K301" s="184"/>
      <c r="L301" s="26"/>
      <c r="M301" s="22"/>
      <c r="N301" s="29"/>
      <c r="O301" s="13"/>
      <c r="P301" s="13"/>
      <c r="Q301" s="13"/>
      <c r="R301" s="13"/>
      <c r="S301" s="13"/>
      <c r="T301" s="13"/>
      <c r="U301" s="13"/>
      <c r="V301" s="13"/>
      <c r="W301" s="184"/>
      <c r="X301" s="37"/>
      <c r="Y301" s="22"/>
      <c r="Z301" s="38"/>
      <c r="AA301" s="13"/>
      <c r="AB301" s="13"/>
      <c r="AC301" s="13"/>
      <c r="AD301" s="13"/>
      <c r="AE301" s="13"/>
      <c r="AF301" s="13"/>
      <c r="AG301" s="184"/>
      <c r="AH301" s="45"/>
    </row>
    <row r="302" spans="1:34">
      <c r="A302" s="14">
        <f t="shared" ref="A302:A331" si="103">A301+1</f>
        <v>46205</v>
      </c>
      <c r="B302" s="11"/>
      <c r="C302" s="12"/>
      <c r="D302" s="12"/>
      <c r="E302" s="13"/>
      <c r="F302" s="12"/>
      <c r="G302" s="12"/>
      <c r="H302" s="12"/>
      <c r="I302" s="12"/>
      <c r="J302" s="13"/>
      <c r="K302" s="184"/>
      <c r="L302" s="26"/>
      <c r="M302" s="22"/>
      <c r="N302" s="29"/>
      <c r="O302" s="13"/>
      <c r="P302" s="13"/>
      <c r="Q302" s="13"/>
      <c r="R302" s="13"/>
      <c r="S302" s="13"/>
      <c r="T302" s="13"/>
      <c r="U302" s="13"/>
      <c r="V302" s="13"/>
      <c r="W302" s="184"/>
      <c r="X302" s="37"/>
      <c r="Y302" s="22"/>
      <c r="Z302" s="38"/>
      <c r="AA302" s="13"/>
      <c r="AB302" s="13"/>
      <c r="AC302" s="13"/>
      <c r="AD302" s="13"/>
      <c r="AE302" s="13"/>
      <c r="AF302" s="13"/>
      <c r="AG302" s="184"/>
      <c r="AH302" s="45"/>
    </row>
    <row r="303" spans="1:34">
      <c r="A303" s="14">
        <f t="shared" si="103"/>
        <v>46206</v>
      </c>
      <c r="B303" s="11"/>
      <c r="C303" s="12"/>
      <c r="D303" s="12"/>
      <c r="E303" s="13"/>
      <c r="F303" s="12"/>
      <c r="G303" s="12"/>
      <c r="H303" s="12"/>
      <c r="I303" s="12"/>
      <c r="J303" s="13"/>
      <c r="K303" s="184"/>
      <c r="L303" s="26"/>
      <c r="M303" s="22"/>
      <c r="N303" s="29"/>
      <c r="O303" s="13"/>
      <c r="P303" s="13"/>
      <c r="Q303" s="13"/>
      <c r="R303" s="13"/>
      <c r="S303" s="13"/>
      <c r="T303" s="13"/>
      <c r="U303" s="13"/>
      <c r="V303" s="13"/>
      <c r="W303" s="184"/>
      <c r="X303" s="37"/>
      <c r="Y303" s="22"/>
      <c r="Z303" s="38"/>
      <c r="AA303" s="13"/>
      <c r="AB303" s="13"/>
      <c r="AC303" s="13"/>
      <c r="AD303" s="13"/>
      <c r="AE303" s="13"/>
      <c r="AF303" s="13"/>
      <c r="AG303" s="184"/>
      <c r="AH303" s="45"/>
    </row>
    <row r="304" spans="1:34">
      <c r="A304" s="14">
        <f t="shared" si="103"/>
        <v>46207</v>
      </c>
      <c r="B304" s="11"/>
      <c r="C304" s="12"/>
      <c r="D304" s="12"/>
      <c r="E304" s="13"/>
      <c r="F304" s="12"/>
      <c r="G304" s="12"/>
      <c r="H304" s="12"/>
      <c r="I304" s="12"/>
      <c r="J304" s="13"/>
      <c r="K304" s="184"/>
      <c r="L304" s="26"/>
      <c r="M304" s="22"/>
      <c r="N304" s="29"/>
      <c r="O304" s="13"/>
      <c r="P304" s="13"/>
      <c r="Q304" s="13"/>
      <c r="R304" s="13"/>
      <c r="S304" s="13"/>
      <c r="T304" s="13"/>
      <c r="U304" s="13"/>
      <c r="V304" s="13"/>
      <c r="W304" s="184"/>
      <c r="X304" s="37"/>
      <c r="Y304" s="22"/>
      <c r="Z304" s="38"/>
      <c r="AA304" s="13"/>
      <c r="AB304" s="13"/>
      <c r="AC304" s="13"/>
      <c r="AD304" s="13"/>
      <c r="AE304" s="13"/>
      <c r="AF304" s="13"/>
      <c r="AG304" s="184"/>
      <c r="AH304" s="45"/>
    </row>
    <row r="305" spans="1:34">
      <c r="A305" s="14">
        <f t="shared" si="103"/>
        <v>46208</v>
      </c>
      <c r="B305" s="11"/>
      <c r="C305" s="12"/>
      <c r="D305" s="12"/>
      <c r="E305" s="13"/>
      <c r="F305" s="12"/>
      <c r="G305" s="12"/>
      <c r="H305" s="12"/>
      <c r="I305" s="12"/>
      <c r="J305" s="13"/>
      <c r="K305" s="184"/>
      <c r="L305" s="26"/>
      <c r="M305" s="22"/>
      <c r="N305" s="29"/>
      <c r="O305" s="13"/>
      <c r="P305" s="13"/>
      <c r="Q305" s="13"/>
      <c r="R305" s="13"/>
      <c r="S305" s="13"/>
      <c r="T305" s="13"/>
      <c r="U305" s="13"/>
      <c r="V305" s="13"/>
      <c r="W305" s="184"/>
      <c r="X305" s="37"/>
      <c r="Y305" s="22"/>
      <c r="Z305" s="38"/>
      <c r="AA305" s="13"/>
      <c r="AB305" s="13"/>
      <c r="AC305" s="13"/>
      <c r="AD305" s="13"/>
      <c r="AE305" s="13"/>
      <c r="AF305" s="13"/>
      <c r="AG305" s="184"/>
      <c r="AH305" s="45"/>
    </row>
    <row r="306" spans="1:34">
      <c r="A306" s="14">
        <f t="shared" si="103"/>
        <v>46209</v>
      </c>
      <c r="B306" s="11"/>
      <c r="C306" s="12"/>
      <c r="D306" s="12"/>
      <c r="E306" s="13"/>
      <c r="F306" s="12"/>
      <c r="G306" s="12"/>
      <c r="H306" s="12"/>
      <c r="I306" s="12"/>
      <c r="J306" s="13"/>
      <c r="K306" s="184"/>
      <c r="L306" s="26"/>
      <c r="M306" s="22"/>
      <c r="N306" s="29"/>
      <c r="O306" s="13"/>
      <c r="P306" s="13"/>
      <c r="Q306" s="13"/>
      <c r="R306" s="13"/>
      <c r="S306" s="13"/>
      <c r="T306" s="13"/>
      <c r="U306" s="13"/>
      <c r="V306" s="13"/>
      <c r="W306" s="184"/>
      <c r="X306" s="37"/>
      <c r="Y306" s="22"/>
      <c r="Z306" s="38"/>
      <c r="AA306" s="13"/>
      <c r="AB306" s="13"/>
      <c r="AC306" s="13"/>
      <c r="AD306" s="13"/>
      <c r="AE306" s="13"/>
      <c r="AF306" s="13"/>
      <c r="AG306" s="184"/>
      <c r="AH306" s="45"/>
    </row>
    <row r="307" spans="1:34">
      <c r="A307" s="14">
        <f t="shared" si="103"/>
        <v>46210</v>
      </c>
      <c r="B307" s="11"/>
      <c r="C307" s="12"/>
      <c r="D307" s="12"/>
      <c r="E307" s="12"/>
      <c r="F307" s="12"/>
      <c r="G307" s="12"/>
      <c r="H307" s="12"/>
      <c r="I307" s="12"/>
      <c r="J307" s="13"/>
      <c r="K307" s="184"/>
      <c r="L307" s="26"/>
      <c r="M307" s="22"/>
      <c r="N307" s="29"/>
      <c r="O307" s="50"/>
      <c r="P307" s="13"/>
      <c r="Q307" s="13"/>
      <c r="R307" s="13"/>
      <c r="S307" s="13"/>
      <c r="T307" s="13"/>
      <c r="U307" s="13"/>
      <c r="V307" s="13"/>
      <c r="W307" s="184"/>
      <c r="X307" s="51"/>
      <c r="Y307" s="22"/>
      <c r="Z307" s="38"/>
      <c r="AA307" s="13"/>
      <c r="AB307" s="13"/>
      <c r="AC307" s="13"/>
      <c r="AD307" s="13"/>
      <c r="AE307" s="13"/>
      <c r="AF307" s="13"/>
      <c r="AG307" s="184"/>
      <c r="AH307" s="46"/>
    </row>
    <row r="308" spans="1:34">
      <c r="A308" s="14">
        <f t="shared" si="103"/>
        <v>46211</v>
      </c>
      <c r="B308" s="11"/>
      <c r="C308" s="12"/>
      <c r="D308" s="12"/>
      <c r="E308" s="12"/>
      <c r="F308" s="12"/>
      <c r="G308" s="12"/>
      <c r="H308" s="12"/>
      <c r="I308" s="12"/>
      <c r="J308" s="13"/>
      <c r="K308" s="184"/>
      <c r="L308" s="26"/>
      <c r="M308" s="22"/>
      <c r="N308" s="29"/>
      <c r="O308" s="13"/>
      <c r="P308" s="13"/>
      <c r="Q308" s="13"/>
      <c r="R308" s="13"/>
      <c r="S308" s="13"/>
      <c r="T308" s="13"/>
      <c r="U308" s="13"/>
      <c r="V308" s="13"/>
      <c r="W308" s="184"/>
      <c r="X308" s="37"/>
      <c r="Y308" s="22"/>
      <c r="Z308" s="38"/>
      <c r="AA308" s="13"/>
      <c r="AB308" s="13"/>
      <c r="AC308" s="13"/>
      <c r="AD308" s="13"/>
      <c r="AE308" s="13"/>
      <c r="AF308" s="13"/>
      <c r="AG308" s="184"/>
      <c r="AH308" s="45"/>
    </row>
    <row r="309" spans="1:34">
      <c r="A309" s="14">
        <f t="shared" si="103"/>
        <v>46212</v>
      </c>
      <c r="B309" s="11"/>
      <c r="C309" s="12"/>
      <c r="D309" s="12"/>
      <c r="E309" s="12"/>
      <c r="F309" s="12"/>
      <c r="G309" s="12"/>
      <c r="H309" s="12"/>
      <c r="I309" s="12"/>
      <c r="J309" s="13"/>
      <c r="K309" s="184"/>
      <c r="L309" s="26"/>
      <c r="M309" s="22"/>
      <c r="N309" s="29"/>
      <c r="O309" s="13"/>
      <c r="P309" s="13"/>
      <c r="Q309" s="13"/>
      <c r="R309" s="13"/>
      <c r="S309" s="13"/>
      <c r="T309" s="13"/>
      <c r="U309" s="13"/>
      <c r="V309" s="13"/>
      <c r="W309" s="184"/>
      <c r="X309" s="37"/>
      <c r="Y309" s="22"/>
      <c r="Z309" s="38"/>
      <c r="AA309" s="13"/>
      <c r="AB309" s="13"/>
      <c r="AC309" s="13"/>
      <c r="AD309" s="13"/>
      <c r="AE309" s="13"/>
      <c r="AF309" s="13"/>
      <c r="AG309" s="184"/>
      <c r="AH309" s="45"/>
    </row>
    <row r="310" spans="1:34">
      <c r="A310" s="14">
        <f t="shared" si="103"/>
        <v>46213</v>
      </c>
      <c r="B310" s="11"/>
      <c r="C310" s="12"/>
      <c r="D310" s="12"/>
      <c r="E310" s="12"/>
      <c r="F310" s="12"/>
      <c r="G310" s="12"/>
      <c r="H310" s="12"/>
      <c r="I310" s="12"/>
      <c r="J310" s="13"/>
      <c r="K310" s="184"/>
      <c r="L310" s="26"/>
      <c r="M310" s="22"/>
      <c r="N310" s="29"/>
      <c r="O310" s="13"/>
      <c r="P310" s="13"/>
      <c r="Q310" s="13"/>
      <c r="R310" s="13"/>
      <c r="S310" s="13"/>
      <c r="T310" s="13"/>
      <c r="U310" s="13"/>
      <c r="V310" s="13"/>
      <c r="W310" s="184"/>
      <c r="X310" s="37"/>
      <c r="Y310" s="22"/>
      <c r="Z310" s="38"/>
      <c r="AA310" s="13"/>
      <c r="AB310" s="13"/>
      <c r="AC310" s="13"/>
      <c r="AD310" s="13"/>
      <c r="AE310" s="13"/>
      <c r="AF310" s="13"/>
      <c r="AG310" s="184"/>
      <c r="AH310" s="45"/>
    </row>
    <row r="311" spans="1:34">
      <c r="A311" s="14">
        <f t="shared" si="103"/>
        <v>46214</v>
      </c>
      <c r="B311" s="38"/>
      <c r="C311" s="12"/>
      <c r="D311" s="12"/>
      <c r="E311" s="12"/>
      <c r="F311" s="12"/>
      <c r="G311" s="12"/>
      <c r="H311" s="12"/>
      <c r="I311" s="12"/>
      <c r="J311" s="13"/>
      <c r="K311" s="184"/>
      <c r="L311" s="26"/>
      <c r="M311" s="22"/>
      <c r="N311" s="29"/>
      <c r="O311" s="13"/>
      <c r="P311" s="13"/>
      <c r="Q311" s="13"/>
      <c r="R311" s="13"/>
      <c r="S311" s="13"/>
      <c r="T311" s="13"/>
      <c r="U311" s="13"/>
      <c r="V311" s="13"/>
      <c r="W311" s="184"/>
      <c r="X311" s="37"/>
      <c r="Y311" s="22"/>
      <c r="Z311" s="38"/>
      <c r="AA311" s="13"/>
      <c r="AB311" s="13"/>
      <c r="AC311" s="13"/>
      <c r="AD311" s="13"/>
      <c r="AE311" s="13"/>
      <c r="AF311" s="13"/>
      <c r="AG311" s="184"/>
      <c r="AH311" s="45"/>
    </row>
    <row r="312" spans="1:34">
      <c r="A312" s="14">
        <f t="shared" si="103"/>
        <v>46215</v>
      </c>
      <c r="B312" s="11"/>
      <c r="C312" s="12"/>
      <c r="D312" s="12"/>
      <c r="E312" s="12"/>
      <c r="F312" s="12"/>
      <c r="G312" s="12"/>
      <c r="H312" s="12"/>
      <c r="I312" s="12"/>
      <c r="J312" s="13"/>
      <c r="K312" s="184"/>
      <c r="L312" s="26"/>
      <c r="M312" s="22"/>
      <c r="N312" s="29"/>
      <c r="O312" s="13"/>
      <c r="P312" s="13"/>
      <c r="Q312" s="13"/>
      <c r="R312" s="13"/>
      <c r="S312" s="13"/>
      <c r="T312" s="13"/>
      <c r="U312" s="13"/>
      <c r="V312" s="13"/>
      <c r="W312" s="184"/>
      <c r="X312" s="37"/>
      <c r="Y312" s="22"/>
      <c r="Z312" s="38"/>
      <c r="AA312" s="13"/>
      <c r="AB312" s="13"/>
      <c r="AC312" s="13"/>
      <c r="AD312" s="13"/>
      <c r="AE312" s="13"/>
      <c r="AF312" s="13"/>
      <c r="AG312" s="184"/>
      <c r="AH312" s="45"/>
    </row>
    <row r="313" spans="1:34">
      <c r="A313" s="14">
        <f t="shared" si="103"/>
        <v>46216</v>
      </c>
      <c r="B313" s="38"/>
      <c r="C313" s="13"/>
      <c r="D313" s="12"/>
      <c r="E313" s="12"/>
      <c r="F313" s="12"/>
      <c r="G313" s="12"/>
      <c r="H313" s="12"/>
      <c r="I313" s="12"/>
      <c r="J313" s="13"/>
      <c r="K313" s="184"/>
      <c r="L313" s="26"/>
      <c r="M313" s="22"/>
      <c r="N313" s="29"/>
      <c r="O313" s="13"/>
      <c r="P313" s="13"/>
      <c r="Q313" s="13"/>
      <c r="R313" s="13"/>
      <c r="S313" s="13"/>
      <c r="T313" s="13"/>
      <c r="U313" s="13"/>
      <c r="V313" s="13"/>
      <c r="W313" s="184"/>
      <c r="X313" s="37"/>
      <c r="Y313" s="22"/>
      <c r="Z313" s="38"/>
      <c r="AA313" s="13"/>
      <c r="AB313" s="13"/>
      <c r="AC313" s="13"/>
      <c r="AD313" s="13"/>
      <c r="AE313" s="13"/>
      <c r="AF313" s="13"/>
      <c r="AG313" s="184"/>
      <c r="AH313" s="45"/>
    </row>
    <row r="314" spans="1:34">
      <c r="A314" s="14">
        <f t="shared" si="103"/>
        <v>46217</v>
      </c>
      <c r="B314" s="11"/>
      <c r="C314" s="13"/>
      <c r="D314" s="12"/>
      <c r="E314" s="12"/>
      <c r="F314" s="12"/>
      <c r="G314" s="12"/>
      <c r="H314" s="12"/>
      <c r="I314" s="36"/>
      <c r="J314" s="13"/>
      <c r="K314" s="184"/>
      <c r="L314" s="26"/>
      <c r="M314" s="22"/>
      <c r="N314" s="29"/>
      <c r="O314" s="13"/>
      <c r="P314" s="13"/>
      <c r="Q314" s="13"/>
      <c r="R314" s="13"/>
      <c r="S314" s="13"/>
      <c r="T314" s="13"/>
      <c r="U314" s="13"/>
      <c r="V314" s="13"/>
      <c r="W314" s="184"/>
      <c r="X314" s="37"/>
      <c r="Y314" s="22"/>
      <c r="Z314" s="38"/>
      <c r="AA314" s="13"/>
      <c r="AB314" s="13"/>
      <c r="AC314" s="13"/>
      <c r="AD314" s="13"/>
      <c r="AE314" s="13"/>
      <c r="AF314" s="13"/>
      <c r="AG314" s="184"/>
      <c r="AH314" s="37"/>
    </row>
    <row r="315" spans="1:34">
      <c r="A315" s="14">
        <f t="shared" si="103"/>
        <v>46218</v>
      </c>
      <c r="B315" s="11"/>
      <c r="C315" s="13"/>
      <c r="D315" s="12"/>
      <c r="E315" s="12"/>
      <c r="F315" s="12"/>
      <c r="G315" s="12"/>
      <c r="H315" s="12"/>
      <c r="I315" s="12"/>
      <c r="J315" s="13"/>
      <c r="K315" s="184"/>
      <c r="L315" s="26"/>
      <c r="M315" s="22"/>
      <c r="N315" s="29"/>
      <c r="O315" s="13"/>
      <c r="P315" s="13"/>
      <c r="Q315" s="13"/>
      <c r="R315" s="13"/>
      <c r="S315" s="13"/>
      <c r="T315" s="13"/>
      <c r="U315" s="13"/>
      <c r="V315" s="13"/>
      <c r="W315" s="184"/>
      <c r="X315" s="37"/>
      <c r="Y315" s="22"/>
      <c r="Z315" s="38"/>
      <c r="AA315" s="13"/>
      <c r="AB315" s="13"/>
      <c r="AC315" s="13"/>
      <c r="AD315" s="13"/>
      <c r="AE315" s="13"/>
      <c r="AF315" s="13"/>
      <c r="AG315" s="184"/>
      <c r="AH315" s="37"/>
    </row>
    <row r="316" spans="1:34">
      <c r="A316" s="14">
        <f t="shared" si="103"/>
        <v>46219</v>
      </c>
      <c r="B316" s="11"/>
      <c r="C316" s="13"/>
      <c r="D316" s="12"/>
      <c r="E316" s="12"/>
      <c r="F316" s="12"/>
      <c r="G316" s="12"/>
      <c r="H316" s="12"/>
      <c r="I316" s="12"/>
      <c r="J316" s="13"/>
      <c r="K316" s="184"/>
      <c r="L316" s="26"/>
      <c r="M316" s="22"/>
      <c r="N316" s="29"/>
      <c r="O316" s="13"/>
      <c r="P316" s="13"/>
      <c r="Q316" s="13"/>
      <c r="R316" s="13"/>
      <c r="S316" s="13"/>
      <c r="T316" s="13"/>
      <c r="U316" s="13"/>
      <c r="V316" s="13"/>
      <c r="W316" s="184"/>
      <c r="X316" s="37"/>
      <c r="Y316" s="22"/>
      <c r="Z316" s="38"/>
      <c r="AA316" s="13"/>
      <c r="AB316" s="13"/>
      <c r="AC316" s="13"/>
      <c r="AD316" s="13"/>
      <c r="AE316" s="13"/>
      <c r="AF316" s="13"/>
      <c r="AG316" s="184"/>
      <c r="AH316" s="37"/>
    </row>
    <row r="317" spans="1:34">
      <c r="A317" s="14">
        <f t="shared" si="103"/>
        <v>46220</v>
      </c>
      <c r="B317" s="11"/>
      <c r="C317" s="13"/>
      <c r="D317" s="12"/>
      <c r="E317" s="12"/>
      <c r="F317" s="12"/>
      <c r="G317" s="12"/>
      <c r="H317" s="12"/>
      <c r="I317" s="12"/>
      <c r="J317" s="13"/>
      <c r="K317" s="184"/>
      <c r="L317" s="26"/>
      <c r="M317" s="22"/>
      <c r="N317" s="29"/>
      <c r="O317" s="13"/>
      <c r="P317" s="13"/>
      <c r="Q317" s="13"/>
      <c r="R317" s="13"/>
      <c r="S317" s="13"/>
      <c r="T317" s="13"/>
      <c r="U317" s="13"/>
      <c r="V317" s="13"/>
      <c r="W317" s="184"/>
      <c r="X317" s="37"/>
      <c r="Y317" s="22"/>
      <c r="Z317" s="38"/>
      <c r="AA317" s="13"/>
      <c r="AB317" s="13"/>
      <c r="AC317" s="13"/>
      <c r="AD317" s="13"/>
      <c r="AE317" s="13"/>
      <c r="AF317" s="13"/>
      <c r="AG317" s="184"/>
      <c r="AH317" s="37"/>
    </row>
    <row r="318" spans="1:34">
      <c r="A318" s="14">
        <f t="shared" si="103"/>
        <v>46221</v>
      </c>
      <c r="B318" s="11"/>
      <c r="C318" s="12"/>
      <c r="D318" s="12"/>
      <c r="E318" s="12"/>
      <c r="F318" s="12"/>
      <c r="G318" s="12"/>
      <c r="H318" s="12"/>
      <c r="I318" s="12"/>
      <c r="J318" s="13"/>
      <c r="K318" s="184"/>
      <c r="L318" s="26"/>
      <c r="M318" s="22"/>
      <c r="N318" s="29"/>
      <c r="O318" s="13"/>
      <c r="P318" s="13"/>
      <c r="Q318" s="13"/>
      <c r="R318" s="13"/>
      <c r="S318" s="13"/>
      <c r="T318" s="13"/>
      <c r="U318" s="13"/>
      <c r="V318" s="13"/>
      <c r="W318" s="184"/>
      <c r="X318" s="37"/>
      <c r="Y318" s="22"/>
      <c r="Z318" s="38"/>
      <c r="AA318" s="13"/>
      <c r="AB318" s="13"/>
      <c r="AC318" s="13"/>
      <c r="AD318" s="13"/>
      <c r="AE318" s="13"/>
      <c r="AF318" s="13"/>
      <c r="AG318" s="184"/>
      <c r="AH318" s="37"/>
    </row>
    <row r="319" spans="1:34">
      <c r="A319" s="14">
        <f t="shared" si="103"/>
        <v>46222</v>
      </c>
      <c r="B319" s="11"/>
      <c r="C319" s="12"/>
      <c r="D319" s="12"/>
      <c r="E319" s="12"/>
      <c r="F319" s="12"/>
      <c r="G319" s="12"/>
      <c r="H319" s="12"/>
      <c r="I319" s="12"/>
      <c r="J319" s="13"/>
      <c r="K319" s="184"/>
      <c r="L319" s="26"/>
      <c r="M319" s="22"/>
      <c r="N319" s="29"/>
      <c r="O319" s="13"/>
      <c r="P319" s="13"/>
      <c r="Q319" s="13"/>
      <c r="R319" s="13"/>
      <c r="S319" s="13"/>
      <c r="T319" s="13"/>
      <c r="U319" s="13"/>
      <c r="V319" s="13"/>
      <c r="W319" s="184"/>
      <c r="X319" s="37"/>
      <c r="Y319" s="22"/>
      <c r="Z319" s="38"/>
      <c r="AA319" s="13"/>
      <c r="AB319" s="13"/>
      <c r="AC319" s="13"/>
      <c r="AD319" s="13"/>
      <c r="AE319" s="13"/>
      <c r="AF319" s="13"/>
      <c r="AG319" s="184"/>
      <c r="AH319" s="37"/>
    </row>
    <row r="320" spans="1:34">
      <c r="A320" s="14">
        <f t="shared" si="103"/>
        <v>46223</v>
      </c>
      <c r="B320" s="11"/>
      <c r="C320" s="13"/>
      <c r="D320" s="12"/>
      <c r="E320" s="12"/>
      <c r="F320" s="12"/>
      <c r="G320" s="12"/>
      <c r="H320" s="12"/>
      <c r="I320" s="13"/>
      <c r="J320" s="13"/>
      <c r="K320" s="184"/>
      <c r="L320" s="26"/>
      <c r="M320" s="22"/>
      <c r="N320" s="29"/>
      <c r="O320" s="13"/>
      <c r="P320" s="13"/>
      <c r="Q320" s="13"/>
      <c r="R320" s="13"/>
      <c r="S320" s="13"/>
      <c r="T320" s="13"/>
      <c r="U320" s="13"/>
      <c r="V320" s="13"/>
      <c r="W320" s="184"/>
      <c r="X320" s="37"/>
      <c r="Y320" s="22"/>
      <c r="Z320" s="38"/>
      <c r="AA320" s="13"/>
      <c r="AB320" s="13"/>
      <c r="AC320" s="13"/>
      <c r="AD320" s="13"/>
      <c r="AE320" s="13"/>
      <c r="AF320" s="13"/>
      <c r="AG320" s="184"/>
      <c r="AH320" s="37"/>
    </row>
    <row r="321" spans="1:34">
      <c r="A321" s="14">
        <f t="shared" si="103"/>
        <v>46224</v>
      </c>
      <c r="B321" s="11"/>
      <c r="C321" s="13"/>
      <c r="D321" s="12"/>
      <c r="E321" s="12"/>
      <c r="F321" s="12"/>
      <c r="G321" s="13"/>
      <c r="H321" s="13"/>
      <c r="I321" s="12"/>
      <c r="J321" s="13"/>
      <c r="K321" s="184"/>
      <c r="L321" s="26"/>
      <c r="M321" s="22"/>
      <c r="N321" s="29"/>
      <c r="O321" s="13"/>
      <c r="P321" s="13"/>
      <c r="Q321" s="13"/>
      <c r="R321" s="13"/>
      <c r="S321" s="13"/>
      <c r="T321" s="13"/>
      <c r="U321" s="13"/>
      <c r="V321" s="13"/>
      <c r="W321" s="184"/>
      <c r="X321" s="37"/>
      <c r="Y321" s="22"/>
      <c r="Z321" s="38"/>
      <c r="AA321" s="13"/>
      <c r="AB321" s="13"/>
      <c r="AC321" s="13"/>
      <c r="AD321" s="13"/>
      <c r="AE321" s="13"/>
      <c r="AF321" s="13"/>
      <c r="AG321" s="184"/>
      <c r="AH321" s="37"/>
    </row>
    <row r="322" spans="1:34">
      <c r="A322" s="14">
        <f t="shared" si="103"/>
        <v>46225</v>
      </c>
      <c r="B322" s="11"/>
      <c r="C322" s="13"/>
      <c r="D322" s="12"/>
      <c r="E322" s="12"/>
      <c r="F322" s="12"/>
      <c r="G322" s="12"/>
      <c r="H322" s="12"/>
      <c r="I322" s="13"/>
      <c r="J322" s="13"/>
      <c r="K322" s="184"/>
      <c r="L322" s="26"/>
      <c r="M322" s="22"/>
      <c r="N322" s="29"/>
      <c r="O322" s="13"/>
      <c r="P322" s="13"/>
      <c r="Q322" s="13"/>
      <c r="R322" s="13"/>
      <c r="S322" s="13"/>
      <c r="T322" s="13"/>
      <c r="U322" s="13"/>
      <c r="V322" s="13"/>
      <c r="W322" s="184"/>
      <c r="X322" s="37"/>
      <c r="Y322" s="22"/>
      <c r="Z322" s="38"/>
      <c r="AA322" s="13"/>
      <c r="AB322" s="13"/>
      <c r="AC322" s="13"/>
      <c r="AD322" s="13"/>
      <c r="AE322" s="13"/>
      <c r="AF322" s="13"/>
      <c r="AG322" s="184"/>
      <c r="AH322" s="37"/>
    </row>
    <row r="323" spans="1:34">
      <c r="A323" s="14">
        <f t="shared" si="103"/>
        <v>46226</v>
      </c>
      <c r="B323" s="38"/>
      <c r="C323" s="12"/>
      <c r="D323" s="12"/>
      <c r="E323" s="12"/>
      <c r="F323" s="12"/>
      <c r="G323" s="12"/>
      <c r="H323" s="12"/>
      <c r="I323" s="12"/>
      <c r="J323" s="13"/>
      <c r="K323" s="184"/>
      <c r="L323" s="26"/>
      <c r="M323" s="22"/>
      <c r="N323" s="61"/>
      <c r="O323" s="13"/>
      <c r="P323" s="13"/>
      <c r="Q323" s="13"/>
      <c r="R323" s="13"/>
      <c r="S323" s="13"/>
      <c r="T323" s="13"/>
      <c r="U323" s="13"/>
      <c r="V323" s="13"/>
      <c r="W323" s="184"/>
      <c r="X323" s="37"/>
      <c r="Y323" s="22"/>
      <c r="Z323" s="38"/>
      <c r="AA323" s="13"/>
      <c r="AB323" s="13"/>
      <c r="AC323" s="13"/>
      <c r="AD323" s="13"/>
      <c r="AE323" s="13"/>
      <c r="AF323" s="13"/>
      <c r="AG323" s="184"/>
      <c r="AH323" s="37"/>
    </row>
    <row r="324" spans="1:34">
      <c r="A324" s="14">
        <f t="shared" si="103"/>
        <v>46227</v>
      </c>
      <c r="B324" s="11"/>
      <c r="C324" s="12"/>
      <c r="D324" s="12"/>
      <c r="E324" s="12"/>
      <c r="F324" s="12"/>
      <c r="G324" s="12"/>
      <c r="H324" s="12"/>
      <c r="I324" s="12"/>
      <c r="J324" s="12"/>
      <c r="K324" s="185"/>
      <c r="L324" s="26"/>
      <c r="M324" s="22"/>
      <c r="N324" s="29"/>
      <c r="O324" s="13"/>
      <c r="P324" s="13"/>
      <c r="Q324" s="13"/>
      <c r="R324" s="13"/>
      <c r="S324" s="13"/>
      <c r="T324" s="13"/>
      <c r="U324" s="13"/>
      <c r="V324" s="13"/>
      <c r="W324" s="185"/>
      <c r="X324" s="37"/>
      <c r="Y324" s="22"/>
      <c r="Z324" s="38"/>
      <c r="AA324" s="13"/>
      <c r="AB324" s="13"/>
      <c r="AC324" s="13"/>
      <c r="AD324" s="13"/>
      <c r="AE324" s="13"/>
      <c r="AF324" s="13"/>
      <c r="AG324" s="185"/>
      <c r="AH324" s="37"/>
    </row>
    <row r="325" spans="1:34">
      <c r="A325" s="14">
        <f t="shared" si="103"/>
        <v>46228</v>
      </c>
      <c r="B325" s="38"/>
      <c r="C325" s="12"/>
      <c r="D325" s="12"/>
      <c r="E325" s="12"/>
      <c r="F325" s="12"/>
      <c r="G325" s="13"/>
      <c r="H325" s="13"/>
      <c r="I325" s="12"/>
      <c r="J325" s="12"/>
      <c r="K325" s="185"/>
      <c r="L325" s="37"/>
      <c r="M325" s="22"/>
      <c r="N325" s="29"/>
      <c r="O325" s="13"/>
      <c r="P325" s="13"/>
      <c r="Q325" s="13"/>
      <c r="R325" s="13"/>
      <c r="S325" s="13"/>
      <c r="T325" s="13"/>
      <c r="U325" s="13"/>
      <c r="V325" s="13"/>
      <c r="W325" s="185"/>
      <c r="X325" s="37"/>
      <c r="Y325" s="22"/>
      <c r="Z325" s="38"/>
      <c r="AA325" s="13"/>
      <c r="AB325" s="13"/>
      <c r="AC325" s="13"/>
      <c r="AD325" s="13"/>
      <c r="AE325" s="13"/>
      <c r="AF325" s="13"/>
      <c r="AG325" s="185"/>
      <c r="AH325" s="37"/>
    </row>
    <row r="326" spans="1:34">
      <c r="A326" s="14">
        <f t="shared" si="103"/>
        <v>46229</v>
      </c>
      <c r="B326" s="11"/>
      <c r="C326" s="13"/>
      <c r="D326" s="12"/>
      <c r="E326" s="12"/>
      <c r="F326" s="12"/>
      <c r="G326" s="13"/>
      <c r="H326" s="13"/>
      <c r="I326" s="13"/>
      <c r="J326" s="12"/>
      <c r="K326" s="185"/>
      <c r="L326" s="26"/>
      <c r="M326" s="22"/>
      <c r="N326" s="29"/>
      <c r="O326" s="13"/>
      <c r="P326" s="13"/>
      <c r="Q326" s="13"/>
      <c r="R326" s="13"/>
      <c r="S326" s="13"/>
      <c r="T326" s="13"/>
      <c r="U326" s="13"/>
      <c r="V326" s="13"/>
      <c r="W326" s="185"/>
      <c r="X326" s="51"/>
      <c r="Y326" s="22"/>
      <c r="Z326" s="38"/>
      <c r="AA326" s="13"/>
      <c r="AB326" s="13"/>
      <c r="AC326" s="13"/>
      <c r="AD326" s="13"/>
      <c r="AE326" s="13"/>
      <c r="AF326" s="13"/>
      <c r="AG326" s="185"/>
      <c r="AH326" s="51"/>
    </row>
    <row r="327" spans="1:34">
      <c r="A327" s="14">
        <f t="shared" si="103"/>
        <v>46230</v>
      </c>
      <c r="B327" s="11"/>
      <c r="C327" s="13"/>
      <c r="D327" s="12"/>
      <c r="E327" s="12"/>
      <c r="F327" s="12"/>
      <c r="G327" s="13"/>
      <c r="H327" s="13"/>
      <c r="I327" s="13"/>
      <c r="J327" s="12"/>
      <c r="K327" s="185"/>
      <c r="L327" s="26"/>
      <c r="M327" s="22"/>
      <c r="N327" s="29"/>
      <c r="O327" s="13"/>
      <c r="P327" s="13"/>
      <c r="Q327" s="13"/>
      <c r="R327" s="13"/>
      <c r="S327" s="13"/>
      <c r="T327" s="13"/>
      <c r="U327" s="13"/>
      <c r="V327" s="13"/>
      <c r="W327" s="185"/>
      <c r="X327" s="37"/>
      <c r="Y327" s="22"/>
      <c r="Z327" s="38"/>
      <c r="AA327" s="13"/>
      <c r="AB327" s="13"/>
      <c r="AC327" s="13"/>
      <c r="AD327" s="13"/>
      <c r="AE327" s="13"/>
      <c r="AF327" s="13"/>
      <c r="AG327" s="185"/>
      <c r="AH327" s="37"/>
    </row>
    <row r="328" spans="1:34">
      <c r="A328" s="14">
        <f t="shared" si="103"/>
        <v>46231</v>
      </c>
      <c r="B328" s="38"/>
      <c r="C328" s="13"/>
      <c r="D328" s="12"/>
      <c r="E328" s="12"/>
      <c r="F328" s="13"/>
      <c r="G328" s="12"/>
      <c r="H328" s="12"/>
      <c r="I328" s="12"/>
      <c r="J328" s="12"/>
      <c r="K328" s="185"/>
      <c r="L328" s="26"/>
      <c r="M328" s="22"/>
      <c r="N328" s="29"/>
      <c r="O328" s="13"/>
      <c r="P328" s="13"/>
      <c r="Q328" s="13"/>
      <c r="R328" s="13"/>
      <c r="S328" s="13"/>
      <c r="T328" s="13"/>
      <c r="U328" s="13"/>
      <c r="V328" s="13"/>
      <c r="W328" s="185"/>
      <c r="X328" s="37"/>
      <c r="Y328" s="22"/>
      <c r="Z328" s="38"/>
      <c r="AA328" s="13"/>
      <c r="AB328" s="13"/>
      <c r="AC328" s="13"/>
      <c r="AD328" s="13"/>
      <c r="AE328" s="13"/>
      <c r="AF328" s="13"/>
      <c r="AG328" s="185"/>
      <c r="AH328" s="37"/>
    </row>
    <row r="329" spans="1:34">
      <c r="A329" s="14">
        <f t="shared" si="103"/>
        <v>46232</v>
      </c>
      <c r="B329" s="38"/>
      <c r="C329" s="12"/>
      <c r="D329" s="12"/>
      <c r="E329" s="12"/>
      <c r="F329" s="12"/>
      <c r="G329" s="12"/>
      <c r="H329" s="12"/>
      <c r="I329" s="12"/>
      <c r="J329" s="59"/>
      <c r="K329" s="186"/>
      <c r="L329" s="26"/>
      <c r="M329" s="22"/>
      <c r="N329" s="29"/>
      <c r="O329" s="13"/>
      <c r="P329" s="13"/>
      <c r="Q329" s="13"/>
      <c r="R329" s="13"/>
      <c r="S329" s="13"/>
      <c r="T329" s="13"/>
      <c r="U329" s="13"/>
      <c r="V329" s="13"/>
      <c r="W329" s="186"/>
      <c r="X329" s="37"/>
      <c r="Y329" s="22"/>
      <c r="Z329" s="38"/>
      <c r="AA329" s="13"/>
      <c r="AB329" s="13"/>
      <c r="AC329" s="13"/>
      <c r="AD329" s="13"/>
      <c r="AE329" s="13"/>
      <c r="AF329" s="13"/>
      <c r="AG329" s="186"/>
      <c r="AH329" s="37"/>
    </row>
    <row r="330" spans="1:34">
      <c r="A330" s="14">
        <f t="shared" si="103"/>
        <v>46233</v>
      </c>
      <c r="B330" s="11"/>
      <c r="C330" s="12"/>
      <c r="D330" s="12"/>
      <c r="E330" s="12"/>
      <c r="F330" s="12"/>
      <c r="G330" s="12"/>
      <c r="H330" s="12"/>
      <c r="I330" s="12"/>
      <c r="J330" s="12"/>
      <c r="K330" s="185"/>
      <c r="L330" s="26"/>
      <c r="M330" s="22"/>
      <c r="N330" s="29"/>
      <c r="O330" s="13"/>
      <c r="P330" s="47"/>
      <c r="Q330" s="47"/>
      <c r="R330" s="47"/>
      <c r="S330" s="47"/>
      <c r="T330" s="47"/>
      <c r="U330" s="47"/>
      <c r="V330" s="53"/>
      <c r="W330" s="185"/>
      <c r="X330" s="48"/>
      <c r="Y330" s="22"/>
      <c r="Z330" s="38"/>
      <c r="AA330" s="13"/>
      <c r="AB330" s="47"/>
      <c r="AC330" s="47"/>
      <c r="AD330" s="47"/>
      <c r="AE330" s="13"/>
      <c r="AF330" s="53"/>
      <c r="AG330" s="185"/>
      <c r="AH330" s="37"/>
    </row>
    <row r="331" spans="1:34" ht="15.75" thickBot="1">
      <c r="A331" s="15">
        <f t="shared" si="103"/>
        <v>46234</v>
      </c>
      <c r="B331" s="57"/>
      <c r="C331" s="58"/>
      <c r="D331" s="58"/>
      <c r="E331" s="58"/>
      <c r="F331" s="58"/>
      <c r="G331" s="58"/>
      <c r="H331" s="58"/>
      <c r="I331" s="58"/>
      <c r="J331" s="58"/>
      <c r="K331" s="187"/>
      <c r="L331" s="60"/>
      <c r="M331" s="22"/>
      <c r="N331" s="56"/>
      <c r="O331" s="47"/>
      <c r="P331" s="47"/>
      <c r="Q331" s="47"/>
      <c r="R331" s="47"/>
      <c r="S331" s="47"/>
      <c r="T331" s="47"/>
      <c r="U331" s="47"/>
      <c r="V331" s="47"/>
      <c r="W331" s="187"/>
      <c r="X331" s="48"/>
      <c r="Y331" s="22"/>
      <c r="Z331" s="39"/>
      <c r="AA331" s="47"/>
      <c r="AB331" s="47"/>
      <c r="AC331" s="47"/>
      <c r="AD331" s="47"/>
      <c r="AE331" s="47"/>
      <c r="AF331" s="47"/>
      <c r="AG331" s="187"/>
      <c r="AH331" s="48"/>
    </row>
    <row r="332" spans="1:34">
      <c r="A332" s="16" t="s">
        <v>31</v>
      </c>
      <c r="B332" s="17">
        <f>MIN(B301:B331)</f>
        <v>0</v>
      </c>
      <c r="C332" s="17">
        <f>MIN(C301:C331)</f>
        <v>0</v>
      </c>
      <c r="D332" s="17">
        <f t="shared" ref="D332:L332" si="104">MIN(D301:D331)</f>
        <v>0</v>
      </c>
      <c r="E332" s="17">
        <f t="shared" si="104"/>
        <v>0</v>
      </c>
      <c r="F332" s="17">
        <f t="shared" si="104"/>
        <v>0</v>
      </c>
      <c r="G332" s="17">
        <f t="shared" si="104"/>
        <v>0</v>
      </c>
      <c r="H332" s="17">
        <f t="shared" si="104"/>
        <v>0</v>
      </c>
      <c r="I332" s="17">
        <f t="shared" si="104"/>
        <v>0</v>
      </c>
      <c r="J332" s="17">
        <f t="shared" si="104"/>
        <v>0</v>
      </c>
      <c r="K332" s="188"/>
      <c r="L332" s="30">
        <f t="shared" si="104"/>
        <v>0</v>
      </c>
      <c r="M332" s="22"/>
      <c r="N332" s="17">
        <f>MIN(N301:N331)</f>
        <v>0</v>
      </c>
      <c r="O332" s="17">
        <f>MIN(O301:O331)</f>
        <v>0</v>
      </c>
      <c r="P332" s="17">
        <f t="shared" ref="P332:X332" si="105">MIN(P301:P331)</f>
        <v>0</v>
      </c>
      <c r="Q332" s="17">
        <f t="shared" si="105"/>
        <v>0</v>
      </c>
      <c r="R332" s="17">
        <f t="shared" si="105"/>
        <v>0</v>
      </c>
      <c r="S332" s="17">
        <f t="shared" si="105"/>
        <v>0</v>
      </c>
      <c r="T332" s="17">
        <f t="shared" si="105"/>
        <v>0</v>
      </c>
      <c r="U332" s="17">
        <f t="shared" si="105"/>
        <v>0</v>
      </c>
      <c r="V332" s="17">
        <f t="shared" si="105"/>
        <v>0</v>
      </c>
      <c r="W332" s="188"/>
      <c r="X332" s="30">
        <f t="shared" si="105"/>
        <v>0</v>
      </c>
      <c r="Z332" s="40">
        <f t="shared" ref="Z332:AH332" si="106">MIN(Z301:Z331)</f>
        <v>0</v>
      </c>
      <c r="AA332" s="17">
        <f t="shared" si="106"/>
        <v>0</v>
      </c>
      <c r="AB332" s="17">
        <f t="shared" si="106"/>
        <v>0</v>
      </c>
      <c r="AC332" s="17">
        <f t="shared" si="106"/>
        <v>0</v>
      </c>
      <c r="AD332" s="17">
        <f t="shared" si="106"/>
        <v>0</v>
      </c>
      <c r="AE332" s="17">
        <f t="shared" si="106"/>
        <v>0</v>
      </c>
      <c r="AF332" s="17">
        <f t="shared" si="106"/>
        <v>0</v>
      </c>
      <c r="AG332" s="188"/>
      <c r="AH332" s="30">
        <f t="shared" si="106"/>
        <v>0</v>
      </c>
    </row>
    <row r="333" spans="1:34">
      <c r="A333" s="18" t="s">
        <v>33</v>
      </c>
      <c r="B333" s="19">
        <f>MAX(B301:B331)</f>
        <v>0</v>
      </c>
      <c r="C333" s="19">
        <f>MAX(C301:C331)</f>
        <v>0</v>
      </c>
      <c r="D333" s="19">
        <f t="shared" ref="D333:L333" si="107">MAX(D301:D331)</f>
        <v>0</v>
      </c>
      <c r="E333" s="19">
        <f t="shared" si="107"/>
        <v>0</v>
      </c>
      <c r="F333" s="19">
        <f t="shared" si="107"/>
        <v>0</v>
      </c>
      <c r="G333" s="19">
        <f t="shared" si="107"/>
        <v>0</v>
      </c>
      <c r="H333" s="19">
        <f t="shared" si="107"/>
        <v>0</v>
      </c>
      <c r="I333" s="19">
        <f t="shared" si="107"/>
        <v>0</v>
      </c>
      <c r="J333" s="19">
        <f t="shared" si="107"/>
        <v>0</v>
      </c>
      <c r="K333" s="189"/>
      <c r="L333" s="31">
        <f t="shared" si="107"/>
        <v>0</v>
      </c>
      <c r="M333" s="22"/>
      <c r="N333" s="19">
        <f>MAX(N301:N331)</f>
        <v>0</v>
      </c>
      <c r="O333" s="19">
        <f>MAX(O301:O331)</f>
        <v>0</v>
      </c>
      <c r="P333" s="19">
        <f t="shared" ref="P333:X333" si="108">MAX(P301:P331)</f>
        <v>0</v>
      </c>
      <c r="Q333" s="19">
        <f t="shared" si="108"/>
        <v>0</v>
      </c>
      <c r="R333" s="19">
        <f t="shared" si="108"/>
        <v>0</v>
      </c>
      <c r="S333" s="19">
        <f t="shared" si="108"/>
        <v>0</v>
      </c>
      <c r="T333" s="19">
        <f t="shared" si="108"/>
        <v>0</v>
      </c>
      <c r="U333" s="19">
        <f t="shared" si="108"/>
        <v>0</v>
      </c>
      <c r="V333" s="19">
        <f t="shared" si="108"/>
        <v>0</v>
      </c>
      <c r="W333" s="189"/>
      <c r="X333" s="31">
        <f t="shared" si="108"/>
        <v>0</v>
      </c>
      <c r="Z333" s="41">
        <f t="shared" ref="Z333:AH333" si="109">MAX(Z301:Z331)</f>
        <v>0</v>
      </c>
      <c r="AA333" s="19">
        <f t="shared" si="109"/>
        <v>0</v>
      </c>
      <c r="AB333" s="19">
        <f t="shared" si="109"/>
        <v>0</v>
      </c>
      <c r="AC333" s="19">
        <f t="shared" si="109"/>
        <v>0</v>
      </c>
      <c r="AD333" s="19">
        <f t="shared" si="109"/>
        <v>0</v>
      </c>
      <c r="AE333" s="19">
        <f t="shared" si="109"/>
        <v>0</v>
      </c>
      <c r="AF333" s="19">
        <f t="shared" si="109"/>
        <v>0</v>
      </c>
      <c r="AG333" s="189"/>
      <c r="AH333" s="31">
        <f t="shared" si="109"/>
        <v>0</v>
      </c>
    </row>
    <row r="334" spans="1:34">
      <c r="A334" s="18" t="s">
        <v>36</v>
      </c>
      <c r="B334" s="19" t="e">
        <f t="shared" ref="B334:L334" si="110">AVERAGE(B301:B331)</f>
        <v>#DIV/0!</v>
      </c>
      <c r="C334" s="19" t="e">
        <f t="shared" si="110"/>
        <v>#DIV/0!</v>
      </c>
      <c r="D334" s="19" t="e">
        <f t="shared" si="110"/>
        <v>#DIV/0!</v>
      </c>
      <c r="E334" s="19" t="e">
        <f t="shared" si="110"/>
        <v>#DIV/0!</v>
      </c>
      <c r="F334" s="19" t="e">
        <f t="shared" si="110"/>
        <v>#DIV/0!</v>
      </c>
      <c r="G334" s="19" t="e">
        <f t="shared" si="110"/>
        <v>#DIV/0!</v>
      </c>
      <c r="H334" s="19" t="e">
        <f t="shared" si="110"/>
        <v>#DIV/0!</v>
      </c>
      <c r="I334" s="19" t="e">
        <f t="shared" si="110"/>
        <v>#DIV/0!</v>
      </c>
      <c r="J334" s="19" t="e">
        <f t="shared" si="110"/>
        <v>#DIV/0!</v>
      </c>
      <c r="K334" s="189"/>
      <c r="L334" s="31" t="e">
        <f t="shared" si="110"/>
        <v>#DIV/0!</v>
      </c>
      <c r="M334" s="22"/>
      <c r="N334" s="19" t="e">
        <f t="shared" ref="N334:X334" si="111">AVERAGE(N301:N331)</f>
        <v>#DIV/0!</v>
      </c>
      <c r="O334" s="19" t="e">
        <f t="shared" si="111"/>
        <v>#DIV/0!</v>
      </c>
      <c r="P334" s="19" t="e">
        <f t="shared" si="111"/>
        <v>#DIV/0!</v>
      </c>
      <c r="Q334" s="19" t="e">
        <f t="shared" si="111"/>
        <v>#DIV/0!</v>
      </c>
      <c r="R334" s="19" t="e">
        <f t="shared" si="111"/>
        <v>#DIV/0!</v>
      </c>
      <c r="S334" s="19" t="e">
        <f t="shared" si="111"/>
        <v>#DIV/0!</v>
      </c>
      <c r="T334" s="19" t="e">
        <f t="shared" si="111"/>
        <v>#DIV/0!</v>
      </c>
      <c r="U334" s="19" t="e">
        <f t="shared" si="111"/>
        <v>#DIV/0!</v>
      </c>
      <c r="V334" s="19" t="e">
        <f t="shared" si="111"/>
        <v>#DIV/0!</v>
      </c>
      <c r="W334" s="189"/>
      <c r="X334" s="31" t="e">
        <f t="shared" si="111"/>
        <v>#DIV/0!</v>
      </c>
      <c r="Z334" s="41" t="e">
        <f>AVERAGE(Z301:Z331)</f>
        <v>#DIV/0!</v>
      </c>
      <c r="AA334" s="19" t="e">
        <f t="shared" ref="AA334:AH334" si="112">AVERAGE(AA301:AA331)</f>
        <v>#DIV/0!</v>
      </c>
      <c r="AB334" s="19" t="e">
        <f t="shared" si="112"/>
        <v>#DIV/0!</v>
      </c>
      <c r="AC334" s="19" t="e">
        <f t="shared" si="112"/>
        <v>#DIV/0!</v>
      </c>
      <c r="AD334" s="19" t="e">
        <f t="shared" si="112"/>
        <v>#DIV/0!</v>
      </c>
      <c r="AE334" s="19" t="e">
        <f t="shared" si="112"/>
        <v>#DIV/0!</v>
      </c>
      <c r="AF334" s="19" t="e">
        <f t="shared" si="112"/>
        <v>#DIV/0!</v>
      </c>
      <c r="AG334" s="189"/>
      <c r="AH334" s="31" t="e">
        <f t="shared" si="112"/>
        <v>#DIV/0!</v>
      </c>
    </row>
    <row r="335" spans="1:34" ht="15.75" thickBot="1">
      <c r="A335" s="20" t="s">
        <v>130</v>
      </c>
      <c r="B335" s="21" t="e">
        <f>STDEV(B301:B331)</f>
        <v>#DIV/0!</v>
      </c>
      <c r="C335" s="21" t="e">
        <f t="shared" ref="C335:L335" si="113">STDEV(C301:C331)</f>
        <v>#DIV/0!</v>
      </c>
      <c r="D335" s="21" t="e">
        <f t="shared" si="113"/>
        <v>#DIV/0!</v>
      </c>
      <c r="E335" s="21" t="e">
        <f t="shared" si="113"/>
        <v>#DIV/0!</v>
      </c>
      <c r="F335" s="21" t="e">
        <f t="shared" si="113"/>
        <v>#DIV/0!</v>
      </c>
      <c r="G335" s="21" t="e">
        <f t="shared" si="113"/>
        <v>#DIV/0!</v>
      </c>
      <c r="H335" s="21" t="e">
        <f t="shared" si="113"/>
        <v>#DIV/0!</v>
      </c>
      <c r="I335" s="21" t="e">
        <f t="shared" si="113"/>
        <v>#DIV/0!</v>
      </c>
      <c r="J335" s="21" t="e">
        <f t="shared" si="113"/>
        <v>#DIV/0!</v>
      </c>
      <c r="K335" s="190"/>
      <c r="L335" s="32" t="e">
        <f t="shared" si="113"/>
        <v>#DIV/0!</v>
      </c>
      <c r="M335" s="152"/>
      <c r="N335" s="21" t="e">
        <f>STDEV(N301:N331)</f>
        <v>#DIV/0!</v>
      </c>
      <c r="O335" s="21" t="e">
        <f t="shared" ref="O335:X335" si="114">STDEV(O301:O331)</f>
        <v>#DIV/0!</v>
      </c>
      <c r="P335" s="21" t="e">
        <f t="shared" si="114"/>
        <v>#DIV/0!</v>
      </c>
      <c r="Q335" s="21" t="e">
        <f t="shared" si="114"/>
        <v>#DIV/0!</v>
      </c>
      <c r="R335" s="21" t="e">
        <f t="shared" si="114"/>
        <v>#DIV/0!</v>
      </c>
      <c r="S335" s="21" t="e">
        <f t="shared" si="114"/>
        <v>#DIV/0!</v>
      </c>
      <c r="T335" s="21" t="e">
        <f t="shared" si="114"/>
        <v>#DIV/0!</v>
      </c>
      <c r="U335" s="21" t="e">
        <f t="shared" si="114"/>
        <v>#DIV/0!</v>
      </c>
      <c r="V335" s="21" t="e">
        <f t="shared" si="114"/>
        <v>#DIV/0!</v>
      </c>
      <c r="W335" s="190"/>
      <c r="X335" s="32" t="e">
        <f t="shared" si="114"/>
        <v>#DIV/0!</v>
      </c>
      <c r="Y335" s="153"/>
      <c r="Z335" s="42" t="e">
        <f>STDEV(Z301:Z331)</f>
        <v>#DIV/0!</v>
      </c>
      <c r="AA335" s="21" t="e">
        <f t="shared" ref="AA335:AH335" si="115">STDEV(AA301:AA331)</f>
        <v>#DIV/0!</v>
      </c>
      <c r="AB335" s="21" t="e">
        <f t="shared" si="115"/>
        <v>#DIV/0!</v>
      </c>
      <c r="AC335" s="21" t="e">
        <f t="shared" si="115"/>
        <v>#DIV/0!</v>
      </c>
      <c r="AD335" s="21" t="e">
        <f t="shared" si="115"/>
        <v>#DIV/0!</v>
      </c>
      <c r="AE335" s="21" t="e">
        <f t="shared" si="115"/>
        <v>#DIV/0!</v>
      </c>
      <c r="AF335" s="21" t="e">
        <f t="shared" si="115"/>
        <v>#DIV/0!</v>
      </c>
      <c r="AG335" s="190"/>
      <c r="AH335" s="32" t="e">
        <f t="shared" si="115"/>
        <v>#DIV/0!</v>
      </c>
    </row>
    <row r="336" spans="1:34" ht="15.75" thickBot="1"/>
    <row r="337" spans="1:34" ht="15.75" thickBot="1">
      <c r="A337" s="150"/>
      <c r="B337" s="338" t="s">
        <v>0</v>
      </c>
      <c r="C337" s="339"/>
      <c r="D337" s="339"/>
      <c r="E337" s="339"/>
      <c r="F337" s="339"/>
      <c r="G337" s="339"/>
      <c r="H337" s="339"/>
      <c r="I337" s="339"/>
      <c r="J337" s="339"/>
      <c r="K337" s="339"/>
      <c r="L337" s="339"/>
      <c r="M337" s="339"/>
      <c r="N337" s="339"/>
      <c r="O337" s="339"/>
      <c r="P337" s="339"/>
      <c r="Q337" s="339"/>
      <c r="R337" s="339"/>
      <c r="S337" s="339"/>
      <c r="T337" s="339"/>
      <c r="U337" s="339"/>
      <c r="V337" s="339"/>
      <c r="W337" s="339"/>
      <c r="X337" s="339"/>
      <c r="Y337" s="339"/>
      <c r="Z337" s="339"/>
      <c r="AA337" s="339"/>
      <c r="AB337" s="339"/>
      <c r="AC337" s="339"/>
      <c r="AD337" s="339"/>
      <c r="AE337" s="339"/>
      <c r="AF337" s="339"/>
      <c r="AG337" s="339"/>
      <c r="AH337" s="363"/>
    </row>
    <row r="338" spans="1:34" ht="15.75" thickBot="1">
      <c r="A338" s="151"/>
      <c r="B338" s="338" t="s">
        <v>165</v>
      </c>
      <c r="C338" s="339"/>
      <c r="D338" s="339"/>
      <c r="E338" s="339"/>
      <c r="F338" s="339"/>
      <c r="G338" s="339"/>
      <c r="H338" s="339"/>
      <c r="I338" s="339"/>
      <c r="J338" s="339"/>
      <c r="K338" s="339"/>
      <c r="L338" s="339"/>
      <c r="M338" s="339"/>
      <c r="N338" s="339"/>
      <c r="O338" s="339"/>
      <c r="P338" s="339"/>
      <c r="Q338" s="339"/>
      <c r="R338" s="339"/>
      <c r="S338" s="339"/>
      <c r="T338" s="339"/>
      <c r="U338" s="339"/>
      <c r="V338" s="339"/>
      <c r="W338" s="339"/>
      <c r="X338" s="339"/>
      <c r="Y338" s="339"/>
      <c r="Z338" s="339"/>
      <c r="AA338" s="339"/>
      <c r="AB338" s="339"/>
      <c r="AC338" s="339"/>
      <c r="AD338" s="4"/>
      <c r="AE338" s="43" t="s">
        <v>107</v>
      </c>
      <c r="AF338" s="341">
        <v>46235</v>
      </c>
      <c r="AG338" s="342"/>
      <c r="AH338" s="343"/>
    </row>
    <row r="339" spans="1:34">
      <c r="A339" s="344"/>
      <c r="B339" s="346" t="s">
        <v>132</v>
      </c>
      <c r="C339" s="347"/>
      <c r="D339" s="347"/>
      <c r="E339" s="347"/>
      <c r="F339" s="347"/>
      <c r="G339" s="347"/>
      <c r="H339" s="347"/>
      <c r="I339" s="347"/>
      <c r="J339" s="347"/>
      <c r="K339" s="348"/>
      <c r="L339" s="349"/>
      <c r="M339" s="22"/>
      <c r="N339" s="350" t="s">
        <v>133</v>
      </c>
      <c r="O339" s="347"/>
      <c r="P339" s="347"/>
      <c r="Q339" s="347"/>
      <c r="R339" s="347"/>
      <c r="S339" s="347"/>
      <c r="T339" s="347"/>
      <c r="U339" s="347"/>
      <c r="V339" s="347"/>
      <c r="W339" s="348"/>
      <c r="X339" s="349"/>
      <c r="Y339" s="22"/>
      <c r="Z339" s="346" t="s">
        <v>134</v>
      </c>
      <c r="AA339" s="347"/>
      <c r="AB339" s="347"/>
      <c r="AC339" s="347"/>
      <c r="AD339" s="347"/>
      <c r="AE339" s="347"/>
      <c r="AF339" s="347"/>
      <c r="AG339" s="348"/>
      <c r="AH339" s="349"/>
    </row>
    <row r="340" spans="1:34" ht="25.5">
      <c r="A340" s="345"/>
      <c r="B340" s="359" t="s">
        <v>135</v>
      </c>
      <c r="C340" s="361" t="s">
        <v>136</v>
      </c>
      <c r="D340" s="5" t="s">
        <v>137</v>
      </c>
      <c r="E340" s="5" t="s">
        <v>138</v>
      </c>
      <c r="F340" s="5" t="s">
        <v>139</v>
      </c>
      <c r="G340" s="5" t="s">
        <v>140</v>
      </c>
      <c r="H340" s="5" t="s">
        <v>141</v>
      </c>
      <c r="I340" s="5" t="s">
        <v>142</v>
      </c>
      <c r="J340" s="5" t="s">
        <v>143</v>
      </c>
      <c r="K340" s="181"/>
      <c r="L340" s="23" t="s">
        <v>144</v>
      </c>
      <c r="M340" s="22"/>
      <c r="N340" s="355" t="s">
        <v>135</v>
      </c>
      <c r="O340" s="357" t="s">
        <v>136</v>
      </c>
      <c r="P340" s="5" t="s">
        <v>137</v>
      </c>
      <c r="Q340" s="5" t="s">
        <v>138</v>
      </c>
      <c r="R340" s="5" t="s">
        <v>139</v>
      </c>
      <c r="S340" s="5" t="s">
        <v>140</v>
      </c>
      <c r="T340" s="5" t="s">
        <v>141</v>
      </c>
      <c r="U340" s="5" t="s">
        <v>142</v>
      </c>
      <c r="V340" s="5" t="s">
        <v>143</v>
      </c>
      <c r="W340" s="181"/>
      <c r="X340" s="23" t="s">
        <v>144</v>
      </c>
      <c r="Y340" s="22"/>
      <c r="Z340" s="33" t="s">
        <v>137</v>
      </c>
      <c r="AA340" s="5" t="s">
        <v>138</v>
      </c>
      <c r="AB340" s="5" t="s">
        <v>139</v>
      </c>
      <c r="AC340" s="5" t="s">
        <v>140</v>
      </c>
      <c r="AD340" s="5" t="s">
        <v>141</v>
      </c>
      <c r="AE340" s="5" t="s">
        <v>142</v>
      </c>
      <c r="AF340" s="5" t="s">
        <v>143</v>
      </c>
      <c r="AG340" s="181"/>
      <c r="AH340" s="23" t="s">
        <v>144</v>
      </c>
    </row>
    <row r="341" spans="1:34" ht="25.5">
      <c r="A341" s="6" t="s">
        <v>145</v>
      </c>
      <c r="B341" s="360"/>
      <c r="C341" s="362"/>
      <c r="D341" s="5" t="s">
        <v>128</v>
      </c>
      <c r="E341" s="5" t="s">
        <v>128</v>
      </c>
      <c r="F341" s="5" t="s">
        <v>128</v>
      </c>
      <c r="G341" s="5" t="s">
        <v>128</v>
      </c>
      <c r="H341" s="5" t="s">
        <v>125</v>
      </c>
      <c r="I341" s="5" t="s">
        <v>146</v>
      </c>
      <c r="J341" s="5" t="s">
        <v>127</v>
      </c>
      <c r="K341" s="181"/>
      <c r="L341" s="23" t="s">
        <v>53</v>
      </c>
      <c r="M341" s="22"/>
      <c r="N341" s="356"/>
      <c r="O341" s="358"/>
      <c r="P341" s="5" t="s">
        <v>128</v>
      </c>
      <c r="Q341" s="5" t="s">
        <v>128</v>
      </c>
      <c r="R341" s="5" t="s">
        <v>128</v>
      </c>
      <c r="S341" s="5" t="s">
        <v>128</v>
      </c>
      <c r="T341" s="5" t="s">
        <v>125</v>
      </c>
      <c r="U341" s="5" t="s">
        <v>146</v>
      </c>
      <c r="V341" s="5" t="s">
        <v>127</v>
      </c>
      <c r="W341" s="181"/>
      <c r="X341" s="23" t="s">
        <v>53</v>
      </c>
      <c r="Y341" s="22"/>
      <c r="Z341" s="33" t="s">
        <v>128</v>
      </c>
      <c r="AA341" s="5" t="s">
        <v>128</v>
      </c>
      <c r="AB341" s="5" t="s">
        <v>128</v>
      </c>
      <c r="AC341" s="5" t="s">
        <v>128</v>
      </c>
      <c r="AD341" s="5" t="s">
        <v>125</v>
      </c>
      <c r="AE341" s="5" t="s">
        <v>146</v>
      </c>
      <c r="AF341" s="5" t="s">
        <v>127</v>
      </c>
      <c r="AG341" s="181"/>
      <c r="AH341" s="23" t="s">
        <v>53</v>
      </c>
    </row>
    <row r="342" spans="1:34" ht="39" thickBot="1">
      <c r="A342" s="7" t="s">
        <v>147</v>
      </c>
      <c r="B342" s="8" t="s">
        <v>148</v>
      </c>
      <c r="C342" s="9" t="s">
        <v>166</v>
      </c>
      <c r="D342" s="9" t="s">
        <v>167</v>
      </c>
      <c r="E342" s="9" t="s">
        <v>168</v>
      </c>
      <c r="F342" s="9" t="s">
        <v>169</v>
      </c>
      <c r="G342" s="9" t="s">
        <v>170</v>
      </c>
      <c r="H342" s="9" t="s">
        <v>154</v>
      </c>
      <c r="I342" s="24" t="s">
        <v>155</v>
      </c>
      <c r="J342" s="24" t="s">
        <v>156</v>
      </c>
      <c r="K342" s="182"/>
      <c r="L342" s="25" t="s">
        <v>171</v>
      </c>
      <c r="M342" s="22"/>
      <c r="N342" s="8" t="s">
        <v>148</v>
      </c>
      <c r="O342" s="9" t="s">
        <v>166</v>
      </c>
      <c r="P342" s="9" t="s">
        <v>167</v>
      </c>
      <c r="Q342" s="9" t="s">
        <v>168</v>
      </c>
      <c r="R342" s="9" t="s">
        <v>169</v>
      </c>
      <c r="S342" s="9" t="s">
        <v>170</v>
      </c>
      <c r="T342" s="9" t="s">
        <v>154</v>
      </c>
      <c r="U342" s="24" t="s">
        <v>155</v>
      </c>
      <c r="V342" s="24" t="s">
        <v>156</v>
      </c>
      <c r="W342" s="182"/>
      <c r="X342" s="25" t="s">
        <v>171</v>
      </c>
      <c r="Y342" s="22"/>
      <c r="Z342" s="8" t="s">
        <v>167</v>
      </c>
      <c r="AA342" s="9" t="s">
        <v>168</v>
      </c>
      <c r="AB342" s="9" t="s">
        <v>169</v>
      </c>
      <c r="AC342" s="9" t="s">
        <v>170</v>
      </c>
      <c r="AD342" s="9" t="s">
        <v>154</v>
      </c>
      <c r="AE342" s="9" t="s">
        <v>155</v>
      </c>
      <c r="AF342" s="9" t="s">
        <v>156</v>
      </c>
      <c r="AG342" s="182"/>
      <c r="AH342" s="23" t="s">
        <v>171</v>
      </c>
    </row>
    <row r="343" spans="1:34">
      <c r="A343" s="10">
        <f>AF338+0</f>
        <v>46235</v>
      </c>
      <c r="B343" s="11"/>
      <c r="C343" s="12"/>
      <c r="D343" s="12"/>
      <c r="E343" s="13"/>
      <c r="F343" s="12"/>
      <c r="G343" s="12"/>
      <c r="H343" s="12"/>
      <c r="I343" s="12"/>
      <c r="J343" s="13"/>
      <c r="K343" s="184"/>
      <c r="L343" s="26"/>
      <c r="M343" s="22"/>
      <c r="N343" s="29"/>
      <c r="O343" s="13"/>
      <c r="P343" s="13"/>
      <c r="Q343" s="13"/>
      <c r="R343" s="13"/>
      <c r="S343" s="13"/>
      <c r="T343" s="13"/>
      <c r="U343" s="13"/>
      <c r="V343" s="13"/>
      <c r="W343" s="184"/>
      <c r="X343" s="37"/>
      <c r="Y343" s="22"/>
      <c r="Z343" s="38"/>
      <c r="AA343" s="13"/>
      <c r="AB343" s="13"/>
      <c r="AC343" s="13"/>
      <c r="AD343" s="13"/>
      <c r="AE343" s="13"/>
      <c r="AF343" s="13"/>
      <c r="AG343" s="184"/>
      <c r="AH343" s="45"/>
    </row>
    <row r="344" spans="1:34">
      <c r="A344" s="14">
        <f t="shared" ref="A344:A373" si="116">A343+1</f>
        <v>46236</v>
      </c>
      <c r="B344" s="11"/>
      <c r="C344" s="12"/>
      <c r="D344" s="12"/>
      <c r="E344" s="13"/>
      <c r="F344" s="12"/>
      <c r="G344" s="12"/>
      <c r="H344" s="12"/>
      <c r="I344" s="12"/>
      <c r="J344" s="13"/>
      <c r="K344" s="184"/>
      <c r="L344" s="26"/>
      <c r="M344" s="22"/>
      <c r="N344" s="29"/>
      <c r="O344" s="13"/>
      <c r="P344" s="13"/>
      <c r="Q344" s="13"/>
      <c r="R344" s="13"/>
      <c r="S344" s="13"/>
      <c r="T344" s="13"/>
      <c r="U344" s="13"/>
      <c r="V344" s="13"/>
      <c r="W344" s="184"/>
      <c r="X344" s="37"/>
      <c r="Y344" s="22"/>
      <c r="Z344" s="38"/>
      <c r="AA344" s="13"/>
      <c r="AB344" s="13"/>
      <c r="AC344" s="13"/>
      <c r="AD344" s="13"/>
      <c r="AE344" s="13"/>
      <c r="AF344" s="13"/>
      <c r="AG344" s="184"/>
      <c r="AH344" s="45"/>
    </row>
    <row r="345" spans="1:34">
      <c r="A345" s="14">
        <f t="shared" si="116"/>
        <v>46237</v>
      </c>
      <c r="B345" s="11"/>
      <c r="C345" s="12"/>
      <c r="D345" s="12"/>
      <c r="E345" s="13"/>
      <c r="F345" s="12"/>
      <c r="G345" s="12"/>
      <c r="H345" s="12"/>
      <c r="I345" s="12"/>
      <c r="J345" s="13"/>
      <c r="K345" s="184"/>
      <c r="L345" s="26"/>
      <c r="M345" s="22"/>
      <c r="N345" s="29"/>
      <c r="O345" s="13"/>
      <c r="P345" s="13"/>
      <c r="Q345" s="13"/>
      <c r="R345" s="13"/>
      <c r="S345" s="13"/>
      <c r="T345" s="13"/>
      <c r="U345" s="13"/>
      <c r="V345" s="13"/>
      <c r="W345" s="184"/>
      <c r="X345" s="37"/>
      <c r="Y345" s="22"/>
      <c r="Z345" s="38"/>
      <c r="AA345" s="13"/>
      <c r="AB345" s="13"/>
      <c r="AC345" s="13"/>
      <c r="AD345" s="13"/>
      <c r="AE345" s="13"/>
      <c r="AF345" s="13"/>
      <c r="AG345" s="184"/>
      <c r="AH345" s="45"/>
    </row>
    <row r="346" spans="1:34">
      <c r="A346" s="14">
        <f t="shared" si="116"/>
        <v>46238</v>
      </c>
      <c r="B346" s="11"/>
      <c r="C346" s="12"/>
      <c r="D346" s="12"/>
      <c r="E346" s="13"/>
      <c r="F346" s="12"/>
      <c r="G346" s="12"/>
      <c r="H346" s="12"/>
      <c r="I346" s="12"/>
      <c r="J346" s="13"/>
      <c r="K346" s="184"/>
      <c r="L346" s="26"/>
      <c r="M346" s="22"/>
      <c r="N346" s="29"/>
      <c r="O346" s="13"/>
      <c r="P346" s="13"/>
      <c r="Q346" s="13"/>
      <c r="R346" s="13"/>
      <c r="S346" s="13"/>
      <c r="T346" s="13"/>
      <c r="U346" s="13"/>
      <c r="V346" s="13"/>
      <c r="W346" s="184"/>
      <c r="X346" s="37"/>
      <c r="Y346" s="22"/>
      <c r="Z346" s="38"/>
      <c r="AA346" s="13"/>
      <c r="AB346" s="13"/>
      <c r="AC346" s="13"/>
      <c r="AD346" s="13"/>
      <c r="AE346" s="13"/>
      <c r="AF346" s="13"/>
      <c r="AG346" s="184"/>
      <c r="AH346" s="45"/>
    </row>
    <row r="347" spans="1:34">
      <c r="A347" s="14">
        <f t="shared" si="116"/>
        <v>46239</v>
      </c>
      <c r="B347" s="11"/>
      <c r="C347" s="12"/>
      <c r="D347" s="12"/>
      <c r="E347" s="13"/>
      <c r="F347" s="12"/>
      <c r="G347" s="12"/>
      <c r="H347" s="12"/>
      <c r="I347" s="12"/>
      <c r="J347" s="13"/>
      <c r="K347" s="184"/>
      <c r="L347" s="26"/>
      <c r="M347" s="22"/>
      <c r="N347" s="29"/>
      <c r="O347" s="13"/>
      <c r="P347" s="13"/>
      <c r="Q347" s="13"/>
      <c r="R347" s="13"/>
      <c r="S347" s="13"/>
      <c r="T347" s="13"/>
      <c r="U347" s="13"/>
      <c r="V347" s="13"/>
      <c r="W347" s="184"/>
      <c r="X347" s="37"/>
      <c r="Y347" s="22"/>
      <c r="Z347" s="38"/>
      <c r="AA347" s="13"/>
      <c r="AB347" s="13"/>
      <c r="AC347" s="13"/>
      <c r="AD347" s="13"/>
      <c r="AE347" s="13"/>
      <c r="AF347" s="13"/>
      <c r="AG347" s="184"/>
      <c r="AH347" s="45"/>
    </row>
    <row r="348" spans="1:34">
      <c r="A348" s="14">
        <f t="shared" si="116"/>
        <v>46240</v>
      </c>
      <c r="B348" s="11"/>
      <c r="C348" s="12"/>
      <c r="D348" s="12"/>
      <c r="E348" s="13"/>
      <c r="F348" s="12"/>
      <c r="G348" s="12"/>
      <c r="H348" s="12"/>
      <c r="I348" s="12"/>
      <c r="J348" s="13"/>
      <c r="K348" s="184"/>
      <c r="L348" s="26"/>
      <c r="M348" s="22"/>
      <c r="N348" s="29"/>
      <c r="O348" s="13"/>
      <c r="P348" s="13"/>
      <c r="Q348" s="13"/>
      <c r="R348" s="13"/>
      <c r="S348" s="13"/>
      <c r="T348" s="13"/>
      <c r="U348" s="13"/>
      <c r="V348" s="13"/>
      <c r="W348" s="184"/>
      <c r="X348" s="37"/>
      <c r="Y348" s="22"/>
      <c r="Z348" s="38"/>
      <c r="AA348" s="13"/>
      <c r="AB348" s="13"/>
      <c r="AC348" s="13"/>
      <c r="AD348" s="13"/>
      <c r="AE348" s="13"/>
      <c r="AF348" s="13"/>
      <c r="AG348" s="184"/>
      <c r="AH348" s="45"/>
    </row>
    <row r="349" spans="1:34">
      <c r="A349" s="14">
        <f t="shared" si="116"/>
        <v>46241</v>
      </c>
      <c r="B349" s="11"/>
      <c r="C349" s="12"/>
      <c r="D349" s="12"/>
      <c r="E349" s="12"/>
      <c r="F349" s="12"/>
      <c r="G349" s="12"/>
      <c r="H349" s="12"/>
      <c r="I349" s="12"/>
      <c r="J349" s="13"/>
      <c r="K349" s="184"/>
      <c r="L349" s="26"/>
      <c r="M349" s="22"/>
      <c r="N349" s="29"/>
      <c r="O349" s="50"/>
      <c r="P349" s="13"/>
      <c r="Q349" s="13"/>
      <c r="R349" s="13"/>
      <c r="S349" s="13"/>
      <c r="T349" s="13"/>
      <c r="U349" s="13"/>
      <c r="V349" s="13"/>
      <c r="W349" s="184"/>
      <c r="X349" s="51"/>
      <c r="Y349" s="22"/>
      <c r="Z349" s="38"/>
      <c r="AA349" s="13"/>
      <c r="AB349" s="13"/>
      <c r="AC349" s="13"/>
      <c r="AD349" s="13"/>
      <c r="AE349" s="13"/>
      <c r="AF349" s="13"/>
      <c r="AG349" s="184"/>
      <c r="AH349" s="46"/>
    </row>
    <row r="350" spans="1:34">
      <c r="A350" s="14">
        <f t="shared" si="116"/>
        <v>46242</v>
      </c>
      <c r="B350" s="11"/>
      <c r="C350" s="12"/>
      <c r="D350" s="12"/>
      <c r="E350" s="12"/>
      <c r="F350" s="12"/>
      <c r="G350" s="12"/>
      <c r="H350" s="12"/>
      <c r="I350" s="12"/>
      <c r="J350" s="13"/>
      <c r="K350" s="184"/>
      <c r="L350" s="26"/>
      <c r="M350" s="22"/>
      <c r="N350" s="29"/>
      <c r="O350" s="13"/>
      <c r="P350" s="13"/>
      <c r="Q350" s="13"/>
      <c r="R350" s="13"/>
      <c r="S350" s="13"/>
      <c r="T350" s="13"/>
      <c r="U350" s="13"/>
      <c r="V350" s="13"/>
      <c r="W350" s="184"/>
      <c r="X350" s="37"/>
      <c r="Y350" s="22"/>
      <c r="Z350" s="38"/>
      <c r="AA350" s="13"/>
      <c r="AB350" s="13"/>
      <c r="AC350" s="13"/>
      <c r="AD350" s="13"/>
      <c r="AE350" s="13"/>
      <c r="AF350" s="13"/>
      <c r="AG350" s="184"/>
      <c r="AH350" s="45"/>
    </row>
    <row r="351" spans="1:34">
      <c r="A351" s="14">
        <f t="shared" si="116"/>
        <v>46243</v>
      </c>
      <c r="B351" s="11"/>
      <c r="C351" s="12"/>
      <c r="D351" s="12"/>
      <c r="E351" s="12"/>
      <c r="F351" s="12"/>
      <c r="G351" s="12"/>
      <c r="H351" s="12"/>
      <c r="I351" s="12"/>
      <c r="J351" s="13"/>
      <c r="K351" s="184"/>
      <c r="L351" s="26"/>
      <c r="M351" s="22"/>
      <c r="N351" s="29"/>
      <c r="O351" s="13"/>
      <c r="P351" s="13"/>
      <c r="Q351" s="13"/>
      <c r="R351" s="13"/>
      <c r="S351" s="13"/>
      <c r="T351" s="13"/>
      <c r="U351" s="13"/>
      <c r="V351" s="13"/>
      <c r="W351" s="184"/>
      <c r="X351" s="37"/>
      <c r="Y351" s="22"/>
      <c r="Z351" s="38"/>
      <c r="AA351" s="13"/>
      <c r="AB351" s="13"/>
      <c r="AC351" s="13"/>
      <c r="AD351" s="13"/>
      <c r="AE351" s="13"/>
      <c r="AF351" s="13"/>
      <c r="AG351" s="184"/>
      <c r="AH351" s="45"/>
    </row>
    <row r="352" spans="1:34">
      <c r="A352" s="14">
        <f t="shared" si="116"/>
        <v>46244</v>
      </c>
      <c r="B352" s="11"/>
      <c r="C352" s="12"/>
      <c r="D352" s="12"/>
      <c r="E352" s="12"/>
      <c r="F352" s="12"/>
      <c r="G352" s="12"/>
      <c r="H352" s="12"/>
      <c r="I352" s="12"/>
      <c r="J352" s="13"/>
      <c r="K352" s="184"/>
      <c r="L352" s="26"/>
      <c r="M352" s="22"/>
      <c r="N352" s="29"/>
      <c r="O352" s="13"/>
      <c r="P352" s="13"/>
      <c r="Q352" s="13"/>
      <c r="R352" s="13"/>
      <c r="S352" s="13"/>
      <c r="T352" s="13"/>
      <c r="U352" s="13"/>
      <c r="V352" s="13"/>
      <c r="W352" s="184"/>
      <c r="X352" s="37"/>
      <c r="Y352" s="22"/>
      <c r="Z352" s="38"/>
      <c r="AA352" s="13"/>
      <c r="AB352" s="13"/>
      <c r="AC352" s="13"/>
      <c r="AD352" s="13"/>
      <c r="AE352" s="13"/>
      <c r="AF352" s="13"/>
      <c r="AG352" s="184"/>
      <c r="AH352" s="45"/>
    </row>
    <row r="353" spans="1:34">
      <c r="A353" s="14">
        <f t="shared" si="116"/>
        <v>46245</v>
      </c>
      <c r="B353" s="38"/>
      <c r="C353" s="12"/>
      <c r="D353" s="12"/>
      <c r="E353" s="12"/>
      <c r="F353" s="12"/>
      <c r="G353" s="12"/>
      <c r="H353" s="12"/>
      <c r="I353" s="12"/>
      <c r="J353" s="13"/>
      <c r="K353" s="184"/>
      <c r="L353" s="26"/>
      <c r="M353" s="22"/>
      <c r="N353" s="29"/>
      <c r="O353" s="13"/>
      <c r="P353" s="13"/>
      <c r="Q353" s="13"/>
      <c r="R353" s="13"/>
      <c r="S353" s="13"/>
      <c r="T353" s="13"/>
      <c r="U353" s="13"/>
      <c r="V353" s="13"/>
      <c r="W353" s="184"/>
      <c r="X353" s="37"/>
      <c r="Y353" s="22"/>
      <c r="Z353" s="38"/>
      <c r="AA353" s="13"/>
      <c r="AB353" s="13"/>
      <c r="AC353" s="13"/>
      <c r="AD353" s="13"/>
      <c r="AE353" s="13"/>
      <c r="AF353" s="13"/>
      <c r="AG353" s="184"/>
      <c r="AH353" s="45"/>
    </row>
    <row r="354" spans="1:34">
      <c r="A354" s="14">
        <f t="shared" si="116"/>
        <v>46246</v>
      </c>
      <c r="B354" s="11"/>
      <c r="C354" s="12"/>
      <c r="D354" s="12"/>
      <c r="E354" s="12"/>
      <c r="F354" s="12"/>
      <c r="G354" s="12"/>
      <c r="H354" s="12"/>
      <c r="I354" s="12"/>
      <c r="J354" s="13"/>
      <c r="K354" s="184"/>
      <c r="L354" s="26"/>
      <c r="M354" s="22"/>
      <c r="N354" s="29"/>
      <c r="O354" s="13"/>
      <c r="P354" s="13"/>
      <c r="Q354" s="13"/>
      <c r="R354" s="13"/>
      <c r="S354" s="13"/>
      <c r="T354" s="13"/>
      <c r="U354" s="13"/>
      <c r="V354" s="13"/>
      <c r="W354" s="184"/>
      <c r="X354" s="37"/>
      <c r="Y354" s="22"/>
      <c r="Z354" s="38"/>
      <c r="AA354" s="13"/>
      <c r="AB354" s="13"/>
      <c r="AC354" s="13"/>
      <c r="AD354" s="13"/>
      <c r="AE354" s="13"/>
      <c r="AF354" s="13"/>
      <c r="AG354" s="184"/>
      <c r="AH354" s="45"/>
    </row>
    <row r="355" spans="1:34">
      <c r="A355" s="14">
        <f t="shared" si="116"/>
        <v>46247</v>
      </c>
      <c r="B355" s="38"/>
      <c r="C355" s="13"/>
      <c r="D355" s="12"/>
      <c r="E355" s="12"/>
      <c r="F355" s="12"/>
      <c r="G355" s="12"/>
      <c r="H355" s="12"/>
      <c r="I355" s="12"/>
      <c r="J355" s="13"/>
      <c r="K355" s="184"/>
      <c r="L355" s="26"/>
      <c r="M355" s="22"/>
      <c r="N355" s="29"/>
      <c r="O355" s="13"/>
      <c r="P355" s="13"/>
      <c r="Q355" s="13"/>
      <c r="R355" s="13"/>
      <c r="S355" s="13"/>
      <c r="T355" s="13"/>
      <c r="U355" s="13"/>
      <c r="V355" s="13"/>
      <c r="W355" s="184"/>
      <c r="X355" s="37"/>
      <c r="Y355" s="22"/>
      <c r="Z355" s="38"/>
      <c r="AA355" s="13"/>
      <c r="AB355" s="13"/>
      <c r="AC355" s="13"/>
      <c r="AD355" s="13"/>
      <c r="AE355" s="13"/>
      <c r="AF355" s="13"/>
      <c r="AG355" s="184"/>
      <c r="AH355" s="45"/>
    </row>
    <row r="356" spans="1:34">
      <c r="A356" s="14">
        <f t="shared" si="116"/>
        <v>46248</v>
      </c>
      <c r="B356" s="11"/>
      <c r="C356" s="13"/>
      <c r="D356" s="12"/>
      <c r="E356" s="12"/>
      <c r="F356" s="12"/>
      <c r="G356" s="12"/>
      <c r="H356" s="12"/>
      <c r="I356" s="36"/>
      <c r="J356" s="13"/>
      <c r="K356" s="184"/>
      <c r="L356" s="26"/>
      <c r="M356" s="22"/>
      <c r="N356" s="29"/>
      <c r="O356" s="13"/>
      <c r="P356" s="13"/>
      <c r="Q356" s="13"/>
      <c r="R356" s="13"/>
      <c r="S356" s="13"/>
      <c r="T356" s="13"/>
      <c r="U356" s="13"/>
      <c r="V356" s="13"/>
      <c r="W356" s="184"/>
      <c r="X356" s="37"/>
      <c r="Y356" s="22"/>
      <c r="Z356" s="38"/>
      <c r="AA356" s="13"/>
      <c r="AB356" s="13"/>
      <c r="AC356" s="13"/>
      <c r="AD356" s="13"/>
      <c r="AE356" s="13"/>
      <c r="AF356" s="13"/>
      <c r="AG356" s="184"/>
      <c r="AH356" s="37"/>
    </row>
    <row r="357" spans="1:34">
      <c r="A357" s="14">
        <f t="shared" si="116"/>
        <v>46249</v>
      </c>
      <c r="B357" s="11"/>
      <c r="C357" s="13"/>
      <c r="D357" s="12"/>
      <c r="E357" s="12"/>
      <c r="F357" s="12"/>
      <c r="G357" s="12"/>
      <c r="H357" s="12"/>
      <c r="I357" s="12"/>
      <c r="J357" s="13"/>
      <c r="K357" s="184"/>
      <c r="L357" s="26"/>
      <c r="M357" s="22"/>
      <c r="N357" s="29"/>
      <c r="O357" s="13"/>
      <c r="P357" s="13"/>
      <c r="Q357" s="13"/>
      <c r="R357" s="13"/>
      <c r="S357" s="13"/>
      <c r="T357" s="13"/>
      <c r="U357" s="13"/>
      <c r="V357" s="13"/>
      <c r="W357" s="184"/>
      <c r="X357" s="37"/>
      <c r="Y357" s="22"/>
      <c r="Z357" s="38"/>
      <c r="AA357" s="13"/>
      <c r="AB357" s="13"/>
      <c r="AC357" s="13"/>
      <c r="AD357" s="13"/>
      <c r="AE357" s="13"/>
      <c r="AF357" s="13"/>
      <c r="AG357" s="184"/>
      <c r="AH357" s="37"/>
    </row>
    <row r="358" spans="1:34">
      <c r="A358" s="14">
        <f t="shared" si="116"/>
        <v>46250</v>
      </c>
      <c r="B358" s="11"/>
      <c r="C358" s="13"/>
      <c r="D358" s="12"/>
      <c r="E358" s="12"/>
      <c r="F358" s="12"/>
      <c r="G358" s="12"/>
      <c r="H358" s="12"/>
      <c r="I358" s="12"/>
      <c r="J358" s="13"/>
      <c r="K358" s="184"/>
      <c r="L358" s="26"/>
      <c r="M358" s="22"/>
      <c r="N358" s="29"/>
      <c r="O358" s="13"/>
      <c r="P358" s="13"/>
      <c r="Q358" s="13"/>
      <c r="R358" s="13"/>
      <c r="S358" s="13"/>
      <c r="T358" s="13"/>
      <c r="U358" s="13"/>
      <c r="V358" s="13"/>
      <c r="W358" s="184"/>
      <c r="X358" s="37"/>
      <c r="Y358" s="22"/>
      <c r="Z358" s="38"/>
      <c r="AA358" s="13"/>
      <c r="AB358" s="13"/>
      <c r="AC358" s="13"/>
      <c r="AD358" s="13"/>
      <c r="AE358" s="13"/>
      <c r="AF358" s="13"/>
      <c r="AG358" s="184"/>
      <c r="AH358" s="37"/>
    </row>
    <row r="359" spans="1:34">
      <c r="A359" s="14">
        <f t="shared" si="116"/>
        <v>46251</v>
      </c>
      <c r="B359" s="11"/>
      <c r="C359" s="13"/>
      <c r="D359" s="12"/>
      <c r="E359" s="12"/>
      <c r="F359" s="12"/>
      <c r="G359" s="12"/>
      <c r="H359" s="12"/>
      <c r="I359" s="12"/>
      <c r="J359" s="13"/>
      <c r="K359" s="184"/>
      <c r="L359" s="26"/>
      <c r="M359" s="22"/>
      <c r="N359" s="29"/>
      <c r="O359" s="13"/>
      <c r="P359" s="13"/>
      <c r="Q359" s="13"/>
      <c r="R359" s="13"/>
      <c r="S359" s="13"/>
      <c r="T359" s="13"/>
      <c r="U359" s="13"/>
      <c r="V359" s="13"/>
      <c r="W359" s="184"/>
      <c r="X359" s="37"/>
      <c r="Y359" s="22"/>
      <c r="Z359" s="38"/>
      <c r="AA359" s="13"/>
      <c r="AB359" s="13"/>
      <c r="AC359" s="13"/>
      <c r="AD359" s="13"/>
      <c r="AE359" s="13"/>
      <c r="AF359" s="13"/>
      <c r="AG359" s="184"/>
      <c r="AH359" s="37"/>
    </row>
    <row r="360" spans="1:34">
      <c r="A360" s="14">
        <f t="shared" si="116"/>
        <v>46252</v>
      </c>
      <c r="B360" s="11"/>
      <c r="C360" s="12"/>
      <c r="D360" s="12"/>
      <c r="E360" s="12"/>
      <c r="F360" s="12"/>
      <c r="G360" s="12"/>
      <c r="H360" s="12"/>
      <c r="I360" s="12"/>
      <c r="J360" s="13"/>
      <c r="K360" s="184"/>
      <c r="L360" s="26"/>
      <c r="M360" s="22"/>
      <c r="N360" s="29"/>
      <c r="O360" s="13"/>
      <c r="P360" s="13"/>
      <c r="Q360" s="13"/>
      <c r="R360" s="13"/>
      <c r="S360" s="13"/>
      <c r="T360" s="13"/>
      <c r="U360" s="13"/>
      <c r="V360" s="13"/>
      <c r="W360" s="184"/>
      <c r="X360" s="37"/>
      <c r="Y360" s="22"/>
      <c r="Z360" s="38"/>
      <c r="AA360" s="13"/>
      <c r="AB360" s="13"/>
      <c r="AC360" s="13"/>
      <c r="AD360" s="13"/>
      <c r="AE360" s="13"/>
      <c r="AF360" s="13"/>
      <c r="AG360" s="184"/>
      <c r="AH360" s="37"/>
    </row>
    <row r="361" spans="1:34">
      <c r="A361" s="14">
        <f t="shared" si="116"/>
        <v>46253</v>
      </c>
      <c r="B361" s="11"/>
      <c r="C361" s="12"/>
      <c r="D361" s="12"/>
      <c r="E361" s="12"/>
      <c r="F361" s="12"/>
      <c r="G361" s="12"/>
      <c r="H361" s="12"/>
      <c r="I361" s="12"/>
      <c r="J361" s="13"/>
      <c r="K361" s="184"/>
      <c r="L361" s="26"/>
      <c r="M361" s="22"/>
      <c r="N361" s="29"/>
      <c r="O361" s="13"/>
      <c r="P361" s="13"/>
      <c r="Q361" s="13"/>
      <c r="R361" s="13"/>
      <c r="S361" s="13"/>
      <c r="T361" s="13"/>
      <c r="U361" s="13"/>
      <c r="V361" s="13"/>
      <c r="W361" s="184"/>
      <c r="X361" s="37"/>
      <c r="Y361" s="22"/>
      <c r="Z361" s="38"/>
      <c r="AA361" s="13"/>
      <c r="AB361" s="13"/>
      <c r="AC361" s="13"/>
      <c r="AD361" s="13"/>
      <c r="AE361" s="13"/>
      <c r="AF361" s="13"/>
      <c r="AG361" s="184"/>
      <c r="AH361" s="37"/>
    </row>
    <row r="362" spans="1:34">
      <c r="A362" s="14">
        <f t="shared" si="116"/>
        <v>46254</v>
      </c>
      <c r="B362" s="11"/>
      <c r="C362" s="13"/>
      <c r="D362" s="12"/>
      <c r="E362" s="12"/>
      <c r="F362" s="12"/>
      <c r="G362" s="12"/>
      <c r="H362" s="12"/>
      <c r="I362" s="13"/>
      <c r="J362" s="13"/>
      <c r="K362" s="184"/>
      <c r="L362" s="26"/>
      <c r="M362" s="22"/>
      <c r="N362" s="29"/>
      <c r="O362" s="13"/>
      <c r="P362" s="13"/>
      <c r="Q362" s="13"/>
      <c r="R362" s="13"/>
      <c r="S362" s="13"/>
      <c r="T362" s="13"/>
      <c r="U362" s="13"/>
      <c r="V362" s="13"/>
      <c r="W362" s="184"/>
      <c r="X362" s="37"/>
      <c r="Y362" s="22"/>
      <c r="Z362" s="38"/>
      <c r="AA362" s="13"/>
      <c r="AB362" s="13"/>
      <c r="AC362" s="13"/>
      <c r="AD362" s="13"/>
      <c r="AE362" s="13"/>
      <c r="AF362" s="13"/>
      <c r="AG362" s="184"/>
      <c r="AH362" s="37"/>
    </row>
    <row r="363" spans="1:34">
      <c r="A363" s="14">
        <f t="shared" si="116"/>
        <v>46255</v>
      </c>
      <c r="B363" s="11"/>
      <c r="C363" s="13"/>
      <c r="D363" s="12"/>
      <c r="E363" s="12"/>
      <c r="F363" s="12"/>
      <c r="G363" s="13"/>
      <c r="H363" s="13"/>
      <c r="I363" s="12"/>
      <c r="J363" s="13"/>
      <c r="K363" s="184"/>
      <c r="L363" s="26"/>
      <c r="M363" s="22"/>
      <c r="N363" s="29"/>
      <c r="O363" s="13"/>
      <c r="P363" s="13"/>
      <c r="Q363" s="13"/>
      <c r="R363" s="13"/>
      <c r="S363" s="13"/>
      <c r="T363" s="13"/>
      <c r="U363" s="13"/>
      <c r="V363" s="13"/>
      <c r="W363" s="184"/>
      <c r="X363" s="37"/>
      <c r="Y363" s="22"/>
      <c r="Z363" s="38"/>
      <c r="AA363" s="13"/>
      <c r="AB363" s="13"/>
      <c r="AC363" s="13"/>
      <c r="AD363" s="13"/>
      <c r="AE363" s="13"/>
      <c r="AF363" s="13"/>
      <c r="AG363" s="184"/>
      <c r="AH363" s="37"/>
    </row>
    <row r="364" spans="1:34">
      <c r="A364" s="14">
        <f t="shared" si="116"/>
        <v>46256</v>
      </c>
      <c r="B364" s="11"/>
      <c r="C364" s="13"/>
      <c r="D364" s="12"/>
      <c r="E364" s="12"/>
      <c r="F364" s="12"/>
      <c r="G364" s="12"/>
      <c r="H364" s="12"/>
      <c r="I364" s="13"/>
      <c r="J364" s="13"/>
      <c r="K364" s="184"/>
      <c r="L364" s="26"/>
      <c r="M364" s="22"/>
      <c r="N364" s="29"/>
      <c r="O364" s="13"/>
      <c r="P364" s="13"/>
      <c r="Q364" s="13"/>
      <c r="R364" s="13"/>
      <c r="S364" s="13"/>
      <c r="T364" s="13"/>
      <c r="U364" s="13"/>
      <c r="V364" s="13"/>
      <c r="W364" s="184"/>
      <c r="X364" s="37"/>
      <c r="Y364" s="22"/>
      <c r="Z364" s="38"/>
      <c r="AA364" s="13"/>
      <c r="AB364" s="13"/>
      <c r="AC364" s="13"/>
      <c r="AD364" s="13"/>
      <c r="AE364" s="13"/>
      <c r="AF364" s="13"/>
      <c r="AG364" s="184"/>
      <c r="AH364" s="37"/>
    </row>
    <row r="365" spans="1:34">
      <c r="A365" s="14">
        <f t="shared" si="116"/>
        <v>46257</v>
      </c>
      <c r="B365" s="38"/>
      <c r="C365" s="12"/>
      <c r="D365" s="12"/>
      <c r="E365" s="12"/>
      <c r="F365" s="12"/>
      <c r="G365" s="12"/>
      <c r="H365" s="12"/>
      <c r="I365" s="12"/>
      <c r="J365" s="13"/>
      <c r="K365" s="184"/>
      <c r="L365" s="26"/>
      <c r="M365" s="22"/>
      <c r="N365" s="61"/>
      <c r="O365" s="13"/>
      <c r="P365" s="13"/>
      <c r="Q365" s="13"/>
      <c r="R365" s="13"/>
      <c r="S365" s="13"/>
      <c r="T365" s="13"/>
      <c r="U365" s="13"/>
      <c r="V365" s="13"/>
      <c r="W365" s="184"/>
      <c r="X365" s="37"/>
      <c r="Y365" s="22"/>
      <c r="Z365" s="38"/>
      <c r="AA365" s="13"/>
      <c r="AB365" s="13"/>
      <c r="AC365" s="13"/>
      <c r="AD365" s="13"/>
      <c r="AE365" s="13"/>
      <c r="AF365" s="13"/>
      <c r="AG365" s="184"/>
      <c r="AH365" s="37"/>
    </row>
    <row r="366" spans="1:34">
      <c r="A366" s="14">
        <f t="shared" si="116"/>
        <v>46258</v>
      </c>
      <c r="B366" s="11"/>
      <c r="C366" s="12"/>
      <c r="D366" s="12"/>
      <c r="E366" s="12"/>
      <c r="F366" s="12"/>
      <c r="G366" s="12"/>
      <c r="H366" s="12"/>
      <c r="I366" s="12"/>
      <c r="J366" s="12"/>
      <c r="K366" s="185"/>
      <c r="L366" s="26"/>
      <c r="M366" s="22"/>
      <c r="N366" s="29"/>
      <c r="O366" s="13"/>
      <c r="P366" s="13"/>
      <c r="Q366" s="13"/>
      <c r="R366" s="13"/>
      <c r="S366" s="13"/>
      <c r="T366" s="13"/>
      <c r="U366" s="13"/>
      <c r="V366" s="13"/>
      <c r="W366" s="185"/>
      <c r="X366" s="37"/>
      <c r="Y366" s="22"/>
      <c r="Z366" s="38"/>
      <c r="AA366" s="13"/>
      <c r="AB366" s="13"/>
      <c r="AC366" s="13"/>
      <c r="AD366" s="13"/>
      <c r="AE366" s="13"/>
      <c r="AF366" s="13"/>
      <c r="AG366" s="185"/>
      <c r="AH366" s="37"/>
    </row>
    <row r="367" spans="1:34">
      <c r="A367" s="14">
        <f t="shared" si="116"/>
        <v>46259</v>
      </c>
      <c r="B367" s="38"/>
      <c r="C367" s="12"/>
      <c r="D367" s="12"/>
      <c r="E367" s="12"/>
      <c r="F367" s="12"/>
      <c r="G367" s="13"/>
      <c r="H367" s="13"/>
      <c r="I367" s="12"/>
      <c r="J367" s="12"/>
      <c r="K367" s="185"/>
      <c r="L367" s="37"/>
      <c r="M367" s="22"/>
      <c r="N367" s="29"/>
      <c r="O367" s="13"/>
      <c r="P367" s="13"/>
      <c r="Q367" s="13"/>
      <c r="R367" s="13"/>
      <c r="S367" s="13"/>
      <c r="T367" s="13"/>
      <c r="U367" s="13"/>
      <c r="V367" s="13"/>
      <c r="W367" s="185"/>
      <c r="X367" s="37"/>
      <c r="Y367" s="22"/>
      <c r="Z367" s="38"/>
      <c r="AA367" s="13"/>
      <c r="AB367" s="13"/>
      <c r="AC367" s="13"/>
      <c r="AD367" s="13"/>
      <c r="AE367" s="13"/>
      <c r="AF367" s="13"/>
      <c r="AG367" s="185"/>
      <c r="AH367" s="37"/>
    </row>
    <row r="368" spans="1:34">
      <c r="A368" s="14">
        <f t="shared" si="116"/>
        <v>46260</v>
      </c>
      <c r="B368" s="11"/>
      <c r="C368" s="13"/>
      <c r="D368" s="12"/>
      <c r="E368" s="12"/>
      <c r="F368" s="12"/>
      <c r="G368" s="13"/>
      <c r="H368" s="13"/>
      <c r="I368" s="13"/>
      <c r="J368" s="12"/>
      <c r="K368" s="185"/>
      <c r="L368" s="26"/>
      <c r="M368" s="22"/>
      <c r="N368" s="29"/>
      <c r="O368" s="13"/>
      <c r="P368" s="13"/>
      <c r="Q368" s="13"/>
      <c r="R368" s="13"/>
      <c r="S368" s="13"/>
      <c r="T368" s="13"/>
      <c r="U368" s="13"/>
      <c r="V368" s="13"/>
      <c r="W368" s="185"/>
      <c r="X368" s="51"/>
      <c r="Y368" s="22"/>
      <c r="Z368" s="38"/>
      <c r="AA368" s="13"/>
      <c r="AB368" s="13"/>
      <c r="AC368" s="13"/>
      <c r="AD368" s="13"/>
      <c r="AE368" s="13"/>
      <c r="AF368" s="13"/>
      <c r="AG368" s="185"/>
      <c r="AH368" s="51"/>
    </row>
    <row r="369" spans="1:34">
      <c r="A369" s="14">
        <f t="shared" si="116"/>
        <v>46261</v>
      </c>
      <c r="B369" s="11"/>
      <c r="C369" s="13"/>
      <c r="D369" s="12"/>
      <c r="E369" s="12"/>
      <c r="F369" s="12"/>
      <c r="G369" s="13"/>
      <c r="H369" s="13"/>
      <c r="I369" s="13"/>
      <c r="J369" s="12"/>
      <c r="K369" s="185"/>
      <c r="L369" s="26"/>
      <c r="M369" s="22"/>
      <c r="N369" s="29"/>
      <c r="O369" s="13"/>
      <c r="P369" s="13"/>
      <c r="Q369" s="13"/>
      <c r="R369" s="13"/>
      <c r="S369" s="13"/>
      <c r="T369" s="13"/>
      <c r="U369" s="13"/>
      <c r="V369" s="13"/>
      <c r="W369" s="185"/>
      <c r="X369" s="37"/>
      <c r="Y369" s="22"/>
      <c r="Z369" s="38"/>
      <c r="AA369" s="13"/>
      <c r="AB369" s="13"/>
      <c r="AC369" s="13"/>
      <c r="AD369" s="13"/>
      <c r="AE369" s="13"/>
      <c r="AF369" s="13"/>
      <c r="AG369" s="185"/>
      <c r="AH369" s="37"/>
    </row>
    <row r="370" spans="1:34">
      <c r="A370" s="14">
        <f t="shared" si="116"/>
        <v>46262</v>
      </c>
      <c r="B370" s="38"/>
      <c r="C370" s="13"/>
      <c r="D370" s="12"/>
      <c r="E370" s="12"/>
      <c r="F370" s="13"/>
      <c r="G370" s="12"/>
      <c r="H370" s="12"/>
      <c r="I370" s="12"/>
      <c r="J370" s="12"/>
      <c r="K370" s="185"/>
      <c r="L370" s="26"/>
      <c r="M370" s="22"/>
      <c r="N370" s="29"/>
      <c r="O370" s="13"/>
      <c r="P370" s="13"/>
      <c r="Q370" s="13"/>
      <c r="R370" s="13"/>
      <c r="S370" s="13"/>
      <c r="T370" s="13"/>
      <c r="U370" s="13"/>
      <c r="V370" s="13"/>
      <c r="W370" s="185"/>
      <c r="X370" s="37"/>
      <c r="Y370" s="22"/>
      <c r="Z370" s="38"/>
      <c r="AA370" s="13"/>
      <c r="AB370" s="13"/>
      <c r="AC370" s="13"/>
      <c r="AD370" s="13"/>
      <c r="AE370" s="13"/>
      <c r="AF370" s="13"/>
      <c r="AG370" s="185"/>
      <c r="AH370" s="37"/>
    </row>
    <row r="371" spans="1:34">
      <c r="A371" s="14">
        <f t="shared" si="116"/>
        <v>46263</v>
      </c>
      <c r="B371" s="38"/>
      <c r="C371" s="12"/>
      <c r="D371" s="12"/>
      <c r="E371" s="12"/>
      <c r="F371" s="12"/>
      <c r="G371" s="12"/>
      <c r="H371" s="12"/>
      <c r="I371" s="12"/>
      <c r="J371" s="59"/>
      <c r="K371" s="186"/>
      <c r="L371" s="26"/>
      <c r="M371" s="22"/>
      <c r="N371" s="29"/>
      <c r="O371" s="13"/>
      <c r="P371" s="13"/>
      <c r="Q371" s="13"/>
      <c r="R371" s="13"/>
      <c r="S371" s="13"/>
      <c r="T371" s="13"/>
      <c r="U371" s="13"/>
      <c r="V371" s="13"/>
      <c r="W371" s="186"/>
      <c r="X371" s="37"/>
      <c r="Y371" s="22"/>
      <c r="Z371" s="38"/>
      <c r="AA371" s="13"/>
      <c r="AB371" s="13"/>
      <c r="AC371" s="13"/>
      <c r="AD371" s="13"/>
      <c r="AE371" s="13"/>
      <c r="AF371" s="13"/>
      <c r="AG371" s="186"/>
      <c r="AH371" s="37"/>
    </row>
    <row r="372" spans="1:34">
      <c r="A372" s="14">
        <f t="shared" si="116"/>
        <v>46264</v>
      </c>
      <c r="B372" s="11"/>
      <c r="C372" s="12"/>
      <c r="D372" s="12"/>
      <c r="E372" s="12"/>
      <c r="F372" s="12"/>
      <c r="G372" s="12"/>
      <c r="H372" s="12"/>
      <c r="I372" s="12"/>
      <c r="J372" s="12"/>
      <c r="K372" s="185"/>
      <c r="L372" s="26"/>
      <c r="M372" s="22"/>
      <c r="N372" s="29"/>
      <c r="O372" s="13"/>
      <c r="P372" s="47"/>
      <c r="Q372" s="47"/>
      <c r="R372" s="47"/>
      <c r="S372" s="47"/>
      <c r="T372" s="47"/>
      <c r="U372" s="47"/>
      <c r="V372" s="53"/>
      <c r="W372" s="185"/>
      <c r="X372" s="48"/>
      <c r="Y372" s="22"/>
      <c r="Z372" s="38"/>
      <c r="AA372" s="13"/>
      <c r="AB372" s="47"/>
      <c r="AC372" s="47"/>
      <c r="AD372" s="47"/>
      <c r="AE372" s="13"/>
      <c r="AF372" s="53"/>
      <c r="AG372" s="185"/>
      <c r="AH372" s="37"/>
    </row>
    <row r="373" spans="1:34" ht="15.75" thickBot="1">
      <c r="A373" s="15">
        <f t="shared" si="116"/>
        <v>46265</v>
      </c>
      <c r="B373" s="57"/>
      <c r="C373" s="58"/>
      <c r="D373" s="58"/>
      <c r="E373" s="58"/>
      <c r="F373" s="58"/>
      <c r="G373" s="58"/>
      <c r="H373" s="58"/>
      <c r="I373" s="58"/>
      <c r="J373" s="58"/>
      <c r="K373" s="187"/>
      <c r="L373" s="60"/>
      <c r="M373" s="22"/>
      <c r="N373" s="56"/>
      <c r="O373" s="47"/>
      <c r="P373" s="47"/>
      <c r="Q373" s="47"/>
      <c r="R373" s="47"/>
      <c r="S373" s="47"/>
      <c r="T373" s="47"/>
      <c r="U373" s="47"/>
      <c r="V373" s="47"/>
      <c r="W373" s="187"/>
      <c r="X373" s="48"/>
      <c r="Y373" s="22"/>
      <c r="Z373" s="39"/>
      <c r="AA373" s="47"/>
      <c r="AB373" s="47"/>
      <c r="AC373" s="47"/>
      <c r="AD373" s="47"/>
      <c r="AE373" s="47"/>
      <c r="AF373" s="47"/>
      <c r="AG373" s="187"/>
      <c r="AH373" s="48"/>
    </row>
    <row r="374" spans="1:34">
      <c r="A374" s="16" t="s">
        <v>31</v>
      </c>
      <c r="B374" s="17">
        <f>MIN(B343:B373)</f>
        <v>0</v>
      </c>
      <c r="C374" s="17">
        <f>MIN(C343:C373)</f>
        <v>0</v>
      </c>
      <c r="D374" s="17">
        <f t="shared" ref="D374:L374" si="117">MIN(D343:D373)</f>
        <v>0</v>
      </c>
      <c r="E374" s="17">
        <f t="shared" si="117"/>
        <v>0</v>
      </c>
      <c r="F374" s="17">
        <f t="shared" si="117"/>
        <v>0</v>
      </c>
      <c r="G374" s="17">
        <f t="shared" si="117"/>
        <v>0</v>
      </c>
      <c r="H374" s="17">
        <f t="shared" si="117"/>
        <v>0</v>
      </c>
      <c r="I374" s="17">
        <f t="shared" si="117"/>
        <v>0</v>
      </c>
      <c r="J374" s="17">
        <f t="shared" si="117"/>
        <v>0</v>
      </c>
      <c r="K374" s="188"/>
      <c r="L374" s="30">
        <f t="shared" si="117"/>
        <v>0</v>
      </c>
      <c r="M374" s="22"/>
      <c r="N374" s="17">
        <f>MIN(N343:N373)</f>
        <v>0</v>
      </c>
      <c r="O374" s="17">
        <f>MIN(O343:O373)</f>
        <v>0</v>
      </c>
      <c r="P374" s="17">
        <f t="shared" ref="P374:X374" si="118">MIN(P343:P373)</f>
        <v>0</v>
      </c>
      <c r="Q374" s="17">
        <f t="shared" si="118"/>
        <v>0</v>
      </c>
      <c r="R374" s="17">
        <f t="shared" si="118"/>
        <v>0</v>
      </c>
      <c r="S374" s="17">
        <f t="shared" si="118"/>
        <v>0</v>
      </c>
      <c r="T374" s="17">
        <f t="shared" si="118"/>
        <v>0</v>
      </c>
      <c r="U374" s="17">
        <f t="shared" si="118"/>
        <v>0</v>
      </c>
      <c r="V374" s="17">
        <f t="shared" si="118"/>
        <v>0</v>
      </c>
      <c r="W374" s="188"/>
      <c r="X374" s="30">
        <f t="shared" si="118"/>
        <v>0</v>
      </c>
      <c r="Z374" s="40">
        <f t="shared" ref="Z374:AH374" si="119">MIN(Z343:Z373)</f>
        <v>0</v>
      </c>
      <c r="AA374" s="17">
        <f t="shared" si="119"/>
        <v>0</v>
      </c>
      <c r="AB374" s="17">
        <f t="shared" si="119"/>
        <v>0</v>
      </c>
      <c r="AC374" s="17">
        <f t="shared" si="119"/>
        <v>0</v>
      </c>
      <c r="AD374" s="17">
        <f t="shared" si="119"/>
        <v>0</v>
      </c>
      <c r="AE374" s="17">
        <f t="shared" si="119"/>
        <v>0</v>
      </c>
      <c r="AF374" s="17">
        <f t="shared" si="119"/>
        <v>0</v>
      </c>
      <c r="AG374" s="188"/>
      <c r="AH374" s="30">
        <f t="shared" si="119"/>
        <v>0</v>
      </c>
    </row>
    <row r="375" spans="1:34">
      <c r="A375" s="18" t="s">
        <v>33</v>
      </c>
      <c r="B375" s="19">
        <f>MAX(B343:B373)</f>
        <v>0</v>
      </c>
      <c r="C375" s="19">
        <f>MAX(C343:C373)</f>
        <v>0</v>
      </c>
      <c r="D375" s="19">
        <f t="shared" ref="D375:L375" si="120">MAX(D343:D373)</f>
        <v>0</v>
      </c>
      <c r="E375" s="19">
        <f t="shared" si="120"/>
        <v>0</v>
      </c>
      <c r="F375" s="19">
        <f t="shared" si="120"/>
        <v>0</v>
      </c>
      <c r="G375" s="19">
        <f t="shared" si="120"/>
        <v>0</v>
      </c>
      <c r="H375" s="19">
        <f t="shared" si="120"/>
        <v>0</v>
      </c>
      <c r="I375" s="19">
        <f t="shared" si="120"/>
        <v>0</v>
      </c>
      <c r="J375" s="19">
        <f t="shared" si="120"/>
        <v>0</v>
      </c>
      <c r="K375" s="189"/>
      <c r="L375" s="31">
        <f t="shared" si="120"/>
        <v>0</v>
      </c>
      <c r="M375" s="22"/>
      <c r="N375" s="19">
        <f>MAX(N343:N373)</f>
        <v>0</v>
      </c>
      <c r="O375" s="19">
        <f>MAX(O343:O373)</f>
        <v>0</v>
      </c>
      <c r="P375" s="19">
        <f t="shared" ref="P375:X375" si="121">MAX(P343:P373)</f>
        <v>0</v>
      </c>
      <c r="Q375" s="19">
        <f t="shared" si="121"/>
        <v>0</v>
      </c>
      <c r="R375" s="19">
        <f t="shared" si="121"/>
        <v>0</v>
      </c>
      <c r="S375" s="19">
        <f t="shared" si="121"/>
        <v>0</v>
      </c>
      <c r="T375" s="19">
        <f t="shared" si="121"/>
        <v>0</v>
      </c>
      <c r="U375" s="19">
        <f t="shared" si="121"/>
        <v>0</v>
      </c>
      <c r="V375" s="19">
        <f t="shared" si="121"/>
        <v>0</v>
      </c>
      <c r="W375" s="189"/>
      <c r="X375" s="31">
        <f t="shared" si="121"/>
        <v>0</v>
      </c>
      <c r="Z375" s="41">
        <f t="shared" ref="Z375:AH375" si="122">MAX(Z343:Z373)</f>
        <v>0</v>
      </c>
      <c r="AA375" s="19">
        <f t="shared" si="122"/>
        <v>0</v>
      </c>
      <c r="AB375" s="19">
        <f t="shared" si="122"/>
        <v>0</v>
      </c>
      <c r="AC375" s="19">
        <f t="shared" si="122"/>
        <v>0</v>
      </c>
      <c r="AD375" s="19">
        <f t="shared" si="122"/>
        <v>0</v>
      </c>
      <c r="AE375" s="19">
        <f t="shared" si="122"/>
        <v>0</v>
      </c>
      <c r="AF375" s="19">
        <f t="shared" si="122"/>
        <v>0</v>
      </c>
      <c r="AG375" s="189"/>
      <c r="AH375" s="31">
        <f t="shared" si="122"/>
        <v>0</v>
      </c>
    </row>
    <row r="376" spans="1:34">
      <c r="A376" s="18" t="s">
        <v>36</v>
      </c>
      <c r="B376" s="19" t="e">
        <f t="shared" ref="B376:L376" si="123">AVERAGE(B343:B373)</f>
        <v>#DIV/0!</v>
      </c>
      <c r="C376" s="19" t="e">
        <f t="shared" si="123"/>
        <v>#DIV/0!</v>
      </c>
      <c r="D376" s="19" t="e">
        <f t="shared" si="123"/>
        <v>#DIV/0!</v>
      </c>
      <c r="E376" s="19" t="e">
        <f t="shared" si="123"/>
        <v>#DIV/0!</v>
      </c>
      <c r="F376" s="19" t="e">
        <f t="shared" si="123"/>
        <v>#DIV/0!</v>
      </c>
      <c r="G376" s="19" t="e">
        <f t="shared" si="123"/>
        <v>#DIV/0!</v>
      </c>
      <c r="H376" s="19" t="e">
        <f t="shared" si="123"/>
        <v>#DIV/0!</v>
      </c>
      <c r="I376" s="19" t="e">
        <f t="shared" si="123"/>
        <v>#DIV/0!</v>
      </c>
      <c r="J376" s="19" t="e">
        <f t="shared" si="123"/>
        <v>#DIV/0!</v>
      </c>
      <c r="K376" s="189"/>
      <c r="L376" s="31" t="e">
        <f t="shared" si="123"/>
        <v>#DIV/0!</v>
      </c>
      <c r="M376" s="22"/>
      <c r="N376" s="19" t="e">
        <f t="shared" ref="N376:X376" si="124">AVERAGE(N343:N373)</f>
        <v>#DIV/0!</v>
      </c>
      <c r="O376" s="19" t="e">
        <f t="shared" si="124"/>
        <v>#DIV/0!</v>
      </c>
      <c r="P376" s="19" t="e">
        <f t="shared" si="124"/>
        <v>#DIV/0!</v>
      </c>
      <c r="Q376" s="19" t="e">
        <f t="shared" si="124"/>
        <v>#DIV/0!</v>
      </c>
      <c r="R376" s="19" t="e">
        <f t="shared" si="124"/>
        <v>#DIV/0!</v>
      </c>
      <c r="S376" s="19" t="e">
        <f t="shared" si="124"/>
        <v>#DIV/0!</v>
      </c>
      <c r="T376" s="19" t="e">
        <f t="shared" si="124"/>
        <v>#DIV/0!</v>
      </c>
      <c r="U376" s="19" t="e">
        <f t="shared" si="124"/>
        <v>#DIV/0!</v>
      </c>
      <c r="V376" s="19" t="e">
        <f t="shared" si="124"/>
        <v>#DIV/0!</v>
      </c>
      <c r="W376" s="189"/>
      <c r="X376" s="31" t="e">
        <f t="shared" si="124"/>
        <v>#DIV/0!</v>
      </c>
      <c r="Z376" s="41" t="e">
        <f>AVERAGE(Z343:Z373)</f>
        <v>#DIV/0!</v>
      </c>
      <c r="AA376" s="19" t="e">
        <f t="shared" ref="AA376:AH376" si="125">AVERAGE(AA343:AA373)</f>
        <v>#DIV/0!</v>
      </c>
      <c r="AB376" s="19" t="e">
        <f t="shared" si="125"/>
        <v>#DIV/0!</v>
      </c>
      <c r="AC376" s="19" t="e">
        <f t="shared" si="125"/>
        <v>#DIV/0!</v>
      </c>
      <c r="AD376" s="19" t="e">
        <f t="shared" si="125"/>
        <v>#DIV/0!</v>
      </c>
      <c r="AE376" s="19" t="e">
        <f t="shared" si="125"/>
        <v>#DIV/0!</v>
      </c>
      <c r="AF376" s="19" t="e">
        <f t="shared" si="125"/>
        <v>#DIV/0!</v>
      </c>
      <c r="AG376" s="189"/>
      <c r="AH376" s="31" t="e">
        <f t="shared" si="125"/>
        <v>#DIV/0!</v>
      </c>
    </row>
    <row r="377" spans="1:34" ht="15.75" thickBot="1">
      <c r="A377" s="20" t="s">
        <v>130</v>
      </c>
      <c r="B377" s="21" t="e">
        <f>STDEV(B343:B373)</f>
        <v>#DIV/0!</v>
      </c>
      <c r="C377" s="21" t="e">
        <f t="shared" ref="C377:L377" si="126">STDEV(C343:C373)</f>
        <v>#DIV/0!</v>
      </c>
      <c r="D377" s="21" t="e">
        <f t="shared" si="126"/>
        <v>#DIV/0!</v>
      </c>
      <c r="E377" s="21" t="e">
        <f t="shared" si="126"/>
        <v>#DIV/0!</v>
      </c>
      <c r="F377" s="21" t="e">
        <f t="shared" si="126"/>
        <v>#DIV/0!</v>
      </c>
      <c r="G377" s="21" t="e">
        <f t="shared" si="126"/>
        <v>#DIV/0!</v>
      </c>
      <c r="H377" s="21" t="e">
        <f t="shared" si="126"/>
        <v>#DIV/0!</v>
      </c>
      <c r="I377" s="21" t="e">
        <f t="shared" si="126"/>
        <v>#DIV/0!</v>
      </c>
      <c r="J377" s="21" t="e">
        <f t="shared" si="126"/>
        <v>#DIV/0!</v>
      </c>
      <c r="K377" s="190"/>
      <c r="L377" s="32" t="e">
        <f t="shared" si="126"/>
        <v>#DIV/0!</v>
      </c>
      <c r="M377" s="152"/>
      <c r="N377" s="21" t="e">
        <f>STDEV(N343:N373)</f>
        <v>#DIV/0!</v>
      </c>
      <c r="O377" s="21" t="e">
        <f t="shared" ref="O377:X377" si="127">STDEV(O343:O373)</f>
        <v>#DIV/0!</v>
      </c>
      <c r="P377" s="21" t="e">
        <f t="shared" si="127"/>
        <v>#DIV/0!</v>
      </c>
      <c r="Q377" s="21" t="e">
        <f t="shared" si="127"/>
        <v>#DIV/0!</v>
      </c>
      <c r="R377" s="21" t="e">
        <f t="shared" si="127"/>
        <v>#DIV/0!</v>
      </c>
      <c r="S377" s="21" t="e">
        <f t="shared" si="127"/>
        <v>#DIV/0!</v>
      </c>
      <c r="T377" s="21" t="e">
        <f t="shared" si="127"/>
        <v>#DIV/0!</v>
      </c>
      <c r="U377" s="21" t="e">
        <f t="shared" si="127"/>
        <v>#DIV/0!</v>
      </c>
      <c r="V377" s="21" t="e">
        <f t="shared" si="127"/>
        <v>#DIV/0!</v>
      </c>
      <c r="W377" s="190"/>
      <c r="X377" s="32" t="e">
        <f t="shared" si="127"/>
        <v>#DIV/0!</v>
      </c>
      <c r="Y377" s="153"/>
      <c r="Z377" s="42" t="e">
        <f>STDEV(Z343:Z373)</f>
        <v>#DIV/0!</v>
      </c>
      <c r="AA377" s="21" t="e">
        <f t="shared" ref="AA377:AH377" si="128">STDEV(AA343:AA373)</f>
        <v>#DIV/0!</v>
      </c>
      <c r="AB377" s="21" t="e">
        <f t="shared" si="128"/>
        <v>#DIV/0!</v>
      </c>
      <c r="AC377" s="21" t="e">
        <f t="shared" si="128"/>
        <v>#DIV/0!</v>
      </c>
      <c r="AD377" s="21" t="e">
        <f t="shared" si="128"/>
        <v>#DIV/0!</v>
      </c>
      <c r="AE377" s="21" t="e">
        <f t="shared" si="128"/>
        <v>#DIV/0!</v>
      </c>
      <c r="AF377" s="21" t="e">
        <f t="shared" si="128"/>
        <v>#DIV/0!</v>
      </c>
      <c r="AG377" s="190"/>
      <c r="AH377" s="32" t="e">
        <f t="shared" si="128"/>
        <v>#DIV/0!</v>
      </c>
    </row>
    <row r="378" spans="1:34" ht="15.75" thickBot="1"/>
    <row r="379" spans="1:34" ht="15.75" thickBot="1">
      <c r="A379" s="150"/>
      <c r="B379" s="338" t="s">
        <v>0</v>
      </c>
      <c r="C379" s="339"/>
      <c r="D379" s="339"/>
      <c r="E379" s="339"/>
      <c r="F379" s="339"/>
      <c r="G379" s="339"/>
      <c r="H379" s="339"/>
      <c r="I379" s="339"/>
      <c r="J379" s="339"/>
      <c r="K379" s="339"/>
      <c r="L379" s="339"/>
      <c r="M379" s="339"/>
      <c r="N379" s="339"/>
      <c r="O379" s="339"/>
      <c r="P379" s="339"/>
      <c r="Q379" s="339"/>
      <c r="R379" s="339"/>
      <c r="S379" s="339"/>
      <c r="T379" s="339"/>
      <c r="U379" s="339"/>
      <c r="V379" s="339"/>
      <c r="W379" s="339"/>
      <c r="X379" s="339"/>
      <c r="Y379" s="339"/>
      <c r="Z379" s="339"/>
      <c r="AA379" s="339"/>
      <c r="AB379" s="339"/>
      <c r="AC379" s="339"/>
      <c r="AD379" s="339"/>
      <c r="AE379" s="339"/>
      <c r="AF379" s="339"/>
      <c r="AG379" s="339"/>
      <c r="AH379" s="363"/>
    </row>
    <row r="380" spans="1:34" ht="15.75" thickBot="1">
      <c r="A380" s="151"/>
      <c r="B380" s="338" t="s">
        <v>165</v>
      </c>
      <c r="C380" s="339"/>
      <c r="D380" s="339"/>
      <c r="E380" s="339"/>
      <c r="F380" s="339"/>
      <c r="G380" s="339"/>
      <c r="H380" s="339"/>
      <c r="I380" s="339"/>
      <c r="J380" s="339"/>
      <c r="K380" s="339"/>
      <c r="L380" s="339"/>
      <c r="M380" s="339"/>
      <c r="N380" s="339"/>
      <c r="O380" s="339"/>
      <c r="P380" s="339"/>
      <c r="Q380" s="339"/>
      <c r="R380" s="339"/>
      <c r="S380" s="339"/>
      <c r="T380" s="339"/>
      <c r="U380" s="339"/>
      <c r="V380" s="339"/>
      <c r="W380" s="339"/>
      <c r="X380" s="339"/>
      <c r="Y380" s="339"/>
      <c r="Z380" s="339"/>
      <c r="AA380" s="339"/>
      <c r="AB380" s="339"/>
      <c r="AC380" s="339"/>
      <c r="AD380" s="4"/>
      <c r="AE380" s="43" t="s">
        <v>107</v>
      </c>
      <c r="AF380" s="341">
        <v>46266</v>
      </c>
      <c r="AG380" s="342"/>
      <c r="AH380" s="343"/>
    </row>
    <row r="381" spans="1:34">
      <c r="A381" s="344"/>
      <c r="B381" s="346" t="s">
        <v>132</v>
      </c>
      <c r="C381" s="347"/>
      <c r="D381" s="347"/>
      <c r="E381" s="347"/>
      <c r="F381" s="347"/>
      <c r="G381" s="347"/>
      <c r="H381" s="347"/>
      <c r="I381" s="347"/>
      <c r="J381" s="347"/>
      <c r="K381" s="348"/>
      <c r="L381" s="349"/>
      <c r="M381" s="22"/>
      <c r="N381" s="350" t="s">
        <v>133</v>
      </c>
      <c r="O381" s="347"/>
      <c r="P381" s="347"/>
      <c r="Q381" s="347"/>
      <c r="R381" s="347"/>
      <c r="S381" s="347"/>
      <c r="T381" s="347"/>
      <c r="U381" s="347"/>
      <c r="V381" s="347"/>
      <c r="W381" s="348"/>
      <c r="X381" s="349"/>
      <c r="Y381" s="22"/>
      <c r="Z381" s="346" t="s">
        <v>134</v>
      </c>
      <c r="AA381" s="347"/>
      <c r="AB381" s="347"/>
      <c r="AC381" s="347"/>
      <c r="AD381" s="347"/>
      <c r="AE381" s="347"/>
      <c r="AF381" s="347"/>
      <c r="AG381" s="348"/>
      <c r="AH381" s="349"/>
    </row>
    <row r="382" spans="1:34" ht="25.5">
      <c r="A382" s="345"/>
      <c r="B382" s="359" t="s">
        <v>135</v>
      </c>
      <c r="C382" s="361" t="s">
        <v>136</v>
      </c>
      <c r="D382" s="5" t="s">
        <v>137</v>
      </c>
      <c r="E382" s="5" t="s">
        <v>138</v>
      </c>
      <c r="F382" s="5" t="s">
        <v>139</v>
      </c>
      <c r="G382" s="5" t="s">
        <v>140</v>
      </c>
      <c r="H382" s="5" t="s">
        <v>141</v>
      </c>
      <c r="I382" s="5" t="s">
        <v>142</v>
      </c>
      <c r="J382" s="5" t="s">
        <v>143</v>
      </c>
      <c r="K382" s="181"/>
      <c r="L382" s="23" t="s">
        <v>144</v>
      </c>
      <c r="M382" s="22"/>
      <c r="N382" s="355" t="s">
        <v>135</v>
      </c>
      <c r="O382" s="357" t="s">
        <v>136</v>
      </c>
      <c r="P382" s="5" t="s">
        <v>137</v>
      </c>
      <c r="Q382" s="5" t="s">
        <v>138</v>
      </c>
      <c r="R382" s="5" t="s">
        <v>139</v>
      </c>
      <c r="S382" s="5" t="s">
        <v>140</v>
      </c>
      <c r="T382" s="5" t="s">
        <v>141</v>
      </c>
      <c r="U382" s="5" t="s">
        <v>142</v>
      </c>
      <c r="V382" s="5" t="s">
        <v>143</v>
      </c>
      <c r="W382" s="181"/>
      <c r="X382" s="23" t="s">
        <v>144</v>
      </c>
      <c r="Y382" s="22"/>
      <c r="Z382" s="33" t="s">
        <v>137</v>
      </c>
      <c r="AA382" s="5" t="s">
        <v>138</v>
      </c>
      <c r="AB382" s="5" t="s">
        <v>139</v>
      </c>
      <c r="AC382" s="5" t="s">
        <v>140</v>
      </c>
      <c r="AD382" s="5" t="s">
        <v>141</v>
      </c>
      <c r="AE382" s="5" t="s">
        <v>142</v>
      </c>
      <c r="AF382" s="5" t="s">
        <v>143</v>
      </c>
      <c r="AG382" s="181"/>
      <c r="AH382" s="23" t="s">
        <v>144</v>
      </c>
    </row>
    <row r="383" spans="1:34" ht="25.5">
      <c r="A383" s="6" t="s">
        <v>145</v>
      </c>
      <c r="B383" s="360"/>
      <c r="C383" s="362"/>
      <c r="D383" s="5" t="s">
        <v>128</v>
      </c>
      <c r="E383" s="5" t="s">
        <v>128</v>
      </c>
      <c r="F383" s="5" t="s">
        <v>128</v>
      </c>
      <c r="G383" s="5" t="s">
        <v>128</v>
      </c>
      <c r="H383" s="5" t="s">
        <v>125</v>
      </c>
      <c r="I383" s="5" t="s">
        <v>146</v>
      </c>
      <c r="J383" s="5" t="s">
        <v>127</v>
      </c>
      <c r="K383" s="181"/>
      <c r="L383" s="23" t="s">
        <v>53</v>
      </c>
      <c r="M383" s="22"/>
      <c r="N383" s="356"/>
      <c r="O383" s="358"/>
      <c r="P383" s="5" t="s">
        <v>128</v>
      </c>
      <c r="Q383" s="5" t="s">
        <v>128</v>
      </c>
      <c r="R383" s="5" t="s">
        <v>128</v>
      </c>
      <c r="S383" s="5" t="s">
        <v>128</v>
      </c>
      <c r="T383" s="5" t="s">
        <v>125</v>
      </c>
      <c r="U383" s="5" t="s">
        <v>146</v>
      </c>
      <c r="V383" s="5" t="s">
        <v>127</v>
      </c>
      <c r="W383" s="181"/>
      <c r="X383" s="23" t="s">
        <v>53</v>
      </c>
      <c r="Y383" s="22"/>
      <c r="Z383" s="33" t="s">
        <v>128</v>
      </c>
      <c r="AA383" s="5" t="s">
        <v>128</v>
      </c>
      <c r="AB383" s="5" t="s">
        <v>128</v>
      </c>
      <c r="AC383" s="5" t="s">
        <v>128</v>
      </c>
      <c r="AD383" s="5" t="s">
        <v>125</v>
      </c>
      <c r="AE383" s="5" t="s">
        <v>146</v>
      </c>
      <c r="AF383" s="5" t="s">
        <v>127</v>
      </c>
      <c r="AG383" s="181"/>
      <c r="AH383" s="23" t="s">
        <v>53</v>
      </c>
    </row>
    <row r="384" spans="1:34" ht="39" thickBot="1">
      <c r="A384" s="7" t="s">
        <v>147</v>
      </c>
      <c r="B384" s="8" t="s">
        <v>148</v>
      </c>
      <c r="C384" s="9" t="s">
        <v>166</v>
      </c>
      <c r="D384" s="9" t="s">
        <v>167</v>
      </c>
      <c r="E384" s="9" t="s">
        <v>168</v>
      </c>
      <c r="F384" s="9" t="s">
        <v>169</v>
      </c>
      <c r="G384" s="9" t="s">
        <v>170</v>
      </c>
      <c r="H384" s="9" t="s">
        <v>154</v>
      </c>
      <c r="I384" s="24" t="s">
        <v>155</v>
      </c>
      <c r="J384" s="24" t="s">
        <v>156</v>
      </c>
      <c r="K384" s="182"/>
      <c r="L384" s="25" t="s">
        <v>171</v>
      </c>
      <c r="M384" s="22"/>
      <c r="N384" s="8" t="s">
        <v>148</v>
      </c>
      <c r="O384" s="9" t="s">
        <v>166</v>
      </c>
      <c r="P384" s="9" t="s">
        <v>167</v>
      </c>
      <c r="Q384" s="9" t="s">
        <v>168</v>
      </c>
      <c r="R384" s="9" t="s">
        <v>169</v>
      </c>
      <c r="S384" s="9" t="s">
        <v>170</v>
      </c>
      <c r="T384" s="9" t="s">
        <v>154</v>
      </c>
      <c r="U384" s="24" t="s">
        <v>155</v>
      </c>
      <c r="V384" s="24" t="s">
        <v>156</v>
      </c>
      <c r="W384" s="182"/>
      <c r="X384" s="25" t="s">
        <v>171</v>
      </c>
      <c r="Y384" s="22"/>
      <c r="Z384" s="8" t="s">
        <v>167</v>
      </c>
      <c r="AA384" s="9" t="s">
        <v>168</v>
      </c>
      <c r="AB384" s="9" t="s">
        <v>169</v>
      </c>
      <c r="AC384" s="9" t="s">
        <v>170</v>
      </c>
      <c r="AD384" s="9" t="s">
        <v>154</v>
      </c>
      <c r="AE384" s="9" t="s">
        <v>155</v>
      </c>
      <c r="AF384" s="9" t="s">
        <v>156</v>
      </c>
      <c r="AG384" s="182"/>
      <c r="AH384" s="23" t="s">
        <v>171</v>
      </c>
    </row>
    <row r="385" spans="1:34">
      <c r="A385" s="10">
        <f>AF380+0</f>
        <v>46266</v>
      </c>
      <c r="B385" s="11"/>
      <c r="C385" s="12"/>
      <c r="D385" s="12"/>
      <c r="E385" s="13"/>
      <c r="F385" s="12"/>
      <c r="G385" s="12"/>
      <c r="H385" s="12"/>
      <c r="I385" s="12"/>
      <c r="J385" s="13"/>
      <c r="K385" s="184"/>
      <c r="L385" s="26"/>
      <c r="M385" s="22"/>
      <c r="N385" s="29"/>
      <c r="O385" s="13"/>
      <c r="P385" s="13"/>
      <c r="Q385" s="13"/>
      <c r="R385" s="13"/>
      <c r="S385" s="13"/>
      <c r="T385" s="13"/>
      <c r="U385" s="13"/>
      <c r="V385" s="13"/>
      <c r="W385" s="184"/>
      <c r="X385" s="37"/>
      <c r="Y385" s="22"/>
      <c r="Z385" s="38"/>
      <c r="AA385" s="13"/>
      <c r="AB385" s="13"/>
      <c r="AC385" s="13"/>
      <c r="AD385" s="13"/>
      <c r="AE385" s="13"/>
      <c r="AF385" s="13"/>
      <c r="AG385" s="184"/>
      <c r="AH385" s="45"/>
    </row>
    <row r="386" spans="1:34">
      <c r="A386" s="14">
        <f t="shared" ref="A386:A415" si="129">A385+1</f>
        <v>46267</v>
      </c>
      <c r="B386" s="11"/>
      <c r="C386" s="12"/>
      <c r="D386" s="12"/>
      <c r="E386" s="13"/>
      <c r="F386" s="12"/>
      <c r="G386" s="12"/>
      <c r="H386" s="12"/>
      <c r="I386" s="12"/>
      <c r="J386" s="13"/>
      <c r="K386" s="184"/>
      <c r="L386" s="26"/>
      <c r="M386" s="22"/>
      <c r="N386" s="29"/>
      <c r="O386" s="13"/>
      <c r="P386" s="13"/>
      <c r="Q386" s="13"/>
      <c r="R386" s="13"/>
      <c r="S386" s="13"/>
      <c r="T386" s="13"/>
      <c r="U386" s="13"/>
      <c r="V386" s="13"/>
      <c r="W386" s="184"/>
      <c r="X386" s="37"/>
      <c r="Y386" s="22"/>
      <c r="Z386" s="38"/>
      <c r="AA386" s="13"/>
      <c r="AB386" s="13"/>
      <c r="AC386" s="13"/>
      <c r="AD386" s="13"/>
      <c r="AE386" s="13"/>
      <c r="AF386" s="13"/>
      <c r="AG386" s="184"/>
      <c r="AH386" s="45"/>
    </row>
    <row r="387" spans="1:34">
      <c r="A387" s="14">
        <f t="shared" si="129"/>
        <v>46268</v>
      </c>
      <c r="B387" s="11"/>
      <c r="C387" s="12"/>
      <c r="D387" s="12"/>
      <c r="E387" s="13"/>
      <c r="F387" s="12"/>
      <c r="G387" s="12"/>
      <c r="H387" s="12"/>
      <c r="I387" s="12"/>
      <c r="J387" s="13"/>
      <c r="K387" s="184"/>
      <c r="L387" s="26"/>
      <c r="M387" s="22"/>
      <c r="N387" s="29"/>
      <c r="O387" s="13"/>
      <c r="P387" s="13"/>
      <c r="Q387" s="13"/>
      <c r="R387" s="13"/>
      <c r="S387" s="13"/>
      <c r="T387" s="13"/>
      <c r="U387" s="13"/>
      <c r="V387" s="13"/>
      <c r="W387" s="184"/>
      <c r="X387" s="37"/>
      <c r="Y387" s="22"/>
      <c r="Z387" s="38"/>
      <c r="AA387" s="13"/>
      <c r="AB387" s="13"/>
      <c r="AC387" s="13"/>
      <c r="AD387" s="13"/>
      <c r="AE387" s="13"/>
      <c r="AF387" s="13"/>
      <c r="AG387" s="184"/>
      <c r="AH387" s="45"/>
    </row>
    <row r="388" spans="1:34">
      <c r="A388" s="14">
        <f t="shared" si="129"/>
        <v>46269</v>
      </c>
      <c r="B388" s="11"/>
      <c r="C388" s="12"/>
      <c r="D388" s="12"/>
      <c r="E388" s="13"/>
      <c r="F388" s="12"/>
      <c r="G388" s="12"/>
      <c r="H388" s="12"/>
      <c r="I388" s="12"/>
      <c r="J388" s="13"/>
      <c r="K388" s="184"/>
      <c r="L388" s="26"/>
      <c r="M388" s="22"/>
      <c r="N388" s="29"/>
      <c r="O388" s="13"/>
      <c r="P388" s="13"/>
      <c r="Q388" s="13"/>
      <c r="R388" s="13"/>
      <c r="S388" s="13"/>
      <c r="T388" s="13"/>
      <c r="U388" s="13"/>
      <c r="V388" s="13"/>
      <c r="W388" s="184"/>
      <c r="X388" s="37"/>
      <c r="Y388" s="22"/>
      <c r="Z388" s="38"/>
      <c r="AA388" s="13"/>
      <c r="AB388" s="13"/>
      <c r="AC388" s="13"/>
      <c r="AD388" s="13"/>
      <c r="AE388" s="13"/>
      <c r="AF388" s="13"/>
      <c r="AG388" s="184"/>
      <c r="AH388" s="45"/>
    </row>
    <row r="389" spans="1:34">
      <c r="A389" s="14">
        <f t="shared" si="129"/>
        <v>46270</v>
      </c>
      <c r="B389" s="11"/>
      <c r="C389" s="12"/>
      <c r="D389" s="12"/>
      <c r="E389" s="13"/>
      <c r="F389" s="12"/>
      <c r="G389" s="12"/>
      <c r="H389" s="12"/>
      <c r="I389" s="12"/>
      <c r="J389" s="13"/>
      <c r="K389" s="184"/>
      <c r="L389" s="26"/>
      <c r="M389" s="22"/>
      <c r="N389" s="29"/>
      <c r="O389" s="13"/>
      <c r="P389" s="13"/>
      <c r="Q389" s="13"/>
      <c r="R389" s="13"/>
      <c r="S389" s="13"/>
      <c r="T389" s="13"/>
      <c r="U389" s="13"/>
      <c r="V389" s="13"/>
      <c r="W389" s="184"/>
      <c r="X389" s="37"/>
      <c r="Y389" s="22"/>
      <c r="Z389" s="38"/>
      <c r="AA389" s="13"/>
      <c r="AB389" s="13"/>
      <c r="AC389" s="13"/>
      <c r="AD389" s="13"/>
      <c r="AE389" s="13"/>
      <c r="AF389" s="13"/>
      <c r="AG389" s="184"/>
      <c r="AH389" s="45"/>
    </row>
    <row r="390" spans="1:34">
      <c r="A390" s="14">
        <f t="shared" si="129"/>
        <v>46271</v>
      </c>
      <c r="B390" s="11"/>
      <c r="C390" s="12"/>
      <c r="D390" s="12"/>
      <c r="E390" s="13"/>
      <c r="F390" s="12"/>
      <c r="G390" s="12"/>
      <c r="H390" s="12"/>
      <c r="I390" s="12"/>
      <c r="J390" s="13"/>
      <c r="K390" s="184"/>
      <c r="L390" s="26"/>
      <c r="M390" s="22"/>
      <c r="N390" s="29"/>
      <c r="O390" s="13"/>
      <c r="P390" s="13"/>
      <c r="Q390" s="13"/>
      <c r="R390" s="13"/>
      <c r="S390" s="13"/>
      <c r="T390" s="13"/>
      <c r="U390" s="13"/>
      <c r="V390" s="13"/>
      <c r="W390" s="184"/>
      <c r="X390" s="37"/>
      <c r="Y390" s="22"/>
      <c r="Z390" s="38"/>
      <c r="AA390" s="13"/>
      <c r="AB390" s="13"/>
      <c r="AC390" s="13"/>
      <c r="AD390" s="13"/>
      <c r="AE390" s="13"/>
      <c r="AF390" s="13"/>
      <c r="AG390" s="184"/>
      <c r="AH390" s="45"/>
    </row>
    <row r="391" spans="1:34">
      <c r="A391" s="14">
        <f t="shared" si="129"/>
        <v>46272</v>
      </c>
      <c r="B391" s="11"/>
      <c r="C391" s="12"/>
      <c r="D391" s="12"/>
      <c r="E391" s="12"/>
      <c r="F391" s="12"/>
      <c r="G391" s="12"/>
      <c r="H391" s="12"/>
      <c r="I391" s="12"/>
      <c r="J391" s="13"/>
      <c r="K391" s="184"/>
      <c r="L391" s="26"/>
      <c r="M391" s="22"/>
      <c r="N391" s="29"/>
      <c r="O391" s="50"/>
      <c r="P391" s="13"/>
      <c r="Q391" s="13"/>
      <c r="R391" s="13"/>
      <c r="S391" s="13"/>
      <c r="T391" s="13"/>
      <c r="U391" s="13"/>
      <c r="V391" s="13"/>
      <c r="W391" s="184"/>
      <c r="X391" s="51"/>
      <c r="Y391" s="22"/>
      <c r="Z391" s="38"/>
      <c r="AA391" s="13"/>
      <c r="AB391" s="13"/>
      <c r="AC391" s="13"/>
      <c r="AD391" s="13"/>
      <c r="AE391" s="13"/>
      <c r="AF391" s="13"/>
      <c r="AG391" s="184"/>
      <c r="AH391" s="46"/>
    </row>
    <row r="392" spans="1:34">
      <c r="A392" s="14">
        <f t="shared" si="129"/>
        <v>46273</v>
      </c>
      <c r="B392" s="11"/>
      <c r="C392" s="12"/>
      <c r="D392" s="12"/>
      <c r="E392" s="12"/>
      <c r="F392" s="12"/>
      <c r="G392" s="12"/>
      <c r="H392" s="12"/>
      <c r="I392" s="12"/>
      <c r="J392" s="13"/>
      <c r="K392" s="184"/>
      <c r="L392" s="26"/>
      <c r="M392" s="22"/>
      <c r="N392" s="29"/>
      <c r="O392" s="13"/>
      <c r="P392" s="13"/>
      <c r="Q392" s="13"/>
      <c r="R392" s="13"/>
      <c r="S392" s="13"/>
      <c r="T392" s="13"/>
      <c r="U392" s="13"/>
      <c r="V392" s="13"/>
      <c r="W392" s="184"/>
      <c r="X392" s="37"/>
      <c r="Y392" s="22"/>
      <c r="Z392" s="38"/>
      <c r="AA392" s="13"/>
      <c r="AB392" s="13"/>
      <c r="AC392" s="13"/>
      <c r="AD392" s="13"/>
      <c r="AE392" s="13"/>
      <c r="AF392" s="13"/>
      <c r="AG392" s="184"/>
      <c r="AH392" s="45"/>
    </row>
    <row r="393" spans="1:34">
      <c r="A393" s="14">
        <f t="shared" si="129"/>
        <v>46274</v>
      </c>
      <c r="B393" s="11"/>
      <c r="C393" s="12"/>
      <c r="D393" s="12"/>
      <c r="E393" s="12"/>
      <c r="F393" s="12"/>
      <c r="G393" s="12"/>
      <c r="H393" s="12"/>
      <c r="I393" s="12"/>
      <c r="J393" s="13"/>
      <c r="K393" s="184"/>
      <c r="L393" s="26"/>
      <c r="M393" s="22"/>
      <c r="N393" s="29"/>
      <c r="O393" s="13"/>
      <c r="P393" s="13"/>
      <c r="Q393" s="13"/>
      <c r="R393" s="13"/>
      <c r="S393" s="13"/>
      <c r="T393" s="13"/>
      <c r="U393" s="13"/>
      <c r="V393" s="13"/>
      <c r="W393" s="184"/>
      <c r="X393" s="37"/>
      <c r="Y393" s="22"/>
      <c r="Z393" s="38"/>
      <c r="AA393" s="13"/>
      <c r="AB393" s="13"/>
      <c r="AC393" s="13"/>
      <c r="AD393" s="13"/>
      <c r="AE393" s="13"/>
      <c r="AF393" s="13"/>
      <c r="AG393" s="184"/>
      <c r="AH393" s="45"/>
    </row>
    <row r="394" spans="1:34">
      <c r="A394" s="14">
        <f t="shared" si="129"/>
        <v>46275</v>
      </c>
      <c r="B394" s="11"/>
      <c r="C394" s="12"/>
      <c r="D394" s="12"/>
      <c r="E394" s="12"/>
      <c r="F394" s="12"/>
      <c r="G394" s="12"/>
      <c r="H394" s="12"/>
      <c r="I394" s="12"/>
      <c r="J394" s="13"/>
      <c r="K394" s="184"/>
      <c r="L394" s="26"/>
      <c r="M394" s="22"/>
      <c r="N394" s="29"/>
      <c r="O394" s="13"/>
      <c r="P394" s="13"/>
      <c r="Q394" s="13"/>
      <c r="R394" s="13"/>
      <c r="S394" s="13"/>
      <c r="T394" s="13"/>
      <c r="U394" s="13"/>
      <c r="V394" s="13"/>
      <c r="W394" s="184"/>
      <c r="X394" s="37"/>
      <c r="Y394" s="22"/>
      <c r="Z394" s="38"/>
      <c r="AA394" s="13"/>
      <c r="AB394" s="13"/>
      <c r="AC394" s="13"/>
      <c r="AD394" s="13"/>
      <c r="AE394" s="13"/>
      <c r="AF394" s="13"/>
      <c r="AG394" s="184"/>
      <c r="AH394" s="45"/>
    </row>
    <row r="395" spans="1:34">
      <c r="A395" s="14">
        <f t="shared" si="129"/>
        <v>46276</v>
      </c>
      <c r="B395" s="38"/>
      <c r="C395" s="12"/>
      <c r="D395" s="12"/>
      <c r="E395" s="12"/>
      <c r="F395" s="12"/>
      <c r="G395" s="12"/>
      <c r="H395" s="12"/>
      <c r="I395" s="12"/>
      <c r="J395" s="13"/>
      <c r="K395" s="184"/>
      <c r="L395" s="26"/>
      <c r="M395" s="22"/>
      <c r="N395" s="29"/>
      <c r="O395" s="13"/>
      <c r="P395" s="13"/>
      <c r="Q395" s="13"/>
      <c r="R395" s="13"/>
      <c r="S395" s="13"/>
      <c r="T395" s="13"/>
      <c r="U395" s="13"/>
      <c r="V395" s="13"/>
      <c r="W395" s="184"/>
      <c r="X395" s="37"/>
      <c r="Y395" s="22"/>
      <c r="Z395" s="38"/>
      <c r="AA395" s="13"/>
      <c r="AB395" s="13"/>
      <c r="AC395" s="13"/>
      <c r="AD395" s="13"/>
      <c r="AE395" s="13"/>
      <c r="AF395" s="13"/>
      <c r="AG395" s="184"/>
      <c r="AH395" s="45"/>
    </row>
    <row r="396" spans="1:34">
      <c r="A396" s="14">
        <f t="shared" si="129"/>
        <v>46277</v>
      </c>
      <c r="B396" s="11"/>
      <c r="C396" s="12"/>
      <c r="D396" s="12"/>
      <c r="E396" s="12"/>
      <c r="F396" s="12"/>
      <c r="G396" s="12"/>
      <c r="H396" s="12"/>
      <c r="I396" s="12"/>
      <c r="J396" s="13"/>
      <c r="K396" s="184"/>
      <c r="L396" s="26"/>
      <c r="M396" s="22"/>
      <c r="N396" s="29"/>
      <c r="O396" s="13"/>
      <c r="P396" s="13"/>
      <c r="Q396" s="13"/>
      <c r="R396" s="13"/>
      <c r="S396" s="13"/>
      <c r="T396" s="13"/>
      <c r="U396" s="13"/>
      <c r="V396" s="13"/>
      <c r="W396" s="184"/>
      <c r="X396" s="37"/>
      <c r="Y396" s="22"/>
      <c r="Z396" s="38"/>
      <c r="AA396" s="13"/>
      <c r="AB396" s="13"/>
      <c r="AC396" s="13"/>
      <c r="AD396" s="13"/>
      <c r="AE396" s="13"/>
      <c r="AF396" s="13"/>
      <c r="AG396" s="184"/>
      <c r="AH396" s="45"/>
    </row>
    <row r="397" spans="1:34">
      <c r="A397" s="14">
        <f t="shared" si="129"/>
        <v>46278</v>
      </c>
      <c r="B397" s="38"/>
      <c r="C397" s="13"/>
      <c r="D397" s="12"/>
      <c r="E397" s="12"/>
      <c r="F397" s="12"/>
      <c r="G397" s="12"/>
      <c r="H397" s="12"/>
      <c r="I397" s="12"/>
      <c r="J397" s="13"/>
      <c r="K397" s="184"/>
      <c r="L397" s="26"/>
      <c r="M397" s="22"/>
      <c r="N397" s="29"/>
      <c r="O397" s="13"/>
      <c r="P397" s="13"/>
      <c r="Q397" s="13"/>
      <c r="R397" s="13"/>
      <c r="S397" s="13"/>
      <c r="T397" s="13"/>
      <c r="U397" s="13"/>
      <c r="V397" s="13"/>
      <c r="W397" s="184"/>
      <c r="X397" s="37"/>
      <c r="Y397" s="22"/>
      <c r="Z397" s="38"/>
      <c r="AA397" s="13"/>
      <c r="AB397" s="13"/>
      <c r="AC397" s="13"/>
      <c r="AD397" s="13"/>
      <c r="AE397" s="13"/>
      <c r="AF397" s="13"/>
      <c r="AG397" s="184"/>
      <c r="AH397" s="45"/>
    </row>
    <row r="398" spans="1:34">
      <c r="A398" s="14">
        <f t="shared" si="129"/>
        <v>46279</v>
      </c>
      <c r="B398" s="11"/>
      <c r="C398" s="13"/>
      <c r="D398" s="12"/>
      <c r="E398" s="12"/>
      <c r="F398" s="12"/>
      <c r="G398" s="12"/>
      <c r="H398" s="12"/>
      <c r="I398" s="36"/>
      <c r="J398" s="13"/>
      <c r="K398" s="184"/>
      <c r="L398" s="26"/>
      <c r="M398" s="22"/>
      <c r="N398" s="29"/>
      <c r="O398" s="13"/>
      <c r="P398" s="13"/>
      <c r="Q398" s="13"/>
      <c r="R398" s="13"/>
      <c r="S398" s="13"/>
      <c r="T398" s="13"/>
      <c r="U398" s="13"/>
      <c r="V398" s="13"/>
      <c r="W398" s="184"/>
      <c r="X398" s="37"/>
      <c r="Y398" s="22"/>
      <c r="Z398" s="38"/>
      <c r="AA398" s="13"/>
      <c r="AB398" s="13"/>
      <c r="AC398" s="13"/>
      <c r="AD398" s="13"/>
      <c r="AE398" s="13"/>
      <c r="AF398" s="13"/>
      <c r="AG398" s="184"/>
      <c r="AH398" s="37"/>
    </row>
    <row r="399" spans="1:34">
      <c r="A399" s="14">
        <f t="shared" si="129"/>
        <v>46280</v>
      </c>
      <c r="B399" s="11"/>
      <c r="C399" s="13"/>
      <c r="D399" s="12"/>
      <c r="E399" s="12"/>
      <c r="F399" s="12"/>
      <c r="G399" s="12"/>
      <c r="H399" s="12"/>
      <c r="I399" s="12"/>
      <c r="J399" s="13"/>
      <c r="K399" s="184"/>
      <c r="L399" s="26"/>
      <c r="M399" s="22"/>
      <c r="N399" s="29"/>
      <c r="O399" s="13"/>
      <c r="P399" s="13"/>
      <c r="Q399" s="13"/>
      <c r="R399" s="13"/>
      <c r="S399" s="13"/>
      <c r="T399" s="13"/>
      <c r="U399" s="13"/>
      <c r="V399" s="13"/>
      <c r="W399" s="184"/>
      <c r="X399" s="37"/>
      <c r="Y399" s="22"/>
      <c r="Z399" s="38"/>
      <c r="AA399" s="13"/>
      <c r="AB399" s="13"/>
      <c r="AC399" s="13"/>
      <c r="AD399" s="13"/>
      <c r="AE399" s="13"/>
      <c r="AF399" s="13"/>
      <c r="AG399" s="184"/>
      <c r="AH399" s="37"/>
    </row>
    <row r="400" spans="1:34">
      <c r="A400" s="14">
        <f t="shared" si="129"/>
        <v>46281</v>
      </c>
      <c r="B400" s="11"/>
      <c r="C400" s="13"/>
      <c r="D400" s="12"/>
      <c r="E400" s="12"/>
      <c r="F400" s="12"/>
      <c r="G400" s="12"/>
      <c r="H400" s="12"/>
      <c r="I400" s="12"/>
      <c r="J400" s="13"/>
      <c r="K400" s="184"/>
      <c r="L400" s="26"/>
      <c r="M400" s="22"/>
      <c r="N400" s="29"/>
      <c r="O400" s="13"/>
      <c r="P400" s="13"/>
      <c r="Q400" s="13"/>
      <c r="R400" s="13"/>
      <c r="S400" s="13"/>
      <c r="T400" s="13"/>
      <c r="U400" s="13"/>
      <c r="V400" s="13"/>
      <c r="W400" s="184"/>
      <c r="X400" s="37"/>
      <c r="Y400" s="22"/>
      <c r="Z400" s="38"/>
      <c r="AA400" s="13"/>
      <c r="AB400" s="13"/>
      <c r="AC400" s="13"/>
      <c r="AD400" s="13"/>
      <c r="AE400" s="13"/>
      <c r="AF400" s="13"/>
      <c r="AG400" s="184"/>
      <c r="AH400" s="37"/>
    </row>
    <row r="401" spans="1:34">
      <c r="A401" s="14">
        <f t="shared" si="129"/>
        <v>46282</v>
      </c>
      <c r="B401" s="11"/>
      <c r="C401" s="13"/>
      <c r="D401" s="12"/>
      <c r="E401" s="12"/>
      <c r="F401" s="12"/>
      <c r="G401" s="12"/>
      <c r="H401" s="12"/>
      <c r="I401" s="12"/>
      <c r="J401" s="13"/>
      <c r="K401" s="184"/>
      <c r="L401" s="26"/>
      <c r="M401" s="22"/>
      <c r="N401" s="29"/>
      <c r="O401" s="13"/>
      <c r="P401" s="13"/>
      <c r="Q401" s="13"/>
      <c r="R401" s="13"/>
      <c r="S401" s="13"/>
      <c r="T401" s="13"/>
      <c r="U401" s="13"/>
      <c r="V401" s="13"/>
      <c r="W401" s="184"/>
      <c r="X401" s="37"/>
      <c r="Y401" s="22"/>
      <c r="Z401" s="38"/>
      <c r="AA401" s="13"/>
      <c r="AB401" s="13"/>
      <c r="AC401" s="13"/>
      <c r="AD401" s="13"/>
      <c r="AE401" s="13"/>
      <c r="AF401" s="13"/>
      <c r="AG401" s="184"/>
      <c r="AH401" s="37"/>
    </row>
    <row r="402" spans="1:34">
      <c r="A402" s="14">
        <f t="shared" si="129"/>
        <v>46283</v>
      </c>
      <c r="B402" s="11"/>
      <c r="C402" s="12"/>
      <c r="D402" s="12"/>
      <c r="E402" s="12"/>
      <c r="F402" s="12"/>
      <c r="G402" s="12"/>
      <c r="H402" s="12"/>
      <c r="I402" s="12"/>
      <c r="J402" s="13"/>
      <c r="K402" s="184"/>
      <c r="L402" s="26"/>
      <c r="M402" s="22"/>
      <c r="N402" s="29"/>
      <c r="O402" s="13"/>
      <c r="P402" s="13"/>
      <c r="Q402" s="13"/>
      <c r="R402" s="13"/>
      <c r="S402" s="13"/>
      <c r="T402" s="13"/>
      <c r="U402" s="13"/>
      <c r="V402" s="13"/>
      <c r="W402" s="184"/>
      <c r="X402" s="37"/>
      <c r="Y402" s="22"/>
      <c r="Z402" s="38"/>
      <c r="AA402" s="13"/>
      <c r="AB402" s="13"/>
      <c r="AC402" s="13"/>
      <c r="AD402" s="13"/>
      <c r="AE402" s="13"/>
      <c r="AF402" s="13"/>
      <c r="AG402" s="184"/>
      <c r="AH402" s="37"/>
    </row>
    <row r="403" spans="1:34">
      <c r="A403" s="14">
        <f t="shared" si="129"/>
        <v>46284</v>
      </c>
      <c r="B403" s="11"/>
      <c r="C403" s="12"/>
      <c r="D403" s="12"/>
      <c r="E403" s="12"/>
      <c r="F403" s="12"/>
      <c r="G403" s="12"/>
      <c r="H403" s="12"/>
      <c r="I403" s="12"/>
      <c r="J403" s="13"/>
      <c r="K403" s="184"/>
      <c r="L403" s="26"/>
      <c r="M403" s="22"/>
      <c r="N403" s="29"/>
      <c r="O403" s="13"/>
      <c r="P403" s="13"/>
      <c r="Q403" s="13"/>
      <c r="R403" s="13"/>
      <c r="S403" s="13"/>
      <c r="T403" s="13"/>
      <c r="U403" s="13"/>
      <c r="V403" s="13"/>
      <c r="W403" s="184"/>
      <c r="X403" s="37"/>
      <c r="Y403" s="22"/>
      <c r="Z403" s="38"/>
      <c r="AA403" s="13"/>
      <c r="AB403" s="13"/>
      <c r="AC403" s="13"/>
      <c r="AD403" s="13"/>
      <c r="AE403" s="13"/>
      <c r="AF403" s="13"/>
      <c r="AG403" s="184"/>
      <c r="AH403" s="37"/>
    </row>
    <row r="404" spans="1:34">
      <c r="A404" s="14">
        <f t="shared" si="129"/>
        <v>46285</v>
      </c>
      <c r="B404" s="11"/>
      <c r="C404" s="13"/>
      <c r="D404" s="12"/>
      <c r="E404" s="12"/>
      <c r="F404" s="12"/>
      <c r="G404" s="12"/>
      <c r="H404" s="12"/>
      <c r="I404" s="13"/>
      <c r="J404" s="13"/>
      <c r="K404" s="184"/>
      <c r="L404" s="26"/>
      <c r="M404" s="22"/>
      <c r="N404" s="29"/>
      <c r="O404" s="13"/>
      <c r="P404" s="13"/>
      <c r="Q404" s="13"/>
      <c r="R404" s="13"/>
      <c r="S404" s="13"/>
      <c r="T404" s="13"/>
      <c r="U404" s="13"/>
      <c r="V404" s="13"/>
      <c r="W404" s="184"/>
      <c r="X404" s="37"/>
      <c r="Y404" s="22"/>
      <c r="Z404" s="38"/>
      <c r="AA404" s="13"/>
      <c r="AB404" s="13"/>
      <c r="AC404" s="13"/>
      <c r="AD404" s="13"/>
      <c r="AE404" s="13"/>
      <c r="AF404" s="13"/>
      <c r="AG404" s="184"/>
      <c r="AH404" s="37"/>
    </row>
    <row r="405" spans="1:34">
      <c r="A405" s="14">
        <f t="shared" si="129"/>
        <v>46286</v>
      </c>
      <c r="B405" s="11"/>
      <c r="C405" s="13"/>
      <c r="D405" s="12"/>
      <c r="E405" s="12"/>
      <c r="F405" s="12"/>
      <c r="G405" s="13"/>
      <c r="H405" s="13"/>
      <c r="I405" s="12"/>
      <c r="J405" s="13"/>
      <c r="K405" s="184"/>
      <c r="L405" s="26"/>
      <c r="M405" s="22"/>
      <c r="N405" s="29"/>
      <c r="O405" s="13"/>
      <c r="P405" s="13"/>
      <c r="Q405" s="13"/>
      <c r="R405" s="13"/>
      <c r="S405" s="13"/>
      <c r="T405" s="13"/>
      <c r="U405" s="13"/>
      <c r="V405" s="13"/>
      <c r="W405" s="184"/>
      <c r="X405" s="37"/>
      <c r="Y405" s="22"/>
      <c r="Z405" s="38"/>
      <c r="AA405" s="13"/>
      <c r="AB405" s="13"/>
      <c r="AC405" s="13"/>
      <c r="AD405" s="13"/>
      <c r="AE405" s="13"/>
      <c r="AF405" s="13"/>
      <c r="AG405" s="184"/>
      <c r="AH405" s="37"/>
    </row>
    <row r="406" spans="1:34">
      <c r="A406" s="14">
        <f t="shared" si="129"/>
        <v>46287</v>
      </c>
      <c r="B406" s="11"/>
      <c r="C406" s="13"/>
      <c r="D406" s="12"/>
      <c r="E406" s="12"/>
      <c r="F406" s="12"/>
      <c r="G406" s="12"/>
      <c r="H406" s="12"/>
      <c r="I406" s="13"/>
      <c r="J406" s="13"/>
      <c r="K406" s="184"/>
      <c r="L406" s="26"/>
      <c r="M406" s="22"/>
      <c r="N406" s="29"/>
      <c r="O406" s="13"/>
      <c r="P406" s="13"/>
      <c r="Q406" s="13"/>
      <c r="R406" s="13"/>
      <c r="S406" s="13"/>
      <c r="T406" s="13"/>
      <c r="U406" s="13"/>
      <c r="V406" s="13"/>
      <c r="W406" s="184"/>
      <c r="X406" s="37"/>
      <c r="Y406" s="22"/>
      <c r="Z406" s="38"/>
      <c r="AA406" s="13"/>
      <c r="AB406" s="13"/>
      <c r="AC406" s="13"/>
      <c r="AD406" s="13"/>
      <c r="AE406" s="13"/>
      <c r="AF406" s="13"/>
      <c r="AG406" s="184"/>
      <c r="AH406" s="37"/>
    </row>
    <row r="407" spans="1:34">
      <c r="A407" s="14">
        <f t="shared" si="129"/>
        <v>46288</v>
      </c>
      <c r="B407" s="38"/>
      <c r="C407" s="12"/>
      <c r="D407" s="12"/>
      <c r="E407" s="12"/>
      <c r="F407" s="12"/>
      <c r="G407" s="12"/>
      <c r="H407" s="12"/>
      <c r="I407" s="12"/>
      <c r="J407" s="13"/>
      <c r="K407" s="184"/>
      <c r="L407" s="26"/>
      <c r="M407" s="22"/>
      <c r="N407" s="61"/>
      <c r="O407" s="13"/>
      <c r="P407" s="13"/>
      <c r="Q407" s="13"/>
      <c r="R407" s="13"/>
      <c r="S407" s="13"/>
      <c r="T407" s="13"/>
      <c r="U407" s="13"/>
      <c r="V407" s="13"/>
      <c r="W407" s="184"/>
      <c r="X407" s="37"/>
      <c r="Y407" s="22"/>
      <c r="Z407" s="38"/>
      <c r="AA407" s="13"/>
      <c r="AB407" s="13"/>
      <c r="AC407" s="13"/>
      <c r="AD407" s="13"/>
      <c r="AE407" s="13"/>
      <c r="AF407" s="13"/>
      <c r="AG407" s="184"/>
      <c r="AH407" s="37"/>
    </row>
    <row r="408" spans="1:34">
      <c r="A408" s="14">
        <f t="shared" si="129"/>
        <v>46289</v>
      </c>
      <c r="B408" s="11"/>
      <c r="C408" s="12"/>
      <c r="D408" s="12"/>
      <c r="E408" s="12"/>
      <c r="F408" s="12"/>
      <c r="G408" s="12"/>
      <c r="H408" s="12"/>
      <c r="I408" s="12"/>
      <c r="J408" s="12"/>
      <c r="K408" s="185"/>
      <c r="L408" s="26"/>
      <c r="M408" s="22"/>
      <c r="N408" s="29"/>
      <c r="O408" s="13"/>
      <c r="P408" s="13"/>
      <c r="Q408" s="13"/>
      <c r="R408" s="13"/>
      <c r="S408" s="13"/>
      <c r="T408" s="13"/>
      <c r="U408" s="13"/>
      <c r="V408" s="13"/>
      <c r="W408" s="185"/>
      <c r="X408" s="37"/>
      <c r="Y408" s="22"/>
      <c r="Z408" s="38"/>
      <c r="AA408" s="13"/>
      <c r="AB408" s="13"/>
      <c r="AC408" s="13"/>
      <c r="AD408" s="13"/>
      <c r="AE408" s="13"/>
      <c r="AF408" s="13"/>
      <c r="AG408" s="185"/>
      <c r="AH408" s="37"/>
    </row>
    <row r="409" spans="1:34">
      <c r="A409" s="14">
        <f t="shared" si="129"/>
        <v>46290</v>
      </c>
      <c r="B409" s="38"/>
      <c r="C409" s="12"/>
      <c r="D409" s="12"/>
      <c r="E409" s="12"/>
      <c r="F409" s="12"/>
      <c r="G409" s="13"/>
      <c r="H409" s="13"/>
      <c r="I409" s="12"/>
      <c r="J409" s="12"/>
      <c r="K409" s="185"/>
      <c r="L409" s="37"/>
      <c r="M409" s="22"/>
      <c r="N409" s="29"/>
      <c r="O409" s="13"/>
      <c r="P409" s="13"/>
      <c r="Q409" s="13"/>
      <c r="R409" s="13"/>
      <c r="S409" s="13"/>
      <c r="T409" s="13"/>
      <c r="U409" s="13"/>
      <c r="V409" s="13"/>
      <c r="W409" s="185"/>
      <c r="X409" s="37"/>
      <c r="Y409" s="22"/>
      <c r="Z409" s="38"/>
      <c r="AA409" s="13"/>
      <c r="AB409" s="13"/>
      <c r="AC409" s="13"/>
      <c r="AD409" s="13"/>
      <c r="AE409" s="13"/>
      <c r="AF409" s="13"/>
      <c r="AG409" s="185"/>
      <c r="AH409" s="37"/>
    </row>
    <row r="410" spans="1:34">
      <c r="A410" s="14">
        <f t="shared" si="129"/>
        <v>46291</v>
      </c>
      <c r="B410" s="11"/>
      <c r="C410" s="13"/>
      <c r="D410" s="12"/>
      <c r="E410" s="12"/>
      <c r="F410" s="12"/>
      <c r="G410" s="13"/>
      <c r="H410" s="13"/>
      <c r="I410" s="13"/>
      <c r="J410" s="12"/>
      <c r="K410" s="185"/>
      <c r="L410" s="26"/>
      <c r="M410" s="22"/>
      <c r="N410" s="29"/>
      <c r="O410" s="13"/>
      <c r="P410" s="13"/>
      <c r="Q410" s="13"/>
      <c r="R410" s="13"/>
      <c r="S410" s="13"/>
      <c r="T410" s="13"/>
      <c r="U410" s="13"/>
      <c r="V410" s="13"/>
      <c r="W410" s="185"/>
      <c r="X410" s="51"/>
      <c r="Y410" s="22"/>
      <c r="Z410" s="38"/>
      <c r="AA410" s="13"/>
      <c r="AB410" s="13"/>
      <c r="AC410" s="13"/>
      <c r="AD410" s="13"/>
      <c r="AE410" s="13"/>
      <c r="AF410" s="13"/>
      <c r="AG410" s="185"/>
      <c r="AH410" s="51"/>
    </row>
    <row r="411" spans="1:34">
      <c r="A411" s="14">
        <f t="shared" si="129"/>
        <v>46292</v>
      </c>
      <c r="B411" s="11"/>
      <c r="C411" s="13"/>
      <c r="D411" s="12"/>
      <c r="E411" s="12"/>
      <c r="F411" s="12"/>
      <c r="G411" s="13"/>
      <c r="H411" s="13"/>
      <c r="I411" s="13"/>
      <c r="J411" s="12"/>
      <c r="K411" s="185"/>
      <c r="L411" s="26"/>
      <c r="M411" s="22"/>
      <c r="N411" s="29"/>
      <c r="O411" s="13"/>
      <c r="P411" s="13"/>
      <c r="Q411" s="13"/>
      <c r="R411" s="13"/>
      <c r="S411" s="13"/>
      <c r="T411" s="13"/>
      <c r="U411" s="13"/>
      <c r="V411" s="13"/>
      <c r="W411" s="185"/>
      <c r="X411" s="37"/>
      <c r="Y411" s="22"/>
      <c r="Z411" s="38"/>
      <c r="AA411" s="13"/>
      <c r="AB411" s="13"/>
      <c r="AC411" s="13"/>
      <c r="AD411" s="13"/>
      <c r="AE411" s="13"/>
      <c r="AF411" s="13"/>
      <c r="AG411" s="185"/>
      <c r="AH411" s="37"/>
    </row>
    <row r="412" spans="1:34">
      <c r="A412" s="14">
        <f t="shared" si="129"/>
        <v>46293</v>
      </c>
      <c r="B412" s="38"/>
      <c r="C412" s="13"/>
      <c r="D412" s="12"/>
      <c r="E412" s="12"/>
      <c r="F412" s="13"/>
      <c r="G412" s="12"/>
      <c r="H412" s="12"/>
      <c r="I412" s="12"/>
      <c r="J412" s="12"/>
      <c r="K412" s="185"/>
      <c r="L412" s="26"/>
      <c r="M412" s="22"/>
      <c r="N412" s="29"/>
      <c r="O412" s="13"/>
      <c r="P412" s="13"/>
      <c r="Q412" s="13"/>
      <c r="R412" s="13"/>
      <c r="S412" s="13"/>
      <c r="T412" s="13"/>
      <c r="U412" s="13"/>
      <c r="V412" s="13"/>
      <c r="W412" s="185"/>
      <c r="X412" s="37"/>
      <c r="Y412" s="22"/>
      <c r="Z412" s="38"/>
      <c r="AA412" s="13"/>
      <c r="AB412" s="13"/>
      <c r="AC412" s="13"/>
      <c r="AD412" s="13"/>
      <c r="AE412" s="13"/>
      <c r="AF412" s="13"/>
      <c r="AG412" s="185"/>
      <c r="AH412" s="37"/>
    </row>
    <row r="413" spans="1:34">
      <c r="A413" s="14">
        <f t="shared" si="129"/>
        <v>46294</v>
      </c>
      <c r="B413" s="38"/>
      <c r="C413" s="12"/>
      <c r="D413" s="12"/>
      <c r="E413" s="12"/>
      <c r="F413" s="12"/>
      <c r="G413" s="12"/>
      <c r="H413" s="12"/>
      <c r="I413" s="12"/>
      <c r="J413" s="59"/>
      <c r="K413" s="186"/>
      <c r="L413" s="26"/>
      <c r="M413" s="22"/>
      <c r="N413" s="29"/>
      <c r="O413" s="13"/>
      <c r="P413" s="13"/>
      <c r="Q413" s="13"/>
      <c r="R413" s="13"/>
      <c r="S413" s="13"/>
      <c r="T413" s="13"/>
      <c r="U413" s="13"/>
      <c r="V413" s="13"/>
      <c r="W413" s="186"/>
      <c r="X413" s="37"/>
      <c r="Y413" s="22"/>
      <c r="Z413" s="38"/>
      <c r="AA413" s="13"/>
      <c r="AB413" s="13"/>
      <c r="AC413" s="13"/>
      <c r="AD413" s="13"/>
      <c r="AE413" s="13"/>
      <c r="AF413" s="13"/>
      <c r="AG413" s="186"/>
      <c r="AH413" s="37"/>
    </row>
    <row r="414" spans="1:34">
      <c r="A414" s="14">
        <f t="shared" si="129"/>
        <v>46295</v>
      </c>
      <c r="B414" s="11"/>
      <c r="C414" s="12"/>
      <c r="D414" s="12"/>
      <c r="E414" s="12"/>
      <c r="F414" s="12"/>
      <c r="G414" s="12"/>
      <c r="H414" s="12"/>
      <c r="I414" s="12"/>
      <c r="J414" s="12"/>
      <c r="K414" s="185"/>
      <c r="L414" s="26"/>
      <c r="M414" s="22"/>
      <c r="N414" s="29"/>
      <c r="O414" s="13"/>
      <c r="P414" s="47"/>
      <c r="Q414" s="47"/>
      <c r="R414" s="47"/>
      <c r="S414" s="47"/>
      <c r="T414" s="47"/>
      <c r="U414" s="47"/>
      <c r="V414" s="53"/>
      <c r="W414" s="185"/>
      <c r="X414" s="48"/>
      <c r="Y414" s="22"/>
      <c r="Z414" s="38"/>
      <c r="AA414" s="13"/>
      <c r="AB414" s="47"/>
      <c r="AC414" s="47"/>
      <c r="AD414" s="47"/>
      <c r="AE414" s="13"/>
      <c r="AF414" s="53"/>
      <c r="AG414" s="185"/>
      <c r="AH414" s="37"/>
    </row>
    <row r="415" spans="1:34" ht="15.75" thickBot="1">
      <c r="A415" s="15">
        <f t="shared" si="129"/>
        <v>46296</v>
      </c>
      <c r="B415" s="57"/>
      <c r="C415" s="58"/>
      <c r="D415" s="58"/>
      <c r="E415" s="58"/>
      <c r="F415" s="58"/>
      <c r="G415" s="58"/>
      <c r="H415" s="58"/>
      <c r="I415" s="58"/>
      <c r="J415" s="58"/>
      <c r="K415" s="187"/>
      <c r="L415" s="60"/>
      <c r="M415" s="22"/>
      <c r="N415" s="56"/>
      <c r="O415" s="47"/>
      <c r="P415" s="47"/>
      <c r="Q415" s="47"/>
      <c r="R415" s="47"/>
      <c r="S415" s="47"/>
      <c r="T415" s="47"/>
      <c r="U415" s="47"/>
      <c r="V415" s="47"/>
      <c r="W415" s="187"/>
      <c r="X415" s="48"/>
      <c r="Y415" s="22"/>
      <c r="Z415" s="39"/>
      <c r="AA415" s="47"/>
      <c r="AB415" s="47"/>
      <c r="AC415" s="47"/>
      <c r="AD415" s="47"/>
      <c r="AE415" s="47"/>
      <c r="AF415" s="47"/>
      <c r="AG415" s="187"/>
      <c r="AH415" s="48"/>
    </row>
    <row r="416" spans="1:34">
      <c r="A416" s="16" t="s">
        <v>31</v>
      </c>
      <c r="B416" s="17">
        <f>MIN(B385:B415)</f>
        <v>0</v>
      </c>
      <c r="C416" s="17">
        <f>MIN(C385:C415)</f>
        <v>0</v>
      </c>
      <c r="D416" s="17">
        <f t="shared" ref="D416:L416" si="130">MIN(D385:D415)</f>
        <v>0</v>
      </c>
      <c r="E416" s="17">
        <f t="shared" si="130"/>
        <v>0</v>
      </c>
      <c r="F416" s="17">
        <f t="shared" si="130"/>
        <v>0</v>
      </c>
      <c r="G416" s="17">
        <f t="shared" si="130"/>
        <v>0</v>
      </c>
      <c r="H416" s="17">
        <f t="shared" si="130"/>
        <v>0</v>
      </c>
      <c r="I416" s="17">
        <f t="shared" si="130"/>
        <v>0</v>
      </c>
      <c r="J416" s="17">
        <f t="shared" si="130"/>
        <v>0</v>
      </c>
      <c r="K416" s="188"/>
      <c r="L416" s="30">
        <f t="shared" si="130"/>
        <v>0</v>
      </c>
      <c r="M416" s="22"/>
      <c r="N416" s="17">
        <f>MIN(N385:N415)</f>
        <v>0</v>
      </c>
      <c r="O416" s="17">
        <f>MIN(O385:O415)</f>
        <v>0</v>
      </c>
      <c r="P416" s="17">
        <f t="shared" ref="P416:X416" si="131">MIN(P385:P415)</f>
        <v>0</v>
      </c>
      <c r="Q416" s="17">
        <f t="shared" si="131"/>
        <v>0</v>
      </c>
      <c r="R416" s="17">
        <f t="shared" si="131"/>
        <v>0</v>
      </c>
      <c r="S416" s="17">
        <f t="shared" si="131"/>
        <v>0</v>
      </c>
      <c r="T416" s="17">
        <f t="shared" si="131"/>
        <v>0</v>
      </c>
      <c r="U416" s="17">
        <f t="shared" si="131"/>
        <v>0</v>
      </c>
      <c r="V416" s="17">
        <f t="shared" si="131"/>
        <v>0</v>
      </c>
      <c r="W416" s="188"/>
      <c r="X416" s="30">
        <f t="shared" si="131"/>
        <v>0</v>
      </c>
      <c r="Z416" s="40">
        <f t="shared" ref="Z416:AH416" si="132">MIN(Z385:Z415)</f>
        <v>0</v>
      </c>
      <c r="AA416" s="17">
        <f t="shared" si="132"/>
        <v>0</v>
      </c>
      <c r="AB416" s="17">
        <f t="shared" si="132"/>
        <v>0</v>
      </c>
      <c r="AC416" s="17">
        <f t="shared" si="132"/>
        <v>0</v>
      </c>
      <c r="AD416" s="17">
        <f t="shared" si="132"/>
        <v>0</v>
      </c>
      <c r="AE416" s="17">
        <f t="shared" si="132"/>
        <v>0</v>
      </c>
      <c r="AF416" s="17">
        <f t="shared" si="132"/>
        <v>0</v>
      </c>
      <c r="AG416" s="188"/>
      <c r="AH416" s="30">
        <f t="shared" si="132"/>
        <v>0</v>
      </c>
    </row>
    <row r="417" spans="1:34">
      <c r="A417" s="18" t="s">
        <v>33</v>
      </c>
      <c r="B417" s="19">
        <f>MAX(B385:B415)</f>
        <v>0</v>
      </c>
      <c r="C417" s="19">
        <f>MAX(C385:C415)</f>
        <v>0</v>
      </c>
      <c r="D417" s="19">
        <f t="shared" ref="D417:L417" si="133">MAX(D385:D415)</f>
        <v>0</v>
      </c>
      <c r="E417" s="19">
        <f t="shared" si="133"/>
        <v>0</v>
      </c>
      <c r="F417" s="19">
        <f t="shared" si="133"/>
        <v>0</v>
      </c>
      <c r="G417" s="19">
        <f t="shared" si="133"/>
        <v>0</v>
      </c>
      <c r="H417" s="19">
        <f t="shared" si="133"/>
        <v>0</v>
      </c>
      <c r="I417" s="19">
        <f t="shared" si="133"/>
        <v>0</v>
      </c>
      <c r="J417" s="19">
        <f t="shared" si="133"/>
        <v>0</v>
      </c>
      <c r="K417" s="189"/>
      <c r="L417" s="31">
        <f t="shared" si="133"/>
        <v>0</v>
      </c>
      <c r="M417" s="22"/>
      <c r="N417" s="19">
        <f>MAX(N385:N415)</f>
        <v>0</v>
      </c>
      <c r="O417" s="19">
        <f>MAX(O385:O415)</f>
        <v>0</v>
      </c>
      <c r="P417" s="19">
        <f t="shared" ref="P417:X417" si="134">MAX(P385:P415)</f>
        <v>0</v>
      </c>
      <c r="Q417" s="19">
        <f t="shared" si="134"/>
        <v>0</v>
      </c>
      <c r="R417" s="19">
        <f t="shared" si="134"/>
        <v>0</v>
      </c>
      <c r="S417" s="19">
        <f t="shared" si="134"/>
        <v>0</v>
      </c>
      <c r="T417" s="19">
        <f t="shared" si="134"/>
        <v>0</v>
      </c>
      <c r="U417" s="19">
        <f t="shared" si="134"/>
        <v>0</v>
      </c>
      <c r="V417" s="19">
        <f t="shared" si="134"/>
        <v>0</v>
      </c>
      <c r="W417" s="189"/>
      <c r="X417" s="31">
        <f t="shared" si="134"/>
        <v>0</v>
      </c>
      <c r="Z417" s="41">
        <f t="shared" ref="Z417:AH417" si="135">MAX(Z385:Z415)</f>
        <v>0</v>
      </c>
      <c r="AA417" s="19">
        <f t="shared" si="135"/>
        <v>0</v>
      </c>
      <c r="AB417" s="19">
        <f t="shared" si="135"/>
        <v>0</v>
      </c>
      <c r="AC417" s="19">
        <f t="shared" si="135"/>
        <v>0</v>
      </c>
      <c r="AD417" s="19">
        <f t="shared" si="135"/>
        <v>0</v>
      </c>
      <c r="AE417" s="19">
        <f t="shared" si="135"/>
        <v>0</v>
      </c>
      <c r="AF417" s="19">
        <f t="shared" si="135"/>
        <v>0</v>
      </c>
      <c r="AG417" s="189"/>
      <c r="AH417" s="31">
        <f t="shared" si="135"/>
        <v>0</v>
      </c>
    </row>
    <row r="418" spans="1:34">
      <c r="A418" s="18" t="s">
        <v>36</v>
      </c>
      <c r="B418" s="19" t="e">
        <f t="shared" ref="B418:L418" si="136">AVERAGE(B385:B415)</f>
        <v>#DIV/0!</v>
      </c>
      <c r="C418" s="19" t="e">
        <f t="shared" si="136"/>
        <v>#DIV/0!</v>
      </c>
      <c r="D418" s="19" t="e">
        <f t="shared" si="136"/>
        <v>#DIV/0!</v>
      </c>
      <c r="E418" s="19" t="e">
        <f t="shared" si="136"/>
        <v>#DIV/0!</v>
      </c>
      <c r="F418" s="19" t="e">
        <f t="shared" si="136"/>
        <v>#DIV/0!</v>
      </c>
      <c r="G418" s="19" t="e">
        <f t="shared" si="136"/>
        <v>#DIV/0!</v>
      </c>
      <c r="H418" s="19" t="e">
        <f t="shared" si="136"/>
        <v>#DIV/0!</v>
      </c>
      <c r="I418" s="19" t="e">
        <f t="shared" si="136"/>
        <v>#DIV/0!</v>
      </c>
      <c r="J418" s="19" t="e">
        <f t="shared" si="136"/>
        <v>#DIV/0!</v>
      </c>
      <c r="K418" s="189"/>
      <c r="L418" s="31" t="e">
        <f t="shared" si="136"/>
        <v>#DIV/0!</v>
      </c>
      <c r="M418" s="22"/>
      <c r="N418" s="19" t="e">
        <f t="shared" ref="N418:X418" si="137">AVERAGE(N385:N415)</f>
        <v>#DIV/0!</v>
      </c>
      <c r="O418" s="19" t="e">
        <f t="shared" si="137"/>
        <v>#DIV/0!</v>
      </c>
      <c r="P418" s="19" t="e">
        <f t="shared" si="137"/>
        <v>#DIV/0!</v>
      </c>
      <c r="Q418" s="19" t="e">
        <f t="shared" si="137"/>
        <v>#DIV/0!</v>
      </c>
      <c r="R418" s="19" t="e">
        <f t="shared" si="137"/>
        <v>#DIV/0!</v>
      </c>
      <c r="S418" s="19" t="e">
        <f t="shared" si="137"/>
        <v>#DIV/0!</v>
      </c>
      <c r="T418" s="19" t="e">
        <f t="shared" si="137"/>
        <v>#DIV/0!</v>
      </c>
      <c r="U418" s="19" t="e">
        <f t="shared" si="137"/>
        <v>#DIV/0!</v>
      </c>
      <c r="V418" s="19" t="e">
        <f t="shared" si="137"/>
        <v>#DIV/0!</v>
      </c>
      <c r="W418" s="189"/>
      <c r="X418" s="31" t="e">
        <f t="shared" si="137"/>
        <v>#DIV/0!</v>
      </c>
      <c r="Z418" s="41" t="e">
        <f>AVERAGE(Z385:Z415)</f>
        <v>#DIV/0!</v>
      </c>
      <c r="AA418" s="19" t="e">
        <f t="shared" ref="AA418:AH418" si="138">AVERAGE(AA385:AA415)</f>
        <v>#DIV/0!</v>
      </c>
      <c r="AB418" s="19" t="e">
        <f t="shared" si="138"/>
        <v>#DIV/0!</v>
      </c>
      <c r="AC418" s="19" t="e">
        <f t="shared" si="138"/>
        <v>#DIV/0!</v>
      </c>
      <c r="AD418" s="19" t="e">
        <f t="shared" si="138"/>
        <v>#DIV/0!</v>
      </c>
      <c r="AE418" s="19" t="e">
        <f t="shared" si="138"/>
        <v>#DIV/0!</v>
      </c>
      <c r="AF418" s="19" t="e">
        <f t="shared" si="138"/>
        <v>#DIV/0!</v>
      </c>
      <c r="AG418" s="189"/>
      <c r="AH418" s="31" t="e">
        <f t="shared" si="138"/>
        <v>#DIV/0!</v>
      </c>
    </row>
    <row r="419" spans="1:34" ht="15.75" thickBot="1">
      <c r="A419" s="20" t="s">
        <v>130</v>
      </c>
      <c r="B419" s="21" t="e">
        <f>STDEV(B385:B415)</f>
        <v>#DIV/0!</v>
      </c>
      <c r="C419" s="21" t="e">
        <f t="shared" ref="C419:L419" si="139">STDEV(C385:C415)</f>
        <v>#DIV/0!</v>
      </c>
      <c r="D419" s="21" t="e">
        <f t="shared" si="139"/>
        <v>#DIV/0!</v>
      </c>
      <c r="E419" s="21" t="e">
        <f t="shared" si="139"/>
        <v>#DIV/0!</v>
      </c>
      <c r="F419" s="21" t="e">
        <f t="shared" si="139"/>
        <v>#DIV/0!</v>
      </c>
      <c r="G419" s="21" t="e">
        <f t="shared" si="139"/>
        <v>#DIV/0!</v>
      </c>
      <c r="H419" s="21" t="e">
        <f t="shared" si="139"/>
        <v>#DIV/0!</v>
      </c>
      <c r="I419" s="21" t="e">
        <f t="shared" si="139"/>
        <v>#DIV/0!</v>
      </c>
      <c r="J419" s="21" t="e">
        <f t="shared" si="139"/>
        <v>#DIV/0!</v>
      </c>
      <c r="K419" s="190"/>
      <c r="L419" s="32" t="e">
        <f t="shared" si="139"/>
        <v>#DIV/0!</v>
      </c>
      <c r="M419" s="152"/>
      <c r="N419" s="21" t="e">
        <f>STDEV(N385:N415)</f>
        <v>#DIV/0!</v>
      </c>
      <c r="O419" s="21" t="e">
        <f t="shared" ref="O419:X419" si="140">STDEV(O385:O415)</f>
        <v>#DIV/0!</v>
      </c>
      <c r="P419" s="21" t="e">
        <f t="shared" si="140"/>
        <v>#DIV/0!</v>
      </c>
      <c r="Q419" s="21" t="e">
        <f t="shared" si="140"/>
        <v>#DIV/0!</v>
      </c>
      <c r="R419" s="21" t="e">
        <f t="shared" si="140"/>
        <v>#DIV/0!</v>
      </c>
      <c r="S419" s="21" t="e">
        <f t="shared" si="140"/>
        <v>#DIV/0!</v>
      </c>
      <c r="T419" s="21" t="e">
        <f t="shared" si="140"/>
        <v>#DIV/0!</v>
      </c>
      <c r="U419" s="21" t="e">
        <f t="shared" si="140"/>
        <v>#DIV/0!</v>
      </c>
      <c r="V419" s="21" t="e">
        <f t="shared" si="140"/>
        <v>#DIV/0!</v>
      </c>
      <c r="W419" s="190"/>
      <c r="X419" s="32" t="e">
        <f t="shared" si="140"/>
        <v>#DIV/0!</v>
      </c>
      <c r="Y419" s="153"/>
      <c r="Z419" s="42" t="e">
        <f>STDEV(Z385:Z415)</f>
        <v>#DIV/0!</v>
      </c>
      <c r="AA419" s="21" t="e">
        <f t="shared" ref="AA419:AH419" si="141">STDEV(AA385:AA415)</f>
        <v>#DIV/0!</v>
      </c>
      <c r="AB419" s="21" t="e">
        <f t="shared" si="141"/>
        <v>#DIV/0!</v>
      </c>
      <c r="AC419" s="21" t="e">
        <f t="shared" si="141"/>
        <v>#DIV/0!</v>
      </c>
      <c r="AD419" s="21" t="e">
        <f t="shared" si="141"/>
        <v>#DIV/0!</v>
      </c>
      <c r="AE419" s="21" t="e">
        <f t="shared" si="141"/>
        <v>#DIV/0!</v>
      </c>
      <c r="AF419" s="21" t="e">
        <f t="shared" si="141"/>
        <v>#DIV/0!</v>
      </c>
      <c r="AG419" s="190"/>
      <c r="AH419" s="32" t="e">
        <f t="shared" si="141"/>
        <v>#DIV/0!</v>
      </c>
    </row>
    <row r="420" spans="1:34" ht="15.75" thickBot="1"/>
    <row r="421" spans="1:34" ht="15.75" thickBot="1">
      <c r="A421" s="150"/>
      <c r="B421" s="338" t="s">
        <v>0</v>
      </c>
      <c r="C421" s="339"/>
      <c r="D421" s="339"/>
      <c r="E421" s="339"/>
      <c r="F421" s="339"/>
      <c r="G421" s="339"/>
      <c r="H421" s="339"/>
      <c r="I421" s="339"/>
      <c r="J421" s="339"/>
      <c r="K421" s="339"/>
      <c r="L421" s="339"/>
      <c r="M421" s="339"/>
      <c r="N421" s="339"/>
      <c r="O421" s="339"/>
      <c r="P421" s="339"/>
      <c r="Q421" s="339"/>
      <c r="R421" s="339"/>
      <c r="S421" s="339"/>
      <c r="T421" s="339"/>
      <c r="U421" s="339"/>
      <c r="V421" s="339"/>
      <c r="W421" s="339"/>
      <c r="X421" s="339"/>
      <c r="Y421" s="339"/>
      <c r="Z421" s="339"/>
      <c r="AA421" s="339"/>
      <c r="AB421" s="339"/>
      <c r="AC421" s="339"/>
      <c r="AD421" s="339"/>
      <c r="AE421" s="339"/>
      <c r="AF421" s="339"/>
      <c r="AG421" s="339"/>
      <c r="AH421" s="363"/>
    </row>
    <row r="422" spans="1:34" ht="15.75" thickBot="1">
      <c r="A422" s="151"/>
      <c r="B422" s="338" t="s">
        <v>165</v>
      </c>
      <c r="C422" s="339"/>
      <c r="D422" s="339"/>
      <c r="E422" s="339"/>
      <c r="F422" s="339"/>
      <c r="G422" s="339"/>
      <c r="H422" s="339"/>
      <c r="I422" s="339"/>
      <c r="J422" s="339"/>
      <c r="K422" s="339"/>
      <c r="L422" s="339"/>
      <c r="M422" s="339"/>
      <c r="N422" s="339"/>
      <c r="O422" s="339"/>
      <c r="P422" s="339"/>
      <c r="Q422" s="339"/>
      <c r="R422" s="339"/>
      <c r="S422" s="339"/>
      <c r="T422" s="339"/>
      <c r="U422" s="339"/>
      <c r="V422" s="339"/>
      <c r="W422" s="339"/>
      <c r="X422" s="339"/>
      <c r="Y422" s="339"/>
      <c r="Z422" s="339"/>
      <c r="AA422" s="339"/>
      <c r="AB422" s="339"/>
      <c r="AC422" s="339"/>
      <c r="AD422" s="4"/>
      <c r="AE422" s="43" t="s">
        <v>107</v>
      </c>
      <c r="AF422" s="341">
        <v>46296</v>
      </c>
      <c r="AG422" s="342"/>
      <c r="AH422" s="343"/>
    </row>
    <row r="423" spans="1:34">
      <c r="A423" s="344"/>
      <c r="B423" s="346" t="s">
        <v>132</v>
      </c>
      <c r="C423" s="347"/>
      <c r="D423" s="347"/>
      <c r="E423" s="347"/>
      <c r="F423" s="347"/>
      <c r="G423" s="347"/>
      <c r="H423" s="347"/>
      <c r="I423" s="347"/>
      <c r="J423" s="347"/>
      <c r="K423" s="348"/>
      <c r="L423" s="349"/>
      <c r="M423" s="22"/>
      <c r="N423" s="350" t="s">
        <v>133</v>
      </c>
      <c r="O423" s="347"/>
      <c r="P423" s="347"/>
      <c r="Q423" s="347"/>
      <c r="R423" s="347"/>
      <c r="S423" s="347"/>
      <c r="T423" s="347"/>
      <c r="U423" s="347"/>
      <c r="V423" s="347"/>
      <c r="W423" s="348"/>
      <c r="X423" s="349"/>
      <c r="Y423" s="22"/>
      <c r="Z423" s="346" t="s">
        <v>134</v>
      </c>
      <c r="AA423" s="347"/>
      <c r="AB423" s="347"/>
      <c r="AC423" s="347"/>
      <c r="AD423" s="347"/>
      <c r="AE423" s="347"/>
      <c r="AF423" s="347"/>
      <c r="AG423" s="348"/>
      <c r="AH423" s="349"/>
    </row>
    <row r="424" spans="1:34" ht="25.5">
      <c r="A424" s="345"/>
      <c r="B424" s="359" t="s">
        <v>135</v>
      </c>
      <c r="C424" s="361" t="s">
        <v>136</v>
      </c>
      <c r="D424" s="5" t="s">
        <v>137</v>
      </c>
      <c r="E424" s="5" t="s">
        <v>138</v>
      </c>
      <c r="F424" s="5" t="s">
        <v>139</v>
      </c>
      <c r="G424" s="5" t="s">
        <v>140</v>
      </c>
      <c r="H424" s="5" t="s">
        <v>141</v>
      </c>
      <c r="I424" s="5" t="s">
        <v>142</v>
      </c>
      <c r="J424" s="5" t="s">
        <v>143</v>
      </c>
      <c r="K424" s="181"/>
      <c r="L424" s="23" t="s">
        <v>144</v>
      </c>
      <c r="M424" s="22"/>
      <c r="N424" s="355" t="s">
        <v>135</v>
      </c>
      <c r="O424" s="357" t="s">
        <v>136</v>
      </c>
      <c r="P424" s="5" t="s">
        <v>137</v>
      </c>
      <c r="Q424" s="5" t="s">
        <v>138</v>
      </c>
      <c r="R424" s="5" t="s">
        <v>139</v>
      </c>
      <c r="S424" s="5" t="s">
        <v>140</v>
      </c>
      <c r="T424" s="5" t="s">
        <v>141</v>
      </c>
      <c r="U424" s="5" t="s">
        <v>142</v>
      </c>
      <c r="V424" s="5" t="s">
        <v>143</v>
      </c>
      <c r="W424" s="181"/>
      <c r="X424" s="23" t="s">
        <v>144</v>
      </c>
      <c r="Y424" s="22"/>
      <c r="Z424" s="33" t="s">
        <v>137</v>
      </c>
      <c r="AA424" s="5" t="s">
        <v>138</v>
      </c>
      <c r="AB424" s="5" t="s">
        <v>139</v>
      </c>
      <c r="AC424" s="5" t="s">
        <v>140</v>
      </c>
      <c r="AD424" s="5" t="s">
        <v>141</v>
      </c>
      <c r="AE424" s="5" t="s">
        <v>142</v>
      </c>
      <c r="AF424" s="5" t="s">
        <v>143</v>
      </c>
      <c r="AG424" s="181"/>
      <c r="AH424" s="23" t="s">
        <v>144</v>
      </c>
    </row>
    <row r="425" spans="1:34" ht="25.5">
      <c r="A425" s="6" t="s">
        <v>145</v>
      </c>
      <c r="B425" s="360"/>
      <c r="C425" s="362"/>
      <c r="D425" s="5" t="s">
        <v>128</v>
      </c>
      <c r="E425" s="5" t="s">
        <v>128</v>
      </c>
      <c r="F425" s="5" t="s">
        <v>128</v>
      </c>
      <c r="G425" s="5" t="s">
        <v>128</v>
      </c>
      <c r="H425" s="5" t="s">
        <v>125</v>
      </c>
      <c r="I425" s="5" t="s">
        <v>146</v>
      </c>
      <c r="J425" s="5" t="s">
        <v>127</v>
      </c>
      <c r="K425" s="181"/>
      <c r="L425" s="23" t="s">
        <v>53</v>
      </c>
      <c r="M425" s="22"/>
      <c r="N425" s="356"/>
      <c r="O425" s="358"/>
      <c r="P425" s="5" t="s">
        <v>128</v>
      </c>
      <c r="Q425" s="5" t="s">
        <v>128</v>
      </c>
      <c r="R425" s="5" t="s">
        <v>128</v>
      </c>
      <c r="S425" s="5" t="s">
        <v>128</v>
      </c>
      <c r="T425" s="5" t="s">
        <v>125</v>
      </c>
      <c r="U425" s="5" t="s">
        <v>146</v>
      </c>
      <c r="V425" s="5" t="s">
        <v>127</v>
      </c>
      <c r="W425" s="181"/>
      <c r="X425" s="23" t="s">
        <v>53</v>
      </c>
      <c r="Y425" s="22"/>
      <c r="Z425" s="33" t="s">
        <v>128</v>
      </c>
      <c r="AA425" s="5" t="s">
        <v>128</v>
      </c>
      <c r="AB425" s="5" t="s">
        <v>128</v>
      </c>
      <c r="AC425" s="5" t="s">
        <v>128</v>
      </c>
      <c r="AD425" s="5" t="s">
        <v>125</v>
      </c>
      <c r="AE425" s="5" t="s">
        <v>146</v>
      </c>
      <c r="AF425" s="5" t="s">
        <v>127</v>
      </c>
      <c r="AG425" s="181"/>
      <c r="AH425" s="23" t="s">
        <v>53</v>
      </c>
    </row>
    <row r="426" spans="1:34" ht="39" thickBot="1">
      <c r="A426" s="7" t="s">
        <v>147</v>
      </c>
      <c r="B426" s="8" t="s">
        <v>148</v>
      </c>
      <c r="C426" s="9" t="s">
        <v>166</v>
      </c>
      <c r="D426" s="9" t="s">
        <v>167</v>
      </c>
      <c r="E426" s="9" t="s">
        <v>168</v>
      </c>
      <c r="F426" s="9" t="s">
        <v>169</v>
      </c>
      <c r="G426" s="9" t="s">
        <v>170</v>
      </c>
      <c r="H426" s="9" t="s">
        <v>154</v>
      </c>
      <c r="I426" s="24" t="s">
        <v>155</v>
      </c>
      <c r="J426" s="24" t="s">
        <v>156</v>
      </c>
      <c r="K426" s="182"/>
      <c r="L426" s="25" t="s">
        <v>171</v>
      </c>
      <c r="M426" s="22"/>
      <c r="N426" s="8" t="s">
        <v>148</v>
      </c>
      <c r="O426" s="9" t="s">
        <v>166</v>
      </c>
      <c r="P426" s="9" t="s">
        <v>167</v>
      </c>
      <c r="Q426" s="9" t="s">
        <v>168</v>
      </c>
      <c r="R426" s="9" t="s">
        <v>169</v>
      </c>
      <c r="S426" s="9" t="s">
        <v>170</v>
      </c>
      <c r="T426" s="9" t="s">
        <v>154</v>
      </c>
      <c r="U426" s="24" t="s">
        <v>155</v>
      </c>
      <c r="V426" s="24" t="s">
        <v>156</v>
      </c>
      <c r="W426" s="182"/>
      <c r="X426" s="25" t="s">
        <v>171</v>
      </c>
      <c r="Y426" s="22"/>
      <c r="Z426" s="8" t="s">
        <v>167</v>
      </c>
      <c r="AA426" s="9" t="s">
        <v>168</v>
      </c>
      <c r="AB426" s="9" t="s">
        <v>169</v>
      </c>
      <c r="AC426" s="9" t="s">
        <v>170</v>
      </c>
      <c r="AD426" s="9" t="s">
        <v>154</v>
      </c>
      <c r="AE426" s="9" t="s">
        <v>155</v>
      </c>
      <c r="AF426" s="9" t="s">
        <v>156</v>
      </c>
      <c r="AG426" s="182"/>
      <c r="AH426" s="23" t="s">
        <v>171</v>
      </c>
    </row>
    <row r="427" spans="1:34">
      <c r="A427" s="10">
        <f>AF422+0</f>
        <v>46296</v>
      </c>
      <c r="B427" s="11"/>
      <c r="C427" s="12"/>
      <c r="D427" s="12"/>
      <c r="E427" s="13"/>
      <c r="F427" s="12"/>
      <c r="G427" s="12"/>
      <c r="H427" s="12"/>
      <c r="I427" s="12"/>
      <c r="J427" s="13"/>
      <c r="K427" s="184"/>
      <c r="L427" s="26"/>
      <c r="M427" s="22"/>
      <c r="N427" s="29"/>
      <c r="O427" s="13"/>
      <c r="P427" s="13"/>
      <c r="Q427" s="13"/>
      <c r="R427" s="13"/>
      <c r="S427" s="13"/>
      <c r="T427" s="13"/>
      <c r="U427" s="13"/>
      <c r="V427" s="13"/>
      <c r="W427" s="184"/>
      <c r="X427" s="37"/>
      <c r="Y427" s="22"/>
      <c r="Z427" s="38"/>
      <c r="AA427" s="13"/>
      <c r="AB427" s="13"/>
      <c r="AC427" s="13"/>
      <c r="AD427" s="13"/>
      <c r="AE427" s="13"/>
      <c r="AF427" s="13"/>
      <c r="AG427" s="184"/>
      <c r="AH427" s="45"/>
    </row>
    <row r="428" spans="1:34">
      <c r="A428" s="14">
        <f t="shared" ref="A428:A457" si="142">A427+1</f>
        <v>46297</v>
      </c>
      <c r="B428" s="11"/>
      <c r="C428" s="12"/>
      <c r="D428" s="12"/>
      <c r="E428" s="13"/>
      <c r="F428" s="12"/>
      <c r="G428" s="12"/>
      <c r="H428" s="12"/>
      <c r="I428" s="12"/>
      <c r="J428" s="13"/>
      <c r="K428" s="184"/>
      <c r="L428" s="26"/>
      <c r="M428" s="22"/>
      <c r="N428" s="29"/>
      <c r="O428" s="13"/>
      <c r="P428" s="13"/>
      <c r="Q428" s="13"/>
      <c r="R428" s="13"/>
      <c r="S428" s="13"/>
      <c r="T428" s="13"/>
      <c r="U428" s="13"/>
      <c r="V428" s="13"/>
      <c r="W428" s="184"/>
      <c r="X428" s="37"/>
      <c r="Y428" s="22"/>
      <c r="Z428" s="38"/>
      <c r="AA428" s="13"/>
      <c r="AB428" s="13"/>
      <c r="AC428" s="13"/>
      <c r="AD428" s="13"/>
      <c r="AE428" s="13"/>
      <c r="AF428" s="13"/>
      <c r="AG428" s="184"/>
      <c r="AH428" s="45"/>
    </row>
    <row r="429" spans="1:34">
      <c r="A429" s="14">
        <f t="shared" si="142"/>
        <v>46298</v>
      </c>
      <c r="B429" s="11"/>
      <c r="C429" s="12"/>
      <c r="D429" s="12"/>
      <c r="E429" s="13"/>
      <c r="F429" s="12"/>
      <c r="G429" s="12"/>
      <c r="H429" s="12"/>
      <c r="I429" s="12"/>
      <c r="J429" s="13"/>
      <c r="K429" s="184"/>
      <c r="L429" s="26"/>
      <c r="M429" s="22"/>
      <c r="N429" s="29"/>
      <c r="O429" s="13"/>
      <c r="P429" s="13"/>
      <c r="Q429" s="13"/>
      <c r="R429" s="13"/>
      <c r="S429" s="13"/>
      <c r="T429" s="13"/>
      <c r="U429" s="13"/>
      <c r="V429" s="13"/>
      <c r="W429" s="184"/>
      <c r="X429" s="37"/>
      <c r="Y429" s="22"/>
      <c r="Z429" s="38"/>
      <c r="AA429" s="13"/>
      <c r="AB429" s="13"/>
      <c r="AC429" s="13"/>
      <c r="AD429" s="13"/>
      <c r="AE429" s="13"/>
      <c r="AF429" s="13"/>
      <c r="AG429" s="184"/>
      <c r="AH429" s="45"/>
    </row>
    <row r="430" spans="1:34">
      <c r="A430" s="14">
        <f t="shared" si="142"/>
        <v>46299</v>
      </c>
      <c r="B430" s="11"/>
      <c r="C430" s="12"/>
      <c r="D430" s="12"/>
      <c r="E430" s="13"/>
      <c r="F430" s="12"/>
      <c r="G430" s="12"/>
      <c r="H430" s="12"/>
      <c r="I430" s="12"/>
      <c r="J430" s="13"/>
      <c r="K430" s="184"/>
      <c r="L430" s="26"/>
      <c r="M430" s="22"/>
      <c r="N430" s="29"/>
      <c r="O430" s="13"/>
      <c r="P430" s="13"/>
      <c r="Q430" s="13"/>
      <c r="R430" s="13"/>
      <c r="S430" s="13"/>
      <c r="T430" s="13"/>
      <c r="U430" s="13"/>
      <c r="V430" s="13"/>
      <c r="W430" s="184"/>
      <c r="X430" s="37"/>
      <c r="Y430" s="22"/>
      <c r="Z430" s="38"/>
      <c r="AA430" s="13"/>
      <c r="AB430" s="13"/>
      <c r="AC430" s="13"/>
      <c r="AD430" s="13"/>
      <c r="AE430" s="13"/>
      <c r="AF430" s="13"/>
      <c r="AG430" s="184"/>
      <c r="AH430" s="45"/>
    </row>
    <row r="431" spans="1:34">
      <c r="A431" s="14">
        <f t="shared" si="142"/>
        <v>46300</v>
      </c>
      <c r="B431" s="11"/>
      <c r="C431" s="12"/>
      <c r="D431" s="12"/>
      <c r="E431" s="13"/>
      <c r="F431" s="12"/>
      <c r="G431" s="12"/>
      <c r="H431" s="12"/>
      <c r="I431" s="12"/>
      <c r="J431" s="13"/>
      <c r="K431" s="184"/>
      <c r="L431" s="26"/>
      <c r="M431" s="22"/>
      <c r="N431" s="29"/>
      <c r="O431" s="13"/>
      <c r="P431" s="13"/>
      <c r="Q431" s="13"/>
      <c r="R431" s="13"/>
      <c r="S431" s="13"/>
      <c r="T431" s="13"/>
      <c r="U431" s="13"/>
      <c r="V431" s="13"/>
      <c r="W431" s="184"/>
      <c r="X431" s="37"/>
      <c r="Y431" s="22"/>
      <c r="Z431" s="38"/>
      <c r="AA431" s="13"/>
      <c r="AB431" s="13"/>
      <c r="AC431" s="13"/>
      <c r="AD431" s="13"/>
      <c r="AE431" s="13"/>
      <c r="AF431" s="13"/>
      <c r="AG431" s="184"/>
      <c r="AH431" s="45"/>
    </row>
    <row r="432" spans="1:34">
      <c r="A432" s="14">
        <f t="shared" si="142"/>
        <v>46301</v>
      </c>
      <c r="B432" s="11"/>
      <c r="C432" s="12"/>
      <c r="D432" s="12"/>
      <c r="E432" s="13"/>
      <c r="F432" s="12"/>
      <c r="G432" s="12"/>
      <c r="H432" s="12"/>
      <c r="I432" s="12"/>
      <c r="J432" s="13"/>
      <c r="K432" s="184"/>
      <c r="L432" s="26"/>
      <c r="M432" s="22"/>
      <c r="N432" s="29"/>
      <c r="O432" s="13"/>
      <c r="P432" s="13"/>
      <c r="Q432" s="13"/>
      <c r="R432" s="13"/>
      <c r="S432" s="13"/>
      <c r="T432" s="13"/>
      <c r="U432" s="13"/>
      <c r="V432" s="13"/>
      <c r="W432" s="184"/>
      <c r="X432" s="37"/>
      <c r="Y432" s="22"/>
      <c r="Z432" s="38"/>
      <c r="AA432" s="13"/>
      <c r="AB432" s="13"/>
      <c r="AC432" s="13"/>
      <c r="AD432" s="13"/>
      <c r="AE432" s="13"/>
      <c r="AF432" s="13"/>
      <c r="AG432" s="184"/>
      <c r="AH432" s="45"/>
    </row>
    <row r="433" spans="1:34">
      <c r="A433" s="14">
        <f t="shared" si="142"/>
        <v>46302</v>
      </c>
      <c r="B433" s="11"/>
      <c r="C433" s="12"/>
      <c r="D433" s="12"/>
      <c r="E433" s="12"/>
      <c r="F433" s="12"/>
      <c r="G433" s="12"/>
      <c r="H433" s="12"/>
      <c r="I433" s="12"/>
      <c r="J433" s="13"/>
      <c r="K433" s="184"/>
      <c r="L433" s="26"/>
      <c r="M433" s="22"/>
      <c r="N433" s="29"/>
      <c r="O433" s="50"/>
      <c r="P433" s="13"/>
      <c r="Q433" s="13"/>
      <c r="R433" s="13"/>
      <c r="S433" s="13"/>
      <c r="T433" s="13"/>
      <c r="U433" s="13"/>
      <c r="V433" s="13"/>
      <c r="W433" s="184"/>
      <c r="X433" s="51"/>
      <c r="Y433" s="22"/>
      <c r="Z433" s="38"/>
      <c r="AA433" s="13"/>
      <c r="AB433" s="13"/>
      <c r="AC433" s="13"/>
      <c r="AD433" s="13"/>
      <c r="AE433" s="13"/>
      <c r="AF433" s="13"/>
      <c r="AG433" s="184"/>
      <c r="AH433" s="46"/>
    </row>
    <row r="434" spans="1:34">
      <c r="A434" s="14">
        <f t="shared" si="142"/>
        <v>46303</v>
      </c>
      <c r="B434" s="11"/>
      <c r="C434" s="12"/>
      <c r="D434" s="12"/>
      <c r="E434" s="12"/>
      <c r="F434" s="12"/>
      <c r="G434" s="12"/>
      <c r="H434" s="12"/>
      <c r="I434" s="12"/>
      <c r="J434" s="13"/>
      <c r="K434" s="184"/>
      <c r="L434" s="26"/>
      <c r="M434" s="22"/>
      <c r="N434" s="29"/>
      <c r="O434" s="13"/>
      <c r="P434" s="13"/>
      <c r="Q434" s="13"/>
      <c r="R434" s="13"/>
      <c r="S434" s="13"/>
      <c r="T434" s="13"/>
      <c r="U434" s="13"/>
      <c r="V434" s="13"/>
      <c r="W434" s="184"/>
      <c r="X434" s="37"/>
      <c r="Y434" s="22"/>
      <c r="Z434" s="38"/>
      <c r="AA434" s="13"/>
      <c r="AB434" s="13"/>
      <c r="AC434" s="13"/>
      <c r="AD434" s="13"/>
      <c r="AE434" s="13"/>
      <c r="AF434" s="13"/>
      <c r="AG434" s="184"/>
      <c r="AH434" s="45"/>
    </row>
    <row r="435" spans="1:34">
      <c r="A435" s="14">
        <f t="shared" si="142"/>
        <v>46304</v>
      </c>
      <c r="B435" s="11"/>
      <c r="C435" s="12"/>
      <c r="D435" s="12"/>
      <c r="E435" s="12"/>
      <c r="F435" s="12"/>
      <c r="G435" s="12"/>
      <c r="H435" s="12"/>
      <c r="I435" s="12"/>
      <c r="J435" s="13"/>
      <c r="K435" s="184"/>
      <c r="L435" s="26"/>
      <c r="M435" s="22"/>
      <c r="N435" s="29"/>
      <c r="O435" s="13"/>
      <c r="P435" s="13"/>
      <c r="Q435" s="13"/>
      <c r="R435" s="13"/>
      <c r="S435" s="13"/>
      <c r="T435" s="13"/>
      <c r="U435" s="13"/>
      <c r="V435" s="13"/>
      <c r="W435" s="184"/>
      <c r="X435" s="37"/>
      <c r="Y435" s="22"/>
      <c r="Z435" s="38"/>
      <c r="AA435" s="13"/>
      <c r="AB435" s="13"/>
      <c r="AC435" s="13"/>
      <c r="AD435" s="13"/>
      <c r="AE435" s="13"/>
      <c r="AF435" s="13"/>
      <c r="AG435" s="184"/>
      <c r="AH435" s="45"/>
    </row>
    <row r="436" spans="1:34">
      <c r="A436" s="14">
        <f t="shared" si="142"/>
        <v>46305</v>
      </c>
      <c r="B436" s="11"/>
      <c r="C436" s="12"/>
      <c r="D436" s="12"/>
      <c r="E436" s="12"/>
      <c r="F436" s="12"/>
      <c r="G436" s="12"/>
      <c r="H436" s="12"/>
      <c r="I436" s="12"/>
      <c r="J436" s="13"/>
      <c r="K436" s="184"/>
      <c r="L436" s="26"/>
      <c r="M436" s="22"/>
      <c r="N436" s="29"/>
      <c r="O436" s="13"/>
      <c r="P436" s="13"/>
      <c r="Q436" s="13"/>
      <c r="R436" s="13"/>
      <c r="S436" s="13"/>
      <c r="T436" s="13"/>
      <c r="U436" s="13"/>
      <c r="V436" s="13"/>
      <c r="W436" s="184"/>
      <c r="X436" s="37"/>
      <c r="Y436" s="22"/>
      <c r="Z436" s="38"/>
      <c r="AA436" s="13"/>
      <c r="AB436" s="13"/>
      <c r="AC436" s="13"/>
      <c r="AD436" s="13"/>
      <c r="AE436" s="13"/>
      <c r="AF436" s="13"/>
      <c r="AG436" s="184"/>
      <c r="AH436" s="45"/>
    </row>
    <row r="437" spans="1:34">
      <c r="A437" s="14">
        <f t="shared" si="142"/>
        <v>46306</v>
      </c>
      <c r="B437" s="38"/>
      <c r="C437" s="12"/>
      <c r="D437" s="12"/>
      <c r="E437" s="12"/>
      <c r="F437" s="12"/>
      <c r="G437" s="12"/>
      <c r="H437" s="12"/>
      <c r="I437" s="12"/>
      <c r="J437" s="13"/>
      <c r="K437" s="184"/>
      <c r="L437" s="26"/>
      <c r="M437" s="22"/>
      <c r="N437" s="29"/>
      <c r="O437" s="13"/>
      <c r="P437" s="13"/>
      <c r="Q437" s="13"/>
      <c r="R437" s="13"/>
      <c r="S437" s="13"/>
      <c r="T437" s="13"/>
      <c r="U437" s="13"/>
      <c r="V437" s="13"/>
      <c r="W437" s="184"/>
      <c r="X437" s="37"/>
      <c r="Y437" s="22"/>
      <c r="Z437" s="38"/>
      <c r="AA437" s="13"/>
      <c r="AB437" s="13"/>
      <c r="AC437" s="13"/>
      <c r="AD437" s="13"/>
      <c r="AE437" s="13"/>
      <c r="AF437" s="13"/>
      <c r="AG437" s="184"/>
      <c r="AH437" s="45"/>
    </row>
    <row r="438" spans="1:34">
      <c r="A438" s="14">
        <f t="shared" si="142"/>
        <v>46307</v>
      </c>
      <c r="B438" s="11"/>
      <c r="C438" s="12"/>
      <c r="D438" s="12"/>
      <c r="E438" s="12"/>
      <c r="F438" s="12"/>
      <c r="G438" s="12"/>
      <c r="H438" s="12"/>
      <c r="I438" s="12"/>
      <c r="J438" s="13"/>
      <c r="K438" s="184"/>
      <c r="L438" s="26"/>
      <c r="M438" s="22"/>
      <c r="N438" s="29"/>
      <c r="O438" s="13"/>
      <c r="P438" s="13"/>
      <c r="Q438" s="13"/>
      <c r="R438" s="13"/>
      <c r="S438" s="13"/>
      <c r="T438" s="13"/>
      <c r="U438" s="13"/>
      <c r="V438" s="13"/>
      <c r="W438" s="184"/>
      <c r="X438" s="37"/>
      <c r="Y438" s="22"/>
      <c r="Z438" s="38"/>
      <c r="AA438" s="13"/>
      <c r="AB438" s="13"/>
      <c r="AC438" s="13"/>
      <c r="AD438" s="13"/>
      <c r="AE438" s="13"/>
      <c r="AF438" s="13"/>
      <c r="AG438" s="184"/>
      <c r="AH438" s="45"/>
    </row>
    <row r="439" spans="1:34">
      <c r="A439" s="14">
        <f t="shared" si="142"/>
        <v>46308</v>
      </c>
      <c r="B439" s="38"/>
      <c r="C439" s="13"/>
      <c r="D439" s="12"/>
      <c r="E439" s="12"/>
      <c r="F439" s="12"/>
      <c r="G439" s="12"/>
      <c r="H439" s="12"/>
      <c r="I439" s="12"/>
      <c r="J439" s="13"/>
      <c r="K439" s="184"/>
      <c r="L439" s="26"/>
      <c r="M439" s="22"/>
      <c r="N439" s="29"/>
      <c r="O439" s="13"/>
      <c r="P439" s="13"/>
      <c r="Q439" s="13"/>
      <c r="R439" s="13"/>
      <c r="S439" s="13"/>
      <c r="T439" s="13"/>
      <c r="U439" s="13"/>
      <c r="V439" s="13"/>
      <c r="W439" s="184"/>
      <c r="X439" s="37"/>
      <c r="Y439" s="22"/>
      <c r="Z439" s="38"/>
      <c r="AA439" s="13"/>
      <c r="AB439" s="13"/>
      <c r="AC439" s="13"/>
      <c r="AD439" s="13"/>
      <c r="AE439" s="13"/>
      <c r="AF439" s="13"/>
      <c r="AG439" s="184"/>
      <c r="AH439" s="45"/>
    </row>
    <row r="440" spans="1:34">
      <c r="A440" s="14">
        <f t="shared" si="142"/>
        <v>46309</v>
      </c>
      <c r="B440" s="11"/>
      <c r="C440" s="13"/>
      <c r="D440" s="12"/>
      <c r="E440" s="12"/>
      <c r="F440" s="12"/>
      <c r="G440" s="12"/>
      <c r="H440" s="12"/>
      <c r="I440" s="36"/>
      <c r="J440" s="13"/>
      <c r="K440" s="184"/>
      <c r="L440" s="26"/>
      <c r="M440" s="22"/>
      <c r="N440" s="29"/>
      <c r="O440" s="13"/>
      <c r="P440" s="13"/>
      <c r="Q440" s="13"/>
      <c r="R440" s="13"/>
      <c r="S440" s="13"/>
      <c r="T440" s="13"/>
      <c r="U440" s="13"/>
      <c r="V440" s="13"/>
      <c r="W440" s="184"/>
      <c r="X440" s="37"/>
      <c r="Y440" s="22"/>
      <c r="Z440" s="38"/>
      <c r="AA440" s="13"/>
      <c r="AB440" s="13"/>
      <c r="AC440" s="13"/>
      <c r="AD440" s="13"/>
      <c r="AE440" s="13"/>
      <c r="AF440" s="13"/>
      <c r="AG440" s="184"/>
      <c r="AH440" s="37"/>
    </row>
    <row r="441" spans="1:34">
      <c r="A441" s="14">
        <f t="shared" si="142"/>
        <v>46310</v>
      </c>
      <c r="B441" s="11"/>
      <c r="C441" s="13"/>
      <c r="D441" s="12"/>
      <c r="E441" s="12"/>
      <c r="F441" s="12"/>
      <c r="G441" s="12"/>
      <c r="H441" s="12"/>
      <c r="I441" s="12"/>
      <c r="J441" s="13"/>
      <c r="K441" s="184"/>
      <c r="L441" s="26"/>
      <c r="M441" s="22"/>
      <c r="N441" s="29"/>
      <c r="O441" s="13"/>
      <c r="P441" s="13"/>
      <c r="Q441" s="13"/>
      <c r="R441" s="13"/>
      <c r="S441" s="13"/>
      <c r="T441" s="13"/>
      <c r="U441" s="13"/>
      <c r="V441" s="13"/>
      <c r="W441" s="184"/>
      <c r="X441" s="37"/>
      <c r="Y441" s="22"/>
      <c r="Z441" s="38"/>
      <c r="AA441" s="13"/>
      <c r="AB441" s="13"/>
      <c r="AC441" s="13"/>
      <c r="AD441" s="13"/>
      <c r="AE441" s="13"/>
      <c r="AF441" s="13"/>
      <c r="AG441" s="184"/>
      <c r="AH441" s="37"/>
    </row>
    <row r="442" spans="1:34">
      <c r="A442" s="14">
        <f t="shared" si="142"/>
        <v>46311</v>
      </c>
      <c r="B442" s="11"/>
      <c r="C442" s="13"/>
      <c r="D442" s="12"/>
      <c r="E442" s="12"/>
      <c r="F442" s="12"/>
      <c r="G442" s="12"/>
      <c r="H442" s="12"/>
      <c r="I442" s="12"/>
      <c r="J442" s="13"/>
      <c r="K442" s="184"/>
      <c r="L442" s="26"/>
      <c r="M442" s="22"/>
      <c r="N442" s="29"/>
      <c r="O442" s="13"/>
      <c r="P442" s="13"/>
      <c r="Q442" s="13"/>
      <c r="R442" s="13"/>
      <c r="S442" s="13"/>
      <c r="T442" s="13"/>
      <c r="U442" s="13"/>
      <c r="V442" s="13"/>
      <c r="W442" s="184"/>
      <c r="X442" s="37"/>
      <c r="Y442" s="22"/>
      <c r="Z442" s="38"/>
      <c r="AA442" s="13"/>
      <c r="AB442" s="13"/>
      <c r="AC442" s="13"/>
      <c r="AD442" s="13"/>
      <c r="AE442" s="13"/>
      <c r="AF442" s="13"/>
      <c r="AG442" s="184"/>
      <c r="AH442" s="37"/>
    </row>
    <row r="443" spans="1:34">
      <c r="A443" s="14">
        <f t="shared" si="142"/>
        <v>46312</v>
      </c>
      <c r="B443" s="11"/>
      <c r="C443" s="13"/>
      <c r="D443" s="12"/>
      <c r="E443" s="12"/>
      <c r="F443" s="12"/>
      <c r="G443" s="12"/>
      <c r="H443" s="12"/>
      <c r="I443" s="12"/>
      <c r="J443" s="13"/>
      <c r="K443" s="184"/>
      <c r="L443" s="26"/>
      <c r="M443" s="22"/>
      <c r="N443" s="29"/>
      <c r="O443" s="13"/>
      <c r="P443" s="13"/>
      <c r="Q443" s="13"/>
      <c r="R443" s="13"/>
      <c r="S443" s="13"/>
      <c r="T443" s="13"/>
      <c r="U443" s="13"/>
      <c r="V443" s="13"/>
      <c r="W443" s="184"/>
      <c r="X443" s="37"/>
      <c r="Y443" s="22"/>
      <c r="Z443" s="38"/>
      <c r="AA443" s="13"/>
      <c r="AB443" s="13"/>
      <c r="AC443" s="13"/>
      <c r="AD443" s="13"/>
      <c r="AE443" s="13"/>
      <c r="AF443" s="13"/>
      <c r="AG443" s="184"/>
      <c r="AH443" s="37"/>
    </row>
    <row r="444" spans="1:34">
      <c r="A444" s="14">
        <f t="shared" si="142"/>
        <v>46313</v>
      </c>
      <c r="B444" s="11"/>
      <c r="C444" s="12"/>
      <c r="D444" s="12"/>
      <c r="E444" s="12"/>
      <c r="F444" s="12"/>
      <c r="G444" s="12"/>
      <c r="H444" s="12"/>
      <c r="I444" s="12"/>
      <c r="J444" s="13"/>
      <c r="K444" s="184"/>
      <c r="L444" s="26"/>
      <c r="M444" s="22"/>
      <c r="N444" s="29"/>
      <c r="O444" s="13"/>
      <c r="P444" s="13"/>
      <c r="Q444" s="13"/>
      <c r="R444" s="13"/>
      <c r="S444" s="13"/>
      <c r="T444" s="13"/>
      <c r="U444" s="13"/>
      <c r="V444" s="13"/>
      <c r="W444" s="184"/>
      <c r="X444" s="37"/>
      <c r="Y444" s="22"/>
      <c r="Z444" s="38"/>
      <c r="AA444" s="13"/>
      <c r="AB444" s="13"/>
      <c r="AC444" s="13"/>
      <c r="AD444" s="13"/>
      <c r="AE444" s="13"/>
      <c r="AF444" s="13"/>
      <c r="AG444" s="184"/>
      <c r="AH444" s="37"/>
    </row>
    <row r="445" spans="1:34">
      <c r="A445" s="14">
        <f t="shared" si="142"/>
        <v>46314</v>
      </c>
      <c r="B445" s="11"/>
      <c r="C445" s="12"/>
      <c r="D445" s="12"/>
      <c r="E445" s="12"/>
      <c r="F445" s="12"/>
      <c r="G445" s="12"/>
      <c r="H445" s="12"/>
      <c r="I445" s="12"/>
      <c r="J445" s="13"/>
      <c r="K445" s="184"/>
      <c r="L445" s="26"/>
      <c r="M445" s="22"/>
      <c r="N445" s="29"/>
      <c r="O445" s="13"/>
      <c r="P445" s="13"/>
      <c r="Q445" s="13"/>
      <c r="R445" s="13"/>
      <c r="S445" s="13"/>
      <c r="T445" s="13"/>
      <c r="U445" s="13"/>
      <c r="V445" s="13"/>
      <c r="W445" s="184"/>
      <c r="X445" s="37"/>
      <c r="Y445" s="22"/>
      <c r="Z445" s="38"/>
      <c r="AA445" s="13"/>
      <c r="AB445" s="13"/>
      <c r="AC445" s="13"/>
      <c r="AD445" s="13"/>
      <c r="AE445" s="13"/>
      <c r="AF445" s="13"/>
      <c r="AG445" s="184"/>
      <c r="AH445" s="37"/>
    </row>
    <row r="446" spans="1:34">
      <c r="A446" s="14">
        <f t="shared" si="142"/>
        <v>46315</v>
      </c>
      <c r="B446" s="11"/>
      <c r="C446" s="13"/>
      <c r="D446" s="12"/>
      <c r="E446" s="12"/>
      <c r="F446" s="12"/>
      <c r="G446" s="12"/>
      <c r="H446" s="12"/>
      <c r="I446" s="13"/>
      <c r="J446" s="13"/>
      <c r="K446" s="184"/>
      <c r="L446" s="26"/>
      <c r="M446" s="22"/>
      <c r="N446" s="29"/>
      <c r="O446" s="13"/>
      <c r="P446" s="13"/>
      <c r="Q446" s="13"/>
      <c r="R446" s="13"/>
      <c r="S446" s="13"/>
      <c r="T446" s="13"/>
      <c r="U446" s="13"/>
      <c r="V446" s="13"/>
      <c r="W446" s="184"/>
      <c r="X446" s="37"/>
      <c r="Y446" s="22"/>
      <c r="Z446" s="38"/>
      <c r="AA446" s="13"/>
      <c r="AB446" s="13"/>
      <c r="AC446" s="13"/>
      <c r="AD446" s="13"/>
      <c r="AE446" s="13"/>
      <c r="AF446" s="13"/>
      <c r="AG446" s="184"/>
      <c r="AH446" s="37"/>
    </row>
    <row r="447" spans="1:34">
      <c r="A447" s="14">
        <f t="shared" si="142"/>
        <v>46316</v>
      </c>
      <c r="B447" s="11"/>
      <c r="C447" s="13"/>
      <c r="D447" s="12"/>
      <c r="E447" s="12"/>
      <c r="F447" s="12"/>
      <c r="G447" s="13"/>
      <c r="H447" s="13"/>
      <c r="I447" s="12"/>
      <c r="J447" s="13"/>
      <c r="K447" s="184"/>
      <c r="L447" s="26"/>
      <c r="M447" s="22"/>
      <c r="N447" s="29"/>
      <c r="O447" s="13"/>
      <c r="P447" s="13"/>
      <c r="Q447" s="13"/>
      <c r="R447" s="13"/>
      <c r="S447" s="13"/>
      <c r="T447" s="13"/>
      <c r="U447" s="13"/>
      <c r="V447" s="13"/>
      <c r="W447" s="184"/>
      <c r="X447" s="37"/>
      <c r="Y447" s="22"/>
      <c r="Z447" s="38"/>
      <c r="AA447" s="13"/>
      <c r="AB447" s="13"/>
      <c r="AC447" s="13"/>
      <c r="AD447" s="13"/>
      <c r="AE447" s="13"/>
      <c r="AF447" s="13"/>
      <c r="AG447" s="184"/>
      <c r="AH447" s="37"/>
    </row>
    <row r="448" spans="1:34">
      <c r="A448" s="14">
        <f t="shared" si="142"/>
        <v>46317</v>
      </c>
      <c r="B448" s="11"/>
      <c r="C448" s="13"/>
      <c r="D448" s="12"/>
      <c r="E448" s="12"/>
      <c r="F448" s="12"/>
      <c r="G448" s="12"/>
      <c r="H448" s="12"/>
      <c r="I448" s="13"/>
      <c r="J448" s="13"/>
      <c r="K448" s="184"/>
      <c r="L448" s="26"/>
      <c r="M448" s="22"/>
      <c r="N448" s="29"/>
      <c r="O448" s="13"/>
      <c r="P448" s="13"/>
      <c r="Q448" s="13"/>
      <c r="R448" s="13"/>
      <c r="S448" s="13"/>
      <c r="T448" s="13"/>
      <c r="U448" s="13"/>
      <c r="V448" s="13"/>
      <c r="W448" s="184"/>
      <c r="X448" s="37"/>
      <c r="Y448" s="22"/>
      <c r="Z448" s="38"/>
      <c r="AA448" s="13"/>
      <c r="AB448" s="13"/>
      <c r="AC448" s="13"/>
      <c r="AD448" s="13"/>
      <c r="AE448" s="13"/>
      <c r="AF448" s="13"/>
      <c r="AG448" s="184"/>
      <c r="AH448" s="37"/>
    </row>
    <row r="449" spans="1:34">
      <c r="A449" s="14">
        <f t="shared" si="142"/>
        <v>46318</v>
      </c>
      <c r="B449" s="38"/>
      <c r="C449" s="12"/>
      <c r="D449" s="12"/>
      <c r="E449" s="12"/>
      <c r="F449" s="12"/>
      <c r="G449" s="12"/>
      <c r="H449" s="12"/>
      <c r="I449" s="12"/>
      <c r="J449" s="13"/>
      <c r="K449" s="184"/>
      <c r="L449" s="26"/>
      <c r="M449" s="22"/>
      <c r="N449" s="61"/>
      <c r="O449" s="13"/>
      <c r="P449" s="13"/>
      <c r="Q449" s="13"/>
      <c r="R449" s="13"/>
      <c r="S449" s="13"/>
      <c r="T449" s="13"/>
      <c r="U449" s="13"/>
      <c r="V449" s="13"/>
      <c r="W449" s="184"/>
      <c r="X449" s="37"/>
      <c r="Y449" s="22"/>
      <c r="Z449" s="38"/>
      <c r="AA449" s="13"/>
      <c r="AB449" s="13"/>
      <c r="AC449" s="13"/>
      <c r="AD449" s="13"/>
      <c r="AE449" s="13"/>
      <c r="AF449" s="13"/>
      <c r="AG449" s="184"/>
      <c r="AH449" s="37"/>
    </row>
    <row r="450" spans="1:34">
      <c r="A450" s="14">
        <f t="shared" si="142"/>
        <v>46319</v>
      </c>
      <c r="B450" s="11"/>
      <c r="C450" s="12"/>
      <c r="D450" s="12"/>
      <c r="E450" s="12"/>
      <c r="F450" s="12"/>
      <c r="G450" s="12"/>
      <c r="H450" s="12"/>
      <c r="I450" s="12"/>
      <c r="J450" s="12"/>
      <c r="K450" s="185"/>
      <c r="L450" s="26"/>
      <c r="M450" s="22"/>
      <c r="N450" s="29"/>
      <c r="O450" s="13"/>
      <c r="P450" s="13"/>
      <c r="Q450" s="13"/>
      <c r="R450" s="13"/>
      <c r="S450" s="13"/>
      <c r="T450" s="13"/>
      <c r="U450" s="13"/>
      <c r="V450" s="13"/>
      <c r="W450" s="185"/>
      <c r="X450" s="37"/>
      <c r="Y450" s="22"/>
      <c r="Z450" s="38"/>
      <c r="AA450" s="13"/>
      <c r="AB450" s="13"/>
      <c r="AC450" s="13"/>
      <c r="AD450" s="13"/>
      <c r="AE450" s="13"/>
      <c r="AF450" s="13"/>
      <c r="AG450" s="185"/>
      <c r="AH450" s="37"/>
    </row>
    <row r="451" spans="1:34">
      <c r="A451" s="14">
        <f t="shared" si="142"/>
        <v>46320</v>
      </c>
      <c r="B451" s="38"/>
      <c r="C451" s="12"/>
      <c r="D451" s="12"/>
      <c r="E451" s="12"/>
      <c r="F451" s="12"/>
      <c r="G451" s="13"/>
      <c r="H451" s="13"/>
      <c r="I451" s="12"/>
      <c r="J451" s="12"/>
      <c r="K451" s="185"/>
      <c r="L451" s="37"/>
      <c r="M451" s="22"/>
      <c r="N451" s="29"/>
      <c r="O451" s="13"/>
      <c r="P451" s="13"/>
      <c r="Q451" s="13"/>
      <c r="R451" s="13"/>
      <c r="S451" s="13"/>
      <c r="T451" s="13"/>
      <c r="U451" s="13"/>
      <c r="V451" s="13"/>
      <c r="W451" s="185"/>
      <c r="X451" s="37"/>
      <c r="Y451" s="22"/>
      <c r="Z451" s="38"/>
      <c r="AA451" s="13"/>
      <c r="AB451" s="13"/>
      <c r="AC451" s="13"/>
      <c r="AD451" s="13"/>
      <c r="AE451" s="13"/>
      <c r="AF451" s="13"/>
      <c r="AG451" s="185"/>
      <c r="AH451" s="37"/>
    </row>
    <row r="452" spans="1:34">
      <c r="A452" s="14">
        <f t="shared" si="142"/>
        <v>46321</v>
      </c>
      <c r="B452" s="11"/>
      <c r="C452" s="13"/>
      <c r="D452" s="12"/>
      <c r="E452" s="12"/>
      <c r="F452" s="12"/>
      <c r="G452" s="13"/>
      <c r="H452" s="13"/>
      <c r="I452" s="13"/>
      <c r="J452" s="12"/>
      <c r="K452" s="185"/>
      <c r="L452" s="26"/>
      <c r="M452" s="22"/>
      <c r="N452" s="29"/>
      <c r="O452" s="13"/>
      <c r="P452" s="13"/>
      <c r="Q452" s="13"/>
      <c r="R452" s="13"/>
      <c r="S452" s="13"/>
      <c r="T452" s="13"/>
      <c r="U452" s="13"/>
      <c r="V452" s="13"/>
      <c r="W452" s="185"/>
      <c r="X452" s="51"/>
      <c r="Y452" s="22"/>
      <c r="Z452" s="38"/>
      <c r="AA452" s="13"/>
      <c r="AB452" s="13"/>
      <c r="AC452" s="13"/>
      <c r="AD452" s="13"/>
      <c r="AE452" s="13"/>
      <c r="AF452" s="13"/>
      <c r="AG452" s="185"/>
      <c r="AH452" s="51"/>
    </row>
    <row r="453" spans="1:34">
      <c r="A453" s="14">
        <f t="shared" si="142"/>
        <v>46322</v>
      </c>
      <c r="B453" s="11"/>
      <c r="C453" s="13"/>
      <c r="D453" s="12"/>
      <c r="E453" s="12"/>
      <c r="F453" s="12"/>
      <c r="G453" s="13"/>
      <c r="H453" s="13"/>
      <c r="I453" s="13"/>
      <c r="J453" s="12"/>
      <c r="K453" s="185"/>
      <c r="L453" s="26"/>
      <c r="M453" s="22"/>
      <c r="N453" s="29"/>
      <c r="O453" s="13"/>
      <c r="P453" s="13"/>
      <c r="Q453" s="13"/>
      <c r="R453" s="13"/>
      <c r="S453" s="13"/>
      <c r="T453" s="13"/>
      <c r="U453" s="13"/>
      <c r="V453" s="13"/>
      <c r="W453" s="185"/>
      <c r="X453" s="37"/>
      <c r="Y453" s="22"/>
      <c r="Z453" s="38"/>
      <c r="AA453" s="13"/>
      <c r="AB453" s="13"/>
      <c r="AC453" s="13"/>
      <c r="AD453" s="13"/>
      <c r="AE453" s="13"/>
      <c r="AF453" s="13"/>
      <c r="AG453" s="185"/>
      <c r="AH453" s="37"/>
    </row>
    <row r="454" spans="1:34">
      <c r="A454" s="14">
        <f t="shared" si="142"/>
        <v>46323</v>
      </c>
      <c r="B454" s="38"/>
      <c r="C454" s="13"/>
      <c r="D454" s="12"/>
      <c r="E454" s="12"/>
      <c r="F454" s="13"/>
      <c r="G454" s="12"/>
      <c r="H454" s="12"/>
      <c r="I454" s="12"/>
      <c r="J454" s="12"/>
      <c r="K454" s="185"/>
      <c r="L454" s="26"/>
      <c r="M454" s="22"/>
      <c r="N454" s="29"/>
      <c r="O454" s="13"/>
      <c r="P454" s="13"/>
      <c r="Q454" s="13"/>
      <c r="R454" s="13"/>
      <c r="S454" s="13"/>
      <c r="T454" s="13"/>
      <c r="U454" s="13"/>
      <c r="V454" s="13"/>
      <c r="W454" s="185"/>
      <c r="X454" s="37"/>
      <c r="Y454" s="22"/>
      <c r="Z454" s="38"/>
      <c r="AA454" s="13"/>
      <c r="AB454" s="13"/>
      <c r="AC454" s="13"/>
      <c r="AD454" s="13"/>
      <c r="AE454" s="13"/>
      <c r="AF454" s="13"/>
      <c r="AG454" s="185"/>
      <c r="AH454" s="37"/>
    </row>
    <row r="455" spans="1:34">
      <c r="A455" s="14">
        <f t="shared" si="142"/>
        <v>46324</v>
      </c>
      <c r="B455" s="38"/>
      <c r="C455" s="12"/>
      <c r="D455" s="12"/>
      <c r="E455" s="12"/>
      <c r="F455" s="12"/>
      <c r="G455" s="12"/>
      <c r="H455" s="12"/>
      <c r="I455" s="12"/>
      <c r="J455" s="59"/>
      <c r="K455" s="186"/>
      <c r="L455" s="26"/>
      <c r="M455" s="22"/>
      <c r="N455" s="29"/>
      <c r="O455" s="13"/>
      <c r="P455" s="13"/>
      <c r="Q455" s="13"/>
      <c r="R455" s="13"/>
      <c r="S455" s="13"/>
      <c r="T455" s="13"/>
      <c r="U455" s="13"/>
      <c r="V455" s="13"/>
      <c r="W455" s="186"/>
      <c r="X455" s="37"/>
      <c r="Y455" s="22"/>
      <c r="Z455" s="38"/>
      <c r="AA455" s="13"/>
      <c r="AB455" s="13"/>
      <c r="AC455" s="13"/>
      <c r="AD455" s="13"/>
      <c r="AE455" s="13"/>
      <c r="AF455" s="13"/>
      <c r="AG455" s="186"/>
      <c r="AH455" s="37"/>
    </row>
    <row r="456" spans="1:34">
      <c r="A456" s="14">
        <f t="shared" si="142"/>
        <v>46325</v>
      </c>
      <c r="B456" s="11"/>
      <c r="C456" s="12"/>
      <c r="D456" s="12"/>
      <c r="E456" s="12"/>
      <c r="F456" s="12"/>
      <c r="G456" s="12"/>
      <c r="H456" s="12"/>
      <c r="I456" s="12"/>
      <c r="J456" s="12"/>
      <c r="K456" s="185"/>
      <c r="L456" s="26"/>
      <c r="M456" s="22"/>
      <c r="N456" s="29"/>
      <c r="O456" s="13"/>
      <c r="P456" s="47"/>
      <c r="Q456" s="47"/>
      <c r="R456" s="47"/>
      <c r="S456" s="47"/>
      <c r="T456" s="47"/>
      <c r="U456" s="47"/>
      <c r="V456" s="53"/>
      <c r="W456" s="185"/>
      <c r="X456" s="48"/>
      <c r="Y456" s="22"/>
      <c r="Z456" s="38"/>
      <c r="AA456" s="13"/>
      <c r="AB456" s="47"/>
      <c r="AC456" s="47"/>
      <c r="AD456" s="47"/>
      <c r="AE456" s="13"/>
      <c r="AF456" s="53"/>
      <c r="AG456" s="185"/>
      <c r="AH456" s="37"/>
    </row>
    <row r="457" spans="1:34" ht="15.75" thickBot="1">
      <c r="A457" s="15">
        <f t="shared" si="142"/>
        <v>46326</v>
      </c>
      <c r="B457" s="57"/>
      <c r="C457" s="58"/>
      <c r="D457" s="58"/>
      <c r="E457" s="58"/>
      <c r="F457" s="58"/>
      <c r="G457" s="58"/>
      <c r="H457" s="58"/>
      <c r="I457" s="58"/>
      <c r="J457" s="58"/>
      <c r="K457" s="187"/>
      <c r="L457" s="60"/>
      <c r="M457" s="22"/>
      <c r="N457" s="56"/>
      <c r="O457" s="47"/>
      <c r="P457" s="47"/>
      <c r="Q457" s="47"/>
      <c r="R457" s="47"/>
      <c r="S457" s="47"/>
      <c r="T457" s="47"/>
      <c r="U457" s="47"/>
      <c r="V457" s="47"/>
      <c r="W457" s="187"/>
      <c r="X457" s="48"/>
      <c r="Y457" s="22"/>
      <c r="Z457" s="39"/>
      <c r="AA457" s="47"/>
      <c r="AB457" s="47"/>
      <c r="AC457" s="47"/>
      <c r="AD457" s="47"/>
      <c r="AE457" s="47"/>
      <c r="AF457" s="47"/>
      <c r="AG457" s="187"/>
      <c r="AH457" s="48"/>
    </row>
    <row r="458" spans="1:34">
      <c r="A458" s="16" t="s">
        <v>31</v>
      </c>
      <c r="B458" s="17">
        <f>MIN(B427:B457)</f>
        <v>0</v>
      </c>
      <c r="C458" s="17">
        <f>MIN(C427:C457)</f>
        <v>0</v>
      </c>
      <c r="D458" s="17">
        <f t="shared" ref="D458:L458" si="143">MIN(D427:D457)</f>
        <v>0</v>
      </c>
      <c r="E458" s="17">
        <f t="shared" si="143"/>
        <v>0</v>
      </c>
      <c r="F458" s="17">
        <f t="shared" si="143"/>
        <v>0</v>
      </c>
      <c r="G458" s="17">
        <f t="shared" si="143"/>
        <v>0</v>
      </c>
      <c r="H458" s="17">
        <f t="shared" si="143"/>
        <v>0</v>
      </c>
      <c r="I458" s="17">
        <f t="shared" si="143"/>
        <v>0</v>
      </c>
      <c r="J458" s="17">
        <f t="shared" si="143"/>
        <v>0</v>
      </c>
      <c r="K458" s="188"/>
      <c r="L458" s="30">
        <f t="shared" si="143"/>
        <v>0</v>
      </c>
      <c r="M458" s="22"/>
      <c r="N458" s="17">
        <f>MIN(N427:N457)</f>
        <v>0</v>
      </c>
      <c r="O458" s="17">
        <f>MIN(O427:O457)</f>
        <v>0</v>
      </c>
      <c r="P458" s="17">
        <f t="shared" ref="P458:X458" si="144">MIN(P427:P457)</f>
        <v>0</v>
      </c>
      <c r="Q458" s="17">
        <f t="shared" si="144"/>
        <v>0</v>
      </c>
      <c r="R458" s="17">
        <f t="shared" si="144"/>
        <v>0</v>
      </c>
      <c r="S458" s="17">
        <f t="shared" si="144"/>
        <v>0</v>
      </c>
      <c r="T458" s="17">
        <f t="shared" si="144"/>
        <v>0</v>
      </c>
      <c r="U458" s="17">
        <f t="shared" si="144"/>
        <v>0</v>
      </c>
      <c r="V458" s="17">
        <f t="shared" si="144"/>
        <v>0</v>
      </c>
      <c r="W458" s="188"/>
      <c r="X458" s="30">
        <f t="shared" si="144"/>
        <v>0</v>
      </c>
      <c r="Z458" s="40">
        <f t="shared" ref="Z458:AH458" si="145">MIN(Z427:Z457)</f>
        <v>0</v>
      </c>
      <c r="AA458" s="17">
        <f t="shared" si="145"/>
        <v>0</v>
      </c>
      <c r="AB458" s="17">
        <f t="shared" si="145"/>
        <v>0</v>
      </c>
      <c r="AC458" s="17">
        <f t="shared" si="145"/>
        <v>0</v>
      </c>
      <c r="AD458" s="17">
        <f t="shared" si="145"/>
        <v>0</v>
      </c>
      <c r="AE458" s="17">
        <f t="shared" si="145"/>
        <v>0</v>
      </c>
      <c r="AF458" s="17">
        <f t="shared" si="145"/>
        <v>0</v>
      </c>
      <c r="AG458" s="188"/>
      <c r="AH458" s="30">
        <f t="shared" si="145"/>
        <v>0</v>
      </c>
    </row>
    <row r="459" spans="1:34">
      <c r="A459" s="18" t="s">
        <v>33</v>
      </c>
      <c r="B459" s="19">
        <f>MAX(B427:B457)</f>
        <v>0</v>
      </c>
      <c r="C459" s="19">
        <f>MAX(C427:C457)</f>
        <v>0</v>
      </c>
      <c r="D459" s="19">
        <f t="shared" ref="D459:L459" si="146">MAX(D427:D457)</f>
        <v>0</v>
      </c>
      <c r="E459" s="19">
        <f t="shared" si="146"/>
        <v>0</v>
      </c>
      <c r="F459" s="19">
        <f t="shared" si="146"/>
        <v>0</v>
      </c>
      <c r="G459" s="19">
        <f t="shared" si="146"/>
        <v>0</v>
      </c>
      <c r="H459" s="19">
        <f t="shared" si="146"/>
        <v>0</v>
      </c>
      <c r="I459" s="19">
        <f t="shared" si="146"/>
        <v>0</v>
      </c>
      <c r="J459" s="19">
        <f t="shared" si="146"/>
        <v>0</v>
      </c>
      <c r="K459" s="189"/>
      <c r="L459" s="31">
        <f t="shared" si="146"/>
        <v>0</v>
      </c>
      <c r="M459" s="22"/>
      <c r="N459" s="19">
        <f>MAX(N427:N457)</f>
        <v>0</v>
      </c>
      <c r="O459" s="19">
        <f>MAX(O427:O457)</f>
        <v>0</v>
      </c>
      <c r="P459" s="19">
        <f t="shared" ref="P459:X459" si="147">MAX(P427:P457)</f>
        <v>0</v>
      </c>
      <c r="Q459" s="19">
        <f t="shared" si="147"/>
        <v>0</v>
      </c>
      <c r="R459" s="19">
        <f t="shared" si="147"/>
        <v>0</v>
      </c>
      <c r="S459" s="19">
        <f t="shared" si="147"/>
        <v>0</v>
      </c>
      <c r="T459" s="19">
        <f t="shared" si="147"/>
        <v>0</v>
      </c>
      <c r="U459" s="19">
        <f t="shared" si="147"/>
        <v>0</v>
      </c>
      <c r="V459" s="19">
        <f t="shared" si="147"/>
        <v>0</v>
      </c>
      <c r="W459" s="189"/>
      <c r="X459" s="31">
        <f t="shared" si="147"/>
        <v>0</v>
      </c>
      <c r="Z459" s="41">
        <f t="shared" ref="Z459:AH459" si="148">MAX(Z427:Z457)</f>
        <v>0</v>
      </c>
      <c r="AA459" s="19">
        <f t="shared" si="148"/>
        <v>0</v>
      </c>
      <c r="AB459" s="19">
        <f t="shared" si="148"/>
        <v>0</v>
      </c>
      <c r="AC459" s="19">
        <f t="shared" si="148"/>
        <v>0</v>
      </c>
      <c r="AD459" s="19">
        <f t="shared" si="148"/>
        <v>0</v>
      </c>
      <c r="AE459" s="19">
        <f t="shared" si="148"/>
        <v>0</v>
      </c>
      <c r="AF459" s="19">
        <f t="shared" si="148"/>
        <v>0</v>
      </c>
      <c r="AG459" s="189"/>
      <c r="AH459" s="31">
        <f t="shared" si="148"/>
        <v>0</v>
      </c>
    </row>
    <row r="460" spans="1:34">
      <c r="A460" s="18" t="s">
        <v>36</v>
      </c>
      <c r="B460" s="19" t="e">
        <f t="shared" ref="B460:L460" si="149">AVERAGE(B427:B457)</f>
        <v>#DIV/0!</v>
      </c>
      <c r="C460" s="19" t="e">
        <f t="shared" si="149"/>
        <v>#DIV/0!</v>
      </c>
      <c r="D460" s="19" t="e">
        <f t="shared" si="149"/>
        <v>#DIV/0!</v>
      </c>
      <c r="E460" s="19" t="e">
        <f t="shared" si="149"/>
        <v>#DIV/0!</v>
      </c>
      <c r="F460" s="19" t="e">
        <f t="shared" si="149"/>
        <v>#DIV/0!</v>
      </c>
      <c r="G460" s="19" t="e">
        <f t="shared" si="149"/>
        <v>#DIV/0!</v>
      </c>
      <c r="H460" s="19" t="e">
        <f t="shared" si="149"/>
        <v>#DIV/0!</v>
      </c>
      <c r="I460" s="19" t="e">
        <f t="shared" si="149"/>
        <v>#DIV/0!</v>
      </c>
      <c r="J460" s="19" t="e">
        <f t="shared" si="149"/>
        <v>#DIV/0!</v>
      </c>
      <c r="K460" s="189"/>
      <c r="L460" s="31" t="e">
        <f t="shared" si="149"/>
        <v>#DIV/0!</v>
      </c>
      <c r="M460" s="22"/>
      <c r="N460" s="19" t="e">
        <f t="shared" ref="N460:X460" si="150">AVERAGE(N427:N457)</f>
        <v>#DIV/0!</v>
      </c>
      <c r="O460" s="19" t="e">
        <f t="shared" si="150"/>
        <v>#DIV/0!</v>
      </c>
      <c r="P460" s="19" t="e">
        <f t="shared" si="150"/>
        <v>#DIV/0!</v>
      </c>
      <c r="Q460" s="19" t="e">
        <f t="shared" si="150"/>
        <v>#DIV/0!</v>
      </c>
      <c r="R460" s="19" t="e">
        <f t="shared" si="150"/>
        <v>#DIV/0!</v>
      </c>
      <c r="S460" s="19" t="e">
        <f t="shared" si="150"/>
        <v>#DIV/0!</v>
      </c>
      <c r="T460" s="19" t="e">
        <f t="shared" si="150"/>
        <v>#DIV/0!</v>
      </c>
      <c r="U460" s="19" t="e">
        <f t="shared" si="150"/>
        <v>#DIV/0!</v>
      </c>
      <c r="V460" s="19" t="e">
        <f t="shared" si="150"/>
        <v>#DIV/0!</v>
      </c>
      <c r="W460" s="189"/>
      <c r="X460" s="31" t="e">
        <f t="shared" si="150"/>
        <v>#DIV/0!</v>
      </c>
      <c r="Z460" s="41" t="e">
        <f>AVERAGE(Z427:Z457)</f>
        <v>#DIV/0!</v>
      </c>
      <c r="AA460" s="19" t="e">
        <f t="shared" ref="AA460:AH460" si="151">AVERAGE(AA427:AA457)</f>
        <v>#DIV/0!</v>
      </c>
      <c r="AB460" s="19" t="e">
        <f t="shared" si="151"/>
        <v>#DIV/0!</v>
      </c>
      <c r="AC460" s="19" t="e">
        <f t="shared" si="151"/>
        <v>#DIV/0!</v>
      </c>
      <c r="AD460" s="19" t="e">
        <f t="shared" si="151"/>
        <v>#DIV/0!</v>
      </c>
      <c r="AE460" s="19" t="e">
        <f t="shared" si="151"/>
        <v>#DIV/0!</v>
      </c>
      <c r="AF460" s="19" t="e">
        <f t="shared" si="151"/>
        <v>#DIV/0!</v>
      </c>
      <c r="AG460" s="189"/>
      <c r="AH460" s="31" t="e">
        <f t="shared" si="151"/>
        <v>#DIV/0!</v>
      </c>
    </row>
    <row r="461" spans="1:34" ht="15.75" thickBot="1">
      <c r="A461" s="20" t="s">
        <v>130</v>
      </c>
      <c r="B461" s="21" t="e">
        <f>STDEV(B427:B457)</f>
        <v>#DIV/0!</v>
      </c>
      <c r="C461" s="21" t="e">
        <f t="shared" ref="C461:L461" si="152">STDEV(C427:C457)</f>
        <v>#DIV/0!</v>
      </c>
      <c r="D461" s="21" t="e">
        <f t="shared" si="152"/>
        <v>#DIV/0!</v>
      </c>
      <c r="E461" s="21" t="e">
        <f t="shared" si="152"/>
        <v>#DIV/0!</v>
      </c>
      <c r="F461" s="21" t="e">
        <f t="shared" si="152"/>
        <v>#DIV/0!</v>
      </c>
      <c r="G461" s="21" t="e">
        <f t="shared" si="152"/>
        <v>#DIV/0!</v>
      </c>
      <c r="H461" s="21" t="e">
        <f t="shared" si="152"/>
        <v>#DIV/0!</v>
      </c>
      <c r="I461" s="21" t="e">
        <f t="shared" si="152"/>
        <v>#DIV/0!</v>
      </c>
      <c r="J461" s="21" t="e">
        <f t="shared" si="152"/>
        <v>#DIV/0!</v>
      </c>
      <c r="K461" s="190"/>
      <c r="L461" s="32" t="e">
        <f t="shared" si="152"/>
        <v>#DIV/0!</v>
      </c>
      <c r="M461" s="152"/>
      <c r="N461" s="21" t="e">
        <f>STDEV(N427:N457)</f>
        <v>#DIV/0!</v>
      </c>
      <c r="O461" s="21" t="e">
        <f t="shared" ref="O461:X461" si="153">STDEV(O427:O457)</f>
        <v>#DIV/0!</v>
      </c>
      <c r="P461" s="21" t="e">
        <f t="shared" si="153"/>
        <v>#DIV/0!</v>
      </c>
      <c r="Q461" s="21" t="e">
        <f t="shared" si="153"/>
        <v>#DIV/0!</v>
      </c>
      <c r="R461" s="21" t="e">
        <f t="shared" si="153"/>
        <v>#DIV/0!</v>
      </c>
      <c r="S461" s="21" t="e">
        <f t="shared" si="153"/>
        <v>#DIV/0!</v>
      </c>
      <c r="T461" s="21" t="e">
        <f t="shared" si="153"/>
        <v>#DIV/0!</v>
      </c>
      <c r="U461" s="21" t="e">
        <f t="shared" si="153"/>
        <v>#DIV/0!</v>
      </c>
      <c r="V461" s="21" t="e">
        <f t="shared" si="153"/>
        <v>#DIV/0!</v>
      </c>
      <c r="W461" s="190"/>
      <c r="X461" s="32" t="e">
        <f t="shared" si="153"/>
        <v>#DIV/0!</v>
      </c>
      <c r="Y461" s="153"/>
      <c r="Z461" s="42" t="e">
        <f>STDEV(Z427:Z457)</f>
        <v>#DIV/0!</v>
      </c>
      <c r="AA461" s="21" t="e">
        <f t="shared" ref="AA461:AH461" si="154">STDEV(AA427:AA457)</f>
        <v>#DIV/0!</v>
      </c>
      <c r="AB461" s="21" t="e">
        <f t="shared" si="154"/>
        <v>#DIV/0!</v>
      </c>
      <c r="AC461" s="21" t="e">
        <f t="shared" si="154"/>
        <v>#DIV/0!</v>
      </c>
      <c r="AD461" s="21" t="e">
        <f t="shared" si="154"/>
        <v>#DIV/0!</v>
      </c>
      <c r="AE461" s="21" t="e">
        <f t="shared" si="154"/>
        <v>#DIV/0!</v>
      </c>
      <c r="AF461" s="21" t="e">
        <f t="shared" si="154"/>
        <v>#DIV/0!</v>
      </c>
      <c r="AG461" s="190"/>
      <c r="AH461" s="32" t="e">
        <f t="shared" si="154"/>
        <v>#DIV/0!</v>
      </c>
    </row>
    <row r="462" spans="1:34" ht="15.75" thickBot="1"/>
    <row r="463" spans="1:34" ht="15.75" thickBot="1">
      <c r="A463" s="150"/>
      <c r="B463" s="338" t="s">
        <v>0</v>
      </c>
      <c r="C463" s="339"/>
      <c r="D463" s="339"/>
      <c r="E463" s="339"/>
      <c r="F463" s="339"/>
      <c r="G463" s="339"/>
      <c r="H463" s="339"/>
      <c r="I463" s="339"/>
      <c r="J463" s="339"/>
      <c r="K463" s="339"/>
      <c r="L463" s="339"/>
      <c r="M463" s="339"/>
      <c r="N463" s="339"/>
      <c r="O463" s="339"/>
      <c r="P463" s="339"/>
      <c r="Q463" s="339"/>
      <c r="R463" s="339"/>
      <c r="S463" s="339"/>
      <c r="T463" s="339"/>
      <c r="U463" s="339"/>
      <c r="V463" s="339"/>
      <c r="W463" s="339"/>
      <c r="X463" s="339"/>
      <c r="Y463" s="339"/>
      <c r="Z463" s="339"/>
      <c r="AA463" s="339"/>
      <c r="AB463" s="339"/>
      <c r="AC463" s="339"/>
      <c r="AD463" s="339"/>
      <c r="AE463" s="339"/>
      <c r="AF463" s="339"/>
      <c r="AG463" s="339"/>
      <c r="AH463" s="363"/>
    </row>
    <row r="464" spans="1:34" ht="15.75" thickBot="1">
      <c r="A464" s="151"/>
      <c r="B464" s="338" t="s">
        <v>165</v>
      </c>
      <c r="C464" s="339"/>
      <c r="D464" s="339"/>
      <c r="E464" s="339"/>
      <c r="F464" s="339"/>
      <c r="G464" s="339"/>
      <c r="H464" s="339"/>
      <c r="I464" s="339"/>
      <c r="J464" s="339"/>
      <c r="K464" s="339"/>
      <c r="L464" s="339"/>
      <c r="M464" s="339"/>
      <c r="N464" s="339"/>
      <c r="O464" s="339"/>
      <c r="P464" s="339"/>
      <c r="Q464" s="339"/>
      <c r="R464" s="339"/>
      <c r="S464" s="339"/>
      <c r="T464" s="339"/>
      <c r="U464" s="339"/>
      <c r="V464" s="339"/>
      <c r="W464" s="339"/>
      <c r="X464" s="339"/>
      <c r="Y464" s="339"/>
      <c r="Z464" s="339"/>
      <c r="AA464" s="339"/>
      <c r="AB464" s="339"/>
      <c r="AC464" s="339"/>
      <c r="AD464" s="4"/>
      <c r="AE464" s="43" t="s">
        <v>107</v>
      </c>
      <c r="AF464" s="341">
        <v>46327</v>
      </c>
      <c r="AG464" s="342"/>
      <c r="AH464" s="343"/>
    </row>
    <row r="465" spans="1:34">
      <c r="A465" s="344"/>
      <c r="B465" s="346" t="s">
        <v>132</v>
      </c>
      <c r="C465" s="347"/>
      <c r="D465" s="347"/>
      <c r="E465" s="347"/>
      <c r="F465" s="347"/>
      <c r="G465" s="347"/>
      <c r="H465" s="347"/>
      <c r="I465" s="347"/>
      <c r="J465" s="347"/>
      <c r="K465" s="348"/>
      <c r="L465" s="349"/>
      <c r="M465" s="22"/>
      <c r="N465" s="350" t="s">
        <v>133</v>
      </c>
      <c r="O465" s="347"/>
      <c r="P465" s="347"/>
      <c r="Q465" s="347"/>
      <c r="R465" s="347"/>
      <c r="S465" s="347"/>
      <c r="T465" s="347"/>
      <c r="U465" s="347"/>
      <c r="V465" s="347"/>
      <c r="W465" s="348"/>
      <c r="X465" s="349"/>
      <c r="Y465" s="22"/>
      <c r="Z465" s="346" t="s">
        <v>134</v>
      </c>
      <c r="AA465" s="347"/>
      <c r="AB465" s="347"/>
      <c r="AC465" s="347"/>
      <c r="AD465" s="347"/>
      <c r="AE465" s="347"/>
      <c r="AF465" s="347"/>
      <c r="AG465" s="348"/>
      <c r="AH465" s="349"/>
    </row>
    <row r="466" spans="1:34" ht="25.5">
      <c r="A466" s="345"/>
      <c r="B466" s="359" t="s">
        <v>135</v>
      </c>
      <c r="C466" s="361" t="s">
        <v>136</v>
      </c>
      <c r="D466" s="5" t="s">
        <v>137</v>
      </c>
      <c r="E466" s="5" t="s">
        <v>138</v>
      </c>
      <c r="F466" s="5" t="s">
        <v>139</v>
      </c>
      <c r="G466" s="5" t="s">
        <v>140</v>
      </c>
      <c r="H466" s="5" t="s">
        <v>141</v>
      </c>
      <c r="I466" s="5" t="s">
        <v>142</v>
      </c>
      <c r="J466" s="5" t="s">
        <v>143</v>
      </c>
      <c r="K466" s="181"/>
      <c r="L466" s="23" t="s">
        <v>144</v>
      </c>
      <c r="M466" s="22"/>
      <c r="N466" s="355" t="s">
        <v>135</v>
      </c>
      <c r="O466" s="357" t="s">
        <v>136</v>
      </c>
      <c r="P466" s="5" t="s">
        <v>137</v>
      </c>
      <c r="Q466" s="5" t="s">
        <v>138</v>
      </c>
      <c r="R466" s="5" t="s">
        <v>139</v>
      </c>
      <c r="S466" s="5" t="s">
        <v>140</v>
      </c>
      <c r="T466" s="5" t="s">
        <v>141</v>
      </c>
      <c r="U466" s="5" t="s">
        <v>142</v>
      </c>
      <c r="V466" s="5" t="s">
        <v>143</v>
      </c>
      <c r="W466" s="181"/>
      <c r="X466" s="23" t="s">
        <v>144</v>
      </c>
      <c r="Y466" s="22"/>
      <c r="Z466" s="33" t="s">
        <v>137</v>
      </c>
      <c r="AA466" s="5" t="s">
        <v>138</v>
      </c>
      <c r="AB466" s="5" t="s">
        <v>139</v>
      </c>
      <c r="AC466" s="5" t="s">
        <v>140</v>
      </c>
      <c r="AD466" s="5" t="s">
        <v>141</v>
      </c>
      <c r="AE466" s="5" t="s">
        <v>142</v>
      </c>
      <c r="AF466" s="5" t="s">
        <v>143</v>
      </c>
      <c r="AG466" s="181"/>
      <c r="AH466" s="23" t="s">
        <v>144</v>
      </c>
    </row>
    <row r="467" spans="1:34" ht="25.5">
      <c r="A467" s="6" t="s">
        <v>145</v>
      </c>
      <c r="B467" s="360"/>
      <c r="C467" s="362"/>
      <c r="D467" s="5" t="s">
        <v>128</v>
      </c>
      <c r="E467" s="5" t="s">
        <v>128</v>
      </c>
      <c r="F467" s="5" t="s">
        <v>128</v>
      </c>
      <c r="G467" s="5" t="s">
        <v>128</v>
      </c>
      <c r="H467" s="5" t="s">
        <v>125</v>
      </c>
      <c r="I467" s="5" t="s">
        <v>146</v>
      </c>
      <c r="J467" s="5" t="s">
        <v>127</v>
      </c>
      <c r="K467" s="181"/>
      <c r="L467" s="23" t="s">
        <v>53</v>
      </c>
      <c r="M467" s="22"/>
      <c r="N467" s="356"/>
      <c r="O467" s="358"/>
      <c r="P467" s="5" t="s">
        <v>128</v>
      </c>
      <c r="Q467" s="5" t="s">
        <v>128</v>
      </c>
      <c r="R467" s="5" t="s">
        <v>128</v>
      </c>
      <c r="S467" s="5" t="s">
        <v>128</v>
      </c>
      <c r="T467" s="5" t="s">
        <v>125</v>
      </c>
      <c r="U467" s="5" t="s">
        <v>146</v>
      </c>
      <c r="V467" s="5" t="s">
        <v>127</v>
      </c>
      <c r="W467" s="181"/>
      <c r="X467" s="23" t="s">
        <v>53</v>
      </c>
      <c r="Y467" s="22"/>
      <c r="Z467" s="33" t="s">
        <v>128</v>
      </c>
      <c r="AA467" s="5" t="s">
        <v>128</v>
      </c>
      <c r="AB467" s="5" t="s">
        <v>128</v>
      </c>
      <c r="AC467" s="5" t="s">
        <v>128</v>
      </c>
      <c r="AD467" s="5" t="s">
        <v>125</v>
      </c>
      <c r="AE467" s="5" t="s">
        <v>146</v>
      </c>
      <c r="AF467" s="5" t="s">
        <v>127</v>
      </c>
      <c r="AG467" s="181"/>
      <c r="AH467" s="23" t="s">
        <v>53</v>
      </c>
    </row>
    <row r="468" spans="1:34" ht="39" thickBot="1">
      <c r="A468" s="7" t="s">
        <v>147</v>
      </c>
      <c r="B468" s="8" t="s">
        <v>148</v>
      </c>
      <c r="C468" s="9" t="s">
        <v>166</v>
      </c>
      <c r="D468" s="9" t="s">
        <v>167</v>
      </c>
      <c r="E468" s="9" t="s">
        <v>168</v>
      </c>
      <c r="F468" s="9" t="s">
        <v>169</v>
      </c>
      <c r="G468" s="9" t="s">
        <v>170</v>
      </c>
      <c r="H468" s="9" t="s">
        <v>154</v>
      </c>
      <c r="I468" s="24" t="s">
        <v>155</v>
      </c>
      <c r="J468" s="24" t="s">
        <v>156</v>
      </c>
      <c r="K468" s="182"/>
      <c r="L468" s="25" t="s">
        <v>171</v>
      </c>
      <c r="M468" s="22"/>
      <c r="N468" s="8" t="s">
        <v>148</v>
      </c>
      <c r="O468" s="9" t="s">
        <v>166</v>
      </c>
      <c r="P468" s="9" t="s">
        <v>167</v>
      </c>
      <c r="Q468" s="9" t="s">
        <v>168</v>
      </c>
      <c r="R468" s="9" t="s">
        <v>169</v>
      </c>
      <c r="S468" s="9" t="s">
        <v>170</v>
      </c>
      <c r="T468" s="9" t="s">
        <v>154</v>
      </c>
      <c r="U468" s="24" t="s">
        <v>155</v>
      </c>
      <c r="V468" s="24" t="s">
        <v>156</v>
      </c>
      <c r="W468" s="182"/>
      <c r="X468" s="25" t="s">
        <v>171</v>
      </c>
      <c r="Y468" s="22"/>
      <c r="Z468" s="8" t="s">
        <v>167</v>
      </c>
      <c r="AA468" s="9" t="s">
        <v>168</v>
      </c>
      <c r="AB468" s="9" t="s">
        <v>169</v>
      </c>
      <c r="AC468" s="9" t="s">
        <v>170</v>
      </c>
      <c r="AD468" s="9" t="s">
        <v>154</v>
      </c>
      <c r="AE468" s="9" t="s">
        <v>155</v>
      </c>
      <c r="AF468" s="9" t="s">
        <v>156</v>
      </c>
      <c r="AG468" s="182"/>
      <c r="AH468" s="23" t="s">
        <v>171</v>
      </c>
    </row>
    <row r="469" spans="1:34">
      <c r="A469" s="10">
        <f>AF464+0</f>
        <v>46327</v>
      </c>
      <c r="B469" s="11"/>
      <c r="C469" s="12"/>
      <c r="D469" s="12"/>
      <c r="E469" s="13"/>
      <c r="F469" s="12"/>
      <c r="G469" s="12"/>
      <c r="H469" s="12"/>
      <c r="I469" s="12"/>
      <c r="J469" s="13"/>
      <c r="K469" s="184"/>
      <c r="L469" s="26"/>
      <c r="M469" s="22"/>
      <c r="N469" s="29"/>
      <c r="O469" s="13"/>
      <c r="P469" s="13"/>
      <c r="Q469" s="13"/>
      <c r="R469" s="13"/>
      <c r="S469" s="13"/>
      <c r="T469" s="13"/>
      <c r="U469" s="13"/>
      <c r="V469" s="13"/>
      <c r="W469" s="184"/>
      <c r="X469" s="37"/>
      <c r="Y469" s="22"/>
      <c r="Z469" s="38"/>
      <c r="AA469" s="13"/>
      <c r="AB469" s="13"/>
      <c r="AC469" s="13"/>
      <c r="AD469" s="13"/>
      <c r="AE469" s="13"/>
      <c r="AF469" s="13"/>
      <c r="AG469" s="184"/>
      <c r="AH469" s="45"/>
    </row>
    <row r="470" spans="1:34">
      <c r="A470" s="14">
        <f t="shared" ref="A470:A499" si="155">A469+1</f>
        <v>46328</v>
      </c>
      <c r="B470" s="11"/>
      <c r="C470" s="12"/>
      <c r="D470" s="12"/>
      <c r="E470" s="13"/>
      <c r="F470" s="12"/>
      <c r="G470" s="12"/>
      <c r="H470" s="12"/>
      <c r="I470" s="12"/>
      <c r="J470" s="13"/>
      <c r="K470" s="184"/>
      <c r="L470" s="26"/>
      <c r="M470" s="22"/>
      <c r="N470" s="29"/>
      <c r="O470" s="13"/>
      <c r="P470" s="13"/>
      <c r="Q470" s="13"/>
      <c r="R470" s="13"/>
      <c r="S470" s="13"/>
      <c r="T470" s="13"/>
      <c r="U470" s="13"/>
      <c r="V470" s="13"/>
      <c r="W470" s="184"/>
      <c r="X470" s="37"/>
      <c r="Y470" s="22"/>
      <c r="Z470" s="38"/>
      <c r="AA470" s="13"/>
      <c r="AB470" s="13"/>
      <c r="AC470" s="13"/>
      <c r="AD470" s="13"/>
      <c r="AE470" s="13"/>
      <c r="AF470" s="13"/>
      <c r="AG470" s="184"/>
      <c r="AH470" s="45"/>
    </row>
    <row r="471" spans="1:34">
      <c r="A471" s="14">
        <f t="shared" si="155"/>
        <v>46329</v>
      </c>
      <c r="B471" s="11"/>
      <c r="C471" s="12"/>
      <c r="D471" s="12"/>
      <c r="E471" s="13"/>
      <c r="F471" s="12"/>
      <c r="G471" s="12"/>
      <c r="H471" s="12"/>
      <c r="I471" s="12"/>
      <c r="J471" s="13"/>
      <c r="K471" s="184"/>
      <c r="L471" s="26"/>
      <c r="M471" s="22"/>
      <c r="N471" s="29"/>
      <c r="O471" s="13"/>
      <c r="P471" s="13"/>
      <c r="Q471" s="13"/>
      <c r="R471" s="13"/>
      <c r="S471" s="13"/>
      <c r="T471" s="13"/>
      <c r="U471" s="13"/>
      <c r="V471" s="13"/>
      <c r="W471" s="184"/>
      <c r="X471" s="37"/>
      <c r="Y471" s="22"/>
      <c r="Z471" s="38"/>
      <c r="AA471" s="13"/>
      <c r="AB471" s="13"/>
      <c r="AC471" s="13"/>
      <c r="AD471" s="13"/>
      <c r="AE471" s="13"/>
      <c r="AF471" s="13"/>
      <c r="AG471" s="184"/>
      <c r="AH471" s="45"/>
    </row>
    <row r="472" spans="1:34">
      <c r="A472" s="14">
        <f t="shared" si="155"/>
        <v>46330</v>
      </c>
      <c r="B472" s="11"/>
      <c r="C472" s="12"/>
      <c r="D472" s="12"/>
      <c r="E472" s="13"/>
      <c r="F472" s="12"/>
      <c r="G472" s="12"/>
      <c r="H472" s="12"/>
      <c r="I472" s="12"/>
      <c r="J472" s="13"/>
      <c r="K472" s="184"/>
      <c r="L472" s="26"/>
      <c r="M472" s="22"/>
      <c r="N472" s="29"/>
      <c r="O472" s="13"/>
      <c r="P472" s="13"/>
      <c r="Q472" s="13"/>
      <c r="R472" s="13"/>
      <c r="S472" s="13"/>
      <c r="T472" s="13"/>
      <c r="U472" s="13"/>
      <c r="V472" s="13"/>
      <c r="W472" s="184"/>
      <c r="X472" s="37"/>
      <c r="Y472" s="22"/>
      <c r="Z472" s="38"/>
      <c r="AA472" s="13"/>
      <c r="AB472" s="13"/>
      <c r="AC472" s="13"/>
      <c r="AD472" s="13"/>
      <c r="AE472" s="13"/>
      <c r="AF472" s="13"/>
      <c r="AG472" s="184"/>
      <c r="AH472" s="45"/>
    </row>
    <row r="473" spans="1:34">
      <c r="A473" s="14">
        <f t="shared" si="155"/>
        <v>46331</v>
      </c>
      <c r="B473" s="11"/>
      <c r="C473" s="12"/>
      <c r="D473" s="12"/>
      <c r="E473" s="13"/>
      <c r="F473" s="12"/>
      <c r="G473" s="12"/>
      <c r="H473" s="12"/>
      <c r="I473" s="12"/>
      <c r="J473" s="13"/>
      <c r="K473" s="184"/>
      <c r="L473" s="26"/>
      <c r="M473" s="22"/>
      <c r="N473" s="29"/>
      <c r="O473" s="13"/>
      <c r="P473" s="13"/>
      <c r="Q473" s="13"/>
      <c r="R473" s="13"/>
      <c r="S473" s="13"/>
      <c r="T473" s="13"/>
      <c r="U473" s="13"/>
      <c r="V473" s="13"/>
      <c r="W473" s="184"/>
      <c r="X473" s="37"/>
      <c r="Y473" s="22"/>
      <c r="Z473" s="38"/>
      <c r="AA473" s="13"/>
      <c r="AB473" s="13"/>
      <c r="AC473" s="13"/>
      <c r="AD473" s="13"/>
      <c r="AE473" s="13"/>
      <c r="AF473" s="13"/>
      <c r="AG473" s="184"/>
      <c r="AH473" s="45"/>
    </row>
    <row r="474" spans="1:34">
      <c r="A474" s="14">
        <f t="shared" si="155"/>
        <v>46332</v>
      </c>
      <c r="B474" s="11"/>
      <c r="C474" s="12"/>
      <c r="D474" s="12"/>
      <c r="E474" s="13"/>
      <c r="F474" s="12"/>
      <c r="G474" s="12"/>
      <c r="H474" s="12"/>
      <c r="I474" s="12"/>
      <c r="J474" s="13"/>
      <c r="K474" s="184"/>
      <c r="L474" s="26"/>
      <c r="M474" s="22"/>
      <c r="N474" s="29"/>
      <c r="O474" s="13"/>
      <c r="P474" s="13"/>
      <c r="Q474" s="13"/>
      <c r="R474" s="13"/>
      <c r="S474" s="13"/>
      <c r="T474" s="13"/>
      <c r="U474" s="13"/>
      <c r="V474" s="13"/>
      <c r="W474" s="184"/>
      <c r="X474" s="37"/>
      <c r="Y474" s="22"/>
      <c r="Z474" s="38"/>
      <c r="AA474" s="13"/>
      <c r="AB474" s="13"/>
      <c r="AC474" s="13"/>
      <c r="AD474" s="13"/>
      <c r="AE474" s="13"/>
      <c r="AF474" s="13"/>
      <c r="AG474" s="184"/>
      <c r="AH474" s="45"/>
    </row>
    <row r="475" spans="1:34">
      <c r="A475" s="14">
        <f t="shared" si="155"/>
        <v>46333</v>
      </c>
      <c r="B475" s="11"/>
      <c r="C475" s="12"/>
      <c r="D475" s="12"/>
      <c r="E475" s="12"/>
      <c r="F475" s="12"/>
      <c r="G475" s="12"/>
      <c r="H475" s="12"/>
      <c r="I475" s="12"/>
      <c r="J475" s="13"/>
      <c r="K475" s="184"/>
      <c r="L475" s="26"/>
      <c r="M475" s="22"/>
      <c r="N475" s="29"/>
      <c r="O475" s="50"/>
      <c r="P475" s="13"/>
      <c r="Q475" s="13"/>
      <c r="R475" s="13"/>
      <c r="S475" s="13"/>
      <c r="T475" s="13"/>
      <c r="U475" s="13"/>
      <c r="V475" s="13"/>
      <c r="W475" s="184"/>
      <c r="X475" s="51"/>
      <c r="Y475" s="22"/>
      <c r="Z475" s="38"/>
      <c r="AA475" s="13"/>
      <c r="AB475" s="13"/>
      <c r="AC475" s="13"/>
      <c r="AD475" s="13"/>
      <c r="AE475" s="13"/>
      <c r="AF475" s="13"/>
      <c r="AG475" s="184"/>
      <c r="AH475" s="46"/>
    </row>
    <row r="476" spans="1:34">
      <c r="A476" s="14">
        <f t="shared" si="155"/>
        <v>46334</v>
      </c>
      <c r="B476" s="11"/>
      <c r="C476" s="12"/>
      <c r="D476" s="12"/>
      <c r="E476" s="12"/>
      <c r="F476" s="12"/>
      <c r="G476" s="12"/>
      <c r="H476" s="12"/>
      <c r="I476" s="12"/>
      <c r="J476" s="13"/>
      <c r="K476" s="184"/>
      <c r="L476" s="26"/>
      <c r="M476" s="22"/>
      <c r="N476" s="29"/>
      <c r="O476" s="13"/>
      <c r="P476" s="13"/>
      <c r="Q476" s="13"/>
      <c r="R476" s="13"/>
      <c r="S476" s="13"/>
      <c r="T476" s="13"/>
      <c r="U476" s="13"/>
      <c r="V476" s="13"/>
      <c r="W476" s="184"/>
      <c r="X476" s="37"/>
      <c r="Y476" s="22"/>
      <c r="Z476" s="38"/>
      <c r="AA476" s="13"/>
      <c r="AB476" s="13"/>
      <c r="AC476" s="13"/>
      <c r="AD476" s="13"/>
      <c r="AE476" s="13"/>
      <c r="AF476" s="13"/>
      <c r="AG476" s="184"/>
      <c r="AH476" s="45"/>
    </row>
    <row r="477" spans="1:34">
      <c r="A477" s="14">
        <f t="shared" si="155"/>
        <v>46335</v>
      </c>
      <c r="B477" s="11"/>
      <c r="C477" s="12"/>
      <c r="D477" s="12"/>
      <c r="E477" s="12"/>
      <c r="F477" s="12"/>
      <c r="G477" s="12"/>
      <c r="H477" s="12"/>
      <c r="I477" s="12"/>
      <c r="J477" s="13"/>
      <c r="K477" s="184"/>
      <c r="L477" s="26"/>
      <c r="M477" s="22"/>
      <c r="N477" s="29"/>
      <c r="O477" s="13"/>
      <c r="P477" s="13"/>
      <c r="Q477" s="13"/>
      <c r="R477" s="13"/>
      <c r="S477" s="13"/>
      <c r="T477" s="13"/>
      <c r="U477" s="13"/>
      <c r="V477" s="13"/>
      <c r="W477" s="184"/>
      <c r="X477" s="37"/>
      <c r="Y477" s="22"/>
      <c r="Z477" s="38"/>
      <c r="AA477" s="13"/>
      <c r="AB477" s="13"/>
      <c r="AC477" s="13"/>
      <c r="AD477" s="13"/>
      <c r="AE477" s="13"/>
      <c r="AF477" s="13"/>
      <c r="AG477" s="184"/>
      <c r="AH477" s="45"/>
    </row>
    <row r="478" spans="1:34">
      <c r="A478" s="14">
        <f t="shared" si="155"/>
        <v>46336</v>
      </c>
      <c r="B478" s="11"/>
      <c r="C478" s="12"/>
      <c r="D478" s="12"/>
      <c r="E478" s="12"/>
      <c r="F478" s="12"/>
      <c r="G478" s="12"/>
      <c r="H478" s="12"/>
      <c r="I478" s="12"/>
      <c r="J478" s="13"/>
      <c r="K478" s="184"/>
      <c r="L478" s="26"/>
      <c r="M478" s="22"/>
      <c r="N478" s="29"/>
      <c r="O478" s="13"/>
      <c r="P478" s="13"/>
      <c r="Q478" s="13"/>
      <c r="R478" s="13"/>
      <c r="S478" s="13"/>
      <c r="T478" s="13"/>
      <c r="U478" s="13"/>
      <c r="V478" s="13"/>
      <c r="W478" s="184"/>
      <c r="X478" s="37"/>
      <c r="Y478" s="22"/>
      <c r="Z478" s="38"/>
      <c r="AA478" s="13"/>
      <c r="AB478" s="13"/>
      <c r="AC478" s="13"/>
      <c r="AD478" s="13"/>
      <c r="AE478" s="13"/>
      <c r="AF478" s="13"/>
      <c r="AG478" s="184"/>
      <c r="AH478" s="45"/>
    </row>
    <row r="479" spans="1:34">
      <c r="A479" s="14">
        <f t="shared" si="155"/>
        <v>46337</v>
      </c>
      <c r="B479" s="38"/>
      <c r="C479" s="12"/>
      <c r="D479" s="12"/>
      <c r="E479" s="12"/>
      <c r="F479" s="12"/>
      <c r="G479" s="12"/>
      <c r="H479" s="12"/>
      <c r="I479" s="12"/>
      <c r="J479" s="13"/>
      <c r="K479" s="184"/>
      <c r="L479" s="26"/>
      <c r="M479" s="22"/>
      <c r="N479" s="29"/>
      <c r="O479" s="13"/>
      <c r="P479" s="13"/>
      <c r="Q479" s="13"/>
      <c r="R479" s="13"/>
      <c r="S479" s="13"/>
      <c r="T479" s="13"/>
      <c r="U479" s="13"/>
      <c r="V479" s="13"/>
      <c r="W479" s="184"/>
      <c r="X479" s="37"/>
      <c r="Y479" s="22"/>
      <c r="Z479" s="38"/>
      <c r="AA479" s="13"/>
      <c r="AB479" s="13"/>
      <c r="AC479" s="13"/>
      <c r="AD479" s="13"/>
      <c r="AE479" s="13"/>
      <c r="AF479" s="13"/>
      <c r="AG479" s="184"/>
      <c r="AH479" s="45"/>
    </row>
    <row r="480" spans="1:34">
      <c r="A480" s="14">
        <f t="shared" si="155"/>
        <v>46338</v>
      </c>
      <c r="B480" s="11"/>
      <c r="C480" s="12"/>
      <c r="D480" s="12"/>
      <c r="E480" s="12"/>
      <c r="F480" s="12"/>
      <c r="G480" s="12"/>
      <c r="H480" s="12"/>
      <c r="I480" s="12"/>
      <c r="J480" s="13"/>
      <c r="K480" s="184"/>
      <c r="L480" s="26"/>
      <c r="M480" s="22"/>
      <c r="N480" s="29"/>
      <c r="O480" s="13"/>
      <c r="P480" s="13"/>
      <c r="Q480" s="13"/>
      <c r="R480" s="13"/>
      <c r="S480" s="13"/>
      <c r="T480" s="13"/>
      <c r="U480" s="13"/>
      <c r="V480" s="13"/>
      <c r="W480" s="184"/>
      <c r="X480" s="37"/>
      <c r="Y480" s="22"/>
      <c r="Z480" s="38"/>
      <c r="AA480" s="13"/>
      <c r="AB480" s="13"/>
      <c r="AC480" s="13"/>
      <c r="AD480" s="13"/>
      <c r="AE480" s="13"/>
      <c r="AF480" s="13"/>
      <c r="AG480" s="184"/>
      <c r="AH480" s="45"/>
    </row>
    <row r="481" spans="1:34">
      <c r="A481" s="14">
        <f t="shared" si="155"/>
        <v>46339</v>
      </c>
      <c r="B481" s="38"/>
      <c r="C481" s="13"/>
      <c r="D481" s="12"/>
      <c r="E481" s="12"/>
      <c r="F481" s="12"/>
      <c r="G481" s="12"/>
      <c r="H481" s="12"/>
      <c r="I481" s="12"/>
      <c r="J481" s="13"/>
      <c r="K481" s="184"/>
      <c r="L481" s="26"/>
      <c r="M481" s="22"/>
      <c r="N481" s="29"/>
      <c r="O481" s="13"/>
      <c r="P481" s="13"/>
      <c r="Q481" s="13"/>
      <c r="R481" s="13"/>
      <c r="S481" s="13"/>
      <c r="T481" s="13"/>
      <c r="U481" s="13"/>
      <c r="V481" s="13"/>
      <c r="W481" s="184"/>
      <c r="X481" s="37"/>
      <c r="Y481" s="22"/>
      <c r="Z481" s="38"/>
      <c r="AA481" s="13"/>
      <c r="AB481" s="13"/>
      <c r="AC481" s="13"/>
      <c r="AD481" s="13"/>
      <c r="AE481" s="13"/>
      <c r="AF481" s="13"/>
      <c r="AG481" s="184"/>
      <c r="AH481" s="45"/>
    </row>
    <row r="482" spans="1:34">
      <c r="A482" s="14">
        <f t="shared" si="155"/>
        <v>46340</v>
      </c>
      <c r="B482" s="11"/>
      <c r="C482" s="13"/>
      <c r="D482" s="12"/>
      <c r="E482" s="12"/>
      <c r="F482" s="12"/>
      <c r="G482" s="12"/>
      <c r="H482" s="12"/>
      <c r="I482" s="36"/>
      <c r="J482" s="13"/>
      <c r="K482" s="184"/>
      <c r="L482" s="26"/>
      <c r="M482" s="22"/>
      <c r="N482" s="29"/>
      <c r="O482" s="13"/>
      <c r="P482" s="13"/>
      <c r="Q482" s="13"/>
      <c r="R482" s="13"/>
      <c r="S482" s="13"/>
      <c r="T482" s="13"/>
      <c r="U482" s="13"/>
      <c r="V482" s="13"/>
      <c r="W482" s="184"/>
      <c r="X482" s="37"/>
      <c r="Y482" s="22"/>
      <c r="Z482" s="38"/>
      <c r="AA482" s="13"/>
      <c r="AB482" s="13"/>
      <c r="AC482" s="13"/>
      <c r="AD482" s="13"/>
      <c r="AE482" s="13"/>
      <c r="AF482" s="13"/>
      <c r="AG482" s="184"/>
      <c r="AH482" s="37"/>
    </row>
    <row r="483" spans="1:34">
      <c r="A483" s="14">
        <f t="shared" si="155"/>
        <v>46341</v>
      </c>
      <c r="B483" s="11"/>
      <c r="C483" s="13"/>
      <c r="D483" s="12"/>
      <c r="E483" s="12"/>
      <c r="F483" s="12"/>
      <c r="G483" s="12"/>
      <c r="H483" s="12"/>
      <c r="I483" s="12"/>
      <c r="J483" s="13"/>
      <c r="K483" s="184"/>
      <c r="L483" s="26"/>
      <c r="M483" s="22"/>
      <c r="N483" s="29"/>
      <c r="O483" s="13"/>
      <c r="P483" s="13"/>
      <c r="Q483" s="13"/>
      <c r="R483" s="13"/>
      <c r="S483" s="13"/>
      <c r="T483" s="13"/>
      <c r="U483" s="13"/>
      <c r="V483" s="13"/>
      <c r="W483" s="184"/>
      <c r="X483" s="37"/>
      <c r="Y483" s="22"/>
      <c r="Z483" s="38"/>
      <c r="AA483" s="13"/>
      <c r="AB483" s="13"/>
      <c r="AC483" s="13"/>
      <c r="AD483" s="13"/>
      <c r="AE483" s="13"/>
      <c r="AF483" s="13"/>
      <c r="AG483" s="184"/>
      <c r="AH483" s="37"/>
    </row>
    <row r="484" spans="1:34">
      <c r="A484" s="14">
        <f t="shared" si="155"/>
        <v>46342</v>
      </c>
      <c r="B484" s="11"/>
      <c r="C484" s="13"/>
      <c r="D484" s="12"/>
      <c r="E484" s="12"/>
      <c r="F484" s="12"/>
      <c r="G484" s="12"/>
      <c r="H484" s="12"/>
      <c r="I484" s="12"/>
      <c r="J484" s="13"/>
      <c r="K484" s="184"/>
      <c r="L484" s="26"/>
      <c r="M484" s="22"/>
      <c r="N484" s="29"/>
      <c r="O484" s="13"/>
      <c r="P484" s="13"/>
      <c r="Q484" s="13"/>
      <c r="R484" s="13"/>
      <c r="S484" s="13"/>
      <c r="T484" s="13"/>
      <c r="U484" s="13"/>
      <c r="V484" s="13"/>
      <c r="W484" s="184"/>
      <c r="X484" s="37"/>
      <c r="Y484" s="22"/>
      <c r="Z484" s="38"/>
      <c r="AA484" s="13"/>
      <c r="AB484" s="13"/>
      <c r="AC484" s="13"/>
      <c r="AD484" s="13"/>
      <c r="AE484" s="13"/>
      <c r="AF484" s="13"/>
      <c r="AG484" s="184"/>
      <c r="AH484" s="37"/>
    </row>
    <row r="485" spans="1:34">
      <c r="A485" s="14">
        <f t="shared" si="155"/>
        <v>46343</v>
      </c>
      <c r="B485" s="11"/>
      <c r="C485" s="13"/>
      <c r="D485" s="12"/>
      <c r="E485" s="12"/>
      <c r="F485" s="12"/>
      <c r="G485" s="12"/>
      <c r="H485" s="12"/>
      <c r="I485" s="12"/>
      <c r="J485" s="13"/>
      <c r="K485" s="184"/>
      <c r="L485" s="26"/>
      <c r="M485" s="22"/>
      <c r="N485" s="29"/>
      <c r="O485" s="13"/>
      <c r="P485" s="13"/>
      <c r="Q485" s="13"/>
      <c r="R485" s="13"/>
      <c r="S485" s="13"/>
      <c r="T485" s="13"/>
      <c r="U485" s="13"/>
      <c r="V485" s="13"/>
      <c r="W485" s="184"/>
      <c r="X485" s="37"/>
      <c r="Y485" s="22"/>
      <c r="Z485" s="38"/>
      <c r="AA485" s="13"/>
      <c r="AB485" s="13"/>
      <c r="AC485" s="13"/>
      <c r="AD485" s="13"/>
      <c r="AE485" s="13"/>
      <c r="AF485" s="13"/>
      <c r="AG485" s="184"/>
      <c r="AH485" s="37"/>
    </row>
    <row r="486" spans="1:34">
      <c r="A486" s="14">
        <f t="shared" si="155"/>
        <v>46344</v>
      </c>
      <c r="B486" s="11"/>
      <c r="C486" s="12"/>
      <c r="D486" s="12"/>
      <c r="E486" s="12"/>
      <c r="F486" s="12"/>
      <c r="G486" s="12"/>
      <c r="H486" s="12"/>
      <c r="I486" s="12"/>
      <c r="J486" s="13"/>
      <c r="K486" s="184"/>
      <c r="L486" s="26"/>
      <c r="M486" s="22"/>
      <c r="N486" s="29"/>
      <c r="O486" s="13"/>
      <c r="P486" s="13"/>
      <c r="Q486" s="13"/>
      <c r="R486" s="13"/>
      <c r="S486" s="13"/>
      <c r="T486" s="13"/>
      <c r="U486" s="13"/>
      <c r="V486" s="13"/>
      <c r="W486" s="184"/>
      <c r="X486" s="37"/>
      <c r="Y486" s="22"/>
      <c r="Z486" s="38"/>
      <c r="AA486" s="13"/>
      <c r="AB486" s="13"/>
      <c r="AC486" s="13"/>
      <c r="AD486" s="13"/>
      <c r="AE486" s="13"/>
      <c r="AF486" s="13"/>
      <c r="AG486" s="184"/>
      <c r="AH486" s="37"/>
    </row>
    <row r="487" spans="1:34">
      <c r="A487" s="14">
        <f t="shared" si="155"/>
        <v>46345</v>
      </c>
      <c r="B487" s="11"/>
      <c r="C487" s="12"/>
      <c r="D487" s="12"/>
      <c r="E487" s="12"/>
      <c r="F487" s="12"/>
      <c r="G487" s="12"/>
      <c r="H487" s="12"/>
      <c r="I487" s="12"/>
      <c r="J487" s="13"/>
      <c r="K487" s="184"/>
      <c r="L487" s="26"/>
      <c r="M487" s="22"/>
      <c r="N487" s="29"/>
      <c r="O487" s="13"/>
      <c r="P487" s="13"/>
      <c r="Q487" s="13"/>
      <c r="R487" s="13"/>
      <c r="S487" s="13"/>
      <c r="T487" s="13"/>
      <c r="U487" s="13"/>
      <c r="V487" s="13"/>
      <c r="W487" s="184"/>
      <c r="X487" s="37"/>
      <c r="Y487" s="22"/>
      <c r="Z487" s="38"/>
      <c r="AA487" s="13"/>
      <c r="AB487" s="13"/>
      <c r="AC487" s="13"/>
      <c r="AD487" s="13"/>
      <c r="AE487" s="13"/>
      <c r="AF487" s="13"/>
      <c r="AG487" s="184"/>
      <c r="AH487" s="37"/>
    </row>
    <row r="488" spans="1:34">
      <c r="A488" s="14">
        <f t="shared" si="155"/>
        <v>46346</v>
      </c>
      <c r="B488" s="11"/>
      <c r="C488" s="13"/>
      <c r="D488" s="12"/>
      <c r="E488" s="12"/>
      <c r="F488" s="12"/>
      <c r="G488" s="12"/>
      <c r="H488" s="12"/>
      <c r="I488" s="13"/>
      <c r="J488" s="13"/>
      <c r="K488" s="184"/>
      <c r="L488" s="26"/>
      <c r="M488" s="22"/>
      <c r="N488" s="29"/>
      <c r="O488" s="13"/>
      <c r="P488" s="13"/>
      <c r="Q488" s="13"/>
      <c r="R488" s="13"/>
      <c r="S488" s="13"/>
      <c r="T488" s="13"/>
      <c r="U488" s="13"/>
      <c r="V488" s="13"/>
      <c r="W488" s="184"/>
      <c r="X488" s="37"/>
      <c r="Y488" s="22"/>
      <c r="Z488" s="38"/>
      <c r="AA488" s="13"/>
      <c r="AB488" s="13"/>
      <c r="AC488" s="13"/>
      <c r="AD488" s="13"/>
      <c r="AE488" s="13"/>
      <c r="AF488" s="13"/>
      <c r="AG488" s="184"/>
      <c r="AH488" s="37"/>
    </row>
    <row r="489" spans="1:34">
      <c r="A489" s="14">
        <f t="shared" si="155"/>
        <v>46347</v>
      </c>
      <c r="B489" s="11"/>
      <c r="C489" s="13"/>
      <c r="D489" s="12"/>
      <c r="E489" s="12"/>
      <c r="F489" s="12"/>
      <c r="G489" s="13"/>
      <c r="H489" s="13"/>
      <c r="I489" s="12"/>
      <c r="J489" s="13"/>
      <c r="K489" s="184"/>
      <c r="L489" s="26"/>
      <c r="M489" s="22"/>
      <c r="N489" s="29"/>
      <c r="O489" s="13"/>
      <c r="P489" s="13"/>
      <c r="Q489" s="13"/>
      <c r="R489" s="13"/>
      <c r="S489" s="13"/>
      <c r="T489" s="13"/>
      <c r="U489" s="13"/>
      <c r="V489" s="13"/>
      <c r="W489" s="184"/>
      <c r="X489" s="37"/>
      <c r="Y489" s="22"/>
      <c r="Z489" s="38"/>
      <c r="AA489" s="13"/>
      <c r="AB489" s="13"/>
      <c r="AC489" s="13"/>
      <c r="AD489" s="13"/>
      <c r="AE489" s="13"/>
      <c r="AF489" s="13"/>
      <c r="AG489" s="184"/>
      <c r="AH489" s="37"/>
    </row>
    <row r="490" spans="1:34">
      <c r="A490" s="14">
        <f t="shared" si="155"/>
        <v>46348</v>
      </c>
      <c r="B490" s="11"/>
      <c r="C490" s="13"/>
      <c r="D490" s="12"/>
      <c r="E490" s="12"/>
      <c r="F490" s="12"/>
      <c r="G490" s="12"/>
      <c r="H490" s="12"/>
      <c r="I490" s="13"/>
      <c r="J490" s="13"/>
      <c r="K490" s="184"/>
      <c r="L490" s="26"/>
      <c r="M490" s="22"/>
      <c r="N490" s="29"/>
      <c r="O490" s="13"/>
      <c r="P490" s="13"/>
      <c r="Q490" s="13"/>
      <c r="R490" s="13"/>
      <c r="S490" s="13"/>
      <c r="T490" s="13"/>
      <c r="U490" s="13"/>
      <c r="V490" s="13"/>
      <c r="W490" s="184"/>
      <c r="X490" s="37"/>
      <c r="Y490" s="22"/>
      <c r="Z490" s="38"/>
      <c r="AA490" s="13"/>
      <c r="AB490" s="13"/>
      <c r="AC490" s="13"/>
      <c r="AD490" s="13"/>
      <c r="AE490" s="13"/>
      <c r="AF490" s="13"/>
      <c r="AG490" s="184"/>
      <c r="AH490" s="37"/>
    </row>
    <row r="491" spans="1:34">
      <c r="A491" s="14">
        <f t="shared" si="155"/>
        <v>46349</v>
      </c>
      <c r="B491" s="38"/>
      <c r="C491" s="12"/>
      <c r="D491" s="12"/>
      <c r="E491" s="12"/>
      <c r="F491" s="12"/>
      <c r="G491" s="12"/>
      <c r="H491" s="12"/>
      <c r="I491" s="12"/>
      <c r="J491" s="13"/>
      <c r="K491" s="184"/>
      <c r="L491" s="26"/>
      <c r="M491" s="22"/>
      <c r="N491" s="61"/>
      <c r="O491" s="13"/>
      <c r="P491" s="13"/>
      <c r="Q491" s="13"/>
      <c r="R491" s="13"/>
      <c r="S491" s="13"/>
      <c r="T491" s="13"/>
      <c r="U491" s="13"/>
      <c r="V491" s="13"/>
      <c r="W491" s="184"/>
      <c r="X491" s="37"/>
      <c r="Y491" s="22"/>
      <c r="Z491" s="38"/>
      <c r="AA491" s="13"/>
      <c r="AB491" s="13"/>
      <c r="AC491" s="13"/>
      <c r="AD491" s="13"/>
      <c r="AE491" s="13"/>
      <c r="AF491" s="13"/>
      <c r="AG491" s="184"/>
      <c r="AH491" s="37"/>
    </row>
    <row r="492" spans="1:34">
      <c r="A492" s="14">
        <f t="shared" si="155"/>
        <v>46350</v>
      </c>
      <c r="B492" s="11"/>
      <c r="C492" s="12"/>
      <c r="D492" s="12"/>
      <c r="E492" s="12"/>
      <c r="F492" s="12"/>
      <c r="G492" s="12"/>
      <c r="H492" s="12"/>
      <c r="I492" s="12"/>
      <c r="J492" s="12"/>
      <c r="K492" s="185"/>
      <c r="L492" s="26"/>
      <c r="M492" s="22"/>
      <c r="N492" s="29"/>
      <c r="O492" s="13"/>
      <c r="P492" s="13"/>
      <c r="Q492" s="13"/>
      <c r="R492" s="13"/>
      <c r="S492" s="13"/>
      <c r="T492" s="13"/>
      <c r="U492" s="13"/>
      <c r="V492" s="13"/>
      <c r="W492" s="185"/>
      <c r="X492" s="37"/>
      <c r="Y492" s="22"/>
      <c r="Z492" s="38"/>
      <c r="AA492" s="13"/>
      <c r="AB492" s="13"/>
      <c r="AC492" s="13"/>
      <c r="AD492" s="13"/>
      <c r="AE492" s="13"/>
      <c r="AF492" s="13"/>
      <c r="AG492" s="185"/>
      <c r="AH492" s="37"/>
    </row>
    <row r="493" spans="1:34">
      <c r="A493" s="14">
        <f t="shared" si="155"/>
        <v>46351</v>
      </c>
      <c r="B493" s="38"/>
      <c r="C493" s="12"/>
      <c r="D493" s="12"/>
      <c r="E493" s="12"/>
      <c r="F493" s="12"/>
      <c r="G493" s="13"/>
      <c r="H493" s="13"/>
      <c r="I493" s="12"/>
      <c r="J493" s="12"/>
      <c r="K493" s="185"/>
      <c r="L493" s="37"/>
      <c r="M493" s="22"/>
      <c r="N493" s="29"/>
      <c r="O493" s="13"/>
      <c r="P493" s="13"/>
      <c r="Q493" s="13"/>
      <c r="R493" s="13"/>
      <c r="S493" s="13"/>
      <c r="T493" s="13"/>
      <c r="U493" s="13"/>
      <c r="V493" s="13"/>
      <c r="W493" s="185"/>
      <c r="X493" s="37"/>
      <c r="Y493" s="22"/>
      <c r="Z493" s="38"/>
      <c r="AA493" s="13"/>
      <c r="AB493" s="13"/>
      <c r="AC493" s="13"/>
      <c r="AD493" s="13"/>
      <c r="AE493" s="13"/>
      <c r="AF493" s="13"/>
      <c r="AG493" s="185"/>
      <c r="AH493" s="37"/>
    </row>
    <row r="494" spans="1:34">
      <c r="A494" s="14">
        <f t="shared" si="155"/>
        <v>46352</v>
      </c>
      <c r="B494" s="11"/>
      <c r="C494" s="13"/>
      <c r="D494" s="12"/>
      <c r="E494" s="12"/>
      <c r="F494" s="12"/>
      <c r="G494" s="13"/>
      <c r="H494" s="13"/>
      <c r="I494" s="13"/>
      <c r="J494" s="12"/>
      <c r="K494" s="185"/>
      <c r="L494" s="26"/>
      <c r="M494" s="22"/>
      <c r="N494" s="29"/>
      <c r="O494" s="13"/>
      <c r="P494" s="13"/>
      <c r="Q494" s="13"/>
      <c r="R494" s="13"/>
      <c r="S494" s="13"/>
      <c r="T494" s="13"/>
      <c r="U494" s="13"/>
      <c r="V494" s="13"/>
      <c r="W494" s="185"/>
      <c r="X494" s="51"/>
      <c r="Y494" s="22"/>
      <c r="Z494" s="38"/>
      <c r="AA494" s="13"/>
      <c r="AB494" s="13"/>
      <c r="AC494" s="13"/>
      <c r="AD494" s="13"/>
      <c r="AE494" s="13"/>
      <c r="AF494" s="13"/>
      <c r="AG494" s="185"/>
      <c r="AH494" s="51"/>
    </row>
    <row r="495" spans="1:34">
      <c r="A495" s="14">
        <f t="shared" si="155"/>
        <v>46353</v>
      </c>
      <c r="B495" s="11"/>
      <c r="C495" s="13"/>
      <c r="D495" s="12"/>
      <c r="E495" s="12"/>
      <c r="F495" s="12"/>
      <c r="G495" s="13"/>
      <c r="H495" s="13"/>
      <c r="I495" s="13"/>
      <c r="J495" s="12"/>
      <c r="K495" s="185"/>
      <c r="L495" s="26"/>
      <c r="M495" s="22"/>
      <c r="N495" s="29"/>
      <c r="O495" s="13"/>
      <c r="P495" s="13"/>
      <c r="Q495" s="13"/>
      <c r="R495" s="13"/>
      <c r="S495" s="13"/>
      <c r="T495" s="13"/>
      <c r="U495" s="13"/>
      <c r="V495" s="13"/>
      <c r="W495" s="185"/>
      <c r="X495" s="37"/>
      <c r="Y495" s="22"/>
      <c r="Z495" s="38"/>
      <c r="AA495" s="13"/>
      <c r="AB495" s="13"/>
      <c r="AC495" s="13"/>
      <c r="AD495" s="13"/>
      <c r="AE495" s="13"/>
      <c r="AF495" s="13"/>
      <c r="AG495" s="185"/>
      <c r="AH495" s="37"/>
    </row>
    <row r="496" spans="1:34">
      <c r="A496" s="14">
        <f t="shared" si="155"/>
        <v>46354</v>
      </c>
      <c r="B496" s="38"/>
      <c r="C496" s="13"/>
      <c r="D496" s="12"/>
      <c r="E496" s="12"/>
      <c r="F496" s="13"/>
      <c r="G496" s="12"/>
      <c r="H496" s="12"/>
      <c r="I496" s="12"/>
      <c r="J496" s="12"/>
      <c r="K496" s="185"/>
      <c r="L496" s="26"/>
      <c r="M496" s="22"/>
      <c r="N496" s="29"/>
      <c r="O496" s="13"/>
      <c r="P496" s="13"/>
      <c r="Q496" s="13"/>
      <c r="R496" s="13"/>
      <c r="S496" s="13"/>
      <c r="T496" s="13"/>
      <c r="U496" s="13"/>
      <c r="V496" s="13"/>
      <c r="W496" s="185"/>
      <c r="X496" s="37"/>
      <c r="Y496" s="22"/>
      <c r="Z496" s="38"/>
      <c r="AA496" s="13"/>
      <c r="AB496" s="13"/>
      <c r="AC496" s="13"/>
      <c r="AD496" s="13"/>
      <c r="AE496" s="13"/>
      <c r="AF496" s="13"/>
      <c r="AG496" s="185"/>
      <c r="AH496" s="37"/>
    </row>
    <row r="497" spans="1:34">
      <c r="A497" s="14">
        <f t="shared" si="155"/>
        <v>46355</v>
      </c>
      <c r="B497" s="38"/>
      <c r="C497" s="12"/>
      <c r="D497" s="12"/>
      <c r="E497" s="12"/>
      <c r="F497" s="12"/>
      <c r="G497" s="12"/>
      <c r="H497" s="12"/>
      <c r="I497" s="12"/>
      <c r="J497" s="59"/>
      <c r="K497" s="186"/>
      <c r="L497" s="26"/>
      <c r="M497" s="22"/>
      <c r="N497" s="29"/>
      <c r="O497" s="13"/>
      <c r="P497" s="13"/>
      <c r="Q497" s="13"/>
      <c r="R497" s="13"/>
      <c r="S497" s="13"/>
      <c r="T497" s="13"/>
      <c r="U497" s="13"/>
      <c r="V497" s="13"/>
      <c r="W497" s="186"/>
      <c r="X497" s="37"/>
      <c r="Y497" s="22"/>
      <c r="Z497" s="38"/>
      <c r="AA497" s="13"/>
      <c r="AB497" s="13"/>
      <c r="AC497" s="13"/>
      <c r="AD497" s="13"/>
      <c r="AE497" s="13"/>
      <c r="AF497" s="13"/>
      <c r="AG497" s="186"/>
      <c r="AH497" s="37"/>
    </row>
    <row r="498" spans="1:34">
      <c r="A498" s="14">
        <f t="shared" si="155"/>
        <v>46356</v>
      </c>
      <c r="B498" s="11"/>
      <c r="C498" s="12"/>
      <c r="D498" s="12"/>
      <c r="E498" s="12"/>
      <c r="F498" s="12"/>
      <c r="G498" s="12"/>
      <c r="H498" s="12"/>
      <c r="I498" s="12"/>
      <c r="J498" s="12"/>
      <c r="K498" s="185"/>
      <c r="L498" s="26"/>
      <c r="M498" s="22"/>
      <c r="N498" s="29"/>
      <c r="O498" s="13"/>
      <c r="P498" s="47"/>
      <c r="Q498" s="47"/>
      <c r="R498" s="47"/>
      <c r="S498" s="47"/>
      <c r="T498" s="47"/>
      <c r="U498" s="47"/>
      <c r="V498" s="53"/>
      <c r="W498" s="185"/>
      <c r="X498" s="48"/>
      <c r="Y498" s="22"/>
      <c r="Z498" s="38"/>
      <c r="AA498" s="13"/>
      <c r="AB498" s="47"/>
      <c r="AC498" s="47"/>
      <c r="AD498" s="47"/>
      <c r="AE498" s="13"/>
      <c r="AF498" s="53"/>
      <c r="AG498" s="185"/>
      <c r="AH498" s="37"/>
    </row>
    <row r="499" spans="1:34" ht="15.75" thickBot="1">
      <c r="A499" s="15">
        <f t="shared" si="155"/>
        <v>46357</v>
      </c>
      <c r="B499" s="57"/>
      <c r="C499" s="58"/>
      <c r="D499" s="58"/>
      <c r="E499" s="58"/>
      <c r="F499" s="58"/>
      <c r="G499" s="58"/>
      <c r="H499" s="58"/>
      <c r="I499" s="58"/>
      <c r="J499" s="58"/>
      <c r="K499" s="187"/>
      <c r="L499" s="60"/>
      <c r="M499" s="22"/>
      <c r="N499" s="56"/>
      <c r="O499" s="47"/>
      <c r="P499" s="47"/>
      <c r="Q499" s="47"/>
      <c r="R499" s="47"/>
      <c r="S499" s="47"/>
      <c r="T499" s="47"/>
      <c r="U499" s="47"/>
      <c r="V499" s="47"/>
      <c r="W499" s="187"/>
      <c r="X499" s="48"/>
      <c r="Y499" s="22"/>
      <c r="Z499" s="39"/>
      <c r="AA499" s="47"/>
      <c r="AB499" s="47"/>
      <c r="AC499" s="47"/>
      <c r="AD499" s="47"/>
      <c r="AE499" s="47"/>
      <c r="AF499" s="47"/>
      <c r="AG499" s="187"/>
      <c r="AH499" s="48"/>
    </row>
    <row r="500" spans="1:34">
      <c r="A500" s="16" t="s">
        <v>31</v>
      </c>
      <c r="B500" s="17">
        <f>MIN(B469:B499)</f>
        <v>0</v>
      </c>
      <c r="C500" s="17">
        <f>MIN(C469:C499)</f>
        <v>0</v>
      </c>
      <c r="D500" s="17">
        <f t="shared" ref="D500:L500" si="156">MIN(D469:D499)</f>
        <v>0</v>
      </c>
      <c r="E500" s="17">
        <f t="shared" si="156"/>
        <v>0</v>
      </c>
      <c r="F500" s="17">
        <f t="shared" si="156"/>
        <v>0</v>
      </c>
      <c r="G500" s="17">
        <f t="shared" si="156"/>
        <v>0</v>
      </c>
      <c r="H500" s="17">
        <f t="shared" si="156"/>
        <v>0</v>
      </c>
      <c r="I500" s="17">
        <f t="shared" si="156"/>
        <v>0</v>
      </c>
      <c r="J500" s="17">
        <f t="shared" si="156"/>
        <v>0</v>
      </c>
      <c r="K500" s="188"/>
      <c r="L500" s="30">
        <f t="shared" si="156"/>
        <v>0</v>
      </c>
      <c r="M500" s="22"/>
      <c r="N500" s="17">
        <f>MIN(N469:N499)</f>
        <v>0</v>
      </c>
      <c r="O500" s="17">
        <f>MIN(O469:O499)</f>
        <v>0</v>
      </c>
      <c r="P500" s="17">
        <f t="shared" ref="P500:X500" si="157">MIN(P469:P499)</f>
        <v>0</v>
      </c>
      <c r="Q500" s="17">
        <f t="shared" si="157"/>
        <v>0</v>
      </c>
      <c r="R500" s="17">
        <f t="shared" si="157"/>
        <v>0</v>
      </c>
      <c r="S500" s="17">
        <f t="shared" si="157"/>
        <v>0</v>
      </c>
      <c r="T500" s="17">
        <f t="shared" si="157"/>
        <v>0</v>
      </c>
      <c r="U500" s="17">
        <f t="shared" si="157"/>
        <v>0</v>
      </c>
      <c r="V500" s="17">
        <f t="shared" si="157"/>
        <v>0</v>
      </c>
      <c r="W500" s="188"/>
      <c r="X500" s="30">
        <f t="shared" si="157"/>
        <v>0</v>
      </c>
      <c r="Z500" s="40">
        <f t="shared" ref="Z500:AH500" si="158">MIN(Z469:Z499)</f>
        <v>0</v>
      </c>
      <c r="AA500" s="17">
        <f t="shared" si="158"/>
        <v>0</v>
      </c>
      <c r="AB500" s="17">
        <f t="shared" si="158"/>
        <v>0</v>
      </c>
      <c r="AC500" s="17">
        <f t="shared" si="158"/>
        <v>0</v>
      </c>
      <c r="AD500" s="17">
        <f t="shared" si="158"/>
        <v>0</v>
      </c>
      <c r="AE500" s="17">
        <f t="shared" si="158"/>
        <v>0</v>
      </c>
      <c r="AF500" s="17">
        <f t="shared" si="158"/>
        <v>0</v>
      </c>
      <c r="AG500" s="188"/>
      <c r="AH500" s="30">
        <f t="shared" si="158"/>
        <v>0</v>
      </c>
    </row>
    <row r="501" spans="1:34">
      <c r="A501" s="18" t="s">
        <v>33</v>
      </c>
      <c r="B501" s="19">
        <f>MAX(B469:B499)</f>
        <v>0</v>
      </c>
      <c r="C501" s="19">
        <f>MAX(C469:C499)</f>
        <v>0</v>
      </c>
      <c r="D501" s="19">
        <f t="shared" ref="D501:L501" si="159">MAX(D469:D499)</f>
        <v>0</v>
      </c>
      <c r="E501" s="19">
        <f t="shared" si="159"/>
        <v>0</v>
      </c>
      <c r="F501" s="19">
        <f t="shared" si="159"/>
        <v>0</v>
      </c>
      <c r="G501" s="19">
        <f t="shared" si="159"/>
        <v>0</v>
      </c>
      <c r="H501" s="19">
        <f t="shared" si="159"/>
        <v>0</v>
      </c>
      <c r="I501" s="19">
        <f t="shared" si="159"/>
        <v>0</v>
      </c>
      <c r="J501" s="19">
        <f t="shared" si="159"/>
        <v>0</v>
      </c>
      <c r="K501" s="189"/>
      <c r="L501" s="31">
        <f t="shared" si="159"/>
        <v>0</v>
      </c>
      <c r="M501" s="22"/>
      <c r="N501" s="19">
        <f>MAX(N469:N499)</f>
        <v>0</v>
      </c>
      <c r="O501" s="19">
        <f>MAX(O469:O499)</f>
        <v>0</v>
      </c>
      <c r="P501" s="19">
        <f t="shared" ref="P501:X501" si="160">MAX(P469:P499)</f>
        <v>0</v>
      </c>
      <c r="Q501" s="19">
        <f t="shared" si="160"/>
        <v>0</v>
      </c>
      <c r="R501" s="19">
        <f t="shared" si="160"/>
        <v>0</v>
      </c>
      <c r="S501" s="19">
        <f t="shared" si="160"/>
        <v>0</v>
      </c>
      <c r="T501" s="19">
        <f t="shared" si="160"/>
        <v>0</v>
      </c>
      <c r="U501" s="19">
        <f t="shared" si="160"/>
        <v>0</v>
      </c>
      <c r="V501" s="19">
        <f t="shared" si="160"/>
        <v>0</v>
      </c>
      <c r="W501" s="189"/>
      <c r="X501" s="31">
        <f t="shared" si="160"/>
        <v>0</v>
      </c>
      <c r="Z501" s="41">
        <f t="shared" ref="Z501:AH501" si="161">MAX(Z469:Z499)</f>
        <v>0</v>
      </c>
      <c r="AA501" s="19">
        <f t="shared" si="161"/>
        <v>0</v>
      </c>
      <c r="AB501" s="19">
        <f t="shared" si="161"/>
        <v>0</v>
      </c>
      <c r="AC501" s="19">
        <f t="shared" si="161"/>
        <v>0</v>
      </c>
      <c r="AD501" s="19">
        <f t="shared" si="161"/>
        <v>0</v>
      </c>
      <c r="AE501" s="19">
        <f t="shared" si="161"/>
        <v>0</v>
      </c>
      <c r="AF501" s="19">
        <f t="shared" si="161"/>
        <v>0</v>
      </c>
      <c r="AG501" s="189"/>
      <c r="AH501" s="31">
        <f t="shared" si="161"/>
        <v>0</v>
      </c>
    </row>
    <row r="502" spans="1:34">
      <c r="A502" s="18" t="s">
        <v>36</v>
      </c>
      <c r="B502" s="19" t="e">
        <f t="shared" ref="B502:L502" si="162">AVERAGE(B469:B499)</f>
        <v>#DIV/0!</v>
      </c>
      <c r="C502" s="19" t="e">
        <f t="shared" si="162"/>
        <v>#DIV/0!</v>
      </c>
      <c r="D502" s="19" t="e">
        <f t="shared" si="162"/>
        <v>#DIV/0!</v>
      </c>
      <c r="E502" s="19" t="e">
        <f t="shared" si="162"/>
        <v>#DIV/0!</v>
      </c>
      <c r="F502" s="19" t="e">
        <f t="shared" si="162"/>
        <v>#DIV/0!</v>
      </c>
      <c r="G502" s="19" t="e">
        <f t="shared" si="162"/>
        <v>#DIV/0!</v>
      </c>
      <c r="H502" s="19" t="e">
        <f t="shared" si="162"/>
        <v>#DIV/0!</v>
      </c>
      <c r="I502" s="19" t="e">
        <f t="shared" si="162"/>
        <v>#DIV/0!</v>
      </c>
      <c r="J502" s="19" t="e">
        <f t="shared" si="162"/>
        <v>#DIV/0!</v>
      </c>
      <c r="K502" s="189"/>
      <c r="L502" s="31" t="e">
        <f t="shared" si="162"/>
        <v>#DIV/0!</v>
      </c>
      <c r="M502" s="22"/>
      <c r="N502" s="19" t="e">
        <f t="shared" ref="N502:X502" si="163">AVERAGE(N469:N499)</f>
        <v>#DIV/0!</v>
      </c>
      <c r="O502" s="19" t="e">
        <f t="shared" si="163"/>
        <v>#DIV/0!</v>
      </c>
      <c r="P502" s="19" t="e">
        <f t="shared" si="163"/>
        <v>#DIV/0!</v>
      </c>
      <c r="Q502" s="19" t="e">
        <f t="shared" si="163"/>
        <v>#DIV/0!</v>
      </c>
      <c r="R502" s="19" t="e">
        <f t="shared" si="163"/>
        <v>#DIV/0!</v>
      </c>
      <c r="S502" s="19" t="e">
        <f t="shared" si="163"/>
        <v>#DIV/0!</v>
      </c>
      <c r="T502" s="19" t="e">
        <f t="shared" si="163"/>
        <v>#DIV/0!</v>
      </c>
      <c r="U502" s="19" t="e">
        <f t="shared" si="163"/>
        <v>#DIV/0!</v>
      </c>
      <c r="V502" s="19" t="e">
        <f t="shared" si="163"/>
        <v>#DIV/0!</v>
      </c>
      <c r="W502" s="189"/>
      <c r="X502" s="31" t="e">
        <f t="shared" si="163"/>
        <v>#DIV/0!</v>
      </c>
      <c r="Z502" s="41" t="e">
        <f>AVERAGE(Z469:Z499)</f>
        <v>#DIV/0!</v>
      </c>
      <c r="AA502" s="19" t="e">
        <f t="shared" ref="AA502:AH502" si="164">AVERAGE(AA469:AA499)</f>
        <v>#DIV/0!</v>
      </c>
      <c r="AB502" s="19" t="e">
        <f t="shared" si="164"/>
        <v>#DIV/0!</v>
      </c>
      <c r="AC502" s="19" t="e">
        <f t="shared" si="164"/>
        <v>#DIV/0!</v>
      </c>
      <c r="AD502" s="19" t="e">
        <f t="shared" si="164"/>
        <v>#DIV/0!</v>
      </c>
      <c r="AE502" s="19" t="e">
        <f t="shared" si="164"/>
        <v>#DIV/0!</v>
      </c>
      <c r="AF502" s="19" t="e">
        <f t="shared" si="164"/>
        <v>#DIV/0!</v>
      </c>
      <c r="AG502" s="189"/>
      <c r="AH502" s="31" t="e">
        <f t="shared" si="164"/>
        <v>#DIV/0!</v>
      </c>
    </row>
    <row r="503" spans="1:34" ht="15.75" thickBot="1">
      <c r="A503" s="20" t="s">
        <v>130</v>
      </c>
      <c r="B503" s="21" t="e">
        <f>STDEV(B469:B499)</f>
        <v>#DIV/0!</v>
      </c>
      <c r="C503" s="21" t="e">
        <f t="shared" ref="C503:L503" si="165">STDEV(C469:C499)</f>
        <v>#DIV/0!</v>
      </c>
      <c r="D503" s="21" t="e">
        <f t="shared" si="165"/>
        <v>#DIV/0!</v>
      </c>
      <c r="E503" s="21" t="e">
        <f t="shared" si="165"/>
        <v>#DIV/0!</v>
      </c>
      <c r="F503" s="21" t="e">
        <f t="shared" si="165"/>
        <v>#DIV/0!</v>
      </c>
      <c r="G503" s="21" t="e">
        <f t="shared" si="165"/>
        <v>#DIV/0!</v>
      </c>
      <c r="H503" s="21" t="e">
        <f t="shared" si="165"/>
        <v>#DIV/0!</v>
      </c>
      <c r="I503" s="21" t="e">
        <f t="shared" si="165"/>
        <v>#DIV/0!</v>
      </c>
      <c r="J503" s="21" t="e">
        <f t="shared" si="165"/>
        <v>#DIV/0!</v>
      </c>
      <c r="K503" s="190"/>
      <c r="L503" s="32" t="e">
        <f t="shared" si="165"/>
        <v>#DIV/0!</v>
      </c>
      <c r="M503" s="152"/>
      <c r="N503" s="21" t="e">
        <f>STDEV(N469:N499)</f>
        <v>#DIV/0!</v>
      </c>
      <c r="O503" s="21" t="e">
        <f t="shared" ref="O503:X503" si="166">STDEV(O469:O499)</f>
        <v>#DIV/0!</v>
      </c>
      <c r="P503" s="21" t="e">
        <f t="shared" si="166"/>
        <v>#DIV/0!</v>
      </c>
      <c r="Q503" s="21" t="e">
        <f t="shared" si="166"/>
        <v>#DIV/0!</v>
      </c>
      <c r="R503" s="21" t="e">
        <f t="shared" si="166"/>
        <v>#DIV/0!</v>
      </c>
      <c r="S503" s="21" t="e">
        <f t="shared" si="166"/>
        <v>#DIV/0!</v>
      </c>
      <c r="T503" s="21" t="e">
        <f t="shared" si="166"/>
        <v>#DIV/0!</v>
      </c>
      <c r="U503" s="21" t="e">
        <f t="shared" si="166"/>
        <v>#DIV/0!</v>
      </c>
      <c r="V503" s="21" t="e">
        <f t="shared" si="166"/>
        <v>#DIV/0!</v>
      </c>
      <c r="W503" s="190"/>
      <c r="X503" s="32" t="e">
        <f t="shared" si="166"/>
        <v>#DIV/0!</v>
      </c>
      <c r="Y503" s="153"/>
      <c r="Z503" s="42" t="e">
        <f>STDEV(Z469:Z499)</f>
        <v>#DIV/0!</v>
      </c>
      <c r="AA503" s="21" t="e">
        <f t="shared" ref="AA503:AH503" si="167">STDEV(AA469:AA499)</f>
        <v>#DIV/0!</v>
      </c>
      <c r="AB503" s="21" t="e">
        <f t="shared" si="167"/>
        <v>#DIV/0!</v>
      </c>
      <c r="AC503" s="21" t="e">
        <f t="shared" si="167"/>
        <v>#DIV/0!</v>
      </c>
      <c r="AD503" s="21" t="e">
        <f t="shared" si="167"/>
        <v>#DIV/0!</v>
      </c>
      <c r="AE503" s="21" t="e">
        <f t="shared" si="167"/>
        <v>#DIV/0!</v>
      </c>
      <c r="AF503" s="21" t="e">
        <f t="shared" si="167"/>
        <v>#DIV/0!</v>
      </c>
      <c r="AG503" s="190"/>
      <c r="AH503" s="32" t="e">
        <f t="shared" si="167"/>
        <v>#DIV/0!</v>
      </c>
    </row>
    <row r="504" spans="1:34" ht="15.75" thickBot="1"/>
    <row r="505" spans="1:34" ht="15.75" thickBot="1">
      <c r="A505" s="150"/>
      <c r="B505" s="338" t="s">
        <v>0</v>
      </c>
      <c r="C505" s="339"/>
      <c r="D505" s="339"/>
      <c r="E505" s="339"/>
      <c r="F505" s="339"/>
      <c r="G505" s="339"/>
      <c r="H505" s="339"/>
      <c r="I505" s="339"/>
      <c r="J505" s="339"/>
      <c r="K505" s="339"/>
      <c r="L505" s="339"/>
      <c r="M505" s="339"/>
      <c r="N505" s="339"/>
      <c r="O505" s="339"/>
      <c r="P505" s="339"/>
      <c r="Q505" s="339"/>
      <c r="R505" s="339"/>
      <c r="S505" s="339"/>
      <c r="T505" s="339"/>
      <c r="U505" s="339"/>
      <c r="V505" s="339"/>
      <c r="W505" s="339"/>
      <c r="X505" s="339"/>
      <c r="Y505" s="339"/>
      <c r="Z505" s="339"/>
      <c r="AA505" s="339"/>
      <c r="AB505" s="339"/>
      <c r="AC505" s="339"/>
      <c r="AD505" s="339"/>
      <c r="AE505" s="339"/>
      <c r="AF505" s="339"/>
      <c r="AG505" s="339"/>
      <c r="AH505" s="363"/>
    </row>
    <row r="506" spans="1:34" ht="15.75" thickBot="1">
      <c r="A506" s="151"/>
      <c r="B506" s="338" t="s">
        <v>165</v>
      </c>
      <c r="C506" s="339"/>
      <c r="D506" s="339"/>
      <c r="E506" s="339"/>
      <c r="F506" s="339"/>
      <c r="G506" s="339"/>
      <c r="H506" s="339"/>
      <c r="I506" s="339"/>
      <c r="J506" s="339"/>
      <c r="K506" s="339"/>
      <c r="L506" s="339"/>
      <c r="M506" s="339"/>
      <c r="N506" s="339"/>
      <c r="O506" s="339"/>
      <c r="P506" s="339"/>
      <c r="Q506" s="339"/>
      <c r="R506" s="339"/>
      <c r="S506" s="339"/>
      <c r="T506" s="339"/>
      <c r="U506" s="339"/>
      <c r="V506" s="339"/>
      <c r="W506" s="339"/>
      <c r="X506" s="339"/>
      <c r="Y506" s="339"/>
      <c r="Z506" s="339"/>
      <c r="AA506" s="339"/>
      <c r="AB506" s="339"/>
      <c r="AC506" s="339"/>
      <c r="AD506" s="4"/>
      <c r="AE506" s="43" t="s">
        <v>107</v>
      </c>
      <c r="AF506" s="341">
        <v>46357</v>
      </c>
      <c r="AG506" s="342"/>
      <c r="AH506" s="343"/>
    </row>
    <row r="507" spans="1:34">
      <c r="A507" s="344"/>
      <c r="B507" s="346" t="s">
        <v>132</v>
      </c>
      <c r="C507" s="347"/>
      <c r="D507" s="347"/>
      <c r="E507" s="347"/>
      <c r="F507" s="347"/>
      <c r="G507" s="347"/>
      <c r="H507" s="347"/>
      <c r="I507" s="347"/>
      <c r="J507" s="347"/>
      <c r="K507" s="348"/>
      <c r="L507" s="349"/>
      <c r="M507" s="22"/>
      <c r="N507" s="350" t="s">
        <v>133</v>
      </c>
      <c r="O507" s="347"/>
      <c r="P507" s="347"/>
      <c r="Q507" s="347"/>
      <c r="R507" s="347"/>
      <c r="S507" s="347"/>
      <c r="T507" s="347"/>
      <c r="U507" s="347"/>
      <c r="V507" s="347"/>
      <c r="W507" s="348"/>
      <c r="X507" s="349"/>
      <c r="Y507" s="22"/>
      <c r="Z507" s="346" t="s">
        <v>134</v>
      </c>
      <c r="AA507" s="347"/>
      <c r="AB507" s="347"/>
      <c r="AC507" s="347"/>
      <c r="AD507" s="347"/>
      <c r="AE507" s="347"/>
      <c r="AF507" s="347"/>
      <c r="AG507" s="348"/>
      <c r="AH507" s="349"/>
    </row>
    <row r="508" spans="1:34" ht="25.5">
      <c r="A508" s="345"/>
      <c r="B508" s="359" t="s">
        <v>135</v>
      </c>
      <c r="C508" s="361" t="s">
        <v>136</v>
      </c>
      <c r="D508" s="5" t="s">
        <v>137</v>
      </c>
      <c r="E508" s="5" t="s">
        <v>138</v>
      </c>
      <c r="F508" s="5" t="s">
        <v>139</v>
      </c>
      <c r="G508" s="5" t="s">
        <v>140</v>
      </c>
      <c r="H508" s="5" t="s">
        <v>141</v>
      </c>
      <c r="I508" s="5" t="s">
        <v>142</v>
      </c>
      <c r="J508" s="5" t="s">
        <v>143</v>
      </c>
      <c r="K508" s="181"/>
      <c r="L508" s="23" t="s">
        <v>144</v>
      </c>
      <c r="M508" s="22"/>
      <c r="N508" s="355" t="s">
        <v>135</v>
      </c>
      <c r="O508" s="357" t="s">
        <v>136</v>
      </c>
      <c r="P508" s="5" t="s">
        <v>137</v>
      </c>
      <c r="Q508" s="5" t="s">
        <v>138</v>
      </c>
      <c r="R508" s="5" t="s">
        <v>139</v>
      </c>
      <c r="S508" s="5" t="s">
        <v>140</v>
      </c>
      <c r="T508" s="5" t="s">
        <v>141</v>
      </c>
      <c r="U508" s="5" t="s">
        <v>142</v>
      </c>
      <c r="V508" s="5" t="s">
        <v>143</v>
      </c>
      <c r="W508" s="181"/>
      <c r="X508" s="23" t="s">
        <v>144</v>
      </c>
      <c r="Y508" s="22"/>
      <c r="Z508" s="33" t="s">
        <v>137</v>
      </c>
      <c r="AA508" s="5" t="s">
        <v>138</v>
      </c>
      <c r="AB508" s="5" t="s">
        <v>139</v>
      </c>
      <c r="AC508" s="5" t="s">
        <v>140</v>
      </c>
      <c r="AD508" s="5" t="s">
        <v>141</v>
      </c>
      <c r="AE508" s="5" t="s">
        <v>142</v>
      </c>
      <c r="AF508" s="5" t="s">
        <v>143</v>
      </c>
      <c r="AG508" s="181"/>
      <c r="AH508" s="23" t="s">
        <v>144</v>
      </c>
    </row>
    <row r="509" spans="1:34" ht="25.5">
      <c r="A509" s="6" t="s">
        <v>145</v>
      </c>
      <c r="B509" s="360"/>
      <c r="C509" s="362"/>
      <c r="D509" s="5" t="s">
        <v>128</v>
      </c>
      <c r="E509" s="5" t="s">
        <v>128</v>
      </c>
      <c r="F509" s="5" t="s">
        <v>128</v>
      </c>
      <c r="G509" s="5" t="s">
        <v>128</v>
      </c>
      <c r="H509" s="5" t="s">
        <v>125</v>
      </c>
      <c r="I509" s="5" t="s">
        <v>146</v>
      </c>
      <c r="J509" s="5" t="s">
        <v>127</v>
      </c>
      <c r="K509" s="181"/>
      <c r="L509" s="23" t="s">
        <v>53</v>
      </c>
      <c r="M509" s="22"/>
      <c r="N509" s="356"/>
      <c r="O509" s="358"/>
      <c r="P509" s="5" t="s">
        <v>128</v>
      </c>
      <c r="Q509" s="5" t="s">
        <v>128</v>
      </c>
      <c r="R509" s="5" t="s">
        <v>128</v>
      </c>
      <c r="S509" s="5" t="s">
        <v>128</v>
      </c>
      <c r="T509" s="5" t="s">
        <v>125</v>
      </c>
      <c r="U509" s="5" t="s">
        <v>146</v>
      </c>
      <c r="V509" s="5" t="s">
        <v>127</v>
      </c>
      <c r="W509" s="181"/>
      <c r="X509" s="23" t="s">
        <v>53</v>
      </c>
      <c r="Y509" s="22"/>
      <c r="Z509" s="33" t="s">
        <v>128</v>
      </c>
      <c r="AA509" s="5" t="s">
        <v>128</v>
      </c>
      <c r="AB509" s="5" t="s">
        <v>128</v>
      </c>
      <c r="AC509" s="5" t="s">
        <v>128</v>
      </c>
      <c r="AD509" s="5" t="s">
        <v>125</v>
      </c>
      <c r="AE509" s="5" t="s">
        <v>146</v>
      </c>
      <c r="AF509" s="5" t="s">
        <v>127</v>
      </c>
      <c r="AG509" s="181"/>
      <c r="AH509" s="23" t="s">
        <v>53</v>
      </c>
    </row>
    <row r="510" spans="1:34" ht="39" thickBot="1">
      <c r="A510" s="7" t="s">
        <v>147</v>
      </c>
      <c r="B510" s="8" t="s">
        <v>148</v>
      </c>
      <c r="C510" s="9" t="s">
        <v>166</v>
      </c>
      <c r="D510" s="9" t="s">
        <v>167</v>
      </c>
      <c r="E510" s="9" t="s">
        <v>168</v>
      </c>
      <c r="F510" s="9" t="s">
        <v>169</v>
      </c>
      <c r="G510" s="9" t="s">
        <v>170</v>
      </c>
      <c r="H510" s="9" t="s">
        <v>154</v>
      </c>
      <c r="I510" s="24" t="s">
        <v>155</v>
      </c>
      <c r="J510" s="24" t="s">
        <v>156</v>
      </c>
      <c r="K510" s="182"/>
      <c r="L510" s="25" t="s">
        <v>171</v>
      </c>
      <c r="M510" s="22"/>
      <c r="N510" s="8" t="s">
        <v>148</v>
      </c>
      <c r="O510" s="9" t="s">
        <v>166</v>
      </c>
      <c r="P510" s="9" t="s">
        <v>167</v>
      </c>
      <c r="Q510" s="9" t="s">
        <v>168</v>
      </c>
      <c r="R510" s="9" t="s">
        <v>169</v>
      </c>
      <c r="S510" s="9" t="s">
        <v>170</v>
      </c>
      <c r="T510" s="9" t="s">
        <v>154</v>
      </c>
      <c r="U510" s="24" t="s">
        <v>155</v>
      </c>
      <c r="V510" s="24" t="s">
        <v>156</v>
      </c>
      <c r="W510" s="182"/>
      <c r="X510" s="25" t="s">
        <v>171</v>
      </c>
      <c r="Y510" s="22"/>
      <c r="Z510" s="8" t="s">
        <v>167</v>
      </c>
      <c r="AA510" s="9" t="s">
        <v>168</v>
      </c>
      <c r="AB510" s="9" t="s">
        <v>169</v>
      </c>
      <c r="AC510" s="9" t="s">
        <v>170</v>
      </c>
      <c r="AD510" s="9" t="s">
        <v>154</v>
      </c>
      <c r="AE510" s="9" t="s">
        <v>155</v>
      </c>
      <c r="AF510" s="9" t="s">
        <v>156</v>
      </c>
      <c r="AG510" s="182"/>
      <c r="AH510" s="23" t="s">
        <v>171</v>
      </c>
    </row>
    <row r="511" spans="1:34">
      <c r="A511" s="10">
        <f>AF506+0</f>
        <v>46357</v>
      </c>
      <c r="B511" s="11"/>
      <c r="C511" s="12"/>
      <c r="D511" s="12"/>
      <c r="E511" s="13"/>
      <c r="F511" s="12"/>
      <c r="G511" s="12"/>
      <c r="H511" s="12"/>
      <c r="I511" s="12"/>
      <c r="J511" s="13"/>
      <c r="K511" s="184"/>
      <c r="L511" s="26"/>
      <c r="M511" s="22"/>
      <c r="N511" s="29"/>
      <c r="O511" s="13"/>
      <c r="P511" s="13"/>
      <c r="Q511" s="13"/>
      <c r="R511" s="13"/>
      <c r="S511" s="13"/>
      <c r="T511" s="13"/>
      <c r="U511" s="13"/>
      <c r="V511" s="13"/>
      <c r="W511" s="184"/>
      <c r="X511" s="37"/>
      <c r="Y511" s="22"/>
      <c r="Z511" s="38"/>
      <c r="AA511" s="13"/>
      <c r="AB511" s="13"/>
      <c r="AC511" s="13"/>
      <c r="AD511" s="13"/>
      <c r="AE511" s="13"/>
      <c r="AF511" s="13"/>
      <c r="AG511" s="184"/>
      <c r="AH511" s="45"/>
    </row>
    <row r="512" spans="1:34">
      <c r="A512" s="14">
        <f t="shared" ref="A512:A541" si="168">A511+1</f>
        <v>46358</v>
      </c>
      <c r="B512" s="11"/>
      <c r="C512" s="12"/>
      <c r="D512" s="12"/>
      <c r="E512" s="13"/>
      <c r="F512" s="12"/>
      <c r="G512" s="12"/>
      <c r="H512" s="12"/>
      <c r="I512" s="12"/>
      <c r="J512" s="13"/>
      <c r="K512" s="184"/>
      <c r="L512" s="26"/>
      <c r="M512" s="22"/>
      <c r="N512" s="29"/>
      <c r="O512" s="13"/>
      <c r="P512" s="13"/>
      <c r="Q512" s="13"/>
      <c r="R512" s="13"/>
      <c r="S512" s="13"/>
      <c r="T512" s="13"/>
      <c r="U512" s="13"/>
      <c r="V512" s="13"/>
      <c r="W512" s="184"/>
      <c r="X512" s="37"/>
      <c r="Y512" s="22"/>
      <c r="Z512" s="38"/>
      <c r="AA512" s="13"/>
      <c r="AB512" s="13"/>
      <c r="AC512" s="13"/>
      <c r="AD512" s="13"/>
      <c r="AE512" s="13"/>
      <c r="AF512" s="13"/>
      <c r="AG512" s="184"/>
      <c r="AH512" s="45"/>
    </row>
    <row r="513" spans="1:34">
      <c r="A513" s="14">
        <f t="shared" si="168"/>
        <v>46359</v>
      </c>
      <c r="B513" s="11"/>
      <c r="C513" s="12"/>
      <c r="D513" s="12"/>
      <c r="E513" s="13"/>
      <c r="F513" s="12"/>
      <c r="G513" s="12"/>
      <c r="H513" s="12"/>
      <c r="I513" s="12"/>
      <c r="J513" s="13"/>
      <c r="K513" s="184"/>
      <c r="L513" s="26"/>
      <c r="M513" s="22"/>
      <c r="N513" s="29"/>
      <c r="O513" s="13"/>
      <c r="P513" s="13"/>
      <c r="Q513" s="13"/>
      <c r="R513" s="13"/>
      <c r="S513" s="13"/>
      <c r="T513" s="13"/>
      <c r="U513" s="13"/>
      <c r="V513" s="13"/>
      <c r="W513" s="184"/>
      <c r="X513" s="37"/>
      <c r="Y513" s="22"/>
      <c r="Z513" s="38"/>
      <c r="AA513" s="13"/>
      <c r="AB513" s="13"/>
      <c r="AC513" s="13"/>
      <c r="AD513" s="13"/>
      <c r="AE513" s="13"/>
      <c r="AF513" s="13"/>
      <c r="AG513" s="184"/>
      <c r="AH513" s="45"/>
    </row>
    <row r="514" spans="1:34">
      <c r="A514" s="14">
        <f t="shared" si="168"/>
        <v>46360</v>
      </c>
      <c r="B514" s="11"/>
      <c r="C514" s="12"/>
      <c r="D514" s="12"/>
      <c r="E514" s="13"/>
      <c r="F514" s="12"/>
      <c r="G514" s="12"/>
      <c r="H514" s="12"/>
      <c r="I514" s="12"/>
      <c r="J514" s="13"/>
      <c r="K514" s="184"/>
      <c r="L514" s="26"/>
      <c r="M514" s="22"/>
      <c r="N514" s="29"/>
      <c r="O514" s="13"/>
      <c r="P514" s="13"/>
      <c r="Q514" s="13"/>
      <c r="R514" s="13"/>
      <c r="S514" s="13"/>
      <c r="T514" s="13"/>
      <c r="U514" s="13"/>
      <c r="V514" s="13"/>
      <c r="W514" s="184"/>
      <c r="X514" s="37"/>
      <c r="Y514" s="22"/>
      <c r="Z514" s="38"/>
      <c r="AA514" s="13"/>
      <c r="AB514" s="13"/>
      <c r="AC514" s="13"/>
      <c r="AD514" s="13"/>
      <c r="AE514" s="13"/>
      <c r="AF514" s="13"/>
      <c r="AG514" s="184"/>
      <c r="AH514" s="45"/>
    </row>
    <row r="515" spans="1:34">
      <c r="A515" s="14">
        <f t="shared" si="168"/>
        <v>46361</v>
      </c>
      <c r="B515" s="11"/>
      <c r="C515" s="12"/>
      <c r="D515" s="12"/>
      <c r="E515" s="13"/>
      <c r="F515" s="12"/>
      <c r="G515" s="12"/>
      <c r="H515" s="12"/>
      <c r="I515" s="12"/>
      <c r="J515" s="13"/>
      <c r="K515" s="184"/>
      <c r="L515" s="26"/>
      <c r="M515" s="22"/>
      <c r="N515" s="29"/>
      <c r="O515" s="13"/>
      <c r="P515" s="13"/>
      <c r="Q515" s="13"/>
      <c r="R515" s="13"/>
      <c r="S515" s="13"/>
      <c r="T515" s="13"/>
      <c r="U515" s="13"/>
      <c r="V515" s="13"/>
      <c r="W515" s="184"/>
      <c r="X515" s="37"/>
      <c r="Y515" s="22"/>
      <c r="Z515" s="38"/>
      <c r="AA515" s="13"/>
      <c r="AB515" s="13"/>
      <c r="AC515" s="13"/>
      <c r="AD515" s="13"/>
      <c r="AE515" s="13"/>
      <c r="AF515" s="13"/>
      <c r="AG515" s="184"/>
      <c r="AH515" s="45"/>
    </row>
    <row r="516" spans="1:34">
      <c r="A516" s="14">
        <f t="shared" si="168"/>
        <v>46362</v>
      </c>
      <c r="B516" s="11"/>
      <c r="C516" s="12"/>
      <c r="D516" s="12"/>
      <c r="E516" s="13"/>
      <c r="F516" s="12"/>
      <c r="G516" s="12"/>
      <c r="H516" s="12"/>
      <c r="I516" s="12"/>
      <c r="J516" s="13"/>
      <c r="K516" s="184"/>
      <c r="L516" s="26"/>
      <c r="M516" s="22"/>
      <c r="N516" s="29"/>
      <c r="O516" s="13"/>
      <c r="P516" s="13"/>
      <c r="Q516" s="13"/>
      <c r="R516" s="13"/>
      <c r="S516" s="13"/>
      <c r="T516" s="13"/>
      <c r="U516" s="13"/>
      <c r="V516" s="13"/>
      <c r="W516" s="184"/>
      <c r="X516" s="37"/>
      <c r="Y516" s="22"/>
      <c r="Z516" s="38"/>
      <c r="AA516" s="13"/>
      <c r="AB516" s="13"/>
      <c r="AC516" s="13"/>
      <c r="AD516" s="13"/>
      <c r="AE516" s="13"/>
      <c r="AF516" s="13"/>
      <c r="AG516" s="184"/>
      <c r="AH516" s="45"/>
    </row>
    <row r="517" spans="1:34">
      <c r="A517" s="14">
        <f t="shared" si="168"/>
        <v>46363</v>
      </c>
      <c r="B517" s="11"/>
      <c r="C517" s="12"/>
      <c r="D517" s="12"/>
      <c r="E517" s="12"/>
      <c r="F517" s="12"/>
      <c r="G517" s="12"/>
      <c r="H517" s="12"/>
      <c r="I517" s="12"/>
      <c r="J517" s="13"/>
      <c r="K517" s="184"/>
      <c r="L517" s="26"/>
      <c r="M517" s="22"/>
      <c r="N517" s="29"/>
      <c r="O517" s="50"/>
      <c r="P517" s="13"/>
      <c r="Q517" s="13"/>
      <c r="R517" s="13"/>
      <c r="S517" s="13"/>
      <c r="T517" s="13"/>
      <c r="U517" s="13"/>
      <c r="V517" s="13"/>
      <c r="W517" s="184"/>
      <c r="X517" s="51"/>
      <c r="Y517" s="22"/>
      <c r="Z517" s="38"/>
      <c r="AA517" s="13"/>
      <c r="AB517" s="13"/>
      <c r="AC517" s="13"/>
      <c r="AD517" s="13"/>
      <c r="AE517" s="13"/>
      <c r="AF517" s="13"/>
      <c r="AG517" s="184"/>
      <c r="AH517" s="46"/>
    </row>
    <row r="518" spans="1:34">
      <c r="A518" s="14">
        <f t="shared" si="168"/>
        <v>46364</v>
      </c>
      <c r="B518" s="11"/>
      <c r="C518" s="12"/>
      <c r="D518" s="12"/>
      <c r="E518" s="12"/>
      <c r="F518" s="12"/>
      <c r="G518" s="12"/>
      <c r="H518" s="12"/>
      <c r="I518" s="12"/>
      <c r="J518" s="13"/>
      <c r="K518" s="184"/>
      <c r="L518" s="26"/>
      <c r="M518" s="22"/>
      <c r="N518" s="29"/>
      <c r="O518" s="13"/>
      <c r="P518" s="13"/>
      <c r="Q518" s="13"/>
      <c r="R518" s="13"/>
      <c r="S518" s="13"/>
      <c r="T518" s="13"/>
      <c r="U518" s="13"/>
      <c r="V518" s="13"/>
      <c r="W518" s="184"/>
      <c r="X518" s="37"/>
      <c r="Y518" s="22"/>
      <c r="Z518" s="38"/>
      <c r="AA518" s="13"/>
      <c r="AB518" s="13"/>
      <c r="AC518" s="13"/>
      <c r="AD518" s="13"/>
      <c r="AE518" s="13"/>
      <c r="AF518" s="13"/>
      <c r="AG518" s="184"/>
      <c r="AH518" s="45"/>
    </row>
    <row r="519" spans="1:34">
      <c r="A519" s="14">
        <f t="shared" si="168"/>
        <v>46365</v>
      </c>
      <c r="B519" s="11"/>
      <c r="C519" s="12"/>
      <c r="D519" s="12"/>
      <c r="E519" s="12"/>
      <c r="F519" s="12"/>
      <c r="G519" s="12"/>
      <c r="H519" s="12"/>
      <c r="I519" s="12"/>
      <c r="J519" s="13"/>
      <c r="K519" s="184"/>
      <c r="L519" s="26"/>
      <c r="M519" s="22"/>
      <c r="N519" s="29"/>
      <c r="O519" s="13"/>
      <c r="P519" s="13"/>
      <c r="Q519" s="13"/>
      <c r="R519" s="13"/>
      <c r="S519" s="13"/>
      <c r="T519" s="13"/>
      <c r="U519" s="13"/>
      <c r="V519" s="13"/>
      <c r="W519" s="184"/>
      <c r="X519" s="37"/>
      <c r="Y519" s="22"/>
      <c r="Z519" s="38"/>
      <c r="AA519" s="13"/>
      <c r="AB519" s="13"/>
      <c r="AC519" s="13"/>
      <c r="AD519" s="13"/>
      <c r="AE519" s="13"/>
      <c r="AF519" s="13"/>
      <c r="AG519" s="184"/>
      <c r="AH519" s="45"/>
    </row>
    <row r="520" spans="1:34">
      <c r="A520" s="14">
        <f t="shared" si="168"/>
        <v>46366</v>
      </c>
      <c r="B520" s="11"/>
      <c r="C520" s="12"/>
      <c r="D520" s="12"/>
      <c r="E520" s="12"/>
      <c r="F520" s="12"/>
      <c r="G520" s="12"/>
      <c r="H520" s="12"/>
      <c r="I520" s="12"/>
      <c r="J520" s="13"/>
      <c r="K520" s="184"/>
      <c r="L520" s="26"/>
      <c r="M520" s="22"/>
      <c r="N520" s="29"/>
      <c r="O520" s="13"/>
      <c r="P520" s="13"/>
      <c r="Q520" s="13"/>
      <c r="R520" s="13"/>
      <c r="S520" s="13"/>
      <c r="T520" s="13"/>
      <c r="U520" s="13"/>
      <c r="V520" s="13"/>
      <c r="W520" s="184"/>
      <c r="X520" s="37"/>
      <c r="Y520" s="22"/>
      <c r="Z520" s="38"/>
      <c r="AA520" s="13"/>
      <c r="AB520" s="13"/>
      <c r="AC520" s="13"/>
      <c r="AD520" s="13"/>
      <c r="AE520" s="13"/>
      <c r="AF520" s="13"/>
      <c r="AG520" s="184"/>
      <c r="AH520" s="45"/>
    </row>
    <row r="521" spans="1:34">
      <c r="A521" s="14">
        <f t="shared" si="168"/>
        <v>46367</v>
      </c>
      <c r="B521" s="38"/>
      <c r="C521" s="12"/>
      <c r="D521" s="12"/>
      <c r="E521" s="12"/>
      <c r="F521" s="12"/>
      <c r="G521" s="12"/>
      <c r="H521" s="12"/>
      <c r="I521" s="12"/>
      <c r="J521" s="13"/>
      <c r="K521" s="184"/>
      <c r="L521" s="26"/>
      <c r="M521" s="22"/>
      <c r="N521" s="29"/>
      <c r="O521" s="13"/>
      <c r="P521" s="13"/>
      <c r="Q521" s="13"/>
      <c r="R521" s="13"/>
      <c r="S521" s="13"/>
      <c r="T521" s="13"/>
      <c r="U521" s="13"/>
      <c r="V521" s="13"/>
      <c r="W521" s="184"/>
      <c r="X521" s="37"/>
      <c r="Y521" s="22"/>
      <c r="Z521" s="38"/>
      <c r="AA521" s="13"/>
      <c r="AB521" s="13"/>
      <c r="AC521" s="13"/>
      <c r="AD521" s="13"/>
      <c r="AE521" s="13"/>
      <c r="AF521" s="13"/>
      <c r="AG521" s="184"/>
      <c r="AH521" s="45"/>
    </row>
    <row r="522" spans="1:34">
      <c r="A522" s="14">
        <f t="shared" si="168"/>
        <v>46368</v>
      </c>
      <c r="B522" s="11"/>
      <c r="C522" s="12"/>
      <c r="D522" s="12"/>
      <c r="E522" s="12"/>
      <c r="F522" s="12"/>
      <c r="G522" s="12"/>
      <c r="H522" s="12"/>
      <c r="I522" s="12"/>
      <c r="J522" s="13"/>
      <c r="K522" s="184"/>
      <c r="L522" s="26"/>
      <c r="M522" s="22"/>
      <c r="N522" s="29"/>
      <c r="O522" s="13"/>
      <c r="P522" s="13"/>
      <c r="Q522" s="13"/>
      <c r="R522" s="13"/>
      <c r="S522" s="13"/>
      <c r="T522" s="13"/>
      <c r="U522" s="13"/>
      <c r="V522" s="13"/>
      <c r="W522" s="184"/>
      <c r="X522" s="37"/>
      <c r="Y522" s="22"/>
      <c r="Z522" s="38"/>
      <c r="AA522" s="13"/>
      <c r="AB522" s="13"/>
      <c r="AC522" s="13"/>
      <c r="AD522" s="13"/>
      <c r="AE522" s="13"/>
      <c r="AF522" s="13"/>
      <c r="AG522" s="184"/>
      <c r="AH522" s="45"/>
    </row>
    <row r="523" spans="1:34">
      <c r="A523" s="14">
        <f t="shared" si="168"/>
        <v>46369</v>
      </c>
      <c r="B523" s="38"/>
      <c r="C523" s="13"/>
      <c r="D523" s="12"/>
      <c r="E523" s="12"/>
      <c r="F523" s="12"/>
      <c r="G523" s="12"/>
      <c r="H523" s="12"/>
      <c r="I523" s="12"/>
      <c r="J523" s="13"/>
      <c r="K523" s="184"/>
      <c r="L523" s="26"/>
      <c r="M523" s="22"/>
      <c r="N523" s="29"/>
      <c r="O523" s="13"/>
      <c r="P523" s="13"/>
      <c r="Q523" s="13"/>
      <c r="R523" s="13"/>
      <c r="S523" s="13"/>
      <c r="T523" s="13"/>
      <c r="U523" s="13"/>
      <c r="V523" s="13"/>
      <c r="W523" s="184"/>
      <c r="X523" s="37"/>
      <c r="Y523" s="22"/>
      <c r="Z523" s="38"/>
      <c r="AA523" s="13"/>
      <c r="AB523" s="13"/>
      <c r="AC523" s="13"/>
      <c r="AD523" s="13"/>
      <c r="AE523" s="13"/>
      <c r="AF523" s="13"/>
      <c r="AG523" s="184"/>
      <c r="AH523" s="45"/>
    </row>
    <row r="524" spans="1:34">
      <c r="A524" s="14">
        <f t="shared" si="168"/>
        <v>46370</v>
      </c>
      <c r="B524" s="11"/>
      <c r="C524" s="13"/>
      <c r="D524" s="12"/>
      <c r="E524" s="12"/>
      <c r="F524" s="12"/>
      <c r="G524" s="12"/>
      <c r="H524" s="12"/>
      <c r="I524" s="36"/>
      <c r="J524" s="13"/>
      <c r="K524" s="184"/>
      <c r="L524" s="26"/>
      <c r="M524" s="22"/>
      <c r="N524" s="29"/>
      <c r="O524" s="13"/>
      <c r="P524" s="13"/>
      <c r="Q524" s="13"/>
      <c r="R524" s="13"/>
      <c r="S524" s="13"/>
      <c r="T524" s="13"/>
      <c r="U524" s="13"/>
      <c r="V524" s="13"/>
      <c r="W524" s="184"/>
      <c r="X524" s="37"/>
      <c r="Y524" s="22"/>
      <c r="Z524" s="38"/>
      <c r="AA524" s="13"/>
      <c r="AB524" s="13"/>
      <c r="AC524" s="13"/>
      <c r="AD524" s="13"/>
      <c r="AE524" s="13"/>
      <c r="AF524" s="13"/>
      <c r="AG524" s="184"/>
      <c r="AH524" s="37"/>
    </row>
    <row r="525" spans="1:34">
      <c r="A525" s="14">
        <f t="shared" si="168"/>
        <v>46371</v>
      </c>
      <c r="B525" s="11"/>
      <c r="C525" s="13"/>
      <c r="D525" s="12"/>
      <c r="E525" s="12"/>
      <c r="F525" s="12"/>
      <c r="G525" s="12"/>
      <c r="H525" s="12"/>
      <c r="I525" s="12"/>
      <c r="J525" s="13"/>
      <c r="K525" s="184"/>
      <c r="L525" s="26"/>
      <c r="M525" s="22"/>
      <c r="N525" s="29"/>
      <c r="O525" s="13"/>
      <c r="P525" s="13"/>
      <c r="Q525" s="13"/>
      <c r="R525" s="13"/>
      <c r="S525" s="13"/>
      <c r="T525" s="13"/>
      <c r="U525" s="13"/>
      <c r="V525" s="13"/>
      <c r="W525" s="184"/>
      <c r="X525" s="37"/>
      <c r="Y525" s="22"/>
      <c r="Z525" s="38"/>
      <c r="AA525" s="13"/>
      <c r="AB525" s="13"/>
      <c r="AC525" s="13"/>
      <c r="AD525" s="13"/>
      <c r="AE525" s="13"/>
      <c r="AF525" s="13"/>
      <c r="AG525" s="184"/>
      <c r="AH525" s="37"/>
    </row>
    <row r="526" spans="1:34">
      <c r="A526" s="14">
        <f t="shared" si="168"/>
        <v>46372</v>
      </c>
      <c r="B526" s="11"/>
      <c r="C526" s="13"/>
      <c r="D526" s="12"/>
      <c r="E526" s="12"/>
      <c r="F526" s="12"/>
      <c r="G526" s="12"/>
      <c r="H526" s="12"/>
      <c r="I526" s="12"/>
      <c r="J526" s="13"/>
      <c r="K526" s="184"/>
      <c r="L526" s="26"/>
      <c r="M526" s="22"/>
      <c r="N526" s="29"/>
      <c r="O526" s="13"/>
      <c r="P526" s="13"/>
      <c r="Q526" s="13"/>
      <c r="R526" s="13"/>
      <c r="S526" s="13"/>
      <c r="T526" s="13"/>
      <c r="U526" s="13"/>
      <c r="V526" s="13"/>
      <c r="W526" s="184"/>
      <c r="X526" s="37"/>
      <c r="Y526" s="22"/>
      <c r="Z526" s="38"/>
      <c r="AA526" s="13"/>
      <c r="AB526" s="13"/>
      <c r="AC526" s="13"/>
      <c r="AD526" s="13"/>
      <c r="AE526" s="13"/>
      <c r="AF526" s="13"/>
      <c r="AG526" s="184"/>
      <c r="AH526" s="37"/>
    </row>
    <row r="527" spans="1:34">
      <c r="A527" s="14">
        <f t="shared" si="168"/>
        <v>46373</v>
      </c>
      <c r="B527" s="11"/>
      <c r="C527" s="13"/>
      <c r="D527" s="12"/>
      <c r="E527" s="12"/>
      <c r="F527" s="12"/>
      <c r="G527" s="12"/>
      <c r="H527" s="12"/>
      <c r="I527" s="12"/>
      <c r="J527" s="13"/>
      <c r="K527" s="184"/>
      <c r="L527" s="26"/>
      <c r="M527" s="22"/>
      <c r="N527" s="29"/>
      <c r="O527" s="13"/>
      <c r="P527" s="13"/>
      <c r="Q527" s="13"/>
      <c r="R527" s="13"/>
      <c r="S527" s="13"/>
      <c r="T527" s="13"/>
      <c r="U527" s="13"/>
      <c r="V527" s="13"/>
      <c r="W527" s="184"/>
      <c r="X527" s="37"/>
      <c r="Y527" s="22"/>
      <c r="Z527" s="38"/>
      <c r="AA527" s="13"/>
      <c r="AB527" s="13"/>
      <c r="AC527" s="13"/>
      <c r="AD527" s="13"/>
      <c r="AE527" s="13"/>
      <c r="AF527" s="13"/>
      <c r="AG527" s="184"/>
      <c r="AH527" s="37"/>
    </row>
    <row r="528" spans="1:34">
      <c r="A528" s="14">
        <f t="shared" si="168"/>
        <v>46374</v>
      </c>
      <c r="B528" s="11"/>
      <c r="C528" s="12"/>
      <c r="D528" s="12"/>
      <c r="E528" s="12"/>
      <c r="F528" s="12"/>
      <c r="G528" s="12"/>
      <c r="H528" s="12"/>
      <c r="I528" s="12"/>
      <c r="J528" s="13"/>
      <c r="K528" s="184"/>
      <c r="L528" s="26"/>
      <c r="M528" s="22"/>
      <c r="N528" s="29"/>
      <c r="O528" s="13"/>
      <c r="P528" s="13"/>
      <c r="Q528" s="13"/>
      <c r="R528" s="13"/>
      <c r="S528" s="13"/>
      <c r="T528" s="13"/>
      <c r="U528" s="13"/>
      <c r="V528" s="13"/>
      <c r="W528" s="184"/>
      <c r="X528" s="37"/>
      <c r="Y528" s="22"/>
      <c r="Z528" s="38"/>
      <c r="AA528" s="13"/>
      <c r="AB528" s="13"/>
      <c r="AC528" s="13"/>
      <c r="AD528" s="13"/>
      <c r="AE528" s="13"/>
      <c r="AF528" s="13"/>
      <c r="AG528" s="184"/>
      <c r="AH528" s="37"/>
    </row>
    <row r="529" spans="1:34">
      <c r="A529" s="14">
        <f t="shared" si="168"/>
        <v>46375</v>
      </c>
      <c r="B529" s="11"/>
      <c r="C529" s="12"/>
      <c r="D529" s="12"/>
      <c r="E529" s="12"/>
      <c r="F529" s="12"/>
      <c r="G529" s="12"/>
      <c r="H529" s="12"/>
      <c r="I529" s="12"/>
      <c r="J529" s="13"/>
      <c r="K529" s="184"/>
      <c r="L529" s="26"/>
      <c r="M529" s="22"/>
      <c r="N529" s="29"/>
      <c r="O529" s="13"/>
      <c r="P529" s="13"/>
      <c r="Q529" s="13"/>
      <c r="R529" s="13"/>
      <c r="S529" s="13"/>
      <c r="T529" s="13"/>
      <c r="U529" s="13"/>
      <c r="V529" s="13"/>
      <c r="W529" s="184"/>
      <c r="X529" s="37"/>
      <c r="Y529" s="22"/>
      <c r="Z529" s="38"/>
      <c r="AA529" s="13"/>
      <c r="AB529" s="13"/>
      <c r="AC529" s="13"/>
      <c r="AD529" s="13"/>
      <c r="AE529" s="13"/>
      <c r="AF529" s="13"/>
      <c r="AG529" s="184"/>
      <c r="AH529" s="37"/>
    </row>
    <row r="530" spans="1:34">
      <c r="A530" s="14">
        <f t="shared" si="168"/>
        <v>46376</v>
      </c>
      <c r="B530" s="11"/>
      <c r="C530" s="13"/>
      <c r="D530" s="12"/>
      <c r="E530" s="12"/>
      <c r="F530" s="12"/>
      <c r="G530" s="12"/>
      <c r="H530" s="12"/>
      <c r="I530" s="13"/>
      <c r="J530" s="13"/>
      <c r="K530" s="184"/>
      <c r="L530" s="26"/>
      <c r="M530" s="22"/>
      <c r="N530" s="29"/>
      <c r="O530" s="13"/>
      <c r="P530" s="13"/>
      <c r="Q530" s="13"/>
      <c r="R530" s="13"/>
      <c r="S530" s="13"/>
      <c r="T530" s="13"/>
      <c r="U530" s="13"/>
      <c r="V530" s="13"/>
      <c r="W530" s="184"/>
      <c r="X530" s="37"/>
      <c r="Y530" s="22"/>
      <c r="Z530" s="38"/>
      <c r="AA530" s="13"/>
      <c r="AB530" s="13"/>
      <c r="AC530" s="13"/>
      <c r="AD530" s="13"/>
      <c r="AE530" s="13"/>
      <c r="AF530" s="13"/>
      <c r="AG530" s="184"/>
      <c r="AH530" s="37"/>
    </row>
    <row r="531" spans="1:34">
      <c r="A531" s="14">
        <f t="shared" si="168"/>
        <v>46377</v>
      </c>
      <c r="B531" s="11"/>
      <c r="C531" s="13"/>
      <c r="D531" s="12"/>
      <c r="E531" s="12"/>
      <c r="F531" s="12"/>
      <c r="G531" s="13"/>
      <c r="H531" s="13"/>
      <c r="I531" s="12"/>
      <c r="J531" s="13"/>
      <c r="K531" s="184"/>
      <c r="L531" s="26"/>
      <c r="M531" s="22"/>
      <c r="N531" s="29"/>
      <c r="O531" s="13"/>
      <c r="P531" s="13"/>
      <c r="Q531" s="13"/>
      <c r="R531" s="13"/>
      <c r="S531" s="13"/>
      <c r="T531" s="13"/>
      <c r="U531" s="13"/>
      <c r="V531" s="13"/>
      <c r="W531" s="184"/>
      <c r="X531" s="37"/>
      <c r="Y531" s="22"/>
      <c r="Z531" s="38"/>
      <c r="AA531" s="13"/>
      <c r="AB531" s="13"/>
      <c r="AC531" s="13"/>
      <c r="AD531" s="13"/>
      <c r="AE531" s="13"/>
      <c r="AF531" s="13"/>
      <c r="AG531" s="184"/>
      <c r="AH531" s="37"/>
    </row>
    <row r="532" spans="1:34">
      <c r="A532" s="14">
        <f t="shared" si="168"/>
        <v>46378</v>
      </c>
      <c r="B532" s="11"/>
      <c r="C532" s="13"/>
      <c r="D532" s="12"/>
      <c r="E532" s="12"/>
      <c r="F532" s="12"/>
      <c r="G532" s="12"/>
      <c r="H532" s="12"/>
      <c r="I532" s="13"/>
      <c r="J532" s="13"/>
      <c r="K532" s="184"/>
      <c r="L532" s="26"/>
      <c r="M532" s="22"/>
      <c r="N532" s="29"/>
      <c r="O532" s="13"/>
      <c r="P532" s="13"/>
      <c r="Q532" s="13"/>
      <c r="R532" s="13"/>
      <c r="S532" s="13"/>
      <c r="T532" s="13"/>
      <c r="U532" s="13"/>
      <c r="V532" s="13"/>
      <c r="W532" s="184"/>
      <c r="X532" s="37"/>
      <c r="Y532" s="22"/>
      <c r="Z532" s="38"/>
      <c r="AA532" s="13"/>
      <c r="AB532" s="13"/>
      <c r="AC532" s="13"/>
      <c r="AD532" s="13"/>
      <c r="AE532" s="13"/>
      <c r="AF532" s="13"/>
      <c r="AG532" s="184"/>
      <c r="AH532" s="37"/>
    </row>
    <row r="533" spans="1:34">
      <c r="A533" s="14">
        <f t="shared" si="168"/>
        <v>46379</v>
      </c>
      <c r="B533" s="38"/>
      <c r="C533" s="12"/>
      <c r="D533" s="12"/>
      <c r="E533" s="12"/>
      <c r="F533" s="12"/>
      <c r="G533" s="12"/>
      <c r="H533" s="12"/>
      <c r="I533" s="12"/>
      <c r="J533" s="13"/>
      <c r="K533" s="184"/>
      <c r="L533" s="26"/>
      <c r="M533" s="22"/>
      <c r="N533" s="61"/>
      <c r="O533" s="13"/>
      <c r="P533" s="13"/>
      <c r="Q533" s="13"/>
      <c r="R533" s="13"/>
      <c r="S533" s="13"/>
      <c r="T533" s="13"/>
      <c r="U533" s="13"/>
      <c r="V533" s="13"/>
      <c r="W533" s="184"/>
      <c r="X533" s="37"/>
      <c r="Y533" s="22"/>
      <c r="Z533" s="38"/>
      <c r="AA533" s="13"/>
      <c r="AB533" s="13"/>
      <c r="AC533" s="13"/>
      <c r="AD533" s="13"/>
      <c r="AE533" s="13"/>
      <c r="AF533" s="13"/>
      <c r="AG533" s="184"/>
      <c r="AH533" s="37"/>
    </row>
    <row r="534" spans="1:34">
      <c r="A534" s="14">
        <f t="shared" si="168"/>
        <v>46380</v>
      </c>
      <c r="B534" s="11"/>
      <c r="C534" s="12"/>
      <c r="D534" s="12"/>
      <c r="E534" s="12"/>
      <c r="F534" s="12"/>
      <c r="G534" s="12"/>
      <c r="H534" s="12"/>
      <c r="I534" s="12"/>
      <c r="J534" s="12"/>
      <c r="K534" s="185"/>
      <c r="L534" s="26"/>
      <c r="M534" s="22"/>
      <c r="N534" s="29"/>
      <c r="O534" s="13"/>
      <c r="P534" s="13"/>
      <c r="Q534" s="13"/>
      <c r="R534" s="13"/>
      <c r="S534" s="13"/>
      <c r="T534" s="13"/>
      <c r="U534" s="13"/>
      <c r="V534" s="13"/>
      <c r="W534" s="185"/>
      <c r="X534" s="37"/>
      <c r="Y534" s="22"/>
      <c r="Z534" s="38"/>
      <c r="AA534" s="13"/>
      <c r="AB534" s="13"/>
      <c r="AC534" s="13"/>
      <c r="AD534" s="13"/>
      <c r="AE534" s="13"/>
      <c r="AF534" s="13"/>
      <c r="AG534" s="185"/>
      <c r="AH534" s="37"/>
    </row>
    <row r="535" spans="1:34">
      <c r="A535" s="14">
        <f t="shared" si="168"/>
        <v>46381</v>
      </c>
      <c r="B535" s="38"/>
      <c r="C535" s="12"/>
      <c r="D535" s="12"/>
      <c r="E535" s="12"/>
      <c r="F535" s="12"/>
      <c r="G535" s="13"/>
      <c r="H535" s="13"/>
      <c r="I535" s="12"/>
      <c r="J535" s="12"/>
      <c r="K535" s="185"/>
      <c r="L535" s="37"/>
      <c r="M535" s="22"/>
      <c r="N535" s="29"/>
      <c r="O535" s="13"/>
      <c r="P535" s="13"/>
      <c r="Q535" s="13"/>
      <c r="R535" s="13"/>
      <c r="S535" s="13"/>
      <c r="T535" s="13"/>
      <c r="U535" s="13"/>
      <c r="V535" s="13"/>
      <c r="W535" s="185"/>
      <c r="X535" s="37"/>
      <c r="Y535" s="22"/>
      <c r="Z535" s="38"/>
      <c r="AA535" s="13"/>
      <c r="AB535" s="13"/>
      <c r="AC535" s="13"/>
      <c r="AD535" s="13"/>
      <c r="AE535" s="13"/>
      <c r="AF535" s="13"/>
      <c r="AG535" s="185"/>
      <c r="AH535" s="37"/>
    </row>
    <row r="536" spans="1:34">
      <c r="A536" s="14">
        <f t="shared" si="168"/>
        <v>46382</v>
      </c>
      <c r="B536" s="11"/>
      <c r="C536" s="13"/>
      <c r="D536" s="12"/>
      <c r="E536" s="12"/>
      <c r="F536" s="12"/>
      <c r="G536" s="13"/>
      <c r="H536" s="13"/>
      <c r="I536" s="13"/>
      <c r="J536" s="12"/>
      <c r="K536" s="185"/>
      <c r="L536" s="26"/>
      <c r="M536" s="22"/>
      <c r="N536" s="29"/>
      <c r="O536" s="13"/>
      <c r="P536" s="13"/>
      <c r="Q536" s="13"/>
      <c r="R536" s="13"/>
      <c r="S536" s="13"/>
      <c r="T536" s="13"/>
      <c r="U536" s="13"/>
      <c r="V536" s="13"/>
      <c r="W536" s="185"/>
      <c r="X536" s="51"/>
      <c r="Y536" s="22"/>
      <c r="Z536" s="38"/>
      <c r="AA536" s="13"/>
      <c r="AB536" s="13"/>
      <c r="AC536" s="13"/>
      <c r="AD536" s="13"/>
      <c r="AE536" s="13"/>
      <c r="AF536" s="13"/>
      <c r="AG536" s="185"/>
      <c r="AH536" s="51"/>
    </row>
    <row r="537" spans="1:34">
      <c r="A537" s="14">
        <f t="shared" si="168"/>
        <v>46383</v>
      </c>
      <c r="B537" s="11"/>
      <c r="C537" s="13"/>
      <c r="D537" s="12"/>
      <c r="E537" s="12"/>
      <c r="F537" s="12"/>
      <c r="G537" s="13"/>
      <c r="H537" s="13"/>
      <c r="I537" s="13"/>
      <c r="J537" s="12"/>
      <c r="K537" s="185"/>
      <c r="L537" s="26"/>
      <c r="M537" s="22"/>
      <c r="N537" s="29"/>
      <c r="O537" s="13"/>
      <c r="P537" s="13"/>
      <c r="Q537" s="13"/>
      <c r="R537" s="13"/>
      <c r="S537" s="13"/>
      <c r="T537" s="13"/>
      <c r="U537" s="13"/>
      <c r="V537" s="13"/>
      <c r="W537" s="185"/>
      <c r="X537" s="37"/>
      <c r="Y537" s="22"/>
      <c r="Z537" s="38"/>
      <c r="AA537" s="13"/>
      <c r="AB537" s="13"/>
      <c r="AC537" s="13"/>
      <c r="AD537" s="13"/>
      <c r="AE537" s="13"/>
      <c r="AF537" s="13"/>
      <c r="AG537" s="185"/>
      <c r="AH537" s="37"/>
    </row>
    <row r="538" spans="1:34">
      <c r="A538" s="14">
        <f t="shared" si="168"/>
        <v>46384</v>
      </c>
      <c r="B538" s="38"/>
      <c r="C538" s="13"/>
      <c r="D538" s="12"/>
      <c r="E538" s="12"/>
      <c r="F538" s="13"/>
      <c r="G538" s="12"/>
      <c r="H538" s="12"/>
      <c r="I538" s="12"/>
      <c r="J538" s="12"/>
      <c r="K538" s="185"/>
      <c r="L538" s="26"/>
      <c r="M538" s="22"/>
      <c r="N538" s="29"/>
      <c r="O538" s="13"/>
      <c r="P538" s="13"/>
      <c r="Q538" s="13"/>
      <c r="R538" s="13"/>
      <c r="S538" s="13"/>
      <c r="T538" s="13"/>
      <c r="U538" s="13"/>
      <c r="V538" s="13"/>
      <c r="W538" s="185"/>
      <c r="X538" s="37"/>
      <c r="Y538" s="22"/>
      <c r="Z538" s="38"/>
      <c r="AA538" s="13"/>
      <c r="AB538" s="13"/>
      <c r="AC538" s="13"/>
      <c r="AD538" s="13"/>
      <c r="AE538" s="13"/>
      <c r="AF538" s="13"/>
      <c r="AG538" s="185"/>
      <c r="AH538" s="37"/>
    </row>
    <row r="539" spans="1:34">
      <c r="A539" s="14">
        <f t="shared" si="168"/>
        <v>46385</v>
      </c>
      <c r="B539" s="38"/>
      <c r="C539" s="12"/>
      <c r="D539" s="12"/>
      <c r="E539" s="12"/>
      <c r="F539" s="12"/>
      <c r="G539" s="12"/>
      <c r="H539" s="12"/>
      <c r="I539" s="12"/>
      <c r="J539" s="59"/>
      <c r="K539" s="186"/>
      <c r="L539" s="26"/>
      <c r="M539" s="22"/>
      <c r="N539" s="29"/>
      <c r="O539" s="13"/>
      <c r="P539" s="13"/>
      <c r="Q539" s="13"/>
      <c r="R539" s="13"/>
      <c r="S539" s="13"/>
      <c r="T539" s="13"/>
      <c r="U539" s="13"/>
      <c r="V539" s="13"/>
      <c r="W539" s="186"/>
      <c r="X539" s="37"/>
      <c r="Y539" s="22"/>
      <c r="Z539" s="38"/>
      <c r="AA539" s="13"/>
      <c r="AB539" s="13"/>
      <c r="AC539" s="13"/>
      <c r="AD539" s="13"/>
      <c r="AE539" s="13"/>
      <c r="AF539" s="13"/>
      <c r="AG539" s="186"/>
      <c r="AH539" s="37"/>
    </row>
    <row r="540" spans="1:34">
      <c r="A540" s="14">
        <f t="shared" si="168"/>
        <v>46386</v>
      </c>
      <c r="B540" s="11"/>
      <c r="C540" s="12"/>
      <c r="D540" s="12"/>
      <c r="E540" s="12"/>
      <c r="F540" s="12"/>
      <c r="G540" s="12"/>
      <c r="H540" s="12"/>
      <c r="I540" s="12"/>
      <c r="J540" s="12"/>
      <c r="K540" s="185"/>
      <c r="L540" s="26"/>
      <c r="M540" s="22"/>
      <c r="N540" s="29"/>
      <c r="O540" s="13"/>
      <c r="P540" s="47"/>
      <c r="Q540" s="47"/>
      <c r="R540" s="47"/>
      <c r="S540" s="47"/>
      <c r="T540" s="47"/>
      <c r="U540" s="47"/>
      <c r="V540" s="53"/>
      <c r="W540" s="185"/>
      <c r="X540" s="48"/>
      <c r="Y540" s="22"/>
      <c r="Z540" s="38"/>
      <c r="AA540" s="13"/>
      <c r="AB540" s="47"/>
      <c r="AC540" s="47"/>
      <c r="AD540" s="47"/>
      <c r="AE540" s="13"/>
      <c r="AF540" s="53"/>
      <c r="AG540" s="185"/>
      <c r="AH540" s="37"/>
    </row>
    <row r="541" spans="1:34" ht="15.75" thickBot="1">
      <c r="A541" s="15">
        <f t="shared" si="168"/>
        <v>46387</v>
      </c>
      <c r="B541" s="57"/>
      <c r="C541" s="58"/>
      <c r="D541" s="58"/>
      <c r="E541" s="58"/>
      <c r="F541" s="58"/>
      <c r="G541" s="58"/>
      <c r="H541" s="58"/>
      <c r="I541" s="58"/>
      <c r="J541" s="58"/>
      <c r="K541" s="187"/>
      <c r="L541" s="60"/>
      <c r="M541" s="22"/>
      <c r="N541" s="56"/>
      <c r="O541" s="47"/>
      <c r="P541" s="47"/>
      <c r="Q541" s="47"/>
      <c r="R541" s="47"/>
      <c r="S541" s="47"/>
      <c r="T541" s="47"/>
      <c r="U541" s="47"/>
      <c r="V541" s="47"/>
      <c r="W541" s="187"/>
      <c r="X541" s="48"/>
      <c r="Y541" s="22"/>
      <c r="Z541" s="39"/>
      <c r="AA541" s="47"/>
      <c r="AB541" s="47"/>
      <c r="AC541" s="47"/>
      <c r="AD541" s="47"/>
      <c r="AE541" s="47"/>
      <c r="AF541" s="47"/>
      <c r="AG541" s="187"/>
      <c r="AH541" s="48"/>
    </row>
    <row r="542" spans="1:34">
      <c r="A542" s="16" t="s">
        <v>31</v>
      </c>
      <c r="B542" s="17">
        <f>MIN(B511:B541)</f>
        <v>0</v>
      </c>
      <c r="C542" s="17">
        <f>MIN(C511:C541)</f>
        <v>0</v>
      </c>
      <c r="D542" s="17">
        <f t="shared" ref="D542:L542" si="169">MIN(D511:D541)</f>
        <v>0</v>
      </c>
      <c r="E542" s="17">
        <f t="shared" si="169"/>
        <v>0</v>
      </c>
      <c r="F542" s="17">
        <f t="shared" si="169"/>
        <v>0</v>
      </c>
      <c r="G542" s="17">
        <f t="shared" si="169"/>
        <v>0</v>
      </c>
      <c r="H542" s="17">
        <f t="shared" si="169"/>
        <v>0</v>
      </c>
      <c r="I542" s="17">
        <f t="shared" si="169"/>
        <v>0</v>
      </c>
      <c r="J542" s="17">
        <f t="shared" si="169"/>
        <v>0</v>
      </c>
      <c r="K542" s="188"/>
      <c r="L542" s="30">
        <f t="shared" si="169"/>
        <v>0</v>
      </c>
      <c r="M542" s="22"/>
      <c r="N542" s="17">
        <f>MIN(N511:N541)</f>
        <v>0</v>
      </c>
      <c r="O542" s="17">
        <f>MIN(O511:O541)</f>
        <v>0</v>
      </c>
      <c r="P542" s="17">
        <f t="shared" ref="P542:X542" si="170">MIN(P511:P541)</f>
        <v>0</v>
      </c>
      <c r="Q542" s="17">
        <f t="shared" si="170"/>
        <v>0</v>
      </c>
      <c r="R542" s="17">
        <f t="shared" si="170"/>
        <v>0</v>
      </c>
      <c r="S542" s="17">
        <f t="shared" si="170"/>
        <v>0</v>
      </c>
      <c r="T542" s="17">
        <f t="shared" si="170"/>
        <v>0</v>
      </c>
      <c r="U542" s="17">
        <f t="shared" si="170"/>
        <v>0</v>
      </c>
      <c r="V542" s="17">
        <f t="shared" si="170"/>
        <v>0</v>
      </c>
      <c r="W542" s="188"/>
      <c r="X542" s="30">
        <f t="shared" si="170"/>
        <v>0</v>
      </c>
      <c r="Z542" s="40">
        <f t="shared" ref="Z542:AH542" si="171">MIN(Z511:Z541)</f>
        <v>0</v>
      </c>
      <c r="AA542" s="17">
        <f t="shared" si="171"/>
        <v>0</v>
      </c>
      <c r="AB542" s="17">
        <f t="shared" si="171"/>
        <v>0</v>
      </c>
      <c r="AC542" s="17">
        <f t="shared" si="171"/>
        <v>0</v>
      </c>
      <c r="AD542" s="17">
        <f t="shared" si="171"/>
        <v>0</v>
      </c>
      <c r="AE542" s="17">
        <f t="shared" si="171"/>
        <v>0</v>
      </c>
      <c r="AF542" s="17">
        <f t="shared" si="171"/>
        <v>0</v>
      </c>
      <c r="AG542" s="188"/>
      <c r="AH542" s="30">
        <f t="shared" si="171"/>
        <v>0</v>
      </c>
    </row>
    <row r="543" spans="1:34">
      <c r="A543" s="18" t="s">
        <v>33</v>
      </c>
      <c r="B543" s="19">
        <f>MAX(B511:B541)</f>
        <v>0</v>
      </c>
      <c r="C543" s="19">
        <f>MAX(C511:C541)</f>
        <v>0</v>
      </c>
      <c r="D543" s="19">
        <f t="shared" ref="D543:L543" si="172">MAX(D511:D541)</f>
        <v>0</v>
      </c>
      <c r="E543" s="19">
        <f t="shared" si="172"/>
        <v>0</v>
      </c>
      <c r="F543" s="19">
        <f t="shared" si="172"/>
        <v>0</v>
      </c>
      <c r="G543" s="19">
        <f t="shared" si="172"/>
        <v>0</v>
      </c>
      <c r="H543" s="19">
        <f t="shared" si="172"/>
        <v>0</v>
      </c>
      <c r="I543" s="19">
        <f t="shared" si="172"/>
        <v>0</v>
      </c>
      <c r="J543" s="19">
        <f t="shared" si="172"/>
        <v>0</v>
      </c>
      <c r="K543" s="189"/>
      <c r="L543" s="31">
        <f t="shared" si="172"/>
        <v>0</v>
      </c>
      <c r="M543" s="22"/>
      <c r="N543" s="19">
        <f>MAX(N511:N541)</f>
        <v>0</v>
      </c>
      <c r="O543" s="19">
        <f>MAX(O511:O541)</f>
        <v>0</v>
      </c>
      <c r="P543" s="19">
        <f t="shared" ref="P543:X543" si="173">MAX(P511:P541)</f>
        <v>0</v>
      </c>
      <c r="Q543" s="19">
        <f t="shared" si="173"/>
        <v>0</v>
      </c>
      <c r="R543" s="19">
        <f t="shared" si="173"/>
        <v>0</v>
      </c>
      <c r="S543" s="19">
        <f t="shared" si="173"/>
        <v>0</v>
      </c>
      <c r="T543" s="19">
        <f t="shared" si="173"/>
        <v>0</v>
      </c>
      <c r="U543" s="19">
        <f t="shared" si="173"/>
        <v>0</v>
      </c>
      <c r="V543" s="19">
        <f t="shared" si="173"/>
        <v>0</v>
      </c>
      <c r="W543" s="189"/>
      <c r="X543" s="31">
        <f t="shared" si="173"/>
        <v>0</v>
      </c>
      <c r="Z543" s="41">
        <f t="shared" ref="Z543:AH543" si="174">MAX(Z511:Z541)</f>
        <v>0</v>
      </c>
      <c r="AA543" s="19">
        <f t="shared" si="174"/>
        <v>0</v>
      </c>
      <c r="AB543" s="19">
        <f t="shared" si="174"/>
        <v>0</v>
      </c>
      <c r="AC543" s="19">
        <f t="shared" si="174"/>
        <v>0</v>
      </c>
      <c r="AD543" s="19">
        <f t="shared" si="174"/>
        <v>0</v>
      </c>
      <c r="AE543" s="19">
        <f t="shared" si="174"/>
        <v>0</v>
      </c>
      <c r="AF543" s="19">
        <f t="shared" si="174"/>
        <v>0</v>
      </c>
      <c r="AG543" s="189"/>
      <c r="AH543" s="31">
        <f t="shared" si="174"/>
        <v>0</v>
      </c>
    </row>
    <row r="544" spans="1:34">
      <c r="A544" s="18" t="s">
        <v>36</v>
      </c>
      <c r="B544" s="19" t="e">
        <f t="shared" ref="B544:L544" si="175">AVERAGE(B511:B541)</f>
        <v>#DIV/0!</v>
      </c>
      <c r="C544" s="19" t="e">
        <f t="shared" si="175"/>
        <v>#DIV/0!</v>
      </c>
      <c r="D544" s="19" t="e">
        <f t="shared" si="175"/>
        <v>#DIV/0!</v>
      </c>
      <c r="E544" s="19" t="e">
        <f t="shared" si="175"/>
        <v>#DIV/0!</v>
      </c>
      <c r="F544" s="19" t="e">
        <f t="shared" si="175"/>
        <v>#DIV/0!</v>
      </c>
      <c r="G544" s="19" t="e">
        <f t="shared" si="175"/>
        <v>#DIV/0!</v>
      </c>
      <c r="H544" s="19" t="e">
        <f t="shared" si="175"/>
        <v>#DIV/0!</v>
      </c>
      <c r="I544" s="19" t="e">
        <f t="shared" si="175"/>
        <v>#DIV/0!</v>
      </c>
      <c r="J544" s="19" t="e">
        <f t="shared" si="175"/>
        <v>#DIV/0!</v>
      </c>
      <c r="K544" s="189"/>
      <c r="L544" s="31" t="e">
        <f t="shared" si="175"/>
        <v>#DIV/0!</v>
      </c>
      <c r="M544" s="22"/>
      <c r="N544" s="19" t="e">
        <f t="shared" ref="N544:X544" si="176">AVERAGE(N511:N541)</f>
        <v>#DIV/0!</v>
      </c>
      <c r="O544" s="19" t="e">
        <f t="shared" si="176"/>
        <v>#DIV/0!</v>
      </c>
      <c r="P544" s="19" t="e">
        <f t="shared" si="176"/>
        <v>#DIV/0!</v>
      </c>
      <c r="Q544" s="19" t="e">
        <f t="shared" si="176"/>
        <v>#DIV/0!</v>
      </c>
      <c r="R544" s="19" t="e">
        <f t="shared" si="176"/>
        <v>#DIV/0!</v>
      </c>
      <c r="S544" s="19" t="e">
        <f t="shared" si="176"/>
        <v>#DIV/0!</v>
      </c>
      <c r="T544" s="19" t="e">
        <f t="shared" si="176"/>
        <v>#DIV/0!</v>
      </c>
      <c r="U544" s="19" t="e">
        <f t="shared" si="176"/>
        <v>#DIV/0!</v>
      </c>
      <c r="V544" s="19" t="e">
        <f t="shared" si="176"/>
        <v>#DIV/0!</v>
      </c>
      <c r="W544" s="189"/>
      <c r="X544" s="31" t="e">
        <f t="shared" si="176"/>
        <v>#DIV/0!</v>
      </c>
      <c r="Z544" s="41" t="e">
        <f>AVERAGE(Z511:Z541)</f>
        <v>#DIV/0!</v>
      </c>
      <c r="AA544" s="19" t="e">
        <f t="shared" ref="AA544:AH544" si="177">AVERAGE(AA511:AA541)</f>
        <v>#DIV/0!</v>
      </c>
      <c r="AB544" s="19" t="e">
        <f t="shared" si="177"/>
        <v>#DIV/0!</v>
      </c>
      <c r="AC544" s="19" t="e">
        <f t="shared" si="177"/>
        <v>#DIV/0!</v>
      </c>
      <c r="AD544" s="19" t="e">
        <f t="shared" si="177"/>
        <v>#DIV/0!</v>
      </c>
      <c r="AE544" s="19" t="e">
        <f t="shared" si="177"/>
        <v>#DIV/0!</v>
      </c>
      <c r="AF544" s="19" t="e">
        <f t="shared" si="177"/>
        <v>#DIV/0!</v>
      </c>
      <c r="AG544" s="189"/>
      <c r="AH544" s="31" t="e">
        <f t="shared" si="177"/>
        <v>#DIV/0!</v>
      </c>
    </row>
    <row r="545" spans="1:34" ht="15.75" thickBot="1">
      <c r="A545" s="20" t="s">
        <v>130</v>
      </c>
      <c r="B545" s="21" t="e">
        <f>STDEV(B511:B541)</f>
        <v>#DIV/0!</v>
      </c>
      <c r="C545" s="21" t="e">
        <f t="shared" ref="C545:L545" si="178">STDEV(C511:C541)</f>
        <v>#DIV/0!</v>
      </c>
      <c r="D545" s="21" t="e">
        <f t="shared" si="178"/>
        <v>#DIV/0!</v>
      </c>
      <c r="E545" s="21" t="e">
        <f t="shared" si="178"/>
        <v>#DIV/0!</v>
      </c>
      <c r="F545" s="21" t="e">
        <f t="shared" si="178"/>
        <v>#DIV/0!</v>
      </c>
      <c r="G545" s="21" t="e">
        <f t="shared" si="178"/>
        <v>#DIV/0!</v>
      </c>
      <c r="H545" s="21" t="e">
        <f t="shared" si="178"/>
        <v>#DIV/0!</v>
      </c>
      <c r="I545" s="21" t="e">
        <f t="shared" si="178"/>
        <v>#DIV/0!</v>
      </c>
      <c r="J545" s="21" t="e">
        <f t="shared" si="178"/>
        <v>#DIV/0!</v>
      </c>
      <c r="K545" s="190"/>
      <c r="L545" s="32" t="e">
        <f t="shared" si="178"/>
        <v>#DIV/0!</v>
      </c>
      <c r="M545" s="152"/>
      <c r="N545" s="21" t="e">
        <f>STDEV(N511:N541)</f>
        <v>#DIV/0!</v>
      </c>
      <c r="O545" s="21" t="e">
        <f t="shared" ref="O545:X545" si="179">STDEV(O511:O541)</f>
        <v>#DIV/0!</v>
      </c>
      <c r="P545" s="21" t="e">
        <f t="shared" si="179"/>
        <v>#DIV/0!</v>
      </c>
      <c r="Q545" s="21" t="e">
        <f t="shared" si="179"/>
        <v>#DIV/0!</v>
      </c>
      <c r="R545" s="21" t="e">
        <f t="shared" si="179"/>
        <v>#DIV/0!</v>
      </c>
      <c r="S545" s="21" t="e">
        <f t="shared" si="179"/>
        <v>#DIV/0!</v>
      </c>
      <c r="T545" s="21" t="e">
        <f t="shared" si="179"/>
        <v>#DIV/0!</v>
      </c>
      <c r="U545" s="21" t="e">
        <f t="shared" si="179"/>
        <v>#DIV/0!</v>
      </c>
      <c r="V545" s="21" t="e">
        <f t="shared" si="179"/>
        <v>#DIV/0!</v>
      </c>
      <c r="W545" s="190"/>
      <c r="X545" s="32" t="e">
        <f t="shared" si="179"/>
        <v>#DIV/0!</v>
      </c>
      <c r="Y545" s="153"/>
      <c r="Z545" s="42" t="e">
        <f>STDEV(Z511:Z541)</f>
        <v>#DIV/0!</v>
      </c>
      <c r="AA545" s="21" t="e">
        <f t="shared" ref="AA545:AH545" si="180">STDEV(AA511:AA541)</f>
        <v>#DIV/0!</v>
      </c>
      <c r="AB545" s="21" t="e">
        <f t="shared" si="180"/>
        <v>#DIV/0!</v>
      </c>
      <c r="AC545" s="21" t="e">
        <f t="shared" si="180"/>
        <v>#DIV/0!</v>
      </c>
      <c r="AD545" s="21" t="e">
        <f t="shared" si="180"/>
        <v>#DIV/0!</v>
      </c>
      <c r="AE545" s="21" t="e">
        <f t="shared" si="180"/>
        <v>#DIV/0!</v>
      </c>
      <c r="AF545" s="21" t="e">
        <f t="shared" si="180"/>
        <v>#DIV/0!</v>
      </c>
      <c r="AG545" s="190"/>
      <c r="AH545" s="32" t="e">
        <f t="shared" si="180"/>
        <v>#DIV/0!</v>
      </c>
    </row>
  </sheetData>
  <mergeCells count="143">
    <mergeCell ref="B1:AH1"/>
    <mergeCell ref="N4:N5"/>
    <mergeCell ref="AF2:AH2"/>
    <mergeCell ref="B3:L3"/>
    <mergeCell ref="N3:X3"/>
    <mergeCell ref="Z3:AH3"/>
    <mergeCell ref="B127:AH127"/>
    <mergeCell ref="B128:AC128"/>
    <mergeCell ref="AF128:AH128"/>
    <mergeCell ref="O4:O5"/>
    <mergeCell ref="B2:AC2"/>
    <mergeCell ref="C4:C5"/>
    <mergeCell ref="N88:N89"/>
    <mergeCell ref="O88:O89"/>
    <mergeCell ref="B211:AH211"/>
    <mergeCell ref="B212:AC212"/>
    <mergeCell ref="AF212:AH212"/>
    <mergeCell ref="B253:AH253"/>
    <mergeCell ref="B254:AC254"/>
    <mergeCell ref="AF254:AH254"/>
    <mergeCell ref="B295:AH295"/>
    <mergeCell ref="A3:A4"/>
    <mergeCell ref="B4:B5"/>
    <mergeCell ref="B43:AH43"/>
    <mergeCell ref="B44:AC44"/>
    <mergeCell ref="AF44:AH44"/>
    <mergeCell ref="B85:AH85"/>
    <mergeCell ref="B86:AC86"/>
    <mergeCell ref="AF86:AH86"/>
    <mergeCell ref="B169:AH169"/>
    <mergeCell ref="B170:AC170"/>
    <mergeCell ref="AF170:AH170"/>
    <mergeCell ref="A87:A88"/>
    <mergeCell ref="B87:L87"/>
    <mergeCell ref="N87:X87"/>
    <mergeCell ref="Z87:AH87"/>
    <mergeCell ref="B88:B89"/>
    <mergeCell ref="C88:C89"/>
    <mergeCell ref="A45:A46"/>
    <mergeCell ref="B45:L45"/>
    <mergeCell ref="N45:X45"/>
    <mergeCell ref="Z45:AH45"/>
    <mergeCell ref="B46:B47"/>
    <mergeCell ref="C46:C47"/>
    <mergeCell ref="N46:N47"/>
    <mergeCell ref="O46:O47"/>
    <mergeCell ref="A171:A172"/>
    <mergeCell ref="B171:L171"/>
    <mergeCell ref="N171:X171"/>
    <mergeCell ref="Z171:AH171"/>
    <mergeCell ref="B172:B173"/>
    <mergeCell ref="C172:C173"/>
    <mergeCell ref="N172:N173"/>
    <mergeCell ref="O172:O173"/>
    <mergeCell ref="A129:A130"/>
    <mergeCell ref="B129:L129"/>
    <mergeCell ref="N129:X129"/>
    <mergeCell ref="Z129:AH129"/>
    <mergeCell ref="B130:B131"/>
    <mergeCell ref="C130:C131"/>
    <mergeCell ref="N130:N131"/>
    <mergeCell ref="O130:O131"/>
    <mergeCell ref="A255:A256"/>
    <mergeCell ref="B255:L255"/>
    <mergeCell ref="N255:X255"/>
    <mergeCell ref="Z255:AH255"/>
    <mergeCell ref="B256:B257"/>
    <mergeCell ref="C256:C257"/>
    <mergeCell ref="N256:N257"/>
    <mergeCell ref="O256:O257"/>
    <mergeCell ref="A213:A214"/>
    <mergeCell ref="B213:L213"/>
    <mergeCell ref="N213:X213"/>
    <mergeCell ref="Z213:AH213"/>
    <mergeCell ref="B214:B215"/>
    <mergeCell ref="C214:C215"/>
    <mergeCell ref="N214:N215"/>
    <mergeCell ref="O214:O215"/>
    <mergeCell ref="B296:AC296"/>
    <mergeCell ref="AF296:AH296"/>
    <mergeCell ref="A297:A298"/>
    <mergeCell ref="B297:L297"/>
    <mergeCell ref="N297:X297"/>
    <mergeCell ref="Z297:AH297"/>
    <mergeCell ref="B298:B299"/>
    <mergeCell ref="C298:C299"/>
    <mergeCell ref="N298:N299"/>
    <mergeCell ref="O298:O299"/>
    <mergeCell ref="B337:AH337"/>
    <mergeCell ref="B338:AC338"/>
    <mergeCell ref="AF338:AH338"/>
    <mergeCell ref="A339:A340"/>
    <mergeCell ref="B339:L339"/>
    <mergeCell ref="N339:X339"/>
    <mergeCell ref="Z339:AH339"/>
    <mergeCell ref="B340:B341"/>
    <mergeCell ref="C340:C341"/>
    <mergeCell ref="N340:N341"/>
    <mergeCell ref="O340:O341"/>
    <mergeCell ref="B379:AH379"/>
    <mergeCell ref="B380:AC380"/>
    <mergeCell ref="AF380:AH380"/>
    <mergeCell ref="A381:A382"/>
    <mergeCell ref="B381:L381"/>
    <mergeCell ref="N381:X381"/>
    <mergeCell ref="Z381:AH381"/>
    <mergeCell ref="B382:B383"/>
    <mergeCell ref="C382:C383"/>
    <mergeCell ref="N382:N383"/>
    <mergeCell ref="O382:O383"/>
    <mergeCell ref="B421:AH421"/>
    <mergeCell ref="B422:AC422"/>
    <mergeCell ref="AF422:AH422"/>
    <mergeCell ref="A423:A424"/>
    <mergeCell ref="B423:L423"/>
    <mergeCell ref="N423:X423"/>
    <mergeCell ref="Z423:AH423"/>
    <mergeCell ref="B424:B425"/>
    <mergeCell ref="C424:C425"/>
    <mergeCell ref="N424:N425"/>
    <mergeCell ref="O424:O425"/>
    <mergeCell ref="B463:AH463"/>
    <mergeCell ref="B464:AC464"/>
    <mergeCell ref="AF464:AH464"/>
    <mergeCell ref="A465:A466"/>
    <mergeCell ref="B465:L465"/>
    <mergeCell ref="N465:X465"/>
    <mergeCell ref="Z465:AH465"/>
    <mergeCell ref="B466:B467"/>
    <mergeCell ref="C466:C467"/>
    <mergeCell ref="N466:N467"/>
    <mergeCell ref="O466:O467"/>
    <mergeCell ref="B505:AH505"/>
    <mergeCell ref="B506:AC506"/>
    <mergeCell ref="AF506:AH506"/>
    <mergeCell ref="A507:A508"/>
    <mergeCell ref="B507:L507"/>
    <mergeCell ref="N507:X507"/>
    <mergeCell ref="Z507:AH507"/>
    <mergeCell ref="B508:B509"/>
    <mergeCell ref="C508:C509"/>
    <mergeCell ref="N508:N509"/>
    <mergeCell ref="O508:O509"/>
  </mergeCells>
  <pageMargins left="0.7" right="0.7" top="0.75" bottom="0.75" header="0.3" footer="0.3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542"/>
  <sheetViews>
    <sheetView topLeftCell="A174" workbookViewId="0">
      <selection activeCell="R194" sqref="R194"/>
    </sheetView>
  </sheetViews>
  <sheetFormatPr defaultColWidth="5.42578125" defaultRowHeight="15"/>
  <cols>
    <col min="1" max="1" width="9.5703125" style="2" customWidth="1"/>
    <col min="2" max="12" width="5.42578125" style="3"/>
    <col min="13" max="13" width="4.28515625" style="3" customWidth="1"/>
    <col min="14" max="15" width="5.42578125" style="3"/>
    <col min="16" max="16" width="6.5703125" style="3" customWidth="1"/>
    <col min="17" max="17" width="5.7109375" style="3" customWidth="1"/>
    <col min="18" max="19" width="5.42578125" style="3"/>
    <col min="20" max="20" width="6.5703125" style="3" customWidth="1"/>
    <col min="21" max="21" width="6.5703125" style="3" bestFit="1" customWidth="1"/>
    <col min="22" max="28" width="5.42578125" style="3"/>
    <col min="29" max="29" width="6" style="3" bestFit="1" customWidth="1"/>
    <col min="30" max="30" width="6.5703125" style="3" customWidth="1"/>
    <col min="31" max="31" width="7" style="3" bestFit="1" customWidth="1"/>
    <col min="32" max="34" width="5.42578125" style="3"/>
  </cols>
  <sheetData>
    <row r="1" spans="1:34" s="1" customFormat="1" ht="15.75" thickBot="1">
      <c r="B1" s="338" t="s">
        <v>0</v>
      </c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9"/>
      <c r="R1" s="339"/>
      <c r="S1" s="339"/>
      <c r="T1" s="339"/>
      <c r="U1" s="339"/>
      <c r="V1" s="339"/>
      <c r="W1" s="339"/>
      <c r="X1" s="339"/>
      <c r="Y1" s="339"/>
      <c r="Z1" s="339"/>
      <c r="AA1" s="339"/>
      <c r="AB1" s="339"/>
      <c r="AC1" s="339"/>
      <c r="AD1" s="340"/>
      <c r="AE1" s="340"/>
      <c r="AF1" s="340"/>
      <c r="AG1" s="340"/>
      <c r="AH1" s="340"/>
    </row>
    <row r="2" spans="1:34" s="1" customFormat="1" ht="15.75" customHeight="1" thickBot="1">
      <c r="B2" s="338" t="s">
        <v>172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4"/>
      <c r="AE2" s="43" t="s">
        <v>107</v>
      </c>
      <c r="AF2" s="341">
        <v>45992</v>
      </c>
      <c r="AG2" s="342"/>
      <c r="AH2" s="343"/>
    </row>
    <row r="3" spans="1:34">
      <c r="A3" s="344"/>
      <c r="B3" s="346" t="s">
        <v>132</v>
      </c>
      <c r="C3" s="347"/>
      <c r="D3" s="347"/>
      <c r="E3" s="347"/>
      <c r="F3" s="347"/>
      <c r="G3" s="347"/>
      <c r="H3" s="347"/>
      <c r="I3" s="347"/>
      <c r="J3" s="347"/>
      <c r="K3" s="348"/>
      <c r="L3" s="349"/>
      <c r="M3" s="22"/>
      <c r="N3" s="350" t="s">
        <v>133</v>
      </c>
      <c r="O3" s="347"/>
      <c r="P3" s="347"/>
      <c r="Q3" s="347"/>
      <c r="R3" s="347"/>
      <c r="S3" s="347"/>
      <c r="T3" s="347"/>
      <c r="U3" s="347"/>
      <c r="V3" s="347"/>
      <c r="W3" s="348"/>
      <c r="X3" s="349"/>
      <c r="Y3" s="22"/>
      <c r="Z3" s="346" t="s">
        <v>134</v>
      </c>
      <c r="AA3" s="347"/>
      <c r="AB3" s="347"/>
      <c r="AC3" s="347"/>
      <c r="AD3" s="347"/>
      <c r="AE3" s="347"/>
      <c r="AF3" s="347"/>
      <c r="AG3" s="348"/>
      <c r="AH3" s="349"/>
    </row>
    <row r="4" spans="1:34" ht="25.5">
      <c r="A4" s="345"/>
      <c r="B4" s="359" t="s">
        <v>135</v>
      </c>
      <c r="C4" s="361" t="s">
        <v>136</v>
      </c>
      <c r="D4" s="5" t="s">
        <v>137</v>
      </c>
      <c r="E4" s="5" t="s">
        <v>138</v>
      </c>
      <c r="F4" s="5" t="s">
        <v>139</v>
      </c>
      <c r="G4" s="5" t="s">
        <v>140</v>
      </c>
      <c r="H4" s="5" t="s">
        <v>141</v>
      </c>
      <c r="I4" s="5" t="s">
        <v>142</v>
      </c>
      <c r="J4" s="5" t="s">
        <v>143</v>
      </c>
      <c r="K4" s="181" t="s">
        <v>81</v>
      </c>
      <c r="L4" s="23" t="s">
        <v>144</v>
      </c>
      <c r="M4" s="22"/>
      <c r="N4" s="355" t="s">
        <v>135</v>
      </c>
      <c r="O4" s="357" t="s">
        <v>136</v>
      </c>
      <c r="P4" s="5" t="s">
        <v>137</v>
      </c>
      <c r="Q4" s="5" t="s">
        <v>138</v>
      </c>
      <c r="R4" s="5" t="s">
        <v>139</v>
      </c>
      <c r="S4" s="5" t="s">
        <v>140</v>
      </c>
      <c r="T4" s="5" t="s">
        <v>141</v>
      </c>
      <c r="U4" s="5" t="s">
        <v>142</v>
      </c>
      <c r="V4" s="5" t="s">
        <v>143</v>
      </c>
      <c r="W4" s="181" t="s">
        <v>81</v>
      </c>
      <c r="X4" s="23" t="s">
        <v>144</v>
      </c>
      <c r="Y4" s="22"/>
      <c r="Z4" s="33" t="s">
        <v>137</v>
      </c>
      <c r="AA4" s="5" t="s">
        <v>138</v>
      </c>
      <c r="AB4" s="5" t="s">
        <v>139</v>
      </c>
      <c r="AC4" s="5" t="s">
        <v>140</v>
      </c>
      <c r="AD4" s="5" t="s">
        <v>141</v>
      </c>
      <c r="AE4" s="5" t="s">
        <v>142</v>
      </c>
      <c r="AF4" s="5" t="s">
        <v>143</v>
      </c>
      <c r="AG4" s="181" t="s">
        <v>81</v>
      </c>
      <c r="AH4" s="23" t="s">
        <v>144</v>
      </c>
    </row>
    <row r="5" spans="1:34" ht="25.5">
      <c r="A5" s="6" t="s">
        <v>145</v>
      </c>
      <c r="B5" s="360"/>
      <c r="C5" s="362"/>
      <c r="D5" s="5" t="s">
        <v>128</v>
      </c>
      <c r="E5" s="5" t="s">
        <v>128</v>
      </c>
      <c r="F5" s="5" t="s">
        <v>128</v>
      </c>
      <c r="G5" s="5" t="s">
        <v>128</v>
      </c>
      <c r="H5" s="5" t="s">
        <v>125</v>
      </c>
      <c r="I5" s="5" t="s">
        <v>146</v>
      </c>
      <c r="J5" s="5" t="s">
        <v>127</v>
      </c>
      <c r="K5" s="181" t="s">
        <v>53</v>
      </c>
      <c r="L5" s="23" t="s">
        <v>53</v>
      </c>
      <c r="M5" s="22"/>
      <c r="N5" s="356"/>
      <c r="O5" s="358"/>
      <c r="P5" s="5" t="s">
        <v>128</v>
      </c>
      <c r="Q5" s="5" t="s">
        <v>128</v>
      </c>
      <c r="R5" s="5" t="s">
        <v>128</v>
      </c>
      <c r="S5" s="5" t="s">
        <v>128</v>
      </c>
      <c r="T5" s="5" t="s">
        <v>125</v>
      </c>
      <c r="U5" s="5" t="s">
        <v>146</v>
      </c>
      <c r="V5" s="5" t="s">
        <v>127</v>
      </c>
      <c r="W5" s="181" t="s">
        <v>53</v>
      </c>
      <c r="X5" s="23" t="s">
        <v>53</v>
      </c>
      <c r="Y5" s="22"/>
      <c r="Z5" s="33" t="s">
        <v>128</v>
      </c>
      <c r="AA5" s="5" t="s">
        <v>128</v>
      </c>
      <c r="AB5" s="5" t="s">
        <v>128</v>
      </c>
      <c r="AC5" s="5" t="s">
        <v>128</v>
      </c>
      <c r="AD5" s="5" t="s">
        <v>125</v>
      </c>
      <c r="AE5" s="5" t="s">
        <v>146</v>
      </c>
      <c r="AF5" s="5" t="s">
        <v>127</v>
      </c>
      <c r="AG5" s="181" t="s">
        <v>53</v>
      </c>
      <c r="AH5" s="23" t="s">
        <v>53</v>
      </c>
    </row>
    <row r="6" spans="1:34" ht="39" thickBot="1">
      <c r="A6" s="7" t="s">
        <v>147</v>
      </c>
      <c r="B6" s="8" t="s">
        <v>173</v>
      </c>
      <c r="C6" s="9" t="s">
        <v>174</v>
      </c>
      <c r="D6" s="9" t="s">
        <v>181</v>
      </c>
      <c r="E6" s="9" t="s">
        <v>182</v>
      </c>
      <c r="F6" s="9" t="s">
        <v>183</v>
      </c>
      <c r="G6" s="9" t="s">
        <v>175</v>
      </c>
      <c r="H6" s="9" t="s">
        <v>176</v>
      </c>
      <c r="I6" s="24" t="s">
        <v>155</v>
      </c>
      <c r="J6" s="24" t="s">
        <v>156</v>
      </c>
      <c r="K6" s="24" t="s">
        <v>179</v>
      </c>
      <c r="L6" s="25" t="s">
        <v>177</v>
      </c>
      <c r="M6" s="22"/>
      <c r="N6" s="8" t="s">
        <v>173</v>
      </c>
      <c r="O6" s="9" t="s">
        <v>174</v>
      </c>
      <c r="P6" s="9" t="s">
        <v>181</v>
      </c>
      <c r="Q6" s="9" t="s">
        <v>182</v>
      </c>
      <c r="R6" s="9" t="s">
        <v>183</v>
      </c>
      <c r="S6" s="9" t="s">
        <v>175</v>
      </c>
      <c r="T6" s="9" t="s">
        <v>176</v>
      </c>
      <c r="U6" s="24" t="s">
        <v>155</v>
      </c>
      <c r="V6" s="24" t="s">
        <v>156</v>
      </c>
      <c r="W6" s="24" t="s">
        <v>179</v>
      </c>
      <c r="X6" s="25" t="s">
        <v>177</v>
      </c>
      <c r="Y6" s="22"/>
      <c r="Z6" s="9" t="s">
        <v>181</v>
      </c>
      <c r="AA6" s="9" t="s">
        <v>182</v>
      </c>
      <c r="AB6" s="9" t="s">
        <v>183</v>
      </c>
      <c r="AC6" s="9" t="s">
        <v>175</v>
      </c>
      <c r="AD6" s="9" t="s">
        <v>176</v>
      </c>
      <c r="AE6" s="24" t="s">
        <v>155</v>
      </c>
      <c r="AF6" s="24" t="s">
        <v>156</v>
      </c>
      <c r="AG6" s="24" t="s">
        <v>179</v>
      </c>
      <c r="AH6" s="25" t="s">
        <v>177</v>
      </c>
    </row>
    <row r="7" spans="1:34">
      <c r="A7" s="10">
        <f>AF2+0</f>
        <v>45992</v>
      </c>
      <c r="B7" s="11" t="s">
        <v>35</v>
      </c>
      <c r="C7" s="12" t="s">
        <v>35</v>
      </c>
      <c r="D7" s="12" t="s">
        <v>35</v>
      </c>
      <c r="E7" s="13" t="s">
        <v>35</v>
      </c>
      <c r="F7" s="12" t="s">
        <v>35</v>
      </c>
      <c r="G7" s="12" t="s">
        <v>35</v>
      </c>
      <c r="H7" s="12" t="s">
        <v>35</v>
      </c>
      <c r="I7" s="12" t="s">
        <v>35</v>
      </c>
      <c r="J7" s="13" t="s">
        <v>35</v>
      </c>
      <c r="K7" s="195" t="s">
        <v>35</v>
      </c>
      <c r="L7" s="26" t="s">
        <v>35</v>
      </c>
      <c r="M7" s="22"/>
      <c r="N7" s="29" t="s">
        <v>35</v>
      </c>
      <c r="O7" s="13" t="s">
        <v>35</v>
      </c>
      <c r="P7" s="28">
        <v>11.24</v>
      </c>
      <c r="Q7" s="28">
        <v>22.82</v>
      </c>
      <c r="R7" s="28">
        <v>41.78</v>
      </c>
      <c r="S7" s="28">
        <v>56.68</v>
      </c>
      <c r="T7" s="62">
        <v>335</v>
      </c>
      <c r="U7" s="28">
        <v>7.76</v>
      </c>
      <c r="V7" s="28">
        <v>2</v>
      </c>
      <c r="W7" s="184">
        <v>2.4300000000000002</v>
      </c>
      <c r="X7" s="34">
        <v>4.32</v>
      </c>
      <c r="Y7" s="22"/>
      <c r="Z7" s="38" t="s">
        <v>35</v>
      </c>
      <c r="AA7" s="13" t="s">
        <v>35</v>
      </c>
      <c r="AB7" s="13" t="s">
        <v>35</v>
      </c>
      <c r="AC7" s="13" t="s">
        <v>35</v>
      </c>
      <c r="AD7" s="36" t="s">
        <v>35</v>
      </c>
      <c r="AE7" s="13" t="s">
        <v>35</v>
      </c>
      <c r="AF7" s="13" t="s">
        <v>35</v>
      </c>
      <c r="AG7" s="13" t="s">
        <v>35</v>
      </c>
      <c r="AH7" s="37" t="s">
        <v>35</v>
      </c>
    </row>
    <row r="8" spans="1:34">
      <c r="A8" s="14">
        <f t="shared" ref="A8:A37" si="0">A7+1</f>
        <v>45993</v>
      </c>
      <c r="B8" s="11" t="s">
        <v>35</v>
      </c>
      <c r="C8" s="12" t="s">
        <v>35</v>
      </c>
      <c r="D8" s="12" t="s">
        <v>35</v>
      </c>
      <c r="E8" s="13" t="s">
        <v>35</v>
      </c>
      <c r="F8" s="12" t="s">
        <v>35</v>
      </c>
      <c r="G8" s="12" t="s">
        <v>35</v>
      </c>
      <c r="H8" s="12" t="s">
        <v>35</v>
      </c>
      <c r="I8" s="12" t="s">
        <v>35</v>
      </c>
      <c r="J8" s="13" t="s">
        <v>35</v>
      </c>
      <c r="K8" s="195" t="s">
        <v>35</v>
      </c>
      <c r="L8" s="26" t="s">
        <v>35</v>
      </c>
      <c r="M8" s="22"/>
      <c r="N8" s="29" t="s">
        <v>35</v>
      </c>
      <c r="O8" s="13" t="s">
        <v>35</v>
      </c>
      <c r="P8" s="13" t="s">
        <v>35</v>
      </c>
      <c r="Q8" s="13" t="s">
        <v>35</v>
      </c>
      <c r="R8" s="13" t="s">
        <v>35</v>
      </c>
      <c r="S8" s="13" t="s">
        <v>35</v>
      </c>
      <c r="T8" s="36" t="s">
        <v>35</v>
      </c>
      <c r="U8" s="13" t="s">
        <v>35</v>
      </c>
      <c r="V8" s="13" t="s">
        <v>35</v>
      </c>
      <c r="W8" s="13" t="s">
        <v>35</v>
      </c>
      <c r="X8" s="37" t="s">
        <v>35</v>
      </c>
      <c r="Y8" s="22"/>
      <c r="Z8" s="38" t="s">
        <v>35</v>
      </c>
      <c r="AA8" s="13" t="s">
        <v>35</v>
      </c>
      <c r="AB8" s="13" t="s">
        <v>35</v>
      </c>
      <c r="AC8" s="13" t="s">
        <v>35</v>
      </c>
      <c r="AD8" s="36" t="s">
        <v>35</v>
      </c>
      <c r="AE8" s="13" t="s">
        <v>35</v>
      </c>
      <c r="AF8" s="13" t="s">
        <v>35</v>
      </c>
      <c r="AG8" s="13" t="s">
        <v>35</v>
      </c>
      <c r="AH8" s="37" t="s">
        <v>35</v>
      </c>
    </row>
    <row r="9" spans="1:34">
      <c r="A9" s="14">
        <f t="shared" si="0"/>
        <v>45994</v>
      </c>
      <c r="B9" s="11" t="s">
        <v>35</v>
      </c>
      <c r="C9" s="12" t="s">
        <v>35</v>
      </c>
      <c r="D9" s="12" t="s">
        <v>35</v>
      </c>
      <c r="E9" s="13" t="s">
        <v>35</v>
      </c>
      <c r="F9" s="12" t="s">
        <v>35</v>
      </c>
      <c r="G9" s="12" t="s">
        <v>35</v>
      </c>
      <c r="H9" s="12" t="s">
        <v>35</v>
      </c>
      <c r="I9" s="12" t="s">
        <v>35</v>
      </c>
      <c r="J9" s="13" t="s">
        <v>35</v>
      </c>
      <c r="K9" s="195" t="s">
        <v>35</v>
      </c>
      <c r="L9" s="26" t="s">
        <v>35</v>
      </c>
      <c r="M9" s="22"/>
      <c r="N9" s="29" t="s">
        <v>35</v>
      </c>
      <c r="O9" s="13" t="s">
        <v>35</v>
      </c>
      <c r="P9" s="13">
        <v>12.2</v>
      </c>
      <c r="Q9" s="13">
        <v>23.01</v>
      </c>
      <c r="R9" s="13">
        <v>38.299999999999997</v>
      </c>
      <c r="S9" s="13">
        <v>52.31</v>
      </c>
      <c r="T9" s="36">
        <v>309</v>
      </c>
      <c r="U9" s="13">
        <v>12.4</v>
      </c>
      <c r="V9" s="13">
        <v>2</v>
      </c>
      <c r="W9" s="184">
        <v>2.2930000000000001</v>
      </c>
      <c r="X9" s="37">
        <v>2.98</v>
      </c>
      <c r="Y9" s="22"/>
      <c r="Z9" s="38" t="s">
        <v>35</v>
      </c>
      <c r="AA9" s="13" t="s">
        <v>35</v>
      </c>
      <c r="AB9" s="13" t="s">
        <v>35</v>
      </c>
      <c r="AC9" s="13" t="s">
        <v>35</v>
      </c>
      <c r="AD9" s="36" t="s">
        <v>35</v>
      </c>
      <c r="AE9" s="13" t="s">
        <v>35</v>
      </c>
      <c r="AF9" s="13" t="s">
        <v>35</v>
      </c>
      <c r="AG9" s="13" t="s">
        <v>35</v>
      </c>
      <c r="AH9" s="37" t="s">
        <v>35</v>
      </c>
    </row>
    <row r="10" spans="1:34">
      <c r="A10" s="14">
        <f t="shared" si="0"/>
        <v>45995</v>
      </c>
      <c r="B10" s="11" t="s">
        <v>35</v>
      </c>
      <c r="C10" s="12" t="s">
        <v>35</v>
      </c>
      <c r="D10" s="12" t="s">
        <v>35</v>
      </c>
      <c r="E10" s="13" t="s">
        <v>35</v>
      </c>
      <c r="F10" s="12" t="s">
        <v>35</v>
      </c>
      <c r="G10" s="12" t="s">
        <v>35</v>
      </c>
      <c r="H10" s="12" t="s">
        <v>35</v>
      </c>
      <c r="I10" s="12" t="s">
        <v>35</v>
      </c>
      <c r="J10" s="13" t="s">
        <v>35</v>
      </c>
      <c r="K10" s="195" t="s">
        <v>35</v>
      </c>
      <c r="L10" s="26" t="s">
        <v>35</v>
      </c>
      <c r="M10" s="22"/>
      <c r="N10" s="29" t="s">
        <v>35</v>
      </c>
      <c r="O10" s="13" t="s">
        <v>35</v>
      </c>
      <c r="P10" s="13">
        <v>12.92</v>
      </c>
      <c r="Q10" s="13">
        <v>23.25</v>
      </c>
      <c r="R10" s="13">
        <v>42.75</v>
      </c>
      <c r="S10" s="13">
        <v>52.66</v>
      </c>
      <c r="T10" s="36">
        <v>300</v>
      </c>
      <c r="U10" s="13">
        <v>11.68</v>
      </c>
      <c r="V10" s="13">
        <v>13.5</v>
      </c>
      <c r="W10" s="184">
        <v>2.11</v>
      </c>
      <c r="X10" s="37">
        <v>2.0099999999999998</v>
      </c>
      <c r="Y10" s="22"/>
      <c r="Z10" s="38" t="s">
        <v>35</v>
      </c>
      <c r="AA10" s="13" t="s">
        <v>35</v>
      </c>
      <c r="AB10" s="13" t="s">
        <v>35</v>
      </c>
      <c r="AC10" s="13" t="s">
        <v>35</v>
      </c>
      <c r="AD10" s="36" t="s">
        <v>35</v>
      </c>
      <c r="AE10" s="13" t="s">
        <v>35</v>
      </c>
      <c r="AF10" s="13" t="s">
        <v>35</v>
      </c>
      <c r="AG10" s="13" t="s">
        <v>35</v>
      </c>
      <c r="AH10" s="37" t="s">
        <v>35</v>
      </c>
    </row>
    <row r="11" spans="1:34">
      <c r="A11" s="14">
        <f t="shared" si="0"/>
        <v>45996</v>
      </c>
      <c r="B11" s="11" t="s">
        <v>35</v>
      </c>
      <c r="C11" s="12" t="s">
        <v>35</v>
      </c>
      <c r="D11" s="12" t="s">
        <v>35</v>
      </c>
      <c r="E11" s="13" t="s">
        <v>35</v>
      </c>
      <c r="F11" s="12" t="s">
        <v>35</v>
      </c>
      <c r="G11" s="12" t="s">
        <v>35</v>
      </c>
      <c r="H11" s="12" t="s">
        <v>35</v>
      </c>
      <c r="I11" s="12" t="s">
        <v>35</v>
      </c>
      <c r="J11" s="13" t="s">
        <v>35</v>
      </c>
      <c r="K11" s="195" t="s">
        <v>35</v>
      </c>
      <c r="L11" s="26" t="s">
        <v>35</v>
      </c>
      <c r="M11" s="22"/>
      <c r="N11" s="29" t="s">
        <v>35</v>
      </c>
      <c r="O11" s="13" t="s">
        <v>35</v>
      </c>
      <c r="P11" s="13" t="s">
        <v>35</v>
      </c>
      <c r="Q11" s="13" t="s">
        <v>35</v>
      </c>
      <c r="R11" s="13" t="s">
        <v>35</v>
      </c>
      <c r="S11" s="13" t="s">
        <v>35</v>
      </c>
      <c r="T11" s="36" t="s">
        <v>35</v>
      </c>
      <c r="U11" s="13" t="s">
        <v>35</v>
      </c>
      <c r="V11" s="13" t="s">
        <v>35</v>
      </c>
      <c r="W11" s="13" t="s">
        <v>35</v>
      </c>
      <c r="X11" s="51" t="s">
        <v>35</v>
      </c>
      <c r="Y11" s="22"/>
      <c r="Z11" s="38" t="s">
        <v>35</v>
      </c>
      <c r="AA11" s="13" t="s">
        <v>35</v>
      </c>
      <c r="AB11" s="13" t="s">
        <v>35</v>
      </c>
      <c r="AC11" s="13" t="s">
        <v>35</v>
      </c>
      <c r="AD11" s="36" t="s">
        <v>35</v>
      </c>
      <c r="AE11" s="13" t="s">
        <v>35</v>
      </c>
      <c r="AF11" s="13" t="s">
        <v>35</v>
      </c>
      <c r="AG11" s="13" t="s">
        <v>35</v>
      </c>
      <c r="AH11" s="37" t="s">
        <v>35</v>
      </c>
    </row>
    <row r="12" spans="1:34">
      <c r="A12" s="14">
        <f t="shared" si="0"/>
        <v>45997</v>
      </c>
      <c r="B12" s="11" t="s">
        <v>35</v>
      </c>
      <c r="C12" s="12" t="s">
        <v>35</v>
      </c>
      <c r="D12" s="12" t="s">
        <v>35</v>
      </c>
      <c r="E12" s="13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3" t="s">
        <v>35</v>
      </c>
      <c r="K12" s="195" t="s">
        <v>35</v>
      </c>
      <c r="L12" s="26" t="s">
        <v>35</v>
      </c>
      <c r="M12" s="22"/>
      <c r="N12" s="29"/>
      <c r="O12" s="13"/>
      <c r="P12" s="13">
        <v>14.02</v>
      </c>
      <c r="Q12" s="13">
        <v>24.82</v>
      </c>
      <c r="R12" s="13">
        <v>44.05</v>
      </c>
      <c r="S12" s="13">
        <v>54.16</v>
      </c>
      <c r="T12" s="36">
        <v>366</v>
      </c>
      <c r="U12" s="13">
        <v>9.7200000000000006</v>
      </c>
      <c r="V12" s="13">
        <v>1.5</v>
      </c>
      <c r="W12" s="184">
        <v>2.13</v>
      </c>
      <c r="X12" s="51">
        <v>2.4700000000000002</v>
      </c>
      <c r="Y12" s="22"/>
      <c r="Z12" s="38" t="s">
        <v>35</v>
      </c>
      <c r="AA12" s="13" t="s">
        <v>35</v>
      </c>
      <c r="AB12" s="13" t="s">
        <v>35</v>
      </c>
      <c r="AC12" s="13" t="s">
        <v>35</v>
      </c>
      <c r="AD12" s="36" t="s">
        <v>35</v>
      </c>
      <c r="AE12" s="13" t="s">
        <v>35</v>
      </c>
      <c r="AF12" s="13" t="s">
        <v>35</v>
      </c>
      <c r="AG12" s="13" t="s">
        <v>35</v>
      </c>
      <c r="AH12" s="37" t="s">
        <v>35</v>
      </c>
    </row>
    <row r="13" spans="1:34">
      <c r="A13" s="14">
        <f t="shared" si="0"/>
        <v>45998</v>
      </c>
      <c r="B13" s="11" t="s">
        <v>35</v>
      </c>
      <c r="C13" s="12" t="s">
        <v>35</v>
      </c>
      <c r="D13" s="12" t="s">
        <v>35</v>
      </c>
      <c r="E13" s="13" t="s">
        <v>35</v>
      </c>
      <c r="F13" s="12" t="s">
        <v>35</v>
      </c>
      <c r="G13" s="12" t="s">
        <v>35</v>
      </c>
      <c r="H13" s="12" t="s">
        <v>35</v>
      </c>
      <c r="I13" s="12" t="s">
        <v>35</v>
      </c>
      <c r="J13" s="13" t="s">
        <v>35</v>
      </c>
      <c r="K13" s="195" t="s">
        <v>35</v>
      </c>
      <c r="L13" s="26" t="s">
        <v>35</v>
      </c>
      <c r="M13" s="22"/>
      <c r="N13" s="29" t="s">
        <v>35</v>
      </c>
      <c r="O13" s="50" t="s">
        <v>35</v>
      </c>
      <c r="P13" s="13" t="s">
        <v>35</v>
      </c>
      <c r="Q13" s="13" t="s">
        <v>35</v>
      </c>
      <c r="R13" s="13" t="s">
        <v>35</v>
      </c>
      <c r="S13" s="13" t="s">
        <v>35</v>
      </c>
      <c r="T13" s="36" t="s">
        <v>35</v>
      </c>
      <c r="U13" s="13" t="s">
        <v>35</v>
      </c>
      <c r="V13" s="13" t="s">
        <v>35</v>
      </c>
      <c r="W13" s="13" t="s">
        <v>35</v>
      </c>
      <c r="X13" s="51" t="s">
        <v>35</v>
      </c>
      <c r="Y13" s="22"/>
      <c r="Z13" s="38" t="s">
        <v>35</v>
      </c>
      <c r="AA13" s="13" t="s">
        <v>35</v>
      </c>
      <c r="AB13" s="13" t="s">
        <v>35</v>
      </c>
      <c r="AC13" s="13" t="s">
        <v>35</v>
      </c>
      <c r="AD13" s="36" t="s">
        <v>35</v>
      </c>
      <c r="AE13" s="13" t="s">
        <v>35</v>
      </c>
      <c r="AF13" s="13" t="s">
        <v>35</v>
      </c>
      <c r="AG13" s="13" t="s">
        <v>35</v>
      </c>
      <c r="AH13" s="37" t="s">
        <v>35</v>
      </c>
    </row>
    <row r="14" spans="1:34">
      <c r="A14" s="14">
        <f t="shared" si="0"/>
        <v>45999</v>
      </c>
      <c r="B14" s="11" t="s">
        <v>35</v>
      </c>
      <c r="C14" s="12" t="s">
        <v>35</v>
      </c>
      <c r="D14" s="12" t="s">
        <v>35</v>
      </c>
      <c r="E14" s="13" t="s">
        <v>35</v>
      </c>
      <c r="F14" s="12" t="s">
        <v>35</v>
      </c>
      <c r="G14" s="12" t="s">
        <v>35</v>
      </c>
      <c r="H14" s="12" t="s">
        <v>35</v>
      </c>
      <c r="I14" s="12" t="s">
        <v>35</v>
      </c>
      <c r="J14" s="13" t="s">
        <v>35</v>
      </c>
      <c r="K14" s="195" t="s">
        <v>35</v>
      </c>
      <c r="L14" s="26" t="s">
        <v>35</v>
      </c>
      <c r="M14" s="22"/>
      <c r="N14" s="29" t="s">
        <v>35</v>
      </c>
      <c r="O14" s="50" t="s">
        <v>35</v>
      </c>
      <c r="P14" s="13">
        <v>13.4</v>
      </c>
      <c r="Q14" s="13">
        <v>23.61</v>
      </c>
      <c r="R14" s="13">
        <v>40.43</v>
      </c>
      <c r="S14" s="13">
        <v>55.04</v>
      </c>
      <c r="T14" s="36">
        <v>357</v>
      </c>
      <c r="U14" s="13">
        <v>9.6</v>
      </c>
      <c r="V14" s="13">
        <v>0.5</v>
      </c>
      <c r="W14" s="184">
        <v>2.2959999999999998</v>
      </c>
      <c r="X14" s="37">
        <v>3.53</v>
      </c>
      <c r="Y14" s="22"/>
      <c r="Z14" s="38" t="s">
        <v>35</v>
      </c>
      <c r="AA14" s="13" t="s">
        <v>35</v>
      </c>
      <c r="AB14" s="13" t="s">
        <v>35</v>
      </c>
      <c r="AC14" s="13" t="s">
        <v>35</v>
      </c>
      <c r="AD14" s="36" t="s">
        <v>35</v>
      </c>
      <c r="AE14" s="13" t="s">
        <v>35</v>
      </c>
      <c r="AF14" s="13" t="s">
        <v>35</v>
      </c>
      <c r="AG14" s="13" t="s">
        <v>35</v>
      </c>
      <c r="AH14" s="37" t="s">
        <v>35</v>
      </c>
    </row>
    <row r="15" spans="1:34">
      <c r="A15" s="14">
        <f t="shared" si="0"/>
        <v>46000</v>
      </c>
      <c r="B15" s="11" t="s">
        <v>35</v>
      </c>
      <c r="C15" s="12" t="s">
        <v>35</v>
      </c>
      <c r="D15" s="12" t="s">
        <v>35</v>
      </c>
      <c r="E15" s="13" t="s">
        <v>35</v>
      </c>
      <c r="F15" s="12" t="s">
        <v>35</v>
      </c>
      <c r="G15" s="12" t="s">
        <v>35</v>
      </c>
      <c r="H15" s="12" t="s">
        <v>35</v>
      </c>
      <c r="I15" s="12" t="s">
        <v>35</v>
      </c>
      <c r="J15" s="13" t="s">
        <v>35</v>
      </c>
      <c r="K15" s="195" t="s">
        <v>35</v>
      </c>
      <c r="L15" s="26" t="s">
        <v>35</v>
      </c>
      <c r="M15" s="22"/>
      <c r="N15" s="29" t="s">
        <v>35</v>
      </c>
      <c r="O15" s="50" t="s">
        <v>35</v>
      </c>
      <c r="P15" s="13">
        <v>13.06</v>
      </c>
      <c r="Q15" s="13">
        <v>23.39</v>
      </c>
      <c r="R15" s="13">
        <v>37.15</v>
      </c>
      <c r="S15" s="13">
        <v>48.73</v>
      </c>
      <c r="T15" s="36">
        <v>298</v>
      </c>
      <c r="U15" s="13">
        <v>11.44</v>
      </c>
      <c r="V15" s="13">
        <v>5</v>
      </c>
      <c r="W15" s="184">
        <v>2.4780000000000002</v>
      </c>
      <c r="X15" s="37">
        <v>2.59</v>
      </c>
      <c r="Y15" s="22"/>
      <c r="Z15" s="38" t="s">
        <v>35</v>
      </c>
      <c r="AA15" s="13" t="s">
        <v>35</v>
      </c>
      <c r="AB15" s="13" t="s">
        <v>35</v>
      </c>
      <c r="AC15" s="13" t="s">
        <v>35</v>
      </c>
      <c r="AD15" s="36" t="s">
        <v>35</v>
      </c>
      <c r="AE15" s="13" t="s">
        <v>35</v>
      </c>
      <c r="AF15" s="13" t="s">
        <v>35</v>
      </c>
      <c r="AG15" s="13" t="s">
        <v>35</v>
      </c>
      <c r="AH15" s="37" t="s">
        <v>35</v>
      </c>
    </row>
    <row r="16" spans="1:34">
      <c r="A16" s="14">
        <f t="shared" si="0"/>
        <v>46001</v>
      </c>
      <c r="B16" s="11" t="s">
        <v>35</v>
      </c>
      <c r="C16" s="12" t="s">
        <v>35</v>
      </c>
      <c r="D16" s="12" t="s">
        <v>35</v>
      </c>
      <c r="E16" s="13" t="s">
        <v>35</v>
      </c>
      <c r="F16" s="12" t="s">
        <v>35</v>
      </c>
      <c r="G16" s="12" t="s">
        <v>35</v>
      </c>
      <c r="H16" s="12" t="s">
        <v>35</v>
      </c>
      <c r="I16" s="12" t="s">
        <v>35</v>
      </c>
      <c r="J16" s="13" t="s">
        <v>35</v>
      </c>
      <c r="K16" s="195" t="s">
        <v>35</v>
      </c>
      <c r="L16" s="26" t="s">
        <v>35</v>
      </c>
      <c r="M16" s="22"/>
      <c r="N16" s="29" t="s">
        <v>35</v>
      </c>
      <c r="O16" s="50" t="s">
        <v>35</v>
      </c>
      <c r="P16" s="13" t="s">
        <v>35</v>
      </c>
      <c r="Q16" s="13" t="s">
        <v>35</v>
      </c>
      <c r="R16" s="13" t="s">
        <v>35</v>
      </c>
      <c r="S16" s="13" t="s">
        <v>35</v>
      </c>
      <c r="T16" s="36" t="s">
        <v>35</v>
      </c>
      <c r="U16" s="13" t="s">
        <v>35</v>
      </c>
      <c r="V16" s="13" t="s">
        <v>35</v>
      </c>
      <c r="W16" s="13" t="s">
        <v>35</v>
      </c>
      <c r="X16" s="51" t="s">
        <v>35</v>
      </c>
      <c r="Y16" s="22"/>
      <c r="Z16" s="38" t="s">
        <v>35</v>
      </c>
      <c r="AA16" s="13" t="s">
        <v>35</v>
      </c>
      <c r="AB16" s="13" t="s">
        <v>35</v>
      </c>
      <c r="AC16" s="13" t="s">
        <v>35</v>
      </c>
      <c r="AD16" s="36" t="s">
        <v>35</v>
      </c>
      <c r="AE16" s="13" t="s">
        <v>35</v>
      </c>
      <c r="AF16" s="13" t="s">
        <v>35</v>
      </c>
      <c r="AG16" s="13" t="s">
        <v>35</v>
      </c>
      <c r="AH16" s="37" t="s">
        <v>35</v>
      </c>
    </row>
    <row r="17" spans="1:34">
      <c r="A17" s="14">
        <f t="shared" si="0"/>
        <v>46002</v>
      </c>
      <c r="B17" s="11" t="s">
        <v>35</v>
      </c>
      <c r="C17" s="12" t="s">
        <v>35</v>
      </c>
      <c r="D17" s="12" t="s">
        <v>35</v>
      </c>
      <c r="E17" s="13" t="s">
        <v>35</v>
      </c>
      <c r="F17" s="12" t="s">
        <v>35</v>
      </c>
      <c r="G17" s="12" t="s">
        <v>35</v>
      </c>
      <c r="H17" s="12" t="s">
        <v>35</v>
      </c>
      <c r="I17" s="12" t="s">
        <v>35</v>
      </c>
      <c r="J17" s="13" t="s">
        <v>35</v>
      </c>
      <c r="K17" s="195" t="s">
        <v>35</v>
      </c>
      <c r="L17" s="26" t="s">
        <v>35</v>
      </c>
      <c r="M17" s="22"/>
      <c r="N17" s="29" t="s">
        <v>35</v>
      </c>
      <c r="O17" s="50" t="s">
        <v>35</v>
      </c>
      <c r="P17" s="13" t="s">
        <v>35</v>
      </c>
      <c r="Q17" s="13" t="s">
        <v>35</v>
      </c>
      <c r="R17" s="13" t="s">
        <v>35</v>
      </c>
      <c r="S17" s="13" t="s">
        <v>35</v>
      </c>
      <c r="T17" s="36" t="s">
        <v>35</v>
      </c>
      <c r="U17" s="13" t="s">
        <v>35</v>
      </c>
      <c r="V17" s="13" t="s">
        <v>35</v>
      </c>
      <c r="W17" s="13" t="s">
        <v>35</v>
      </c>
      <c r="X17" s="51" t="s">
        <v>35</v>
      </c>
      <c r="Y17" s="22"/>
      <c r="Z17" s="38" t="s">
        <v>35</v>
      </c>
      <c r="AA17" s="13" t="s">
        <v>35</v>
      </c>
      <c r="AB17" s="13" t="s">
        <v>35</v>
      </c>
      <c r="AC17" s="13" t="s">
        <v>35</v>
      </c>
      <c r="AD17" s="36" t="s">
        <v>35</v>
      </c>
      <c r="AE17" s="13" t="s">
        <v>35</v>
      </c>
      <c r="AF17" s="13" t="s">
        <v>35</v>
      </c>
      <c r="AG17" s="13" t="s">
        <v>35</v>
      </c>
      <c r="AH17" s="37" t="s">
        <v>35</v>
      </c>
    </row>
    <row r="18" spans="1:34">
      <c r="A18" s="14">
        <f t="shared" si="0"/>
        <v>46003</v>
      </c>
      <c r="B18" s="11" t="s">
        <v>35</v>
      </c>
      <c r="C18" s="12" t="s">
        <v>35</v>
      </c>
      <c r="D18" s="12" t="s">
        <v>35</v>
      </c>
      <c r="E18" s="13" t="s">
        <v>35</v>
      </c>
      <c r="F18" s="12" t="s">
        <v>35</v>
      </c>
      <c r="G18" s="12" t="s">
        <v>35</v>
      </c>
      <c r="H18" s="12" t="s">
        <v>35</v>
      </c>
      <c r="I18" s="12" t="s">
        <v>35</v>
      </c>
      <c r="J18" s="13" t="s">
        <v>35</v>
      </c>
      <c r="K18" s="195" t="s">
        <v>35</v>
      </c>
      <c r="L18" s="26" t="s">
        <v>35</v>
      </c>
      <c r="M18" s="22"/>
      <c r="N18" s="29" t="s">
        <v>35</v>
      </c>
      <c r="O18" s="50" t="s">
        <v>35</v>
      </c>
      <c r="P18" s="13" t="s">
        <v>35</v>
      </c>
      <c r="Q18" s="13" t="s">
        <v>35</v>
      </c>
      <c r="R18" s="13" t="s">
        <v>35</v>
      </c>
      <c r="S18" s="13" t="s">
        <v>35</v>
      </c>
      <c r="T18" s="36" t="s">
        <v>35</v>
      </c>
      <c r="U18" s="13" t="s">
        <v>35</v>
      </c>
      <c r="V18" s="13" t="s">
        <v>35</v>
      </c>
      <c r="W18" s="13" t="s">
        <v>35</v>
      </c>
      <c r="X18" s="51" t="s">
        <v>35</v>
      </c>
      <c r="Y18" s="22"/>
      <c r="Z18" s="38" t="s">
        <v>35</v>
      </c>
      <c r="AA18" s="13" t="s">
        <v>35</v>
      </c>
      <c r="AB18" s="13" t="s">
        <v>35</v>
      </c>
      <c r="AC18" s="13" t="s">
        <v>35</v>
      </c>
      <c r="AD18" s="36" t="s">
        <v>35</v>
      </c>
      <c r="AE18" s="13" t="s">
        <v>35</v>
      </c>
      <c r="AF18" s="13" t="s">
        <v>35</v>
      </c>
      <c r="AG18" s="13" t="s">
        <v>35</v>
      </c>
      <c r="AH18" s="37" t="s">
        <v>35</v>
      </c>
    </row>
    <row r="19" spans="1:34">
      <c r="A19" s="14">
        <f t="shared" si="0"/>
        <v>46004</v>
      </c>
      <c r="B19" s="11" t="s">
        <v>35</v>
      </c>
      <c r="C19" s="12" t="s">
        <v>35</v>
      </c>
      <c r="D19" s="12" t="s">
        <v>35</v>
      </c>
      <c r="E19" s="13" t="s">
        <v>35</v>
      </c>
      <c r="F19" s="12" t="s">
        <v>35</v>
      </c>
      <c r="G19" s="12" t="s">
        <v>35</v>
      </c>
      <c r="H19" s="12" t="s">
        <v>35</v>
      </c>
      <c r="I19" s="12" t="s">
        <v>35</v>
      </c>
      <c r="J19" s="13" t="s">
        <v>35</v>
      </c>
      <c r="K19" s="195" t="s">
        <v>35</v>
      </c>
      <c r="L19" s="26" t="s">
        <v>35</v>
      </c>
      <c r="M19" s="22"/>
      <c r="N19" s="29" t="s">
        <v>35</v>
      </c>
      <c r="O19" s="50" t="s">
        <v>35</v>
      </c>
      <c r="P19" s="13" t="s">
        <v>35</v>
      </c>
      <c r="Q19" s="13" t="s">
        <v>35</v>
      </c>
      <c r="R19" s="13" t="s">
        <v>35</v>
      </c>
      <c r="S19" s="13" t="s">
        <v>35</v>
      </c>
      <c r="T19" s="36" t="s">
        <v>35</v>
      </c>
      <c r="U19" s="13" t="s">
        <v>35</v>
      </c>
      <c r="V19" s="13" t="s">
        <v>35</v>
      </c>
      <c r="W19" s="13" t="s">
        <v>35</v>
      </c>
      <c r="X19" s="51" t="s">
        <v>35</v>
      </c>
      <c r="Y19" s="22"/>
      <c r="Z19" s="38" t="s">
        <v>35</v>
      </c>
      <c r="AA19" s="13" t="s">
        <v>35</v>
      </c>
      <c r="AB19" s="13" t="s">
        <v>35</v>
      </c>
      <c r="AC19" s="13" t="s">
        <v>35</v>
      </c>
      <c r="AD19" s="36" t="s">
        <v>35</v>
      </c>
      <c r="AE19" s="13" t="s">
        <v>35</v>
      </c>
      <c r="AF19" s="13" t="s">
        <v>35</v>
      </c>
      <c r="AG19" s="13" t="s">
        <v>35</v>
      </c>
      <c r="AH19" s="37" t="s">
        <v>35</v>
      </c>
    </row>
    <row r="20" spans="1:34">
      <c r="A20" s="14">
        <f t="shared" si="0"/>
        <v>46005</v>
      </c>
      <c r="B20" s="11" t="s">
        <v>35</v>
      </c>
      <c r="C20" s="12" t="s">
        <v>35</v>
      </c>
      <c r="D20" s="12" t="s">
        <v>35</v>
      </c>
      <c r="E20" s="13" t="s">
        <v>35</v>
      </c>
      <c r="F20" s="12" t="s">
        <v>35</v>
      </c>
      <c r="G20" s="12" t="s">
        <v>35</v>
      </c>
      <c r="H20" s="12" t="s">
        <v>35</v>
      </c>
      <c r="I20" s="12" t="s">
        <v>35</v>
      </c>
      <c r="J20" s="13" t="s">
        <v>35</v>
      </c>
      <c r="K20" s="195" t="s">
        <v>35</v>
      </c>
      <c r="L20" s="26" t="s">
        <v>35</v>
      </c>
      <c r="M20" s="22"/>
      <c r="N20" s="29" t="s">
        <v>35</v>
      </c>
      <c r="O20" s="50" t="s">
        <v>35</v>
      </c>
      <c r="P20" s="13">
        <v>14.57</v>
      </c>
      <c r="Q20" s="13">
        <v>23.16</v>
      </c>
      <c r="R20" s="13">
        <v>44.26</v>
      </c>
      <c r="S20" s="13">
        <v>60.29</v>
      </c>
      <c r="T20" s="36">
        <v>297</v>
      </c>
      <c r="U20" s="13">
        <v>12.92</v>
      </c>
      <c r="V20" s="13">
        <v>1.5</v>
      </c>
      <c r="W20" s="184">
        <v>2.13</v>
      </c>
      <c r="X20" s="51">
        <v>2.5099999999999998</v>
      </c>
      <c r="Y20" s="22"/>
      <c r="Z20" s="38">
        <v>13.15</v>
      </c>
      <c r="AA20" s="13">
        <v>25.56</v>
      </c>
      <c r="AB20" s="13">
        <v>41.24</v>
      </c>
      <c r="AC20" s="13">
        <v>56.18</v>
      </c>
      <c r="AD20" s="36">
        <v>307</v>
      </c>
      <c r="AE20" s="13">
        <v>10.96</v>
      </c>
      <c r="AF20" s="13">
        <v>0.5</v>
      </c>
      <c r="AG20" s="184">
        <v>1.98</v>
      </c>
      <c r="AH20" s="37">
        <v>3.69</v>
      </c>
    </row>
    <row r="21" spans="1:34">
      <c r="A21" s="14">
        <f t="shared" si="0"/>
        <v>46006</v>
      </c>
      <c r="B21" s="11" t="s">
        <v>35</v>
      </c>
      <c r="C21" s="12" t="s">
        <v>35</v>
      </c>
      <c r="D21" s="12" t="s">
        <v>35</v>
      </c>
      <c r="E21" s="13" t="s">
        <v>35</v>
      </c>
      <c r="F21" s="12" t="s">
        <v>35</v>
      </c>
      <c r="G21" s="12" t="s">
        <v>35</v>
      </c>
      <c r="H21" s="12" t="s">
        <v>35</v>
      </c>
      <c r="I21" s="12" t="s">
        <v>35</v>
      </c>
      <c r="J21" s="13" t="s">
        <v>35</v>
      </c>
      <c r="K21" s="195" t="s">
        <v>35</v>
      </c>
      <c r="L21" s="26" t="s">
        <v>35</v>
      </c>
      <c r="M21" s="22"/>
      <c r="N21" s="29" t="s">
        <v>35</v>
      </c>
      <c r="O21" s="50" t="s">
        <v>35</v>
      </c>
      <c r="P21" s="13">
        <v>13.21</v>
      </c>
      <c r="Q21" s="13">
        <v>22.49</v>
      </c>
      <c r="R21" s="13">
        <v>37.4</v>
      </c>
      <c r="S21" s="13">
        <v>52.69</v>
      </c>
      <c r="T21" s="36">
        <v>392</v>
      </c>
      <c r="U21" s="13">
        <v>12.2</v>
      </c>
      <c r="V21" s="13">
        <v>0.5</v>
      </c>
      <c r="W21" s="184">
        <v>2.1</v>
      </c>
      <c r="X21" s="37">
        <v>3.47</v>
      </c>
      <c r="Y21" s="22"/>
      <c r="Z21" s="38" t="s">
        <v>35</v>
      </c>
      <c r="AA21" s="13" t="s">
        <v>35</v>
      </c>
      <c r="AB21" s="13" t="s">
        <v>35</v>
      </c>
      <c r="AC21" s="13" t="s">
        <v>35</v>
      </c>
      <c r="AD21" s="13" t="s">
        <v>35</v>
      </c>
      <c r="AE21" s="13" t="s">
        <v>35</v>
      </c>
      <c r="AF21" s="13" t="s">
        <v>35</v>
      </c>
      <c r="AG21" s="13" t="s">
        <v>35</v>
      </c>
      <c r="AH21" s="37" t="s">
        <v>35</v>
      </c>
    </row>
    <row r="22" spans="1:34">
      <c r="A22" s="14">
        <f t="shared" si="0"/>
        <v>46007</v>
      </c>
      <c r="B22" s="11" t="s">
        <v>35</v>
      </c>
      <c r="C22" s="12" t="s">
        <v>35</v>
      </c>
      <c r="D22" s="12" t="s">
        <v>35</v>
      </c>
      <c r="E22" s="13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3" t="s">
        <v>35</v>
      </c>
      <c r="K22" s="195" t="s">
        <v>35</v>
      </c>
      <c r="L22" s="26" t="s">
        <v>35</v>
      </c>
      <c r="M22" s="22"/>
      <c r="N22" s="29" t="s">
        <v>35</v>
      </c>
      <c r="O22" s="50" t="s">
        <v>35</v>
      </c>
      <c r="P22" s="13" t="s">
        <v>35</v>
      </c>
      <c r="Q22" s="13" t="s">
        <v>35</v>
      </c>
      <c r="R22" s="13" t="s">
        <v>35</v>
      </c>
      <c r="S22" s="13" t="s">
        <v>35</v>
      </c>
      <c r="T22" s="36" t="s">
        <v>35</v>
      </c>
      <c r="U22" s="13" t="s">
        <v>35</v>
      </c>
      <c r="V22" s="13" t="s">
        <v>35</v>
      </c>
      <c r="W22" s="13" t="s">
        <v>35</v>
      </c>
      <c r="X22" s="51" t="s">
        <v>35</v>
      </c>
      <c r="Y22" s="22"/>
      <c r="Z22" s="38" t="s">
        <v>35</v>
      </c>
      <c r="AA22" s="13" t="s">
        <v>35</v>
      </c>
      <c r="AB22" s="13" t="s">
        <v>35</v>
      </c>
      <c r="AC22" s="13" t="s">
        <v>35</v>
      </c>
      <c r="AD22" s="13" t="s">
        <v>35</v>
      </c>
      <c r="AE22" s="13" t="s">
        <v>35</v>
      </c>
      <c r="AF22" s="13" t="s">
        <v>35</v>
      </c>
      <c r="AG22" s="13" t="s">
        <v>35</v>
      </c>
      <c r="AH22" s="37" t="s">
        <v>35</v>
      </c>
    </row>
    <row r="23" spans="1:34">
      <c r="A23" s="14">
        <f t="shared" si="0"/>
        <v>46008</v>
      </c>
      <c r="B23" s="11" t="s">
        <v>35</v>
      </c>
      <c r="C23" s="12" t="s">
        <v>35</v>
      </c>
      <c r="D23" s="12" t="s">
        <v>35</v>
      </c>
      <c r="E23" s="13" t="s">
        <v>35</v>
      </c>
      <c r="F23" s="12" t="s">
        <v>35</v>
      </c>
      <c r="G23" s="12" t="s">
        <v>35</v>
      </c>
      <c r="H23" s="12" t="s">
        <v>35</v>
      </c>
      <c r="I23" s="12" t="s">
        <v>35</v>
      </c>
      <c r="J23" s="13" t="s">
        <v>35</v>
      </c>
      <c r="K23" s="195" t="s">
        <v>35</v>
      </c>
      <c r="L23" s="26" t="s">
        <v>35</v>
      </c>
      <c r="M23" s="22"/>
      <c r="N23" s="29" t="s">
        <v>35</v>
      </c>
      <c r="O23" s="50" t="s">
        <v>35</v>
      </c>
      <c r="P23" s="13">
        <v>12.6</v>
      </c>
      <c r="Q23" s="13">
        <v>22.31</v>
      </c>
      <c r="R23" s="13">
        <v>38.74</v>
      </c>
      <c r="S23" s="13">
        <v>49.92</v>
      </c>
      <c r="T23" s="36">
        <v>321</v>
      </c>
      <c r="U23" s="13">
        <v>10.68</v>
      </c>
      <c r="V23" s="13">
        <v>73</v>
      </c>
      <c r="W23" s="184">
        <v>2.1</v>
      </c>
      <c r="X23" s="37">
        <v>3.56</v>
      </c>
      <c r="Y23" s="22"/>
      <c r="Z23" s="38" t="s">
        <v>35</v>
      </c>
      <c r="AA23" s="13" t="s">
        <v>35</v>
      </c>
      <c r="AB23" s="13" t="s">
        <v>35</v>
      </c>
      <c r="AC23" s="13" t="s">
        <v>35</v>
      </c>
      <c r="AD23" s="13" t="s">
        <v>35</v>
      </c>
      <c r="AE23" s="13" t="s">
        <v>35</v>
      </c>
      <c r="AF23" s="13" t="s">
        <v>35</v>
      </c>
      <c r="AG23" s="13" t="s">
        <v>35</v>
      </c>
      <c r="AH23" s="37" t="s">
        <v>35</v>
      </c>
    </row>
    <row r="24" spans="1:34">
      <c r="A24" s="14">
        <f t="shared" si="0"/>
        <v>46009</v>
      </c>
      <c r="B24" s="11" t="s">
        <v>35</v>
      </c>
      <c r="C24" s="12" t="s">
        <v>35</v>
      </c>
      <c r="D24" s="12" t="s">
        <v>35</v>
      </c>
      <c r="E24" s="13" t="s">
        <v>35</v>
      </c>
      <c r="F24" s="12" t="s">
        <v>35</v>
      </c>
      <c r="G24" s="12" t="s">
        <v>35</v>
      </c>
      <c r="H24" s="12" t="s">
        <v>35</v>
      </c>
      <c r="I24" s="12" t="s">
        <v>35</v>
      </c>
      <c r="J24" s="13" t="s">
        <v>35</v>
      </c>
      <c r="K24" s="195" t="s">
        <v>35</v>
      </c>
      <c r="L24" s="26" t="s">
        <v>35</v>
      </c>
      <c r="M24" s="22"/>
      <c r="N24" s="29" t="s">
        <v>35</v>
      </c>
      <c r="O24" s="13" t="s">
        <v>35</v>
      </c>
      <c r="P24" s="13" t="s">
        <v>35</v>
      </c>
      <c r="Q24" s="13" t="s">
        <v>35</v>
      </c>
      <c r="R24" s="13" t="s">
        <v>35</v>
      </c>
      <c r="S24" s="13" t="s">
        <v>35</v>
      </c>
      <c r="T24" s="36" t="s">
        <v>35</v>
      </c>
      <c r="U24" s="13" t="s">
        <v>35</v>
      </c>
      <c r="V24" s="13" t="s">
        <v>35</v>
      </c>
      <c r="W24" s="13" t="s">
        <v>35</v>
      </c>
      <c r="X24" s="37" t="s">
        <v>35</v>
      </c>
      <c r="Y24" s="22"/>
      <c r="Z24" s="38" t="s">
        <v>35</v>
      </c>
      <c r="AA24" s="13" t="s">
        <v>35</v>
      </c>
      <c r="AB24" s="13" t="s">
        <v>35</v>
      </c>
      <c r="AC24" s="13" t="s">
        <v>35</v>
      </c>
      <c r="AD24" s="13" t="s">
        <v>35</v>
      </c>
      <c r="AE24" s="13" t="s">
        <v>35</v>
      </c>
      <c r="AF24" s="13" t="s">
        <v>35</v>
      </c>
      <c r="AG24" s="13" t="s">
        <v>35</v>
      </c>
      <c r="AH24" s="37" t="s">
        <v>35</v>
      </c>
    </row>
    <row r="25" spans="1:34">
      <c r="A25" s="14">
        <f t="shared" si="0"/>
        <v>46010</v>
      </c>
      <c r="B25" s="11" t="s">
        <v>35</v>
      </c>
      <c r="C25" s="12" t="s">
        <v>35</v>
      </c>
      <c r="D25" s="12" t="s">
        <v>35</v>
      </c>
      <c r="E25" s="13" t="s">
        <v>35</v>
      </c>
      <c r="F25" s="12" t="s">
        <v>35</v>
      </c>
      <c r="G25" s="12" t="s">
        <v>35</v>
      </c>
      <c r="H25" s="12" t="s">
        <v>35</v>
      </c>
      <c r="I25" s="12" t="s">
        <v>35</v>
      </c>
      <c r="J25" s="13" t="s">
        <v>35</v>
      </c>
      <c r="K25" s="195" t="s">
        <v>35</v>
      </c>
      <c r="L25" s="26" t="s">
        <v>35</v>
      </c>
      <c r="M25" s="22"/>
      <c r="N25" s="29" t="s">
        <v>35</v>
      </c>
      <c r="O25" s="13" t="s">
        <v>35</v>
      </c>
      <c r="P25" s="13">
        <v>13.85</v>
      </c>
      <c r="Q25" s="13">
        <v>23.33</v>
      </c>
      <c r="R25" s="13">
        <v>38.299999999999997</v>
      </c>
      <c r="S25" s="13">
        <v>48.47</v>
      </c>
      <c r="T25" s="36">
        <v>340</v>
      </c>
      <c r="U25" s="13">
        <v>13.08</v>
      </c>
      <c r="V25" s="13">
        <v>4</v>
      </c>
      <c r="W25" s="184">
        <v>2.1930000000000001</v>
      </c>
      <c r="X25" s="37">
        <v>2.95</v>
      </c>
      <c r="Y25" s="22"/>
      <c r="Z25" s="38" t="s">
        <v>35</v>
      </c>
      <c r="AA25" s="13" t="s">
        <v>35</v>
      </c>
      <c r="AB25" s="13" t="s">
        <v>35</v>
      </c>
      <c r="AC25" s="13" t="s">
        <v>35</v>
      </c>
      <c r="AD25" s="13" t="s">
        <v>35</v>
      </c>
      <c r="AE25" s="13" t="s">
        <v>35</v>
      </c>
      <c r="AF25" s="13" t="s">
        <v>35</v>
      </c>
      <c r="AG25" s="13" t="s">
        <v>35</v>
      </c>
      <c r="AH25" s="37" t="s">
        <v>35</v>
      </c>
    </row>
    <row r="26" spans="1:34">
      <c r="A26" s="14">
        <f t="shared" si="0"/>
        <v>46011</v>
      </c>
      <c r="B26" s="11" t="s">
        <v>35</v>
      </c>
      <c r="C26" s="12" t="s">
        <v>35</v>
      </c>
      <c r="D26" s="12" t="s">
        <v>35</v>
      </c>
      <c r="E26" s="13" t="s">
        <v>35</v>
      </c>
      <c r="F26" s="12" t="s">
        <v>35</v>
      </c>
      <c r="G26" s="12" t="s">
        <v>35</v>
      </c>
      <c r="H26" s="12" t="s">
        <v>35</v>
      </c>
      <c r="I26" s="12" t="s">
        <v>35</v>
      </c>
      <c r="J26" s="13" t="s">
        <v>35</v>
      </c>
      <c r="K26" s="195" t="s">
        <v>35</v>
      </c>
      <c r="L26" s="26" t="s">
        <v>35</v>
      </c>
      <c r="M26" s="22"/>
      <c r="N26" s="29" t="s">
        <v>35</v>
      </c>
      <c r="O26" s="13" t="s">
        <v>35</v>
      </c>
      <c r="P26" s="13">
        <v>15.35</v>
      </c>
      <c r="Q26" s="13">
        <v>22.33</v>
      </c>
      <c r="R26" s="13">
        <v>37.31</v>
      </c>
      <c r="S26" s="13">
        <v>51.51</v>
      </c>
      <c r="T26" s="36">
        <v>303</v>
      </c>
      <c r="U26" s="13">
        <v>9.2799999999999994</v>
      </c>
      <c r="V26" s="13">
        <v>2.5</v>
      </c>
      <c r="W26" s="184">
        <v>2.17</v>
      </c>
      <c r="X26" s="37">
        <v>3.03</v>
      </c>
      <c r="Y26" s="22"/>
      <c r="Z26" s="38">
        <v>15.3</v>
      </c>
      <c r="AA26" s="13">
        <v>27.46</v>
      </c>
      <c r="AB26" s="13">
        <v>46.09</v>
      </c>
      <c r="AC26" s="13">
        <v>53.14</v>
      </c>
      <c r="AD26" s="36">
        <v>306</v>
      </c>
      <c r="AE26" s="13">
        <v>10.92</v>
      </c>
      <c r="AF26" s="13">
        <v>1.5</v>
      </c>
      <c r="AG26" s="184">
        <v>2.12</v>
      </c>
      <c r="AH26" s="37">
        <v>2.12</v>
      </c>
    </row>
    <row r="27" spans="1:34">
      <c r="A27" s="14">
        <f t="shared" si="0"/>
        <v>46012</v>
      </c>
      <c r="B27" s="11" t="s">
        <v>35</v>
      </c>
      <c r="C27" s="12" t="s">
        <v>35</v>
      </c>
      <c r="D27" s="12" t="s">
        <v>35</v>
      </c>
      <c r="E27" s="13" t="s">
        <v>35</v>
      </c>
      <c r="F27" s="12" t="s">
        <v>35</v>
      </c>
      <c r="G27" s="12" t="s">
        <v>35</v>
      </c>
      <c r="H27" s="12" t="s">
        <v>35</v>
      </c>
      <c r="I27" s="12" t="s">
        <v>35</v>
      </c>
      <c r="J27" s="13" t="s">
        <v>35</v>
      </c>
      <c r="K27" s="195" t="s">
        <v>35</v>
      </c>
      <c r="L27" s="26" t="s">
        <v>35</v>
      </c>
      <c r="M27" s="22"/>
      <c r="N27" s="29" t="s">
        <v>35</v>
      </c>
      <c r="O27" s="13" t="s">
        <v>35</v>
      </c>
      <c r="P27" s="13" t="s">
        <v>35</v>
      </c>
      <c r="Q27" s="13" t="s">
        <v>35</v>
      </c>
      <c r="R27" s="13" t="s">
        <v>35</v>
      </c>
      <c r="S27" s="13" t="s">
        <v>35</v>
      </c>
      <c r="T27" s="36" t="s">
        <v>35</v>
      </c>
      <c r="U27" s="13" t="s">
        <v>35</v>
      </c>
      <c r="V27" s="13" t="s">
        <v>35</v>
      </c>
      <c r="W27" s="13" t="s">
        <v>35</v>
      </c>
      <c r="X27" s="37" t="s">
        <v>35</v>
      </c>
      <c r="Y27" s="22"/>
      <c r="Z27" s="38">
        <v>13.66</v>
      </c>
      <c r="AA27" s="13">
        <v>22.14</v>
      </c>
      <c r="AB27" s="13">
        <v>44.05</v>
      </c>
      <c r="AC27" s="13">
        <v>50.82</v>
      </c>
      <c r="AD27" s="36">
        <v>309</v>
      </c>
      <c r="AE27" s="13">
        <v>10.8</v>
      </c>
      <c r="AF27" s="13">
        <v>1</v>
      </c>
      <c r="AG27" s="184">
        <v>2.17</v>
      </c>
      <c r="AH27" s="37">
        <v>2.12</v>
      </c>
    </row>
    <row r="28" spans="1:34">
      <c r="A28" s="14">
        <f t="shared" si="0"/>
        <v>46013</v>
      </c>
      <c r="B28" s="11" t="s">
        <v>35</v>
      </c>
      <c r="C28" s="12" t="s">
        <v>35</v>
      </c>
      <c r="D28" s="12" t="s">
        <v>35</v>
      </c>
      <c r="E28" s="13" t="s">
        <v>35</v>
      </c>
      <c r="F28" s="12" t="s">
        <v>35</v>
      </c>
      <c r="G28" s="12" t="s">
        <v>35</v>
      </c>
      <c r="H28" s="12" t="s">
        <v>35</v>
      </c>
      <c r="I28" s="12" t="s">
        <v>35</v>
      </c>
      <c r="J28" s="13" t="s">
        <v>35</v>
      </c>
      <c r="K28" s="195" t="s">
        <v>35</v>
      </c>
      <c r="L28" s="26" t="s">
        <v>35</v>
      </c>
      <c r="M28" s="22"/>
      <c r="N28" s="29" t="s">
        <v>35</v>
      </c>
      <c r="O28" s="13" t="s">
        <v>35</v>
      </c>
      <c r="P28" s="13">
        <v>12.37</v>
      </c>
      <c r="Q28" s="13">
        <v>23.49</v>
      </c>
      <c r="R28" s="13">
        <v>40.909999999999997</v>
      </c>
      <c r="S28" s="13">
        <v>56.28</v>
      </c>
      <c r="T28" s="36">
        <v>298</v>
      </c>
      <c r="U28" s="13">
        <v>12.12</v>
      </c>
      <c r="V28" s="13">
        <v>0.5</v>
      </c>
      <c r="W28" s="184">
        <v>2.27</v>
      </c>
      <c r="X28" s="37">
        <v>2.13</v>
      </c>
      <c r="Y28" s="22"/>
      <c r="Z28" s="38" t="s">
        <v>35</v>
      </c>
      <c r="AA28" s="13" t="s">
        <v>35</v>
      </c>
      <c r="AB28" s="13" t="s">
        <v>35</v>
      </c>
      <c r="AC28" s="13" t="s">
        <v>35</v>
      </c>
      <c r="AD28" s="13" t="s">
        <v>35</v>
      </c>
      <c r="AE28" s="13" t="s">
        <v>35</v>
      </c>
      <c r="AF28" s="13" t="s">
        <v>35</v>
      </c>
      <c r="AG28" s="13" t="s">
        <v>35</v>
      </c>
      <c r="AH28" s="37" t="s">
        <v>35</v>
      </c>
    </row>
    <row r="29" spans="1:34">
      <c r="A29" s="14">
        <f t="shared" si="0"/>
        <v>46014</v>
      </c>
      <c r="B29" s="11" t="s">
        <v>35</v>
      </c>
      <c r="C29" s="12" t="s">
        <v>35</v>
      </c>
      <c r="D29" s="12" t="s">
        <v>35</v>
      </c>
      <c r="E29" s="13" t="s">
        <v>35</v>
      </c>
      <c r="F29" s="12" t="s">
        <v>35</v>
      </c>
      <c r="G29" s="12" t="s">
        <v>35</v>
      </c>
      <c r="H29" s="12" t="s">
        <v>35</v>
      </c>
      <c r="I29" s="12" t="s">
        <v>35</v>
      </c>
      <c r="J29" s="13" t="s">
        <v>35</v>
      </c>
      <c r="K29" s="195" t="s">
        <v>35</v>
      </c>
      <c r="L29" s="26" t="s">
        <v>35</v>
      </c>
      <c r="M29" s="22"/>
      <c r="N29" s="29" t="s">
        <v>35</v>
      </c>
      <c r="O29" s="13" t="s">
        <v>35</v>
      </c>
      <c r="P29" s="13" t="s">
        <v>35</v>
      </c>
      <c r="Q29" s="13" t="s">
        <v>35</v>
      </c>
      <c r="R29" s="13" t="s">
        <v>35</v>
      </c>
      <c r="S29" s="13" t="s">
        <v>35</v>
      </c>
      <c r="T29" s="36" t="s">
        <v>35</v>
      </c>
      <c r="U29" s="13" t="s">
        <v>35</v>
      </c>
      <c r="V29" s="13" t="s">
        <v>35</v>
      </c>
      <c r="W29" s="13" t="s">
        <v>35</v>
      </c>
      <c r="X29" s="37" t="s">
        <v>35</v>
      </c>
      <c r="Y29" s="22"/>
      <c r="Z29" s="38" t="s">
        <v>35</v>
      </c>
      <c r="AA29" s="13" t="s">
        <v>35</v>
      </c>
      <c r="AB29" s="13" t="s">
        <v>35</v>
      </c>
      <c r="AC29" s="13" t="s">
        <v>35</v>
      </c>
      <c r="AD29" s="13" t="s">
        <v>35</v>
      </c>
      <c r="AE29" s="13" t="s">
        <v>35</v>
      </c>
      <c r="AF29" s="13" t="s">
        <v>35</v>
      </c>
      <c r="AG29" s="13" t="s">
        <v>35</v>
      </c>
      <c r="AH29" s="37" t="s">
        <v>35</v>
      </c>
    </row>
    <row r="30" spans="1:34">
      <c r="A30" s="14">
        <f t="shared" si="0"/>
        <v>46015</v>
      </c>
      <c r="B30" s="11" t="s">
        <v>35</v>
      </c>
      <c r="C30" s="12" t="s">
        <v>35</v>
      </c>
      <c r="D30" s="12" t="s">
        <v>35</v>
      </c>
      <c r="E30" s="13" t="s">
        <v>35</v>
      </c>
      <c r="F30" s="12" t="s">
        <v>35</v>
      </c>
      <c r="G30" s="12" t="s">
        <v>35</v>
      </c>
      <c r="H30" s="12" t="s">
        <v>35</v>
      </c>
      <c r="I30" s="12" t="s">
        <v>35</v>
      </c>
      <c r="J30" s="13" t="s">
        <v>35</v>
      </c>
      <c r="K30" s="195" t="s">
        <v>35</v>
      </c>
      <c r="L30" s="26" t="s">
        <v>35</v>
      </c>
      <c r="M30" s="22"/>
      <c r="N30" s="29" t="s">
        <v>35</v>
      </c>
      <c r="O30" s="13" t="s">
        <v>35</v>
      </c>
      <c r="P30" s="13">
        <v>11.96</v>
      </c>
      <c r="Q30" s="13">
        <v>23.06</v>
      </c>
      <c r="R30" s="13">
        <v>35.869999999999997</v>
      </c>
      <c r="S30" s="13">
        <v>55.29</v>
      </c>
      <c r="T30" s="36">
        <v>290</v>
      </c>
      <c r="U30" s="13">
        <v>10.32</v>
      </c>
      <c r="V30" s="13">
        <v>1.5</v>
      </c>
      <c r="W30" s="184">
        <v>2.0099999999999998</v>
      </c>
      <c r="X30" s="37">
        <v>2.54</v>
      </c>
      <c r="Y30" s="22"/>
      <c r="Z30" s="38">
        <v>13.05</v>
      </c>
      <c r="AA30" s="13">
        <v>23.18</v>
      </c>
      <c r="AB30" s="13">
        <v>38.700000000000003</v>
      </c>
      <c r="AC30" s="13">
        <v>55.56</v>
      </c>
      <c r="AD30" s="36">
        <v>309</v>
      </c>
      <c r="AE30" s="13">
        <v>12.4</v>
      </c>
      <c r="AF30" s="13">
        <v>0.5</v>
      </c>
      <c r="AG30" s="184">
        <v>2.109</v>
      </c>
      <c r="AH30" s="37">
        <v>2.4</v>
      </c>
    </row>
    <row r="31" spans="1:34">
      <c r="A31" s="14">
        <f t="shared" si="0"/>
        <v>46016</v>
      </c>
      <c r="B31" s="11" t="s">
        <v>35</v>
      </c>
      <c r="C31" s="12" t="s">
        <v>35</v>
      </c>
      <c r="D31" s="12" t="s">
        <v>35</v>
      </c>
      <c r="E31" s="13" t="s">
        <v>35</v>
      </c>
      <c r="F31" s="12" t="s">
        <v>35</v>
      </c>
      <c r="G31" s="12" t="s">
        <v>35</v>
      </c>
      <c r="H31" s="12" t="s">
        <v>35</v>
      </c>
      <c r="I31" s="12" t="s">
        <v>35</v>
      </c>
      <c r="J31" s="13" t="s">
        <v>35</v>
      </c>
      <c r="K31" s="195" t="s">
        <v>35</v>
      </c>
      <c r="L31" s="26" t="s">
        <v>35</v>
      </c>
      <c r="M31" s="22"/>
      <c r="N31" s="29" t="s">
        <v>35</v>
      </c>
      <c r="O31" s="13" t="s">
        <v>35</v>
      </c>
      <c r="P31" s="13">
        <v>14.82</v>
      </c>
      <c r="Q31" s="13">
        <v>25.54</v>
      </c>
      <c r="R31" s="13">
        <v>40.75</v>
      </c>
      <c r="S31" s="13">
        <v>50.79</v>
      </c>
      <c r="T31" s="36">
        <v>302</v>
      </c>
      <c r="U31" s="13">
        <v>12.28</v>
      </c>
      <c r="V31" s="13">
        <v>1</v>
      </c>
      <c r="W31" s="184">
        <v>1.94</v>
      </c>
      <c r="X31" s="37">
        <v>2.91</v>
      </c>
      <c r="Y31" s="22"/>
      <c r="Z31" s="38" t="s">
        <v>35</v>
      </c>
      <c r="AA31" s="13" t="s">
        <v>35</v>
      </c>
      <c r="AB31" s="13" t="s">
        <v>35</v>
      </c>
      <c r="AC31" s="13" t="s">
        <v>35</v>
      </c>
      <c r="AD31" s="13" t="s">
        <v>35</v>
      </c>
      <c r="AE31" s="13" t="s">
        <v>35</v>
      </c>
      <c r="AF31" s="13" t="s">
        <v>35</v>
      </c>
      <c r="AG31" s="13" t="s">
        <v>35</v>
      </c>
      <c r="AH31" s="37" t="s">
        <v>35</v>
      </c>
    </row>
    <row r="32" spans="1:34">
      <c r="A32" s="14">
        <f t="shared" si="0"/>
        <v>46017</v>
      </c>
      <c r="B32" s="11" t="s">
        <v>35</v>
      </c>
      <c r="C32" s="12" t="s">
        <v>35</v>
      </c>
      <c r="D32" s="12" t="s">
        <v>35</v>
      </c>
      <c r="E32" s="13" t="s">
        <v>35</v>
      </c>
      <c r="F32" s="12" t="s">
        <v>35</v>
      </c>
      <c r="G32" s="12" t="s">
        <v>35</v>
      </c>
      <c r="H32" s="12" t="s">
        <v>35</v>
      </c>
      <c r="I32" s="12" t="s">
        <v>35</v>
      </c>
      <c r="J32" s="13" t="s">
        <v>35</v>
      </c>
      <c r="K32" s="195" t="s">
        <v>35</v>
      </c>
      <c r="L32" s="26" t="s">
        <v>35</v>
      </c>
      <c r="M32" s="22"/>
      <c r="N32" s="29" t="s">
        <v>35</v>
      </c>
      <c r="O32" s="13" t="s">
        <v>35</v>
      </c>
      <c r="P32" s="13" t="s">
        <v>35</v>
      </c>
      <c r="Q32" s="13" t="s">
        <v>35</v>
      </c>
      <c r="R32" s="13" t="s">
        <v>35</v>
      </c>
      <c r="S32" s="13" t="s">
        <v>35</v>
      </c>
      <c r="T32" s="36" t="s">
        <v>35</v>
      </c>
      <c r="U32" s="13" t="s">
        <v>35</v>
      </c>
      <c r="V32" s="13" t="s">
        <v>35</v>
      </c>
      <c r="W32" s="13" t="s">
        <v>35</v>
      </c>
      <c r="X32" s="51" t="s">
        <v>35</v>
      </c>
      <c r="Y32" s="22"/>
      <c r="Z32" s="38" t="s">
        <v>35</v>
      </c>
      <c r="AA32" s="13" t="s">
        <v>35</v>
      </c>
      <c r="AB32" s="13" t="s">
        <v>35</v>
      </c>
      <c r="AC32" s="13" t="s">
        <v>35</v>
      </c>
      <c r="AD32" s="13" t="s">
        <v>35</v>
      </c>
      <c r="AE32" s="13" t="s">
        <v>35</v>
      </c>
      <c r="AF32" s="13" t="s">
        <v>35</v>
      </c>
      <c r="AG32" s="13" t="s">
        <v>35</v>
      </c>
      <c r="AH32" s="37" t="s">
        <v>35</v>
      </c>
    </row>
    <row r="33" spans="1:34">
      <c r="A33" s="14">
        <f t="shared" si="0"/>
        <v>46018</v>
      </c>
      <c r="B33" s="11" t="s">
        <v>35</v>
      </c>
      <c r="C33" s="12" t="s">
        <v>35</v>
      </c>
      <c r="D33" s="12" t="s">
        <v>35</v>
      </c>
      <c r="E33" s="13" t="s">
        <v>35</v>
      </c>
      <c r="F33" s="12" t="s">
        <v>35</v>
      </c>
      <c r="G33" s="12" t="s">
        <v>35</v>
      </c>
      <c r="H33" s="12" t="s">
        <v>35</v>
      </c>
      <c r="I33" s="12" t="s">
        <v>35</v>
      </c>
      <c r="J33" s="13" t="s">
        <v>35</v>
      </c>
      <c r="K33" s="195" t="s">
        <v>35</v>
      </c>
      <c r="L33" s="26" t="s">
        <v>35</v>
      </c>
      <c r="M33" s="22"/>
      <c r="N33" s="29" t="s">
        <v>35</v>
      </c>
      <c r="O33" s="13" t="s">
        <v>35</v>
      </c>
      <c r="P33" s="13" t="s">
        <v>35</v>
      </c>
      <c r="Q33" s="13" t="s">
        <v>35</v>
      </c>
      <c r="R33" s="13" t="s">
        <v>35</v>
      </c>
      <c r="S33" s="13" t="s">
        <v>35</v>
      </c>
      <c r="T33" s="36" t="s">
        <v>35</v>
      </c>
      <c r="U33" s="13" t="s">
        <v>35</v>
      </c>
      <c r="V33" s="13" t="s">
        <v>35</v>
      </c>
      <c r="W33" s="13" t="s">
        <v>35</v>
      </c>
      <c r="X33" s="37" t="s">
        <v>35</v>
      </c>
      <c r="Y33" s="22"/>
      <c r="Z33" s="38">
        <v>13</v>
      </c>
      <c r="AA33" s="13">
        <v>23.1</v>
      </c>
      <c r="AB33" s="13">
        <v>44.27</v>
      </c>
      <c r="AC33" s="13">
        <v>56.83</v>
      </c>
      <c r="AD33" s="36">
        <v>343</v>
      </c>
      <c r="AE33" s="13">
        <v>9.8000000000000007</v>
      </c>
      <c r="AF33" s="13">
        <v>1.5</v>
      </c>
      <c r="AG33" s="184">
        <v>2.04</v>
      </c>
      <c r="AH33" s="37">
        <v>2.5</v>
      </c>
    </row>
    <row r="34" spans="1:34">
      <c r="A34" s="14">
        <f t="shared" si="0"/>
        <v>46019</v>
      </c>
      <c r="B34" s="11" t="s">
        <v>35</v>
      </c>
      <c r="C34" s="12" t="s">
        <v>35</v>
      </c>
      <c r="D34" s="12" t="s">
        <v>35</v>
      </c>
      <c r="E34" s="13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3" t="s">
        <v>35</v>
      </c>
      <c r="K34" s="195" t="s">
        <v>35</v>
      </c>
      <c r="L34" s="26" t="s">
        <v>35</v>
      </c>
      <c r="M34" s="22"/>
      <c r="N34" s="29" t="s">
        <v>35</v>
      </c>
      <c r="O34" s="13" t="s">
        <v>35</v>
      </c>
      <c r="P34" s="13" t="s">
        <v>35</v>
      </c>
      <c r="Q34" s="13" t="s">
        <v>35</v>
      </c>
      <c r="R34" s="13" t="s">
        <v>35</v>
      </c>
      <c r="S34" s="13" t="s">
        <v>35</v>
      </c>
      <c r="T34" s="36" t="s">
        <v>35</v>
      </c>
      <c r="U34" s="13" t="s">
        <v>35</v>
      </c>
      <c r="V34" s="13" t="s">
        <v>35</v>
      </c>
      <c r="W34" s="13" t="s">
        <v>35</v>
      </c>
      <c r="X34" s="37" t="s">
        <v>35</v>
      </c>
      <c r="Y34" s="22"/>
      <c r="Z34" s="38">
        <v>13.31</v>
      </c>
      <c r="AA34" s="13">
        <v>22.62</v>
      </c>
      <c r="AB34" s="13">
        <v>44.18</v>
      </c>
      <c r="AC34" s="13">
        <v>54.18</v>
      </c>
      <c r="AD34" s="36">
        <v>310</v>
      </c>
      <c r="AE34" s="13">
        <v>30</v>
      </c>
      <c r="AF34" s="13">
        <v>1</v>
      </c>
      <c r="AG34" s="184">
        <v>2</v>
      </c>
      <c r="AH34" s="37">
        <v>2.31</v>
      </c>
    </row>
    <row r="35" spans="1:34">
      <c r="A35" s="14">
        <f t="shared" si="0"/>
        <v>46020</v>
      </c>
      <c r="B35" s="11" t="s">
        <v>35</v>
      </c>
      <c r="C35" s="12" t="s">
        <v>35</v>
      </c>
      <c r="D35" s="12" t="s">
        <v>35</v>
      </c>
      <c r="E35" s="13" t="s">
        <v>35</v>
      </c>
      <c r="F35" s="12" t="s">
        <v>35</v>
      </c>
      <c r="G35" s="12" t="s">
        <v>35</v>
      </c>
      <c r="H35" s="12" t="s">
        <v>35</v>
      </c>
      <c r="I35" s="12" t="s">
        <v>35</v>
      </c>
      <c r="J35" s="13" t="s">
        <v>35</v>
      </c>
      <c r="K35" s="195" t="s">
        <v>35</v>
      </c>
      <c r="L35" s="26" t="s">
        <v>35</v>
      </c>
      <c r="M35" s="22"/>
      <c r="N35" s="29" t="s">
        <v>35</v>
      </c>
      <c r="O35" s="13" t="s">
        <v>35</v>
      </c>
      <c r="P35" s="13">
        <v>13.3</v>
      </c>
      <c r="Q35" s="13">
        <v>23.77</v>
      </c>
      <c r="R35" s="13">
        <v>41.82</v>
      </c>
      <c r="S35" s="13">
        <v>50.62</v>
      </c>
      <c r="T35" s="36">
        <v>353</v>
      </c>
      <c r="U35" s="13">
        <v>11.52</v>
      </c>
      <c r="V35" s="13">
        <v>0.5</v>
      </c>
      <c r="W35" s="184">
        <v>2.0699999999999998</v>
      </c>
      <c r="X35" s="37">
        <v>2.95</v>
      </c>
      <c r="Y35" s="22"/>
      <c r="Z35" s="38">
        <v>13.23</v>
      </c>
      <c r="AA35" s="13">
        <v>23.95</v>
      </c>
      <c r="AB35" s="13">
        <v>41.5</v>
      </c>
      <c r="AC35" s="13">
        <v>49.17</v>
      </c>
      <c r="AD35" s="36">
        <v>350</v>
      </c>
      <c r="AE35" s="13">
        <v>8.36</v>
      </c>
      <c r="AF35" s="13">
        <v>0.5</v>
      </c>
      <c r="AG35" s="184">
        <v>2.1</v>
      </c>
      <c r="AH35" s="37">
        <v>3.82</v>
      </c>
    </row>
    <row r="36" spans="1:34">
      <c r="A36" s="14">
        <f t="shared" si="0"/>
        <v>46021</v>
      </c>
      <c r="B36" s="11" t="s">
        <v>35</v>
      </c>
      <c r="C36" s="12" t="s">
        <v>35</v>
      </c>
      <c r="D36" s="12" t="s">
        <v>35</v>
      </c>
      <c r="E36" s="13" t="s">
        <v>35</v>
      </c>
      <c r="F36" s="12" t="s">
        <v>35</v>
      </c>
      <c r="G36" s="12" t="s">
        <v>35</v>
      </c>
      <c r="H36" s="12" t="s">
        <v>35</v>
      </c>
      <c r="I36" s="12" t="s">
        <v>35</v>
      </c>
      <c r="J36" s="13" t="s">
        <v>35</v>
      </c>
      <c r="K36" s="195" t="s">
        <v>35</v>
      </c>
      <c r="L36" s="26" t="s">
        <v>35</v>
      </c>
      <c r="M36" s="22"/>
      <c r="N36" s="29" t="s">
        <v>35</v>
      </c>
      <c r="O36" s="13" t="s">
        <v>35</v>
      </c>
      <c r="P36" s="13" t="s">
        <v>35</v>
      </c>
      <c r="Q36" s="13" t="s">
        <v>35</v>
      </c>
      <c r="R36" s="13" t="s">
        <v>35</v>
      </c>
      <c r="S36" s="13" t="s">
        <v>35</v>
      </c>
      <c r="T36" s="36" t="s">
        <v>35</v>
      </c>
      <c r="U36" s="13" t="s">
        <v>35</v>
      </c>
      <c r="V36" s="13" t="s">
        <v>35</v>
      </c>
      <c r="W36" s="13" t="s">
        <v>35</v>
      </c>
      <c r="X36" s="37" t="s">
        <v>35</v>
      </c>
      <c r="Y36" s="22"/>
      <c r="Z36" s="38" t="s">
        <v>35</v>
      </c>
      <c r="AA36" s="13" t="s">
        <v>35</v>
      </c>
      <c r="AB36" s="13" t="s">
        <v>35</v>
      </c>
      <c r="AC36" s="13" t="s">
        <v>35</v>
      </c>
      <c r="AD36" s="13" t="s">
        <v>35</v>
      </c>
      <c r="AE36" s="13" t="s">
        <v>35</v>
      </c>
      <c r="AF36" s="13" t="s">
        <v>35</v>
      </c>
      <c r="AG36" s="13" t="s">
        <v>35</v>
      </c>
      <c r="AH36" s="37" t="s">
        <v>35</v>
      </c>
    </row>
    <row r="37" spans="1:34" ht="15.75" thickBot="1">
      <c r="A37" s="15">
        <f t="shared" si="0"/>
        <v>46022</v>
      </c>
      <c r="B37" s="11" t="s">
        <v>35</v>
      </c>
      <c r="C37" s="12" t="s">
        <v>35</v>
      </c>
      <c r="D37" s="12" t="s">
        <v>35</v>
      </c>
      <c r="E37" s="13" t="s">
        <v>35</v>
      </c>
      <c r="F37" s="12" t="s">
        <v>35</v>
      </c>
      <c r="G37" s="12" t="s">
        <v>35</v>
      </c>
      <c r="H37" s="12" t="s">
        <v>35</v>
      </c>
      <c r="I37" s="12" t="s">
        <v>35</v>
      </c>
      <c r="J37" s="13" t="s">
        <v>35</v>
      </c>
      <c r="K37" s="195" t="s">
        <v>35</v>
      </c>
      <c r="L37" s="26" t="s">
        <v>35</v>
      </c>
      <c r="M37" s="22"/>
      <c r="N37" s="29" t="s">
        <v>35</v>
      </c>
      <c r="O37" s="13" t="s">
        <v>35</v>
      </c>
      <c r="P37" s="47">
        <v>14.79</v>
      </c>
      <c r="Q37" s="47">
        <v>23.84</v>
      </c>
      <c r="R37" s="47">
        <v>39.020000000000003</v>
      </c>
      <c r="S37" s="47">
        <v>51.72</v>
      </c>
      <c r="T37" s="52">
        <v>301</v>
      </c>
      <c r="U37" s="47">
        <v>9.16</v>
      </c>
      <c r="V37" s="47">
        <v>1</v>
      </c>
      <c r="W37" s="184">
        <v>2.4329999999999998</v>
      </c>
      <c r="X37" s="48">
        <v>2.96</v>
      </c>
      <c r="Y37" s="22"/>
      <c r="Z37" s="38" t="s">
        <v>35</v>
      </c>
      <c r="AA37" s="13" t="s">
        <v>35</v>
      </c>
      <c r="AB37" s="13" t="s">
        <v>35</v>
      </c>
      <c r="AC37" s="13" t="s">
        <v>35</v>
      </c>
      <c r="AD37" s="13" t="s">
        <v>35</v>
      </c>
      <c r="AE37" s="13" t="s">
        <v>35</v>
      </c>
      <c r="AF37" s="13" t="s">
        <v>35</v>
      </c>
      <c r="AG37" s="13" t="s">
        <v>35</v>
      </c>
      <c r="AH37" s="37" t="s">
        <v>35</v>
      </c>
    </row>
    <row r="38" spans="1:34">
      <c r="A38" s="16" t="s">
        <v>31</v>
      </c>
      <c r="B38" s="17">
        <f>MIN(B7:B37)</f>
        <v>0</v>
      </c>
      <c r="C38" s="17">
        <f>MIN(C7:C37)</f>
        <v>0</v>
      </c>
      <c r="D38" s="17">
        <f t="shared" ref="D38:L38" si="1">MIN(D7:D37)</f>
        <v>0</v>
      </c>
      <c r="E38" s="17">
        <f t="shared" si="1"/>
        <v>0</v>
      </c>
      <c r="F38" s="17">
        <f t="shared" si="1"/>
        <v>0</v>
      </c>
      <c r="G38" s="17">
        <f t="shared" si="1"/>
        <v>0</v>
      </c>
      <c r="H38" s="17">
        <f t="shared" ref="H38" si="2">MIN(H7:H37)</f>
        <v>0</v>
      </c>
      <c r="I38" s="17">
        <f t="shared" si="1"/>
        <v>0</v>
      </c>
      <c r="J38" s="17">
        <f t="shared" si="1"/>
        <v>0</v>
      </c>
      <c r="K38" s="17">
        <f t="shared" ref="K38" si="3">MIN(K7:K37)</f>
        <v>0</v>
      </c>
      <c r="L38" s="30">
        <f t="shared" si="1"/>
        <v>0</v>
      </c>
      <c r="M38" s="22"/>
      <c r="N38" s="17">
        <f>MIN(N7:N37)</f>
        <v>0</v>
      </c>
      <c r="O38" s="17">
        <f>MIN(O7:O37)</f>
        <v>0</v>
      </c>
      <c r="P38" s="17">
        <f t="shared" ref="P38:X38" si="4">MIN(P7:P37)</f>
        <v>11.24</v>
      </c>
      <c r="Q38" s="17">
        <f t="shared" si="4"/>
        <v>22.31</v>
      </c>
      <c r="R38" s="17">
        <f t="shared" si="4"/>
        <v>35.869999999999997</v>
      </c>
      <c r="S38" s="17">
        <f t="shared" si="4"/>
        <v>48.47</v>
      </c>
      <c r="T38" s="17">
        <f t="shared" ref="T38" si="5">MIN(T7:T37)</f>
        <v>290</v>
      </c>
      <c r="U38" s="17">
        <f t="shared" si="4"/>
        <v>7.76</v>
      </c>
      <c r="V38" s="17">
        <f t="shared" si="4"/>
        <v>0.5</v>
      </c>
      <c r="W38" s="17">
        <f t="shared" ref="W38" si="6">MIN(W7:W37)</f>
        <v>1.94</v>
      </c>
      <c r="X38" s="30">
        <f t="shared" si="4"/>
        <v>2.0099999999999998</v>
      </c>
      <c r="Z38" s="40">
        <f t="shared" ref="Z38:AH38" si="7">MIN(Z7:Z37)</f>
        <v>13</v>
      </c>
      <c r="AA38" s="17">
        <f t="shared" si="7"/>
        <v>22.14</v>
      </c>
      <c r="AB38" s="17">
        <f t="shared" si="7"/>
        <v>38.700000000000003</v>
      </c>
      <c r="AC38" s="17">
        <f t="shared" si="7"/>
        <v>49.17</v>
      </c>
      <c r="AD38" s="17">
        <f t="shared" ref="AD38" si="8">MIN(AD7:AD37)</f>
        <v>306</v>
      </c>
      <c r="AE38" s="17">
        <f t="shared" si="7"/>
        <v>8.36</v>
      </c>
      <c r="AF38" s="17">
        <f t="shared" si="7"/>
        <v>0.5</v>
      </c>
      <c r="AG38" s="17">
        <f t="shared" ref="AG38" si="9">MIN(AG7:AG37)</f>
        <v>1.98</v>
      </c>
      <c r="AH38" s="30">
        <f t="shared" si="7"/>
        <v>2.12</v>
      </c>
    </row>
    <row r="39" spans="1:34">
      <c r="A39" s="18" t="s">
        <v>33</v>
      </c>
      <c r="B39" s="19">
        <f>MAX(B7:B37)</f>
        <v>0</v>
      </c>
      <c r="C39" s="19">
        <f>MAX(C7:C37)</f>
        <v>0</v>
      </c>
      <c r="D39" s="19">
        <f t="shared" ref="D39:L39" si="10">MAX(D7:D37)</f>
        <v>0</v>
      </c>
      <c r="E39" s="19">
        <f t="shared" si="10"/>
        <v>0</v>
      </c>
      <c r="F39" s="19">
        <f t="shared" si="10"/>
        <v>0</v>
      </c>
      <c r="G39" s="19">
        <f t="shared" si="10"/>
        <v>0</v>
      </c>
      <c r="H39" s="19">
        <f t="shared" ref="H39" si="11">MAX(H7:H37)</f>
        <v>0</v>
      </c>
      <c r="I39" s="19">
        <f t="shared" si="10"/>
        <v>0</v>
      </c>
      <c r="J39" s="19">
        <f t="shared" si="10"/>
        <v>0</v>
      </c>
      <c r="K39" s="19">
        <f t="shared" ref="K39" si="12">MAX(K7:K37)</f>
        <v>0</v>
      </c>
      <c r="L39" s="31">
        <f t="shared" si="10"/>
        <v>0</v>
      </c>
      <c r="M39" s="22"/>
      <c r="N39" s="19">
        <f>MAX(N7:N37)</f>
        <v>0</v>
      </c>
      <c r="O39" s="19">
        <f>MAX(O7:O37)</f>
        <v>0</v>
      </c>
      <c r="P39" s="19">
        <f t="shared" ref="P39:X39" si="13">MAX(P7:P37)</f>
        <v>15.35</v>
      </c>
      <c r="Q39" s="19">
        <f t="shared" si="13"/>
        <v>25.54</v>
      </c>
      <c r="R39" s="19">
        <f t="shared" si="13"/>
        <v>44.26</v>
      </c>
      <c r="S39" s="19">
        <f t="shared" si="13"/>
        <v>60.29</v>
      </c>
      <c r="T39" s="19">
        <f t="shared" ref="T39" si="14">MAX(T7:T37)</f>
        <v>392</v>
      </c>
      <c r="U39" s="19">
        <f t="shared" si="13"/>
        <v>13.08</v>
      </c>
      <c r="V39" s="19">
        <f t="shared" si="13"/>
        <v>73</v>
      </c>
      <c r="W39" s="19">
        <f t="shared" ref="W39" si="15">MAX(W7:W37)</f>
        <v>2.4780000000000002</v>
      </c>
      <c r="X39" s="31">
        <f t="shared" si="13"/>
        <v>4.32</v>
      </c>
      <c r="Z39" s="41">
        <f t="shared" ref="Z39:AH39" si="16">MAX(Z7:Z37)</f>
        <v>15.3</v>
      </c>
      <c r="AA39" s="19">
        <f t="shared" si="16"/>
        <v>27.46</v>
      </c>
      <c r="AB39" s="19">
        <f t="shared" si="16"/>
        <v>46.09</v>
      </c>
      <c r="AC39" s="19">
        <f t="shared" si="16"/>
        <v>56.83</v>
      </c>
      <c r="AD39" s="19">
        <f t="shared" ref="AD39" si="17">MAX(AD7:AD37)</f>
        <v>350</v>
      </c>
      <c r="AE39" s="19">
        <f t="shared" si="16"/>
        <v>30</v>
      </c>
      <c r="AF39" s="19">
        <f t="shared" si="16"/>
        <v>1.5</v>
      </c>
      <c r="AG39" s="19">
        <f t="shared" ref="AG39" si="18">MAX(AG7:AG37)</f>
        <v>2.17</v>
      </c>
      <c r="AH39" s="31">
        <f t="shared" si="16"/>
        <v>3.82</v>
      </c>
    </row>
    <row r="40" spans="1:34">
      <c r="A40" s="18" t="s">
        <v>36</v>
      </c>
      <c r="B40" s="19" t="e">
        <f t="shared" ref="B40:L40" si="19">AVERAGE(B7:B37)</f>
        <v>#DIV/0!</v>
      </c>
      <c r="C40" s="19" t="e">
        <f t="shared" si="19"/>
        <v>#DIV/0!</v>
      </c>
      <c r="D40" s="19" t="e">
        <f t="shared" si="19"/>
        <v>#DIV/0!</v>
      </c>
      <c r="E40" s="19" t="e">
        <f t="shared" si="19"/>
        <v>#DIV/0!</v>
      </c>
      <c r="F40" s="19" t="e">
        <f t="shared" si="19"/>
        <v>#DIV/0!</v>
      </c>
      <c r="G40" s="19" t="e">
        <f t="shared" si="19"/>
        <v>#DIV/0!</v>
      </c>
      <c r="H40" s="19" t="e">
        <f t="shared" ref="H40" si="20">AVERAGE(H7:H37)</f>
        <v>#DIV/0!</v>
      </c>
      <c r="I40" s="19" t="e">
        <f t="shared" si="19"/>
        <v>#DIV/0!</v>
      </c>
      <c r="J40" s="19" t="e">
        <f t="shared" si="19"/>
        <v>#DIV/0!</v>
      </c>
      <c r="K40" s="19" t="e">
        <f t="shared" ref="K40" si="21">AVERAGE(K7:K37)</f>
        <v>#DIV/0!</v>
      </c>
      <c r="L40" s="31" t="e">
        <f t="shared" si="19"/>
        <v>#DIV/0!</v>
      </c>
      <c r="M40" s="22"/>
      <c r="N40" s="19" t="e">
        <f t="shared" ref="N40:X40" si="22">AVERAGE(N7:N37)</f>
        <v>#DIV/0!</v>
      </c>
      <c r="O40" s="19" t="e">
        <f t="shared" si="22"/>
        <v>#DIV/0!</v>
      </c>
      <c r="P40" s="19">
        <f t="shared" si="22"/>
        <v>13.35375</v>
      </c>
      <c r="Q40" s="19">
        <f t="shared" si="22"/>
        <v>23.388749999999998</v>
      </c>
      <c r="R40" s="19">
        <f t="shared" si="22"/>
        <v>39.927500000000002</v>
      </c>
      <c r="S40" s="19">
        <f t="shared" si="22"/>
        <v>52.947499999999998</v>
      </c>
      <c r="T40" s="19">
        <f t="shared" ref="T40" si="23">AVERAGE(T7:T37)</f>
        <v>322.625</v>
      </c>
      <c r="U40" s="19">
        <f t="shared" si="22"/>
        <v>11.01</v>
      </c>
      <c r="V40" s="19">
        <f t="shared" si="22"/>
        <v>6.90625</v>
      </c>
      <c r="W40" s="19">
        <f t="shared" ref="W40" si="24">AVERAGE(W7:W37)</f>
        <v>2.1970625000000004</v>
      </c>
      <c r="X40" s="31">
        <f t="shared" si="22"/>
        <v>2.9318750000000002</v>
      </c>
      <c r="Z40" s="41">
        <f>AVERAGE(Z7:Z37)</f>
        <v>13.528571428571428</v>
      </c>
      <c r="AA40" s="19">
        <f t="shared" ref="AA40:AH40" si="25">AVERAGE(AA7:AA37)</f>
        <v>24.001428571428569</v>
      </c>
      <c r="AB40" s="19">
        <f t="shared" si="25"/>
        <v>42.861428571428569</v>
      </c>
      <c r="AC40" s="19">
        <f t="shared" si="25"/>
        <v>53.697142857142858</v>
      </c>
      <c r="AD40" s="19">
        <f t="shared" ref="AD40" si="26">AVERAGE(AD7:AD37)</f>
        <v>319.14285714285717</v>
      </c>
      <c r="AE40" s="19">
        <f t="shared" si="25"/>
        <v>13.320000000000002</v>
      </c>
      <c r="AF40" s="19">
        <f t="shared" si="25"/>
        <v>0.9285714285714286</v>
      </c>
      <c r="AG40" s="19">
        <f t="shared" ref="AG40" si="27">AVERAGE(AG7:AG37)</f>
        <v>2.0741428571428573</v>
      </c>
      <c r="AH40" s="31">
        <f t="shared" si="25"/>
        <v>2.7085714285714286</v>
      </c>
    </row>
    <row r="41" spans="1:34" ht="15.75" thickBot="1">
      <c r="A41" s="20" t="s">
        <v>130</v>
      </c>
      <c r="B41" s="21" t="e">
        <f>STDEV(B7:B37)</f>
        <v>#DIV/0!</v>
      </c>
      <c r="C41" s="21" t="e">
        <f t="shared" ref="C41:L41" si="28">STDEV(C7:C37)</f>
        <v>#DIV/0!</v>
      </c>
      <c r="D41" s="21" t="e">
        <f t="shared" si="28"/>
        <v>#DIV/0!</v>
      </c>
      <c r="E41" s="21" t="e">
        <f t="shared" si="28"/>
        <v>#DIV/0!</v>
      </c>
      <c r="F41" s="21" t="e">
        <f t="shared" si="28"/>
        <v>#DIV/0!</v>
      </c>
      <c r="G41" s="21" t="e">
        <f t="shared" si="28"/>
        <v>#DIV/0!</v>
      </c>
      <c r="H41" s="21" t="e">
        <f t="shared" ref="H41" si="29">STDEV(H7:H37)</f>
        <v>#DIV/0!</v>
      </c>
      <c r="I41" s="21" t="e">
        <f t="shared" si="28"/>
        <v>#DIV/0!</v>
      </c>
      <c r="J41" s="21" t="e">
        <f t="shared" si="28"/>
        <v>#DIV/0!</v>
      </c>
      <c r="K41" s="21" t="e">
        <f t="shared" ref="K41" si="30">STDEV(K7:K37)</f>
        <v>#DIV/0!</v>
      </c>
      <c r="L41" s="32" t="e">
        <f t="shared" si="28"/>
        <v>#DIV/0!</v>
      </c>
      <c r="M41" s="22"/>
      <c r="N41" s="21" t="e">
        <f>STDEV(N7:N37)</f>
        <v>#DIV/0!</v>
      </c>
      <c r="O41" s="21" t="e">
        <f t="shared" ref="O41:X41" si="31">STDEV(O7:O37)</f>
        <v>#DIV/0!</v>
      </c>
      <c r="P41" s="21">
        <f t="shared" si="31"/>
        <v>1.1531052279244365</v>
      </c>
      <c r="Q41" s="21">
        <f t="shared" si="31"/>
        <v>0.84958715464237911</v>
      </c>
      <c r="R41" s="21">
        <f t="shared" si="31"/>
        <v>2.5506639658462786</v>
      </c>
      <c r="S41" s="21">
        <f t="shared" si="31"/>
        <v>3.1779144104270651</v>
      </c>
      <c r="T41" s="21">
        <f t="shared" ref="T41" si="32">STDEV(T7:T37)</f>
        <v>30.730820576960408</v>
      </c>
      <c r="U41" s="21">
        <f t="shared" si="31"/>
        <v>1.5542457978067659</v>
      </c>
      <c r="V41" s="21">
        <f t="shared" si="31"/>
        <v>17.912955041905658</v>
      </c>
      <c r="W41" s="21">
        <f t="shared" ref="W41" si="33">STDEV(W7:W37)</f>
        <v>0.15632209003635203</v>
      </c>
      <c r="X41" s="32">
        <f t="shared" si="31"/>
        <v>0.58522040007732434</v>
      </c>
      <c r="Z41" s="42">
        <f>STDEV(Z7:Z37)</f>
        <v>0.81074921258937149</v>
      </c>
      <c r="AA41" s="21">
        <f t="shared" ref="AA41:AH41" si="34">STDEV(AA7:AA37)</f>
        <v>1.8821125415467637</v>
      </c>
      <c r="AB41" s="21">
        <f t="shared" si="34"/>
        <v>2.4952984362024284</v>
      </c>
      <c r="AC41" s="21">
        <f t="shared" si="34"/>
        <v>2.8509104644289467</v>
      </c>
      <c r="AD41" s="21">
        <f t="shared" ref="AD41" si="35">STDEV(AD7:AD37)</f>
        <v>18.845234335047607</v>
      </c>
      <c r="AE41" s="21">
        <f t="shared" si="34"/>
        <v>7.4581141494795204</v>
      </c>
      <c r="AF41" s="21">
        <f t="shared" si="34"/>
        <v>0.44986770542121873</v>
      </c>
      <c r="AG41" s="21">
        <f t="shared" ref="AG41" si="36">STDEV(AG7:AG37)</f>
        <v>6.9162679173642425E-2</v>
      </c>
      <c r="AH41" s="32">
        <f t="shared" si="34"/>
        <v>0.72902740166673552</v>
      </c>
    </row>
    <row r="42" spans="1:34" ht="15.75" thickBot="1"/>
    <row r="43" spans="1:34" ht="15.75" thickBot="1">
      <c r="A43" s="1"/>
      <c r="B43" s="338" t="s">
        <v>0</v>
      </c>
      <c r="C43" s="339"/>
      <c r="D43" s="339"/>
      <c r="E43" s="339"/>
      <c r="F43" s="339"/>
      <c r="G43" s="339"/>
      <c r="H43" s="339"/>
      <c r="I43" s="339"/>
      <c r="J43" s="339"/>
      <c r="K43" s="339"/>
      <c r="L43" s="339"/>
      <c r="M43" s="339"/>
      <c r="N43" s="339"/>
      <c r="O43" s="339"/>
      <c r="P43" s="339"/>
      <c r="Q43" s="339"/>
      <c r="R43" s="339"/>
      <c r="S43" s="339"/>
      <c r="T43" s="339"/>
      <c r="U43" s="339"/>
      <c r="V43" s="339"/>
      <c r="W43" s="339"/>
      <c r="X43" s="339"/>
      <c r="Y43" s="339"/>
      <c r="Z43" s="339"/>
      <c r="AA43" s="339"/>
      <c r="AB43" s="339"/>
      <c r="AC43" s="339"/>
      <c r="AD43" s="340"/>
      <c r="AE43" s="340"/>
      <c r="AF43" s="340"/>
      <c r="AG43" s="340"/>
      <c r="AH43" s="340"/>
    </row>
    <row r="44" spans="1:34" ht="15.75" thickBot="1">
      <c r="A44" s="1"/>
      <c r="B44" s="338" t="s">
        <v>172</v>
      </c>
      <c r="C44" s="339"/>
      <c r="D44" s="339"/>
      <c r="E44" s="339"/>
      <c r="F44" s="339"/>
      <c r="G44" s="339"/>
      <c r="H44" s="339"/>
      <c r="I44" s="339"/>
      <c r="J44" s="339"/>
      <c r="K44" s="339"/>
      <c r="L44" s="339"/>
      <c r="M44" s="339"/>
      <c r="N44" s="339"/>
      <c r="O44" s="339"/>
      <c r="P44" s="339"/>
      <c r="Q44" s="339"/>
      <c r="R44" s="339"/>
      <c r="S44" s="339"/>
      <c r="T44" s="339"/>
      <c r="U44" s="339"/>
      <c r="V44" s="339"/>
      <c r="W44" s="339"/>
      <c r="X44" s="339"/>
      <c r="Y44" s="339"/>
      <c r="Z44" s="339"/>
      <c r="AA44" s="339"/>
      <c r="AB44" s="339"/>
      <c r="AC44" s="339"/>
      <c r="AD44" s="4"/>
      <c r="AE44" s="43" t="s">
        <v>107</v>
      </c>
      <c r="AF44" s="341">
        <v>46023</v>
      </c>
      <c r="AG44" s="342"/>
      <c r="AH44" s="343"/>
    </row>
    <row r="45" spans="1:34">
      <c r="A45" s="344"/>
      <c r="B45" s="346" t="s">
        <v>132</v>
      </c>
      <c r="C45" s="347"/>
      <c r="D45" s="347"/>
      <c r="E45" s="347"/>
      <c r="F45" s="347"/>
      <c r="G45" s="347"/>
      <c r="H45" s="347"/>
      <c r="I45" s="347"/>
      <c r="J45" s="347"/>
      <c r="K45" s="348"/>
      <c r="L45" s="349"/>
      <c r="M45" s="22"/>
      <c r="N45" s="350" t="s">
        <v>133</v>
      </c>
      <c r="O45" s="347"/>
      <c r="P45" s="347"/>
      <c r="Q45" s="347"/>
      <c r="R45" s="347"/>
      <c r="S45" s="347"/>
      <c r="T45" s="347"/>
      <c r="U45" s="347"/>
      <c r="V45" s="347"/>
      <c r="W45" s="348"/>
      <c r="X45" s="349"/>
      <c r="Y45" s="22"/>
      <c r="Z45" s="346" t="s">
        <v>134</v>
      </c>
      <c r="AA45" s="347"/>
      <c r="AB45" s="347"/>
      <c r="AC45" s="347"/>
      <c r="AD45" s="347"/>
      <c r="AE45" s="347"/>
      <c r="AF45" s="347"/>
      <c r="AG45" s="348"/>
      <c r="AH45" s="349"/>
    </row>
    <row r="46" spans="1:34" ht="25.5">
      <c r="A46" s="345"/>
      <c r="B46" s="359" t="s">
        <v>135</v>
      </c>
      <c r="C46" s="361" t="s">
        <v>136</v>
      </c>
      <c r="D46" s="5" t="s">
        <v>137</v>
      </c>
      <c r="E46" s="5" t="s">
        <v>138</v>
      </c>
      <c r="F46" s="5" t="s">
        <v>139</v>
      </c>
      <c r="G46" s="5" t="s">
        <v>140</v>
      </c>
      <c r="H46" s="5" t="s">
        <v>141</v>
      </c>
      <c r="I46" s="5" t="s">
        <v>142</v>
      </c>
      <c r="J46" s="5" t="s">
        <v>143</v>
      </c>
      <c r="K46" s="181" t="s">
        <v>81</v>
      </c>
      <c r="L46" s="23" t="s">
        <v>144</v>
      </c>
      <c r="M46" s="22"/>
      <c r="N46" s="355" t="s">
        <v>135</v>
      </c>
      <c r="O46" s="357" t="s">
        <v>136</v>
      </c>
      <c r="P46" s="5" t="s">
        <v>137</v>
      </c>
      <c r="Q46" s="5" t="s">
        <v>138</v>
      </c>
      <c r="R46" s="5" t="s">
        <v>139</v>
      </c>
      <c r="S46" s="5" t="s">
        <v>140</v>
      </c>
      <c r="T46" s="5" t="s">
        <v>141</v>
      </c>
      <c r="U46" s="5" t="s">
        <v>142</v>
      </c>
      <c r="V46" s="5" t="s">
        <v>143</v>
      </c>
      <c r="W46" s="181" t="s">
        <v>81</v>
      </c>
      <c r="X46" s="23" t="s">
        <v>144</v>
      </c>
      <c r="Y46" s="22"/>
      <c r="Z46" s="33" t="s">
        <v>137</v>
      </c>
      <c r="AA46" s="5" t="s">
        <v>138</v>
      </c>
      <c r="AB46" s="5" t="s">
        <v>139</v>
      </c>
      <c r="AC46" s="5" t="s">
        <v>140</v>
      </c>
      <c r="AD46" s="5" t="s">
        <v>141</v>
      </c>
      <c r="AE46" s="5" t="s">
        <v>142</v>
      </c>
      <c r="AF46" s="5" t="s">
        <v>143</v>
      </c>
      <c r="AG46" s="181" t="s">
        <v>81</v>
      </c>
      <c r="AH46" s="23" t="s">
        <v>144</v>
      </c>
    </row>
    <row r="47" spans="1:34" ht="25.5">
      <c r="A47" s="6" t="s">
        <v>145</v>
      </c>
      <c r="B47" s="360"/>
      <c r="C47" s="362"/>
      <c r="D47" s="5" t="s">
        <v>128</v>
      </c>
      <c r="E47" s="5" t="s">
        <v>128</v>
      </c>
      <c r="F47" s="5" t="s">
        <v>128</v>
      </c>
      <c r="G47" s="5" t="s">
        <v>128</v>
      </c>
      <c r="H47" s="5" t="s">
        <v>125</v>
      </c>
      <c r="I47" s="5" t="s">
        <v>146</v>
      </c>
      <c r="J47" s="5" t="s">
        <v>127</v>
      </c>
      <c r="K47" s="181" t="s">
        <v>53</v>
      </c>
      <c r="L47" s="23" t="s">
        <v>53</v>
      </c>
      <c r="M47" s="22"/>
      <c r="N47" s="356"/>
      <c r="O47" s="358"/>
      <c r="P47" s="5" t="s">
        <v>128</v>
      </c>
      <c r="Q47" s="5" t="s">
        <v>128</v>
      </c>
      <c r="R47" s="5" t="s">
        <v>128</v>
      </c>
      <c r="S47" s="5" t="s">
        <v>128</v>
      </c>
      <c r="T47" s="5" t="s">
        <v>125</v>
      </c>
      <c r="U47" s="5" t="s">
        <v>146</v>
      </c>
      <c r="V47" s="5" t="s">
        <v>127</v>
      </c>
      <c r="W47" s="181" t="s">
        <v>53</v>
      </c>
      <c r="X47" s="23" t="s">
        <v>53</v>
      </c>
      <c r="Y47" s="22"/>
      <c r="Z47" s="33" t="s">
        <v>128</v>
      </c>
      <c r="AA47" s="5" t="s">
        <v>128</v>
      </c>
      <c r="AB47" s="5" t="s">
        <v>128</v>
      </c>
      <c r="AC47" s="5" t="s">
        <v>128</v>
      </c>
      <c r="AD47" s="5" t="s">
        <v>125</v>
      </c>
      <c r="AE47" s="5" t="s">
        <v>146</v>
      </c>
      <c r="AF47" s="5" t="s">
        <v>127</v>
      </c>
      <c r="AG47" s="181" t="s">
        <v>53</v>
      </c>
      <c r="AH47" s="23" t="s">
        <v>53</v>
      </c>
    </row>
    <row r="48" spans="1:34" ht="39" thickBot="1">
      <c r="A48" s="7" t="s">
        <v>147</v>
      </c>
      <c r="B48" s="8" t="s">
        <v>173</v>
      </c>
      <c r="C48" s="9" t="s">
        <v>174</v>
      </c>
      <c r="D48" s="9" t="s">
        <v>181</v>
      </c>
      <c r="E48" s="9" t="s">
        <v>182</v>
      </c>
      <c r="F48" s="9" t="s">
        <v>183</v>
      </c>
      <c r="G48" s="9" t="s">
        <v>175</v>
      </c>
      <c r="H48" s="9" t="s">
        <v>176</v>
      </c>
      <c r="I48" s="24" t="s">
        <v>155</v>
      </c>
      <c r="J48" s="24" t="s">
        <v>156</v>
      </c>
      <c r="K48" s="24" t="s">
        <v>179</v>
      </c>
      <c r="L48" s="25" t="s">
        <v>177</v>
      </c>
      <c r="M48" s="22"/>
      <c r="N48" s="8" t="s">
        <v>173</v>
      </c>
      <c r="O48" s="9" t="s">
        <v>174</v>
      </c>
      <c r="P48" s="9" t="s">
        <v>181</v>
      </c>
      <c r="Q48" s="9" t="s">
        <v>182</v>
      </c>
      <c r="R48" s="9" t="s">
        <v>183</v>
      </c>
      <c r="S48" s="9" t="s">
        <v>175</v>
      </c>
      <c r="T48" s="9" t="s">
        <v>176</v>
      </c>
      <c r="U48" s="24" t="s">
        <v>155</v>
      </c>
      <c r="V48" s="24" t="s">
        <v>156</v>
      </c>
      <c r="W48" s="24" t="s">
        <v>179</v>
      </c>
      <c r="X48" s="25" t="s">
        <v>177</v>
      </c>
      <c r="Y48" s="22"/>
      <c r="Z48" s="9" t="s">
        <v>181</v>
      </c>
      <c r="AA48" s="9" t="s">
        <v>182</v>
      </c>
      <c r="AB48" s="9" t="s">
        <v>183</v>
      </c>
      <c r="AC48" s="9" t="s">
        <v>175</v>
      </c>
      <c r="AD48" s="9" t="s">
        <v>176</v>
      </c>
      <c r="AE48" s="24" t="s">
        <v>155</v>
      </c>
      <c r="AF48" s="24" t="s">
        <v>156</v>
      </c>
      <c r="AG48" s="24" t="s">
        <v>179</v>
      </c>
      <c r="AH48" s="25" t="s">
        <v>177</v>
      </c>
    </row>
    <row r="49" spans="1:34">
      <c r="A49" s="10">
        <f>AF44+0</f>
        <v>46023</v>
      </c>
      <c r="B49" s="11" t="s">
        <v>35</v>
      </c>
      <c r="C49" s="12" t="s">
        <v>35</v>
      </c>
      <c r="D49" s="12" t="s">
        <v>35</v>
      </c>
      <c r="E49" s="13" t="s">
        <v>35</v>
      </c>
      <c r="F49" s="12" t="s">
        <v>35</v>
      </c>
      <c r="G49" s="12" t="s">
        <v>35</v>
      </c>
      <c r="H49" s="12" t="s">
        <v>35</v>
      </c>
      <c r="I49" s="12" t="s">
        <v>35</v>
      </c>
      <c r="J49" s="13" t="s">
        <v>35</v>
      </c>
      <c r="K49" s="184" t="s">
        <v>35</v>
      </c>
      <c r="L49" s="26" t="s">
        <v>35</v>
      </c>
      <c r="M49" s="22"/>
      <c r="N49" s="29" t="s">
        <v>35</v>
      </c>
      <c r="O49" s="13" t="s">
        <v>35</v>
      </c>
      <c r="P49" s="28">
        <v>13.65</v>
      </c>
      <c r="Q49" s="28">
        <v>21.76</v>
      </c>
      <c r="R49" s="28">
        <v>40.28</v>
      </c>
      <c r="S49" s="28">
        <v>49.1</v>
      </c>
      <c r="T49" s="62">
        <v>302</v>
      </c>
      <c r="U49" s="28">
        <v>9.44</v>
      </c>
      <c r="V49" s="28">
        <v>4</v>
      </c>
      <c r="W49" s="184">
        <v>2.1</v>
      </c>
      <c r="X49" s="34">
        <v>2.46</v>
      </c>
      <c r="Y49" s="22"/>
      <c r="Z49" s="38" t="s">
        <v>35</v>
      </c>
      <c r="AA49" s="13" t="s">
        <v>35</v>
      </c>
      <c r="AB49" s="13" t="s">
        <v>35</v>
      </c>
      <c r="AC49" s="13" t="s">
        <v>35</v>
      </c>
      <c r="AD49" s="36" t="s">
        <v>35</v>
      </c>
      <c r="AE49" s="13" t="s">
        <v>35</v>
      </c>
      <c r="AF49" s="13" t="s">
        <v>35</v>
      </c>
      <c r="AG49" s="13" t="s">
        <v>35</v>
      </c>
      <c r="AH49" s="37" t="s">
        <v>35</v>
      </c>
    </row>
    <row r="50" spans="1:34">
      <c r="A50" s="14">
        <f t="shared" ref="A50:A79" si="37">A49+1</f>
        <v>46024</v>
      </c>
      <c r="B50" s="11" t="s">
        <v>35</v>
      </c>
      <c r="C50" s="12" t="s">
        <v>35</v>
      </c>
      <c r="D50" s="12" t="s">
        <v>35</v>
      </c>
      <c r="E50" s="13" t="s">
        <v>35</v>
      </c>
      <c r="F50" s="12" t="s">
        <v>35</v>
      </c>
      <c r="G50" s="12" t="s">
        <v>35</v>
      </c>
      <c r="H50" s="12" t="s">
        <v>35</v>
      </c>
      <c r="I50" s="12" t="s">
        <v>35</v>
      </c>
      <c r="J50" s="13" t="s">
        <v>35</v>
      </c>
      <c r="K50" s="184" t="s">
        <v>35</v>
      </c>
      <c r="L50" s="26" t="s">
        <v>35</v>
      </c>
      <c r="M50" s="22"/>
      <c r="N50" s="29" t="s">
        <v>35</v>
      </c>
      <c r="O50" s="13" t="s">
        <v>35</v>
      </c>
      <c r="P50" s="13">
        <v>13.56</v>
      </c>
      <c r="Q50" s="13">
        <v>26.34</v>
      </c>
      <c r="R50" s="13">
        <v>45.97</v>
      </c>
      <c r="S50" s="13">
        <v>49.77</v>
      </c>
      <c r="T50" s="36">
        <v>334</v>
      </c>
      <c r="U50" s="13">
        <v>13.16</v>
      </c>
      <c r="V50" s="13">
        <v>0.5</v>
      </c>
      <c r="W50" s="184">
        <v>2.2999999999999998</v>
      </c>
      <c r="X50" s="37">
        <v>2.52</v>
      </c>
      <c r="Y50" s="22"/>
      <c r="Z50" s="38" t="s">
        <v>35</v>
      </c>
      <c r="AA50" s="13" t="s">
        <v>35</v>
      </c>
      <c r="AB50" s="13" t="s">
        <v>35</v>
      </c>
      <c r="AC50" s="13" t="s">
        <v>35</v>
      </c>
      <c r="AD50" s="36" t="s">
        <v>35</v>
      </c>
      <c r="AE50" s="13" t="s">
        <v>35</v>
      </c>
      <c r="AF50" s="13" t="s">
        <v>35</v>
      </c>
      <c r="AG50" s="13" t="s">
        <v>35</v>
      </c>
      <c r="AH50" s="37" t="s">
        <v>35</v>
      </c>
    </row>
    <row r="51" spans="1:34">
      <c r="A51" s="14">
        <f t="shared" si="37"/>
        <v>46025</v>
      </c>
      <c r="B51" s="11" t="s">
        <v>35</v>
      </c>
      <c r="C51" s="12" t="s">
        <v>35</v>
      </c>
      <c r="D51" s="12" t="s">
        <v>35</v>
      </c>
      <c r="E51" s="13" t="s">
        <v>35</v>
      </c>
      <c r="F51" s="12" t="s">
        <v>35</v>
      </c>
      <c r="G51" s="12" t="s">
        <v>35</v>
      </c>
      <c r="H51" s="12" t="s">
        <v>35</v>
      </c>
      <c r="I51" s="12" t="s">
        <v>35</v>
      </c>
      <c r="J51" s="13" t="s">
        <v>35</v>
      </c>
      <c r="K51" s="184" t="s">
        <v>35</v>
      </c>
      <c r="L51" s="26" t="s">
        <v>35</v>
      </c>
      <c r="M51" s="22"/>
      <c r="N51" s="29" t="s">
        <v>35</v>
      </c>
      <c r="O51" s="13" t="s">
        <v>35</v>
      </c>
      <c r="P51" s="13">
        <v>13.42</v>
      </c>
      <c r="Q51" s="13">
        <v>25.28</v>
      </c>
      <c r="R51" s="13">
        <v>47.71</v>
      </c>
      <c r="S51" s="13">
        <v>49.42</v>
      </c>
      <c r="T51" s="36">
        <v>303</v>
      </c>
      <c r="U51" s="13">
        <v>8.1199999999999992</v>
      </c>
      <c r="V51" s="13">
        <v>0.5</v>
      </c>
      <c r="W51" s="184">
        <v>2.09</v>
      </c>
      <c r="X51" s="37">
        <v>2.0699999999999998</v>
      </c>
      <c r="Y51" s="22"/>
      <c r="Z51" s="38">
        <v>16.510000000000002</v>
      </c>
      <c r="AA51" s="13">
        <v>27.49</v>
      </c>
      <c r="AB51" s="13">
        <v>45.45</v>
      </c>
      <c r="AC51" s="13">
        <v>48.8</v>
      </c>
      <c r="AD51" s="36">
        <v>315</v>
      </c>
      <c r="AE51" s="13">
        <v>12.96</v>
      </c>
      <c r="AF51" s="13">
        <v>1</v>
      </c>
      <c r="AG51" s="184">
        <v>2.33</v>
      </c>
      <c r="AH51" s="37">
        <v>1.63</v>
      </c>
    </row>
    <row r="52" spans="1:34">
      <c r="A52" s="14">
        <f t="shared" si="37"/>
        <v>46026</v>
      </c>
      <c r="B52" s="11" t="s">
        <v>35</v>
      </c>
      <c r="C52" s="12" t="s">
        <v>35</v>
      </c>
      <c r="D52" s="12" t="s">
        <v>35</v>
      </c>
      <c r="E52" s="13" t="s">
        <v>35</v>
      </c>
      <c r="F52" s="12" t="s">
        <v>35</v>
      </c>
      <c r="G52" s="12" t="s">
        <v>35</v>
      </c>
      <c r="H52" s="12" t="s">
        <v>35</v>
      </c>
      <c r="I52" s="12" t="s">
        <v>35</v>
      </c>
      <c r="J52" s="13" t="s">
        <v>35</v>
      </c>
      <c r="K52" s="184" t="s">
        <v>35</v>
      </c>
      <c r="L52" s="26" t="s">
        <v>35</v>
      </c>
      <c r="M52" s="22"/>
      <c r="N52" s="29" t="s">
        <v>35</v>
      </c>
      <c r="O52" s="13" t="s">
        <v>35</v>
      </c>
      <c r="P52" s="13">
        <v>14.22</v>
      </c>
      <c r="Q52" s="13">
        <v>23.54</v>
      </c>
      <c r="R52" s="13">
        <v>39.83</v>
      </c>
      <c r="S52" s="13">
        <v>54.15</v>
      </c>
      <c r="T52" s="36">
        <v>320</v>
      </c>
      <c r="U52" s="13">
        <v>11.52</v>
      </c>
      <c r="V52" s="13">
        <v>1</v>
      </c>
      <c r="W52" s="184">
        <v>2.0299999999999998</v>
      </c>
      <c r="X52" s="37">
        <v>2.99</v>
      </c>
      <c r="Y52" s="22"/>
      <c r="Z52" s="38">
        <v>15.34</v>
      </c>
      <c r="AA52" s="13">
        <v>23.16</v>
      </c>
      <c r="AB52" s="13">
        <v>48.13</v>
      </c>
      <c r="AC52" s="13">
        <v>54.15</v>
      </c>
      <c r="AD52" s="36">
        <v>312</v>
      </c>
      <c r="AE52" s="13">
        <v>9.52</v>
      </c>
      <c r="AF52" s="13">
        <v>0.5</v>
      </c>
      <c r="AG52" s="184">
        <v>2.06</v>
      </c>
      <c r="AH52" s="37">
        <v>2.39</v>
      </c>
    </row>
    <row r="53" spans="1:34">
      <c r="A53" s="14">
        <f t="shared" si="37"/>
        <v>46027</v>
      </c>
      <c r="B53" s="11" t="s">
        <v>35</v>
      </c>
      <c r="C53" s="12" t="s">
        <v>35</v>
      </c>
      <c r="D53" s="12" t="s">
        <v>35</v>
      </c>
      <c r="E53" s="13" t="s">
        <v>35</v>
      </c>
      <c r="F53" s="12" t="s">
        <v>35</v>
      </c>
      <c r="G53" s="12" t="s">
        <v>35</v>
      </c>
      <c r="H53" s="12" t="s">
        <v>35</v>
      </c>
      <c r="I53" s="12" t="s">
        <v>35</v>
      </c>
      <c r="J53" s="13" t="s">
        <v>35</v>
      </c>
      <c r="K53" s="184" t="s">
        <v>35</v>
      </c>
      <c r="L53" s="26" t="s">
        <v>35</v>
      </c>
      <c r="M53" s="22"/>
      <c r="N53" s="29" t="s">
        <v>35</v>
      </c>
      <c r="O53" s="13" t="s">
        <v>35</v>
      </c>
      <c r="P53" s="13">
        <v>13.94</v>
      </c>
      <c r="Q53" s="13">
        <v>23.92</v>
      </c>
      <c r="R53" s="13">
        <v>40.36</v>
      </c>
      <c r="S53" s="13">
        <v>52.2</v>
      </c>
      <c r="T53" s="36">
        <v>343</v>
      </c>
      <c r="U53" s="13">
        <v>12.52</v>
      </c>
      <c r="V53" s="13">
        <v>0.5</v>
      </c>
      <c r="W53" s="184">
        <v>1</v>
      </c>
      <c r="X53" s="51">
        <v>2.73</v>
      </c>
      <c r="Y53" s="22"/>
      <c r="Z53" s="38" t="s">
        <v>35</v>
      </c>
      <c r="AA53" s="13" t="s">
        <v>35</v>
      </c>
      <c r="AB53" s="13" t="s">
        <v>35</v>
      </c>
      <c r="AC53" s="13" t="s">
        <v>35</v>
      </c>
      <c r="AD53" s="36" t="s">
        <v>35</v>
      </c>
      <c r="AE53" s="13" t="s">
        <v>35</v>
      </c>
      <c r="AF53" s="13" t="s">
        <v>35</v>
      </c>
      <c r="AG53" s="13" t="s">
        <v>35</v>
      </c>
      <c r="AH53" s="37" t="s">
        <v>35</v>
      </c>
    </row>
    <row r="54" spans="1:34">
      <c r="A54" s="14">
        <f t="shared" si="37"/>
        <v>46028</v>
      </c>
      <c r="B54" s="11" t="s">
        <v>35</v>
      </c>
      <c r="C54" s="12" t="s">
        <v>35</v>
      </c>
      <c r="D54" s="12" t="s">
        <v>35</v>
      </c>
      <c r="E54" s="13" t="s">
        <v>35</v>
      </c>
      <c r="F54" s="12" t="s">
        <v>35</v>
      </c>
      <c r="G54" s="12" t="s">
        <v>35</v>
      </c>
      <c r="H54" s="12" t="s">
        <v>35</v>
      </c>
      <c r="I54" s="12" t="s">
        <v>35</v>
      </c>
      <c r="J54" s="13" t="s">
        <v>35</v>
      </c>
      <c r="K54" s="184" t="s">
        <v>35</v>
      </c>
      <c r="L54" s="26" t="s">
        <v>35</v>
      </c>
      <c r="M54" s="22"/>
      <c r="N54" s="29" t="s">
        <v>35</v>
      </c>
      <c r="O54" s="13" t="s">
        <v>35</v>
      </c>
      <c r="P54" s="13">
        <v>14.85</v>
      </c>
      <c r="Q54" s="13">
        <v>27.67</v>
      </c>
      <c r="R54" s="13">
        <v>40.590000000000003</v>
      </c>
      <c r="S54" s="13">
        <v>54.2</v>
      </c>
      <c r="T54" s="36">
        <v>307</v>
      </c>
      <c r="U54" s="13">
        <v>8.64</v>
      </c>
      <c r="V54" s="13">
        <v>0.5</v>
      </c>
      <c r="W54" s="184">
        <v>2.1080000000000001</v>
      </c>
      <c r="X54" s="51">
        <v>2.14</v>
      </c>
      <c r="Y54" s="22"/>
      <c r="Z54" s="38" t="s">
        <v>35</v>
      </c>
      <c r="AA54" s="13" t="s">
        <v>35</v>
      </c>
      <c r="AB54" s="13" t="s">
        <v>35</v>
      </c>
      <c r="AC54" s="13" t="s">
        <v>35</v>
      </c>
      <c r="AD54" s="36" t="s">
        <v>35</v>
      </c>
      <c r="AE54" s="13" t="s">
        <v>35</v>
      </c>
      <c r="AF54" s="13" t="s">
        <v>35</v>
      </c>
      <c r="AG54" s="13" t="s">
        <v>35</v>
      </c>
      <c r="AH54" s="37" t="s">
        <v>35</v>
      </c>
    </row>
    <row r="55" spans="1:34">
      <c r="A55" s="14">
        <f t="shared" si="37"/>
        <v>46029</v>
      </c>
      <c r="B55" s="11" t="s">
        <v>35</v>
      </c>
      <c r="C55" s="12" t="s">
        <v>35</v>
      </c>
      <c r="D55" s="12" t="s">
        <v>35</v>
      </c>
      <c r="E55" s="13" t="s">
        <v>35</v>
      </c>
      <c r="F55" s="12" t="s">
        <v>35</v>
      </c>
      <c r="G55" s="12" t="s">
        <v>35</v>
      </c>
      <c r="H55" s="12" t="s">
        <v>35</v>
      </c>
      <c r="I55" s="12" t="s">
        <v>35</v>
      </c>
      <c r="J55" s="13" t="s">
        <v>35</v>
      </c>
      <c r="K55" s="184" t="s">
        <v>35</v>
      </c>
      <c r="L55" s="26" t="s">
        <v>35</v>
      </c>
      <c r="M55" s="22"/>
      <c r="N55" s="29" t="s">
        <v>35</v>
      </c>
      <c r="O55" s="13" t="s">
        <v>35</v>
      </c>
      <c r="P55" s="13">
        <v>13.46</v>
      </c>
      <c r="Q55" s="13">
        <v>23.59</v>
      </c>
      <c r="R55" s="13">
        <v>40.18</v>
      </c>
      <c r="S55" s="13">
        <v>53.55</v>
      </c>
      <c r="T55" s="36">
        <v>309</v>
      </c>
      <c r="U55" s="13">
        <v>10.76</v>
      </c>
      <c r="V55" s="13">
        <v>43.5</v>
      </c>
      <c r="W55" s="184">
        <v>1.964</v>
      </c>
      <c r="X55" s="51">
        <v>2.79</v>
      </c>
      <c r="Y55" s="22"/>
      <c r="Z55" s="38" t="s">
        <v>35</v>
      </c>
      <c r="AA55" s="13" t="s">
        <v>35</v>
      </c>
      <c r="AB55" s="13" t="s">
        <v>35</v>
      </c>
      <c r="AC55" s="13" t="s">
        <v>35</v>
      </c>
      <c r="AD55" s="36" t="s">
        <v>35</v>
      </c>
      <c r="AE55" s="13" t="s">
        <v>35</v>
      </c>
      <c r="AF55" s="13" t="s">
        <v>35</v>
      </c>
      <c r="AG55" s="13" t="s">
        <v>35</v>
      </c>
      <c r="AH55" s="37" t="s">
        <v>35</v>
      </c>
    </row>
    <row r="56" spans="1:34">
      <c r="A56" s="14">
        <f t="shared" si="37"/>
        <v>46030</v>
      </c>
      <c r="B56" s="11" t="s">
        <v>35</v>
      </c>
      <c r="C56" s="12" t="s">
        <v>35</v>
      </c>
      <c r="D56" s="12" t="s">
        <v>35</v>
      </c>
      <c r="E56" s="13" t="s">
        <v>35</v>
      </c>
      <c r="F56" s="12" t="s">
        <v>35</v>
      </c>
      <c r="G56" s="12" t="s">
        <v>35</v>
      </c>
      <c r="H56" s="12" t="s">
        <v>35</v>
      </c>
      <c r="I56" s="12" t="s">
        <v>35</v>
      </c>
      <c r="J56" s="13" t="s">
        <v>35</v>
      </c>
      <c r="K56" s="184" t="s">
        <v>35</v>
      </c>
      <c r="L56" s="26" t="s">
        <v>35</v>
      </c>
      <c r="M56" s="22"/>
      <c r="N56" s="29" t="s">
        <v>35</v>
      </c>
      <c r="O56" s="13" t="s">
        <v>35</v>
      </c>
      <c r="P56" s="13">
        <v>13.79</v>
      </c>
      <c r="Q56" s="13">
        <v>23.32</v>
      </c>
      <c r="R56" s="13">
        <v>39.65</v>
      </c>
      <c r="S56" s="13">
        <v>55.98</v>
      </c>
      <c r="T56" s="36">
        <v>300</v>
      </c>
      <c r="U56" s="13">
        <v>11.52</v>
      </c>
      <c r="V56" s="13">
        <v>1</v>
      </c>
      <c r="W56" s="184">
        <v>2.31</v>
      </c>
      <c r="X56" s="37">
        <v>2.36</v>
      </c>
      <c r="Y56" s="22"/>
      <c r="Z56" s="38" t="s">
        <v>35</v>
      </c>
      <c r="AA56" s="13" t="s">
        <v>35</v>
      </c>
      <c r="AB56" s="13" t="s">
        <v>35</v>
      </c>
      <c r="AC56" s="13" t="s">
        <v>35</v>
      </c>
      <c r="AD56" s="36" t="s">
        <v>35</v>
      </c>
      <c r="AE56" s="13" t="s">
        <v>35</v>
      </c>
      <c r="AF56" s="13" t="s">
        <v>35</v>
      </c>
      <c r="AG56" s="13" t="s">
        <v>35</v>
      </c>
      <c r="AH56" s="37" t="s">
        <v>35</v>
      </c>
    </row>
    <row r="57" spans="1:34">
      <c r="A57" s="14">
        <f t="shared" si="37"/>
        <v>46031</v>
      </c>
      <c r="B57" s="11" t="s">
        <v>35</v>
      </c>
      <c r="C57" s="12" t="s">
        <v>35</v>
      </c>
      <c r="D57" s="12" t="s">
        <v>35</v>
      </c>
      <c r="E57" s="13" t="s">
        <v>35</v>
      </c>
      <c r="F57" s="12" t="s">
        <v>35</v>
      </c>
      <c r="G57" s="12" t="s">
        <v>35</v>
      </c>
      <c r="H57" s="12" t="s">
        <v>35</v>
      </c>
      <c r="I57" s="12" t="s">
        <v>35</v>
      </c>
      <c r="J57" s="13" t="s">
        <v>35</v>
      </c>
      <c r="K57" s="184" t="s">
        <v>35</v>
      </c>
      <c r="L57" s="26" t="s">
        <v>35</v>
      </c>
      <c r="M57" s="22"/>
      <c r="N57" s="29" t="s">
        <v>35</v>
      </c>
      <c r="O57" s="13" t="s">
        <v>35</v>
      </c>
      <c r="P57" s="13">
        <v>13.11</v>
      </c>
      <c r="Q57" s="13">
        <v>24.24</v>
      </c>
      <c r="R57" s="13">
        <v>38.630000000000003</v>
      </c>
      <c r="S57" s="13">
        <v>55.83</v>
      </c>
      <c r="T57" s="36">
        <v>300</v>
      </c>
      <c r="U57" s="13">
        <v>9.4</v>
      </c>
      <c r="V57" s="13">
        <v>0.5</v>
      </c>
      <c r="W57" s="184">
        <v>2.02</v>
      </c>
      <c r="X57" s="37">
        <v>2.91</v>
      </c>
      <c r="Y57" s="22"/>
      <c r="Z57" s="38">
        <v>13.76</v>
      </c>
      <c r="AA57" s="13">
        <v>27.96</v>
      </c>
      <c r="AB57" s="13">
        <v>39.1</v>
      </c>
      <c r="AC57" s="13">
        <v>59.32</v>
      </c>
      <c r="AD57" s="36">
        <v>309</v>
      </c>
      <c r="AE57" s="13">
        <v>8.7200000000000006</v>
      </c>
      <c r="AF57" s="13">
        <v>0.5</v>
      </c>
      <c r="AG57" s="184">
        <v>2.2999999999999998</v>
      </c>
      <c r="AH57" s="37">
        <v>3.01</v>
      </c>
    </row>
    <row r="58" spans="1:34">
      <c r="A58" s="14">
        <f t="shared" si="37"/>
        <v>46032</v>
      </c>
      <c r="B58" s="11" t="s">
        <v>35</v>
      </c>
      <c r="C58" s="12" t="s">
        <v>35</v>
      </c>
      <c r="D58" s="12" t="s">
        <v>35</v>
      </c>
      <c r="E58" s="13" t="s">
        <v>35</v>
      </c>
      <c r="F58" s="12" t="s">
        <v>35</v>
      </c>
      <c r="G58" s="12" t="s">
        <v>35</v>
      </c>
      <c r="H58" s="12" t="s">
        <v>35</v>
      </c>
      <c r="I58" s="12" t="s">
        <v>35</v>
      </c>
      <c r="J58" s="13" t="s">
        <v>35</v>
      </c>
      <c r="K58" s="184" t="s">
        <v>35</v>
      </c>
      <c r="L58" s="26" t="s">
        <v>35</v>
      </c>
      <c r="M58" s="22"/>
      <c r="N58" s="29" t="s">
        <v>35</v>
      </c>
      <c r="O58" s="13" t="s">
        <v>35</v>
      </c>
      <c r="P58" s="13">
        <v>13.32</v>
      </c>
      <c r="Q58" s="13">
        <v>22.78</v>
      </c>
      <c r="R58" s="13">
        <v>35.96</v>
      </c>
      <c r="S58" s="13">
        <v>51.22</v>
      </c>
      <c r="T58" s="36">
        <v>383</v>
      </c>
      <c r="U58" s="13">
        <v>11.04</v>
      </c>
      <c r="V58" s="13">
        <v>0.5</v>
      </c>
      <c r="W58" s="184">
        <v>2.12</v>
      </c>
      <c r="X58" s="51">
        <v>2.0699999999999998</v>
      </c>
      <c r="Y58" s="22"/>
      <c r="Z58" s="38" t="s">
        <v>35</v>
      </c>
      <c r="AA58" s="13" t="s">
        <v>35</v>
      </c>
      <c r="AB58" s="13" t="s">
        <v>35</v>
      </c>
      <c r="AC58" s="13" t="s">
        <v>35</v>
      </c>
      <c r="AD58" s="36" t="s">
        <v>35</v>
      </c>
      <c r="AE58" s="13" t="s">
        <v>35</v>
      </c>
      <c r="AF58" s="13" t="s">
        <v>35</v>
      </c>
      <c r="AG58" s="13" t="s">
        <v>35</v>
      </c>
      <c r="AH58" s="37" t="s">
        <v>35</v>
      </c>
    </row>
    <row r="59" spans="1:34">
      <c r="A59" s="14">
        <f t="shared" si="37"/>
        <v>46033</v>
      </c>
      <c r="B59" s="11" t="s">
        <v>35</v>
      </c>
      <c r="C59" s="12" t="s">
        <v>35</v>
      </c>
      <c r="D59" s="12" t="s">
        <v>35</v>
      </c>
      <c r="E59" s="13" t="s">
        <v>35</v>
      </c>
      <c r="F59" s="12" t="s">
        <v>35</v>
      </c>
      <c r="G59" s="12" t="s">
        <v>35</v>
      </c>
      <c r="H59" s="12" t="s">
        <v>35</v>
      </c>
      <c r="I59" s="12" t="s">
        <v>35</v>
      </c>
      <c r="J59" s="13" t="s">
        <v>35</v>
      </c>
      <c r="K59" s="184" t="s">
        <v>35</v>
      </c>
      <c r="L59" s="26" t="s">
        <v>35</v>
      </c>
      <c r="M59" s="22"/>
      <c r="N59" s="29" t="s">
        <v>35</v>
      </c>
      <c r="O59" s="13" t="s">
        <v>35</v>
      </c>
      <c r="P59" s="13">
        <v>12.39</v>
      </c>
      <c r="Q59" s="13">
        <v>22.35</v>
      </c>
      <c r="R59" s="13">
        <v>37.36</v>
      </c>
      <c r="S59" s="13">
        <v>49.62</v>
      </c>
      <c r="T59" s="36">
        <v>310</v>
      </c>
      <c r="U59" s="13">
        <v>11.52</v>
      </c>
      <c r="V59" s="13">
        <v>2.5</v>
      </c>
      <c r="W59" s="184">
        <v>2.39</v>
      </c>
      <c r="X59" s="51">
        <v>3.07</v>
      </c>
      <c r="Y59" s="22"/>
      <c r="Z59" s="38">
        <v>13.66</v>
      </c>
      <c r="AA59" s="13">
        <v>24.91</v>
      </c>
      <c r="AB59" s="13">
        <v>42.58</v>
      </c>
      <c r="AC59" s="13">
        <v>54.76</v>
      </c>
      <c r="AD59" s="36">
        <v>307</v>
      </c>
      <c r="AE59" s="13">
        <v>10.56</v>
      </c>
      <c r="AF59" s="13">
        <v>1.5</v>
      </c>
      <c r="AG59" s="184">
        <v>2.2999999999999998</v>
      </c>
      <c r="AH59" s="37">
        <v>3.18</v>
      </c>
    </row>
    <row r="60" spans="1:34">
      <c r="A60" s="14">
        <f t="shared" si="37"/>
        <v>46034</v>
      </c>
      <c r="B60" s="11" t="s">
        <v>35</v>
      </c>
      <c r="C60" s="12" t="s">
        <v>35</v>
      </c>
      <c r="D60" s="12" t="s">
        <v>35</v>
      </c>
      <c r="E60" s="13" t="s">
        <v>35</v>
      </c>
      <c r="F60" s="12" t="s">
        <v>35</v>
      </c>
      <c r="G60" s="12" t="s">
        <v>35</v>
      </c>
      <c r="H60" s="12" t="s">
        <v>35</v>
      </c>
      <c r="I60" s="12" t="s">
        <v>35</v>
      </c>
      <c r="J60" s="13" t="s">
        <v>35</v>
      </c>
      <c r="K60" s="184" t="s">
        <v>35</v>
      </c>
      <c r="L60" s="26" t="s">
        <v>35</v>
      </c>
      <c r="M60" s="22"/>
      <c r="N60" s="11" t="s">
        <v>35</v>
      </c>
      <c r="O60" s="12" t="s">
        <v>35</v>
      </c>
      <c r="P60" s="12" t="s">
        <v>35</v>
      </c>
      <c r="Q60" s="13" t="s">
        <v>35</v>
      </c>
      <c r="R60" s="12" t="s">
        <v>35</v>
      </c>
      <c r="S60" s="12" t="s">
        <v>35</v>
      </c>
      <c r="T60" s="12" t="s">
        <v>35</v>
      </c>
      <c r="U60" s="12" t="s">
        <v>35</v>
      </c>
      <c r="V60" s="13" t="s">
        <v>35</v>
      </c>
      <c r="W60" s="184"/>
      <c r="X60" s="26" t="s">
        <v>35</v>
      </c>
      <c r="Y60" s="22"/>
      <c r="Z60" s="38" t="s">
        <v>35</v>
      </c>
      <c r="AA60" s="13" t="s">
        <v>35</v>
      </c>
      <c r="AB60" s="13" t="s">
        <v>35</v>
      </c>
      <c r="AC60" s="13" t="s">
        <v>35</v>
      </c>
      <c r="AD60" s="36" t="s">
        <v>35</v>
      </c>
      <c r="AE60" s="13" t="s">
        <v>35</v>
      </c>
      <c r="AF60" s="13" t="s">
        <v>35</v>
      </c>
      <c r="AG60" s="13" t="s">
        <v>35</v>
      </c>
      <c r="AH60" s="37" t="s">
        <v>35</v>
      </c>
    </row>
    <row r="61" spans="1:34">
      <c r="A61" s="14">
        <f t="shared" si="37"/>
        <v>46035</v>
      </c>
      <c r="B61" s="11" t="s">
        <v>35</v>
      </c>
      <c r="C61" s="12" t="s">
        <v>35</v>
      </c>
      <c r="D61" s="12" t="s">
        <v>35</v>
      </c>
      <c r="E61" s="13" t="s">
        <v>35</v>
      </c>
      <c r="F61" s="12" t="s">
        <v>35</v>
      </c>
      <c r="G61" s="12" t="s">
        <v>35</v>
      </c>
      <c r="H61" s="12" t="s">
        <v>35</v>
      </c>
      <c r="I61" s="12" t="s">
        <v>35</v>
      </c>
      <c r="J61" s="13" t="s">
        <v>35</v>
      </c>
      <c r="K61" s="184" t="s">
        <v>35</v>
      </c>
      <c r="L61" s="26" t="s">
        <v>35</v>
      </c>
      <c r="M61" s="22"/>
      <c r="N61" s="11" t="s">
        <v>35</v>
      </c>
      <c r="O61" s="12" t="s">
        <v>35</v>
      </c>
      <c r="P61" s="12" t="s">
        <v>35</v>
      </c>
      <c r="Q61" s="13" t="s">
        <v>35</v>
      </c>
      <c r="R61" s="12" t="s">
        <v>35</v>
      </c>
      <c r="S61" s="12" t="s">
        <v>35</v>
      </c>
      <c r="T61" s="12" t="s">
        <v>35</v>
      </c>
      <c r="U61" s="12" t="s">
        <v>35</v>
      </c>
      <c r="V61" s="13" t="s">
        <v>35</v>
      </c>
      <c r="W61" s="184"/>
      <c r="X61" s="26" t="s">
        <v>35</v>
      </c>
      <c r="Y61" s="22"/>
      <c r="Z61" s="38" t="s">
        <v>35</v>
      </c>
      <c r="AA61" s="13" t="s">
        <v>35</v>
      </c>
      <c r="AB61" s="13" t="s">
        <v>35</v>
      </c>
      <c r="AC61" s="13" t="s">
        <v>35</v>
      </c>
      <c r="AD61" s="36" t="s">
        <v>35</v>
      </c>
      <c r="AE61" s="13" t="s">
        <v>35</v>
      </c>
      <c r="AF61" s="13" t="s">
        <v>35</v>
      </c>
      <c r="AG61" s="13" t="s">
        <v>35</v>
      </c>
      <c r="AH61" s="37" t="s">
        <v>35</v>
      </c>
    </row>
    <row r="62" spans="1:34">
      <c r="A62" s="14">
        <f t="shared" si="37"/>
        <v>46036</v>
      </c>
      <c r="B62" s="11" t="s">
        <v>35</v>
      </c>
      <c r="C62" s="12" t="s">
        <v>35</v>
      </c>
      <c r="D62" s="12" t="s">
        <v>35</v>
      </c>
      <c r="E62" s="13" t="s">
        <v>35</v>
      </c>
      <c r="F62" s="12" t="s">
        <v>35</v>
      </c>
      <c r="G62" s="12" t="s">
        <v>35</v>
      </c>
      <c r="H62" s="12" t="s">
        <v>35</v>
      </c>
      <c r="I62" s="12" t="s">
        <v>35</v>
      </c>
      <c r="J62" s="13" t="s">
        <v>35</v>
      </c>
      <c r="K62" s="184" t="s">
        <v>35</v>
      </c>
      <c r="L62" s="26" t="s">
        <v>35</v>
      </c>
      <c r="M62" s="22"/>
      <c r="N62" s="11" t="s">
        <v>35</v>
      </c>
      <c r="O62" s="12" t="s">
        <v>35</v>
      </c>
      <c r="P62" s="12" t="s">
        <v>35</v>
      </c>
      <c r="Q62" s="13" t="s">
        <v>35</v>
      </c>
      <c r="R62" s="12" t="s">
        <v>35</v>
      </c>
      <c r="S62" s="12" t="s">
        <v>35</v>
      </c>
      <c r="T62" s="12" t="s">
        <v>35</v>
      </c>
      <c r="U62" s="12" t="s">
        <v>35</v>
      </c>
      <c r="V62" s="13" t="s">
        <v>35</v>
      </c>
      <c r="W62" s="184"/>
      <c r="X62" s="26" t="s">
        <v>35</v>
      </c>
      <c r="Y62" s="22"/>
      <c r="Z62" s="38" t="s">
        <v>35</v>
      </c>
      <c r="AA62" s="13" t="s">
        <v>35</v>
      </c>
      <c r="AB62" s="13" t="s">
        <v>35</v>
      </c>
      <c r="AC62" s="13" t="s">
        <v>35</v>
      </c>
      <c r="AD62" s="36" t="s">
        <v>35</v>
      </c>
      <c r="AE62" s="13" t="s">
        <v>35</v>
      </c>
      <c r="AF62" s="13" t="s">
        <v>35</v>
      </c>
      <c r="AG62" s="13" t="s">
        <v>35</v>
      </c>
      <c r="AH62" s="37" t="s">
        <v>35</v>
      </c>
    </row>
    <row r="63" spans="1:34">
      <c r="A63" s="14">
        <f t="shared" si="37"/>
        <v>46037</v>
      </c>
      <c r="B63" s="11" t="s">
        <v>35</v>
      </c>
      <c r="C63" s="12" t="s">
        <v>35</v>
      </c>
      <c r="D63" s="12" t="s">
        <v>35</v>
      </c>
      <c r="E63" s="13" t="s">
        <v>35</v>
      </c>
      <c r="F63" s="12" t="s">
        <v>35</v>
      </c>
      <c r="G63" s="12" t="s">
        <v>35</v>
      </c>
      <c r="H63" s="12" t="s">
        <v>35</v>
      </c>
      <c r="I63" s="12" t="s">
        <v>35</v>
      </c>
      <c r="J63" s="13" t="s">
        <v>35</v>
      </c>
      <c r="K63" s="184" t="s">
        <v>35</v>
      </c>
      <c r="L63" s="26" t="s">
        <v>35</v>
      </c>
      <c r="M63" s="22"/>
      <c r="N63" s="29" t="s">
        <v>35</v>
      </c>
      <c r="O63" s="50" t="s">
        <v>35</v>
      </c>
      <c r="P63" s="13">
        <v>13.78</v>
      </c>
      <c r="Q63" s="13">
        <v>23.07</v>
      </c>
      <c r="R63" s="13">
        <v>40.24</v>
      </c>
      <c r="S63" s="13">
        <v>51.53</v>
      </c>
      <c r="T63" s="36">
        <v>309</v>
      </c>
      <c r="U63" s="13">
        <v>9.1999999999999993</v>
      </c>
      <c r="V63" s="13">
        <v>2</v>
      </c>
      <c r="W63" s="184">
        <v>2.06</v>
      </c>
      <c r="X63" s="51">
        <v>3.3</v>
      </c>
      <c r="Y63" s="22"/>
      <c r="Z63" s="38">
        <v>13.38</v>
      </c>
      <c r="AA63" s="13">
        <v>24.91</v>
      </c>
      <c r="AB63" s="13">
        <v>38.93</v>
      </c>
      <c r="AC63" s="13">
        <v>51.17</v>
      </c>
      <c r="AD63" s="36">
        <v>308</v>
      </c>
      <c r="AE63" s="13">
        <v>9.76</v>
      </c>
      <c r="AF63" s="13">
        <v>47.5</v>
      </c>
      <c r="AG63" s="184">
        <v>2.1800000000000002</v>
      </c>
      <c r="AH63" s="37">
        <v>2.67</v>
      </c>
    </row>
    <row r="64" spans="1:34">
      <c r="A64" s="14">
        <f t="shared" si="37"/>
        <v>46038</v>
      </c>
      <c r="B64" s="11" t="s">
        <v>35</v>
      </c>
      <c r="C64" s="12" t="s">
        <v>35</v>
      </c>
      <c r="D64" s="12" t="s">
        <v>35</v>
      </c>
      <c r="E64" s="13" t="s">
        <v>35</v>
      </c>
      <c r="F64" s="12" t="s">
        <v>35</v>
      </c>
      <c r="G64" s="12" t="s">
        <v>35</v>
      </c>
      <c r="H64" s="12" t="s">
        <v>35</v>
      </c>
      <c r="I64" s="12" t="s">
        <v>35</v>
      </c>
      <c r="J64" s="13" t="s">
        <v>35</v>
      </c>
      <c r="K64" s="184" t="s">
        <v>35</v>
      </c>
      <c r="L64" s="26" t="s">
        <v>35</v>
      </c>
      <c r="M64" s="22"/>
      <c r="N64" s="29" t="s">
        <v>35</v>
      </c>
      <c r="O64" s="50" t="s">
        <v>35</v>
      </c>
      <c r="P64" s="13" t="s">
        <v>35</v>
      </c>
      <c r="Q64" s="13" t="s">
        <v>35</v>
      </c>
      <c r="R64" s="13" t="s">
        <v>35</v>
      </c>
      <c r="S64" s="13" t="s">
        <v>35</v>
      </c>
      <c r="T64" s="36" t="s">
        <v>35</v>
      </c>
      <c r="U64" s="13" t="s">
        <v>35</v>
      </c>
      <c r="V64" s="13" t="s">
        <v>35</v>
      </c>
      <c r="W64" s="184"/>
      <c r="X64" s="37" t="s">
        <v>35</v>
      </c>
      <c r="Y64" s="22"/>
      <c r="Z64" s="38" t="s">
        <v>35</v>
      </c>
      <c r="AA64" s="13" t="s">
        <v>35</v>
      </c>
      <c r="AB64" s="13" t="s">
        <v>35</v>
      </c>
      <c r="AC64" s="13" t="s">
        <v>35</v>
      </c>
      <c r="AD64" s="13" t="s">
        <v>35</v>
      </c>
      <c r="AE64" s="13" t="s">
        <v>35</v>
      </c>
      <c r="AF64" s="13" t="s">
        <v>35</v>
      </c>
      <c r="AG64" s="13" t="s">
        <v>35</v>
      </c>
      <c r="AH64" s="37" t="s">
        <v>35</v>
      </c>
    </row>
    <row r="65" spans="1:34">
      <c r="A65" s="14">
        <f t="shared" si="37"/>
        <v>46039</v>
      </c>
      <c r="B65" s="11" t="s">
        <v>35</v>
      </c>
      <c r="C65" s="12" t="s">
        <v>35</v>
      </c>
      <c r="D65" s="12" t="s">
        <v>35</v>
      </c>
      <c r="E65" s="13" t="s">
        <v>35</v>
      </c>
      <c r="F65" s="12" t="s">
        <v>35</v>
      </c>
      <c r="G65" s="12" t="s">
        <v>35</v>
      </c>
      <c r="H65" s="12" t="s">
        <v>35</v>
      </c>
      <c r="I65" s="12" t="s">
        <v>35</v>
      </c>
      <c r="J65" s="13" t="s">
        <v>35</v>
      </c>
      <c r="K65" s="184" t="s">
        <v>35</v>
      </c>
      <c r="L65" s="26" t="s">
        <v>35</v>
      </c>
      <c r="M65" s="22"/>
      <c r="N65" s="29" t="s">
        <v>35</v>
      </c>
      <c r="O65" s="50" t="s">
        <v>35</v>
      </c>
      <c r="P65" s="13">
        <v>12.74</v>
      </c>
      <c r="Q65" s="13">
        <v>22.54</v>
      </c>
      <c r="R65" s="13">
        <v>36.950000000000003</v>
      </c>
      <c r="S65" s="13">
        <v>49.82</v>
      </c>
      <c r="T65" s="36">
        <v>311</v>
      </c>
      <c r="U65" s="13">
        <v>7.88</v>
      </c>
      <c r="V65" s="13">
        <v>1.5</v>
      </c>
      <c r="W65" s="184">
        <v>2.72</v>
      </c>
      <c r="X65" s="37">
        <v>2.94</v>
      </c>
      <c r="Y65" s="22"/>
      <c r="Z65" s="38" t="s">
        <v>35</v>
      </c>
      <c r="AA65" s="13" t="s">
        <v>35</v>
      </c>
      <c r="AB65" s="13" t="s">
        <v>35</v>
      </c>
      <c r="AC65" s="13" t="s">
        <v>35</v>
      </c>
      <c r="AD65" s="13" t="s">
        <v>35</v>
      </c>
      <c r="AE65" s="13" t="s">
        <v>35</v>
      </c>
      <c r="AF65" s="13" t="s">
        <v>35</v>
      </c>
      <c r="AG65" s="13" t="s">
        <v>35</v>
      </c>
      <c r="AH65" s="37" t="s">
        <v>35</v>
      </c>
    </row>
    <row r="66" spans="1:34">
      <c r="A66" s="14">
        <f t="shared" si="37"/>
        <v>46040</v>
      </c>
      <c r="B66" s="11" t="s">
        <v>35</v>
      </c>
      <c r="C66" s="12" t="s">
        <v>35</v>
      </c>
      <c r="D66" s="12" t="s">
        <v>35</v>
      </c>
      <c r="E66" s="13" t="s">
        <v>35</v>
      </c>
      <c r="F66" s="12" t="s">
        <v>35</v>
      </c>
      <c r="G66" s="12" t="s">
        <v>35</v>
      </c>
      <c r="H66" s="12" t="s">
        <v>35</v>
      </c>
      <c r="I66" s="12" t="s">
        <v>35</v>
      </c>
      <c r="J66" s="13" t="s">
        <v>35</v>
      </c>
      <c r="K66" s="184" t="s">
        <v>35</v>
      </c>
      <c r="L66" s="26" t="s">
        <v>35</v>
      </c>
      <c r="M66" s="22"/>
      <c r="N66" s="29" t="s">
        <v>35</v>
      </c>
      <c r="O66" s="50" t="s">
        <v>35</v>
      </c>
      <c r="P66" s="13" t="s">
        <v>35</v>
      </c>
      <c r="Q66" s="13" t="s">
        <v>35</v>
      </c>
      <c r="R66" s="13" t="s">
        <v>35</v>
      </c>
      <c r="S66" s="13" t="s">
        <v>35</v>
      </c>
      <c r="T66" s="36" t="s">
        <v>35</v>
      </c>
      <c r="U66" s="13" t="s">
        <v>35</v>
      </c>
      <c r="V66" s="13" t="s">
        <v>35</v>
      </c>
      <c r="W66" s="184"/>
      <c r="X66" s="37" t="s">
        <v>35</v>
      </c>
      <c r="Y66" s="22"/>
      <c r="Z66" s="38" t="s">
        <v>35</v>
      </c>
      <c r="AA66" s="13" t="s">
        <v>35</v>
      </c>
      <c r="AB66" s="13" t="s">
        <v>35</v>
      </c>
      <c r="AC66" s="13" t="s">
        <v>35</v>
      </c>
      <c r="AD66" s="13" t="s">
        <v>35</v>
      </c>
      <c r="AE66" s="13" t="s">
        <v>35</v>
      </c>
      <c r="AF66" s="13" t="s">
        <v>35</v>
      </c>
      <c r="AG66" s="13" t="s">
        <v>35</v>
      </c>
      <c r="AH66" s="37" t="s">
        <v>35</v>
      </c>
    </row>
    <row r="67" spans="1:34">
      <c r="A67" s="14">
        <f t="shared" si="37"/>
        <v>46041</v>
      </c>
      <c r="B67" s="11" t="s">
        <v>35</v>
      </c>
      <c r="C67" s="12" t="s">
        <v>35</v>
      </c>
      <c r="D67" s="12" t="s">
        <v>35</v>
      </c>
      <c r="E67" s="13" t="s">
        <v>35</v>
      </c>
      <c r="F67" s="12" t="s">
        <v>35</v>
      </c>
      <c r="G67" s="12" t="s">
        <v>35</v>
      </c>
      <c r="H67" s="12" t="s">
        <v>35</v>
      </c>
      <c r="I67" s="12" t="s">
        <v>35</v>
      </c>
      <c r="J67" s="13" t="s">
        <v>35</v>
      </c>
      <c r="K67" s="184" t="s">
        <v>35</v>
      </c>
      <c r="L67" s="26" t="s">
        <v>35</v>
      </c>
      <c r="M67" s="22"/>
      <c r="N67" s="29" t="s">
        <v>35</v>
      </c>
      <c r="O67" s="50" t="s">
        <v>35</v>
      </c>
      <c r="P67" s="13">
        <v>13.68</v>
      </c>
      <c r="Q67" s="13">
        <v>22.92</v>
      </c>
      <c r="R67" s="13">
        <v>34.840000000000003</v>
      </c>
      <c r="S67" s="13">
        <v>49.99</v>
      </c>
      <c r="T67" s="36">
        <v>317</v>
      </c>
      <c r="U67" s="13">
        <v>10.48</v>
      </c>
      <c r="V67" s="13">
        <v>0.5</v>
      </c>
      <c r="W67" s="184">
        <v>2.1800000000000002</v>
      </c>
      <c r="X67" s="37">
        <v>3.52</v>
      </c>
      <c r="Y67" s="22"/>
      <c r="Z67" s="38" t="s">
        <v>35</v>
      </c>
      <c r="AA67" s="13" t="s">
        <v>35</v>
      </c>
      <c r="AB67" s="13" t="s">
        <v>35</v>
      </c>
      <c r="AC67" s="13" t="s">
        <v>35</v>
      </c>
      <c r="AD67" s="13" t="s">
        <v>35</v>
      </c>
      <c r="AE67" s="13" t="s">
        <v>35</v>
      </c>
      <c r="AF67" s="13" t="s">
        <v>35</v>
      </c>
      <c r="AG67" s="13" t="s">
        <v>35</v>
      </c>
      <c r="AH67" s="37" t="s">
        <v>35</v>
      </c>
    </row>
    <row r="68" spans="1:34">
      <c r="A68" s="14">
        <f t="shared" si="37"/>
        <v>46042</v>
      </c>
      <c r="B68" s="11" t="s">
        <v>35</v>
      </c>
      <c r="C68" s="12" t="s">
        <v>35</v>
      </c>
      <c r="D68" s="12" t="s">
        <v>35</v>
      </c>
      <c r="E68" s="13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3" t="s">
        <v>35</v>
      </c>
      <c r="K68" s="184" t="s">
        <v>35</v>
      </c>
      <c r="L68" s="26" t="s">
        <v>35</v>
      </c>
      <c r="M68" s="22"/>
      <c r="N68" s="29" t="s">
        <v>35</v>
      </c>
      <c r="O68" s="50" t="s">
        <v>35</v>
      </c>
      <c r="P68" s="13">
        <v>13.9</v>
      </c>
      <c r="Q68" s="13">
        <v>24.27</v>
      </c>
      <c r="R68" s="13">
        <v>38.549999999999997</v>
      </c>
      <c r="S68" s="13">
        <v>53.27</v>
      </c>
      <c r="T68" s="36">
        <v>313</v>
      </c>
      <c r="U68" s="13">
        <v>8.92</v>
      </c>
      <c r="V68" s="13">
        <v>0.5</v>
      </c>
      <c r="W68" s="184">
        <v>2.31</v>
      </c>
      <c r="X68" s="37">
        <v>3.65</v>
      </c>
      <c r="Y68" s="22"/>
      <c r="Z68" s="38">
        <v>14.25</v>
      </c>
      <c r="AA68" s="13">
        <v>23.08</v>
      </c>
      <c r="AB68" s="13">
        <v>41.16</v>
      </c>
      <c r="AC68" s="13">
        <v>53.01</v>
      </c>
      <c r="AD68" s="36">
        <v>306</v>
      </c>
      <c r="AE68" s="13">
        <v>10.08</v>
      </c>
      <c r="AF68" s="13">
        <v>1</v>
      </c>
      <c r="AG68" s="184">
        <v>2.33</v>
      </c>
      <c r="AH68" s="37">
        <v>2.11</v>
      </c>
    </row>
    <row r="69" spans="1:34">
      <c r="A69" s="14">
        <f t="shared" si="37"/>
        <v>46043</v>
      </c>
      <c r="B69" s="11" t="s">
        <v>35</v>
      </c>
      <c r="C69" s="12" t="s">
        <v>35</v>
      </c>
      <c r="D69" s="12" t="s">
        <v>35</v>
      </c>
      <c r="E69" s="13" t="s">
        <v>35</v>
      </c>
      <c r="F69" s="12" t="s">
        <v>35</v>
      </c>
      <c r="G69" s="12" t="s">
        <v>35</v>
      </c>
      <c r="H69" s="12" t="s">
        <v>35</v>
      </c>
      <c r="I69" s="12" t="s">
        <v>35</v>
      </c>
      <c r="J69" s="13" t="s">
        <v>35</v>
      </c>
      <c r="K69" s="184" t="s">
        <v>35</v>
      </c>
      <c r="L69" s="26" t="s">
        <v>35</v>
      </c>
      <c r="M69" s="22"/>
      <c r="N69" s="29" t="s">
        <v>35</v>
      </c>
      <c r="O69" s="50" t="s">
        <v>35</v>
      </c>
      <c r="P69" s="13" t="s">
        <v>35</v>
      </c>
      <c r="Q69" s="13" t="s">
        <v>35</v>
      </c>
      <c r="R69" s="13" t="s">
        <v>35</v>
      </c>
      <c r="S69" s="13" t="s">
        <v>35</v>
      </c>
      <c r="T69" s="36" t="s">
        <v>35</v>
      </c>
      <c r="U69" s="13" t="s">
        <v>35</v>
      </c>
      <c r="V69" s="13" t="s">
        <v>35</v>
      </c>
      <c r="W69" s="184"/>
      <c r="X69" s="37" t="s">
        <v>35</v>
      </c>
      <c r="Y69" s="22"/>
      <c r="Z69" s="38" t="s">
        <v>35</v>
      </c>
      <c r="AA69" s="13" t="s">
        <v>35</v>
      </c>
      <c r="AB69" s="13" t="s">
        <v>35</v>
      </c>
      <c r="AC69" s="13" t="s">
        <v>35</v>
      </c>
      <c r="AD69" s="13" t="s">
        <v>35</v>
      </c>
      <c r="AE69" s="13" t="s">
        <v>35</v>
      </c>
      <c r="AF69" s="13" t="s">
        <v>35</v>
      </c>
      <c r="AG69" s="13" t="s">
        <v>35</v>
      </c>
      <c r="AH69" s="37" t="s">
        <v>35</v>
      </c>
    </row>
    <row r="70" spans="1:34">
      <c r="A70" s="14">
        <f t="shared" si="37"/>
        <v>46044</v>
      </c>
      <c r="B70" s="11" t="s">
        <v>35</v>
      </c>
      <c r="C70" s="12" t="s">
        <v>35</v>
      </c>
      <c r="D70" s="12" t="s">
        <v>35</v>
      </c>
      <c r="E70" s="13" t="s">
        <v>35</v>
      </c>
      <c r="F70" s="12" t="s">
        <v>35</v>
      </c>
      <c r="G70" s="12" t="s">
        <v>35</v>
      </c>
      <c r="H70" s="12" t="s">
        <v>35</v>
      </c>
      <c r="I70" s="12" t="s">
        <v>35</v>
      </c>
      <c r="J70" s="13" t="s">
        <v>35</v>
      </c>
      <c r="K70" s="184" t="s">
        <v>35</v>
      </c>
      <c r="L70" s="26" t="s">
        <v>35</v>
      </c>
      <c r="M70" s="22"/>
      <c r="N70" s="29" t="s">
        <v>35</v>
      </c>
      <c r="O70" s="50" t="s">
        <v>35</v>
      </c>
      <c r="P70" s="13">
        <v>15.46</v>
      </c>
      <c r="Q70" s="13">
        <v>23.93</v>
      </c>
      <c r="R70" s="13">
        <v>36.97</v>
      </c>
      <c r="S70" s="13">
        <v>56.75</v>
      </c>
      <c r="T70" s="36">
        <v>309</v>
      </c>
      <c r="U70" s="13">
        <v>11.8</v>
      </c>
      <c r="V70" s="13">
        <v>3</v>
      </c>
      <c r="W70" s="184">
        <v>2.6</v>
      </c>
      <c r="X70" s="37">
        <v>3.06</v>
      </c>
      <c r="Y70" s="22"/>
      <c r="Z70" s="38" t="s">
        <v>35</v>
      </c>
      <c r="AA70" s="13" t="s">
        <v>35</v>
      </c>
      <c r="AB70" s="13" t="s">
        <v>35</v>
      </c>
      <c r="AC70" s="13" t="s">
        <v>35</v>
      </c>
      <c r="AD70" s="13" t="s">
        <v>35</v>
      </c>
      <c r="AE70" s="13" t="s">
        <v>35</v>
      </c>
      <c r="AF70" s="13" t="s">
        <v>35</v>
      </c>
      <c r="AG70" s="13" t="s">
        <v>35</v>
      </c>
      <c r="AH70" s="37" t="s">
        <v>35</v>
      </c>
    </row>
    <row r="71" spans="1:34">
      <c r="A71" s="14">
        <f t="shared" si="37"/>
        <v>46045</v>
      </c>
      <c r="B71" s="11" t="s">
        <v>35</v>
      </c>
      <c r="C71" s="12" t="s">
        <v>35</v>
      </c>
      <c r="D71" s="12" t="s">
        <v>35</v>
      </c>
      <c r="E71" s="13" t="s">
        <v>35</v>
      </c>
      <c r="F71" s="12" t="s">
        <v>35</v>
      </c>
      <c r="G71" s="12" t="s">
        <v>35</v>
      </c>
      <c r="H71" s="12" t="s">
        <v>35</v>
      </c>
      <c r="I71" s="12" t="s">
        <v>35</v>
      </c>
      <c r="J71" s="13" t="s">
        <v>35</v>
      </c>
      <c r="K71" s="184" t="s">
        <v>35</v>
      </c>
      <c r="L71" s="26" t="s">
        <v>35</v>
      </c>
      <c r="M71" s="22"/>
      <c r="N71" s="29" t="s">
        <v>35</v>
      </c>
      <c r="O71" s="13" t="s">
        <v>35</v>
      </c>
      <c r="P71" s="13" t="s">
        <v>35</v>
      </c>
      <c r="Q71" s="13" t="s">
        <v>35</v>
      </c>
      <c r="R71" s="13" t="s">
        <v>35</v>
      </c>
      <c r="S71" s="13" t="s">
        <v>35</v>
      </c>
      <c r="T71" s="36" t="s">
        <v>35</v>
      </c>
      <c r="U71" s="13" t="s">
        <v>35</v>
      </c>
      <c r="V71" s="13" t="s">
        <v>35</v>
      </c>
      <c r="W71" s="184"/>
      <c r="X71" s="37" t="s">
        <v>35</v>
      </c>
      <c r="Y71" s="22"/>
      <c r="Z71" s="38" t="s">
        <v>35</v>
      </c>
      <c r="AA71" s="13" t="s">
        <v>35</v>
      </c>
      <c r="AB71" s="13" t="s">
        <v>35</v>
      </c>
      <c r="AC71" s="13" t="s">
        <v>35</v>
      </c>
      <c r="AD71" s="13" t="s">
        <v>35</v>
      </c>
      <c r="AE71" s="13" t="s">
        <v>35</v>
      </c>
      <c r="AF71" s="13" t="s">
        <v>35</v>
      </c>
      <c r="AG71" s="13" t="s">
        <v>35</v>
      </c>
      <c r="AH71" s="37" t="s">
        <v>35</v>
      </c>
    </row>
    <row r="72" spans="1:34">
      <c r="A72" s="14">
        <f t="shared" si="37"/>
        <v>46046</v>
      </c>
      <c r="B72" s="11" t="s">
        <v>35</v>
      </c>
      <c r="C72" s="12" t="s">
        <v>35</v>
      </c>
      <c r="D72" s="12" t="s">
        <v>35</v>
      </c>
      <c r="E72" s="13" t="s">
        <v>35</v>
      </c>
      <c r="F72" s="12" t="s">
        <v>35</v>
      </c>
      <c r="G72" s="12" t="s">
        <v>35</v>
      </c>
      <c r="H72" s="12" t="s">
        <v>35</v>
      </c>
      <c r="I72" s="12" t="s">
        <v>35</v>
      </c>
      <c r="J72" s="13" t="s">
        <v>35</v>
      </c>
      <c r="K72" s="184" t="s">
        <v>35</v>
      </c>
      <c r="L72" s="26" t="s">
        <v>35</v>
      </c>
      <c r="M72" s="22"/>
      <c r="N72" s="29" t="s">
        <v>35</v>
      </c>
      <c r="O72" s="13" t="s">
        <v>35</v>
      </c>
      <c r="P72" s="13" t="s">
        <v>35</v>
      </c>
      <c r="Q72" s="13" t="s">
        <v>35</v>
      </c>
      <c r="R72" s="13" t="s">
        <v>35</v>
      </c>
      <c r="S72" s="13" t="s">
        <v>35</v>
      </c>
      <c r="T72" s="36" t="s">
        <v>35</v>
      </c>
      <c r="U72" s="13" t="s">
        <v>35</v>
      </c>
      <c r="V72" s="13" t="s">
        <v>35</v>
      </c>
      <c r="W72" s="184"/>
      <c r="X72" s="37" t="s">
        <v>35</v>
      </c>
      <c r="Y72" s="22"/>
      <c r="Z72" s="38" t="s">
        <v>35</v>
      </c>
      <c r="AA72" s="13" t="s">
        <v>35</v>
      </c>
      <c r="AB72" s="13" t="s">
        <v>35</v>
      </c>
      <c r="AC72" s="13" t="s">
        <v>35</v>
      </c>
      <c r="AD72" s="13" t="s">
        <v>35</v>
      </c>
      <c r="AE72" s="13" t="s">
        <v>35</v>
      </c>
      <c r="AF72" s="13" t="s">
        <v>35</v>
      </c>
      <c r="AG72" s="13" t="s">
        <v>35</v>
      </c>
      <c r="AH72" s="37" t="s">
        <v>35</v>
      </c>
    </row>
    <row r="73" spans="1:34">
      <c r="A73" s="14">
        <f t="shared" si="37"/>
        <v>46047</v>
      </c>
      <c r="B73" s="11" t="s">
        <v>35</v>
      </c>
      <c r="C73" s="12" t="s">
        <v>35</v>
      </c>
      <c r="D73" s="12" t="s">
        <v>35</v>
      </c>
      <c r="E73" s="13" t="s">
        <v>35</v>
      </c>
      <c r="F73" s="12" t="s">
        <v>35</v>
      </c>
      <c r="G73" s="12" t="s">
        <v>35</v>
      </c>
      <c r="H73" s="12" t="s">
        <v>35</v>
      </c>
      <c r="I73" s="12" t="s">
        <v>35</v>
      </c>
      <c r="J73" s="13" t="s">
        <v>35</v>
      </c>
      <c r="K73" s="184" t="s">
        <v>35</v>
      </c>
      <c r="L73" s="26" t="s">
        <v>35</v>
      </c>
      <c r="M73" s="22"/>
      <c r="N73" s="29" t="s">
        <v>35</v>
      </c>
      <c r="O73" s="13" t="s">
        <v>35</v>
      </c>
      <c r="P73" s="13" t="s">
        <v>35</v>
      </c>
      <c r="Q73" s="13" t="s">
        <v>35</v>
      </c>
      <c r="R73" s="13" t="s">
        <v>35</v>
      </c>
      <c r="S73" s="13" t="s">
        <v>35</v>
      </c>
      <c r="T73" s="36" t="s">
        <v>35</v>
      </c>
      <c r="U73" s="13" t="s">
        <v>35</v>
      </c>
      <c r="V73" s="13" t="s">
        <v>35</v>
      </c>
      <c r="W73" s="184"/>
      <c r="X73" s="37" t="s">
        <v>35</v>
      </c>
      <c r="Y73" s="22"/>
      <c r="Z73" s="38" t="s">
        <v>35</v>
      </c>
      <c r="AA73" s="13" t="s">
        <v>35</v>
      </c>
      <c r="AB73" s="13" t="s">
        <v>35</v>
      </c>
      <c r="AC73" s="13" t="s">
        <v>35</v>
      </c>
      <c r="AD73" s="13" t="s">
        <v>35</v>
      </c>
      <c r="AE73" s="13" t="s">
        <v>35</v>
      </c>
      <c r="AF73" s="13" t="s">
        <v>35</v>
      </c>
      <c r="AG73" s="13" t="s">
        <v>35</v>
      </c>
      <c r="AH73" s="37" t="s">
        <v>35</v>
      </c>
    </row>
    <row r="74" spans="1:34">
      <c r="A74" s="14">
        <f t="shared" si="37"/>
        <v>46048</v>
      </c>
      <c r="B74" s="11" t="s">
        <v>35</v>
      </c>
      <c r="C74" s="12" t="s">
        <v>35</v>
      </c>
      <c r="D74" s="12" t="s">
        <v>35</v>
      </c>
      <c r="E74" s="13" t="s">
        <v>35</v>
      </c>
      <c r="F74" s="12" t="s">
        <v>35</v>
      </c>
      <c r="G74" s="12" t="s">
        <v>35</v>
      </c>
      <c r="H74" s="12" t="s">
        <v>35</v>
      </c>
      <c r="I74" s="12" t="s">
        <v>35</v>
      </c>
      <c r="J74" s="13" t="s">
        <v>35</v>
      </c>
      <c r="K74" s="184" t="s">
        <v>35</v>
      </c>
      <c r="L74" s="26" t="s">
        <v>35</v>
      </c>
      <c r="M74" s="22"/>
      <c r="N74" s="29" t="s">
        <v>35</v>
      </c>
      <c r="O74" s="13" t="s">
        <v>35</v>
      </c>
      <c r="P74" s="13">
        <v>13.61</v>
      </c>
      <c r="Q74" s="13">
        <v>24.37</v>
      </c>
      <c r="R74" s="13">
        <v>38.020000000000003</v>
      </c>
      <c r="S74" s="13">
        <v>55.32</v>
      </c>
      <c r="T74" s="36">
        <v>303</v>
      </c>
      <c r="U74" s="13">
        <v>9.36</v>
      </c>
      <c r="V74" s="13">
        <v>1.5</v>
      </c>
      <c r="W74" s="184">
        <v>2.1</v>
      </c>
      <c r="X74" s="51">
        <v>2.85</v>
      </c>
      <c r="Y74" s="22"/>
      <c r="Z74" s="38" t="s">
        <v>35</v>
      </c>
      <c r="AA74" s="13" t="s">
        <v>35</v>
      </c>
      <c r="AB74" s="13" t="s">
        <v>35</v>
      </c>
      <c r="AC74" s="13" t="s">
        <v>35</v>
      </c>
      <c r="AD74" s="13" t="s">
        <v>35</v>
      </c>
      <c r="AE74" s="13" t="s">
        <v>35</v>
      </c>
      <c r="AF74" s="13" t="s">
        <v>35</v>
      </c>
      <c r="AG74" s="13" t="s">
        <v>35</v>
      </c>
      <c r="AH74" s="37" t="s">
        <v>35</v>
      </c>
    </row>
    <row r="75" spans="1:34">
      <c r="A75" s="14">
        <f t="shared" si="37"/>
        <v>46049</v>
      </c>
      <c r="B75" s="11" t="s">
        <v>35</v>
      </c>
      <c r="C75" s="12" t="s">
        <v>35</v>
      </c>
      <c r="D75" s="12" t="s">
        <v>35</v>
      </c>
      <c r="E75" s="13" t="s">
        <v>35</v>
      </c>
      <c r="F75" s="12" t="s">
        <v>35</v>
      </c>
      <c r="G75" s="12" t="s">
        <v>35</v>
      </c>
      <c r="H75" s="12" t="s">
        <v>35</v>
      </c>
      <c r="I75" s="12" t="s">
        <v>35</v>
      </c>
      <c r="J75" s="13" t="s">
        <v>35</v>
      </c>
      <c r="K75" s="184" t="s">
        <v>35</v>
      </c>
      <c r="L75" s="26" t="s">
        <v>35</v>
      </c>
      <c r="M75" s="22"/>
      <c r="N75" s="29" t="s">
        <v>35</v>
      </c>
      <c r="O75" s="13" t="s">
        <v>35</v>
      </c>
      <c r="P75" s="13" t="s">
        <v>35</v>
      </c>
      <c r="Q75" s="13" t="s">
        <v>35</v>
      </c>
      <c r="R75" s="13" t="s">
        <v>35</v>
      </c>
      <c r="S75" s="13" t="s">
        <v>35</v>
      </c>
      <c r="T75" s="36" t="s">
        <v>35</v>
      </c>
      <c r="U75" s="13" t="s">
        <v>35</v>
      </c>
      <c r="V75" s="13" t="s">
        <v>35</v>
      </c>
      <c r="W75" s="184"/>
      <c r="X75" s="37" t="s">
        <v>35</v>
      </c>
      <c r="Y75" s="22"/>
      <c r="Z75" s="38" t="s">
        <v>35</v>
      </c>
      <c r="AA75" s="13" t="s">
        <v>35</v>
      </c>
      <c r="AB75" s="13" t="s">
        <v>35</v>
      </c>
      <c r="AC75" s="13" t="s">
        <v>35</v>
      </c>
      <c r="AD75" s="13" t="s">
        <v>35</v>
      </c>
      <c r="AE75" s="13" t="s">
        <v>35</v>
      </c>
      <c r="AF75" s="13" t="s">
        <v>35</v>
      </c>
      <c r="AG75" s="13" t="s">
        <v>35</v>
      </c>
      <c r="AH75" s="37" t="s">
        <v>35</v>
      </c>
    </row>
    <row r="76" spans="1:34">
      <c r="A76" s="14">
        <f t="shared" si="37"/>
        <v>46050</v>
      </c>
      <c r="B76" s="11" t="s">
        <v>35</v>
      </c>
      <c r="C76" s="12" t="s">
        <v>35</v>
      </c>
      <c r="D76" s="12" t="s">
        <v>35</v>
      </c>
      <c r="E76" s="13" t="s">
        <v>35</v>
      </c>
      <c r="F76" s="12" t="s">
        <v>35</v>
      </c>
      <c r="G76" s="12" t="s">
        <v>35</v>
      </c>
      <c r="H76" s="12" t="s">
        <v>35</v>
      </c>
      <c r="I76" s="12" t="s">
        <v>35</v>
      </c>
      <c r="J76" s="13" t="s">
        <v>35</v>
      </c>
      <c r="K76" s="184" t="s">
        <v>35</v>
      </c>
      <c r="L76" s="26" t="s">
        <v>35</v>
      </c>
      <c r="M76" s="22"/>
      <c r="N76" s="29" t="s">
        <v>35</v>
      </c>
      <c r="O76" s="13" t="s">
        <v>35</v>
      </c>
      <c r="P76" s="13" t="s">
        <v>35</v>
      </c>
      <c r="Q76" s="13" t="s">
        <v>35</v>
      </c>
      <c r="R76" s="13" t="s">
        <v>35</v>
      </c>
      <c r="S76" s="13" t="s">
        <v>35</v>
      </c>
      <c r="T76" s="36" t="s">
        <v>35</v>
      </c>
      <c r="U76" s="13" t="s">
        <v>35</v>
      </c>
      <c r="V76" s="13" t="s">
        <v>35</v>
      </c>
      <c r="W76" s="184"/>
      <c r="X76" s="37" t="s">
        <v>35</v>
      </c>
      <c r="Y76" s="22"/>
      <c r="Z76" s="38" t="s">
        <v>35</v>
      </c>
      <c r="AA76" s="13" t="s">
        <v>35</v>
      </c>
      <c r="AB76" s="13" t="s">
        <v>35</v>
      </c>
      <c r="AC76" s="13" t="s">
        <v>35</v>
      </c>
      <c r="AD76" s="13" t="s">
        <v>35</v>
      </c>
      <c r="AE76" s="13" t="s">
        <v>35</v>
      </c>
      <c r="AF76" s="13" t="s">
        <v>35</v>
      </c>
      <c r="AG76" s="13" t="s">
        <v>35</v>
      </c>
      <c r="AH76" s="37" t="s">
        <v>35</v>
      </c>
    </row>
    <row r="77" spans="1:34">
      <c r="A77" s="14">
        <f t="shared" si="37"/>
        <v>46051</v>
      </c>
      <c r="B77" s="11" t="s">
        <v>35</v>
      </c>
      <c r="C77" s="12" t="s">
        <v>35</v>
      </c>
      <c r="D77" s="12" t="s">
        <v>35</v>
      </c>
      <c r="E77" s="13" t="s">
        <v>35</v>
      </c>
      <c r="F77" s="12" t="s">
        <v>35</v>
      </c>
      <c r="G77" s="12" t="s">
        <v>35</v>
      </c>
      <c r="H77" s="12" t="s">
        <v>35</v>
      </c>
      <c r="I77" s="12" t="s">
        <v>35</v>
      </c>
      <c r="J77" s="13" t="s">
        <v>35</v>
      </c>
      <c r="K77" s="184" t="s">
        <v>35</v>
      </c>
      <c r="L77" s="26" t="s">
        <v>35</v>
      </c>
      <c r="M77" s="22"/>
      <c r="N77" s="29" t="s">
        <v>35</v>
      </c>
      <c r="O77" s="13" t="s">
        <v>35</v>
      </c>
      <c r="P77" s="13" t="s">
        <v>35</v>
      </c>
      <c r="Q77" s="13" t="s">
        <v>35</v>
      </c>
      <c r="R77" s="13" t="s">
        <v>35</v>
      </c>
      <c r="S77" s="13" t="s">
        <v>35</v>
      </c>
      <c r="T77" s="36" t="s">
        <v>35</v>
      </c>
      <c r="U77" s="13" t="s">
        <v>35</v>
      </c>
      <c r="V77" s="13" t="s">
        <v>35</v>
      </c>
      <c r="W77" s="184"/>
      <c r="X77" s="37" t="s">
        <v>35</v>
      </c>
      <c r="Y77" s="22"/>
      <c r="Z77" s="38" t="s">
        <v>35</v>
      </c>
      <c r="AA77" s="13" t="s">
        <v>35</v>
      </c>
      <c r="AB77" s="13" t="s">
        <v>35</v>
      </c>
      <c r="AC77" s="13" t="s">
        <v>35</v>
      </c>
      <c r="AD77" s="13" t="s">
        <v>35</v>
      </c>
      <c r="AE77" s="13" t="s">
        <v>35</v>
      </c>
      <c r="AF77" s="13" t="s">
        <v>35</v>
      </c>
      <c r="AG77" s="13" t="s">
        <v>35</v>
      </c>
      <c r="AH77" s="37" t="s">
        <v>35</v>
      </c>
    </row>
    <row r="78" spans="1:34">
      <c r="A78" s="14">
        <f t="shared" si="37"/>
        <v>46052</v>
      </c>
      <c r="B78" s="11" t="s">
        <v>35</v>
      </c>
      <c r="C78" s="12" t="s">
        <v>35</v>
      </c>
      <c r="D78" s="12" t="s">
        <v>35</v>
      </c>
      <c r="E78" s="13" t="s">
        <v>35</v>
      </c>
      <c r="F78" s="12" t="s">
        <v>35</v>
      </c>
      <c r="G78" s="12" t="s">
        <v>35</v>
      </c>
      <c r="H78" s="12" t="s">
        <v>35</v>
      </c>
      <c r="I78" s="12" t="s">
        <v>35</v>
      </c>
      <c r="J78" s="13" t="s">
        <v>35</v>
      </c>
      <c r="K78" s="184" t="s">
        <v>35</v>
      </c>
      <c r="L78" s="26" t="s">
        <v>35</v>
      </c>
      <c r="M78" s="22"/>
      <c r="N78" s="29" t="s">
        <v>35</v>
      </c>
      <c r="O78" s="13" t="s">
        <v>35</v>
      </c>
      <c r="P78" s="13">
        <v>14.85</v>
      </c>
      <c r="Q78" s="13">
        <v>23.73</v>
      </c>
      <c r="R78" s="13">
        <v>40.479999999999997</v>
      </c>
      <c r="S78" s="13">
        <v>53.5</v>
      </c>
      <c r="T78" s="36">
        <v>315</v>
      </c>
      <c r="U78" s="13">
        <v>9.52</v>
      </c>
      <c r="V78" s="13">
        <v>1</v>
      </c>
      <c r="W78" s="184">
        <v>2.2599999999999998</v>
      </c>
      <c r="X78" s="37">
        <v>2.69</v>
      </c>
      <c r="Y78" s="22"/>
      <c r="Z78" s="38" t="s">
        <v>35</v>
      </c>
      <c r="AA78" s="13" t="s">
        <v>35</v>
      </c>
      <c r="AB78" s="13" t="s">
        <v>35</v>
      </c>
      <c r="AC78" s="13" t="s">
        <v>35</v>
      </c>
      <c r="AD78" s="13" t="s">
        <v>35</v>
      </c>
      <c r="AE78" s="13" t="s">
        <v>35</v>
      </c>
      <c r="AF78" s="13" t="s">
        <v>35</v>
      </c>
      <c r="AG78" s="13" t="s">
        <v>35</v>
      </c>
      <c r="AH78" s="37" t="s">
        <v>35</v>
      </c>
    </row>
    <row r="79" spans="1:34" ht="15.75" thickBot="1">
      <c r="A79" s="15">
        <f t="shared" si="37"/>
        <v>46053</v>
      </c>
      <c r="B79" s="11" t="s">
        <v>35</v>
      </c>
      <c r="C79" s="12" t="s">
        <v>35</v>
      </c>
      <c r="D79" s="12" t="s">
        <v>35</v>
      </c>
      <c r="E79" s="13" t="s">
        <v>35</v>
      </c>
      <c r="F79" s="12" t="s">
        <v>35</v>
      </c>
      <c r="G79" s="12" t="s">
        <v>35</v>
      </c>
      <c r="H79" s="12" t="s">
        <v>35</v>
      </c>
      <c r="I79" s="12" t="s">
        <v>35</v>
      </c>
      <c r="J79" s="13" t="s">
        <v>35</v>
      </c>
      <c r="K79" s="184" t="s">
        <v>35</v>
      </c>
      <c r="L79" s="26" t="s">
        <v>35</v>
      </c>
      <c r="M79" s="22"/>
      <c r="N79" s="29" t="s">
        <v>35</v>
      </c>
      <c r="O79" s="13" t="s">
        <v>35</v>
      </c>
      <c r="P79" s="47">
        <v>13.74</v>
      </c>
      <c r="Q79" s="47">
        <v>23.71</v>
      </c>
      <c r="R79" s="47">
        <v>41.21</v>
      </c>
      <c r="S79" s="47">
        <v>53.04</v>
      </c>
      <c r="T79" s="52">
        <v>290</v>
      </c>
      <c r="U79" s="47">
        <v>12.44</v>
      </c>
      <c r="V79" s="47">
        <v>0.5</v>
      </c>
      <c r="W79" s="184">
        <v>1.93</v>
      </c>
      <c r="X79" s="48">
        <v>2.17</v>
      </c>
      <c r="Y79" s="22"/>
      <c r="Z79" s="38" t="s">
        <v>35</v>
      </c>
      <c r="AA79" s="13" t="s">
        <v>35</v>
      </c>
      <c r="AB79" s="13" t="s">
        <v>35</v>
      </c>
      <c r="AC79" s="13" t="s">
        <v>35</v>
      </c>
      <c r="AD79" s="13" t="s">
        <v>35</v>
      </c>
      <c r="AE79" s="13" t="s">
        <v>35</v>
      </c>
      <c r="AF79" s="13" t="s">
        <v>35</v>
      </c>
      <c r="AG79" s="13" t="s">
        <v>35</v>
      </c>
      <c r="AH79" s="37" t="s">
        <v>35</v>
      </c>
    </row>
    <row r="80" spans="1:34">
      <c r="A80" s="16" t="s">
        <v>31</v>
      </c>
      <c r="B80" s="17">
        <f>MIN(B49:B79)</f>
        <v>0</v>
      </c>
      <c r="C80" s="17">
        <f>MIN(C49:C79)</f>
        <v>0</v>
      </c>
      <c r="D80" s="17">
        <f t="shared" ref="D80:L80" si="38">MIN(D49:D79)</f>
        <v>0</v>
      </c>
      <c r="E80" s="17">
        <f t="shared" si="38"/>
        <v>0</v>
      </c>
      <c r="F80" s="17">
        <f t="shared" si="38"/>
        <v>0</v>
      </c>
      <c r="G80" s="17">
        <f t="shared" si="38"/>
        <v>0</v>
      </c>
      <c r="H80" s="17">
        <f t="shared" si="38"/>
        <v>0</v>
      </c>
      <c r="I80" s="17">
        <f t="shared" si="38"/>
        <v>0</v>
      </c>
      <c r="J80" s="17">
        <f t="shared" si="38"/>
        <v>0</v>
      </c>
      <c r="K80" s="17">
        <f t="shared" si="38"/>
        <v>0</v>
      </c>
      <c r="L80" s="30">
        <f t="shared" si="38"/>
        <v>0</v>
      </c>
      <c r="M80" s="22"/>
      <c r="N80" s="17">
        <f>MIN(N49:N79)</f>
        <v>0</v>
      </c>
      <c r="O80" s="17">
        <f>MIN(O49:O79)</f>
        <v>0</v>
      </c>
      <c r="P80" s="17">
        <f t="shared" ref="P80:X80" si="39">MIN(P49:P79)</f>
        <v>12.39</v>
      </c>
      <c r="Q80" s="17">
        <f t="shared" si="39"/>
        <v>21.76</v>
      </c>
      <c r="R80" s="17">
        <f t="shared" si="39"/>
        <v>34.840000000000003</v>
      </c>
      <c r="S80" s="17">
        <f t="shared" si="39"/>
        <v>49.1</v>
      </c>
      <c r="T80" s="17">
        <f t="shared" si="39"/>
        <v>290</v>
      </c>
      <c r="U80" s="17">
        <f t="shared" si="39"/>
        <v>7.88</v>
      </c>
      <c r="V80" s="17">
        <f t="shared" si="39"/>
        <v>0.5</v>
      </c>
      <c r="W80" s="17">
        <f t="shared" si="39"/>
        <v>1</v>
      </c>
      <c r="X80" s="30">
        <f t="shared" si="39"/>
        <v>2.0699999999999998</v>
      </c>
      <c r="Z80" s="40">
        <f t="shared" ref="Z80:AH80" si="40">MIN(Z49:Z79)</f>
        <v>13.38</v>
      </c>
      <c r="AA80" s="17">
        <f t="shared" si="40"/>
        <v>23.08</v>
      </c>
      <c r="AB80" s="17">
        <f t="shared" si="40"/>
        <v>38.93</v>
      </c>
      <c r="AC80" s="17">
        <f t="shared" si="40"/>
        <v>48.8</v>
      </c>
      <c r="AD80" s="17">
        <f t="shared" si="40"/>
        <v>306</v>
      </c>
      <c r="AE80" s="17">
        <f t="shared" si="40"/>
        <v>8.7200000000000006</v>
      </c>
      <c r="AF80" s="17">
        <f t="shared" si="40"/>
        <v>0.5</v>
      </c>
      <c r="AG80" s="17">
        <f t="shared" si="40"/>
        <v>2.06</v>
      </c>
      <c r="AH80" s="30">
        <f t="shared" si="40"/>
        <v>1.63</v>
      </c>
    </row>
    <row r="81" spans="1:34">
      <c r="A81" s="18" t="s">
        <v>33</v>
      </c>
      <c r="B81" s="19">
        <f>MAX(B49:B79)</f>
        <v>0</v>
      </c>
      <c r="C81" s="19">
        <f>MAX(C49:C79)</f>
        <v>0</v>
      </c>
      <c r="D81" s="19">
        <f t="shared" ref="D81:L81" si="41">MAX(D49:D79)</f>
        <v>0</v>
      </c>
      <c r="E81" s="19">
        <f t="shared" si="41"/>
        <v>0</v>
      </c>
      <c r="F81" s="19">
        <f t="shared" si="41"/>
        <v>0</v>
      </c>
      <c r="G81" s="19">
        <f t="shared" si="41"/>
        <v>0</v>
      </c>
      <c r="H81" s="19">
        <f t="shared" si="41"/>
        <v>0</v>
      </c>
      <c r="I81" s="19">
        <f t="shared" si="41"/>
        <v>0</v>
      </c>
      <c r="J81" s="19">
        <f t="shared" si="41"/>
        <v>0</v>
      </c>
      <c r="K81" s="19">
        <f t="shared" si="41"/>
        <v>0</v>
      </c>
      <c r="L81" s="31">
        <f t="shared" si="41"/>
        <v>0</v>
      </c>
      <c r="M81" s="22"/>
      <c r="N81" s="19">
        <f>MAX(N49:N79)</f>
        <v>0</v>
      </c>
      <c r="O81" s="19">
        <f>MAX(O49:O79)</f>
        <v>0</v>
      </c>
      <c r="P81" s="19">
        <f t="shared" ref="P81:X81" si="42">MAX(P49:P79)</f>
        <v>15.46</v>
      </c>
      <c r="Q81" s="19">
        <f t="shared" si="42"/>
        <v>27.67</v>
      </c>
      <c r="R81" s="19">
        <f t="shared" si="42"/>
        <v>47.71</v>
      </c>
      <c r="S81" s="19">
        <f t="shared" si="42"/>
        <v>56.75</v>
      </c>
      <c r="T81" s="19">
        <f t="shared" si="42"/>
        <v>383</v>
      </c>
      <c r="U81" s="19">
        <f t="shared" si="42"/>
        <v>13.16</v>
      </c>
      <c r="V81" s="19">
        <f t="shared" si="42"/>
        <v>43.5</v>
      </c>
      <c r="W81" s="19">
        <f t="shared" si="42"/>
        <v>2.72</v>
      </c>
      <c r="X81" s="31">
        <f t="shared" si="42"/>
        <v>3.65</v>
      </c>
      <c r="Z81" s="41">
        <f t="shared" ref="Z81:AH81" si="43">MAX(Z49:Z79)</f>
        <v>16.510000000000002</v>
      </c>
      <c r="AA81" s="19">
        <f t="shared" si="43"/>
        <v>27.96</v>
      </c>
      <c r="AB81" s="19">
        <f t="shared" si="43"/>
        <v>48.13</v>
      </c>
      <c r="AC81" s="19">
        <f t="shared" si="43"/>
        <v>59.32</v>
      </c>
      <c r="AD81" s="19">
        <f t="shared" si="43"/>
        <v>315</v>
      </c>
      <c r="AE81" s="19">
        <f t="shared" si="43"/>
        <v>12.96</v>
      </c>
      <c r="AF81" s="19">
        <f t="shared" si="43"/>
        <v>47.5</v>
      </c>
      <c r="AG81" s="19">
        <f t="shared" si="43"/>
        <v>2.33</v>
      </c>
      <c r="AH81" s="31">
        <f t="shared" si="43"/>
        <v>3.18</v>
      </c>
    </row>
    <row r="82" spans="1:34">
      <c r="A82" s="18" t="s">
        <v>36</v>
      </c>
      <c r="B82" s="19" t="e">
        <f t="shared" ref="B82:L82" si="44">AVERAGE(B49:B79)</f>
        <v>#DIV/0!</v>
      </c>
      <c r="C82" s="19" t="e">
        <f t="shared" si="44"/>
        <v>#DIV/0!</v>
      </c>
      <c r="D82" s="19" t="e">
        <f t="shared" si="44"/>
        <v>#DIV/0!</v>
      </c>
      <c r="E82" s="19" t="e">
        <f t="shared" si="44"/>
        <v>#DIV/0!</v>
      </c>
      <c r="F82" s="19" t="e">
        <f t="shared" si="44"/>
        <v>#DIV/0!</v>
      </c>
      <c r="G82" s="19" t="e">
        <f t="shared" si="44"/>
        <v>#DIV/0!</v>
      </c>
      <c r="H82" s="19" t="e">
        <f t="shared" si="44"/>
        <v>#DIV/0!</v>
      </c>
      <c r="I82" s="19" t="e">
        <f t="shared" si="44"/>
        <v>#DIV/0!</v>
      </c>
      <c r="J82" s="19" t="e">
        <f t="shared" si="44"/>
        <v>#DIV/0!</v>
      </c>
      <c r="K82" s="19" t="e">
        <f t="shared" si="44"/>
        <v>#DIV/0!</v>
      </c>
      <c r="L82" s="31" t="e">
        <f t="shared" si="44"/>
        <v>#DIV/0!</v>
      </c>
      <c r="M82" s="22"/>
      <c r="N82" s="19" t="e">
        <f t="shared" ref="N82:X82" si="45">AVERAGE(N49:N79)</f>
        <v>#DIV/0!</v>
      </c>
      <c r="O82" s="19" t="e">
        <f t="shared" si="45"/>
        <v>#DIV/0!</v>
      </c>
      <c r="P82" s="19">
        <f t="shared" si="45"/>
        <v>13.76157894736842</v>
      </c>
      <c r="Q82" s="19">
        <f t="shared" si="45"/>
        <v>23.859473684210528</v>
      </c>
      <c r="R82" s="19">
        <f t="shared" si="45"/>
        <v>39.672631578947374</v>
      </c>
      <c r="S82" s="19">
        <f t="shared" si="45"/>
        <v>52.540000000000006</v>
      </c>
      <c r="T82" s="19">
        <f t="shared" si="45"/>
        <v>314.63157894736844</v>
      </c>
      <c r="U82" s="19">
        <f t="shared" si="45"/>
        <v>10.381052631578946</v>
      </c>
      <c r="V82" s="19">
        <f t="shared" si="45"/>
        <v>3.4473684210526314</v>
      </c>
      <c r="W82" s="19">
        <f t="shared" si="45"/>
        <v>2.136421052631579</v>
      </c>
      <c r="X82" s="31">
        <f t="shared" si="45"/>
        <v>2.7521052631578953</v>
      </c>
      <c r="Z82" s="41">
        <f>AVERAGE(Z49:Z79)</f>
        <v>14.483333333333333</v>
      </c>
      <c r="AA82" s="19">
        <f t="shared" ref="AA82:AH82" si="46">AVERAGE(AA49:AA79)</f>
        <v>25.251666666666665</v>
      </c>
      <c r="AB82" s="19">
        <f t="shared" si="46"/>
        <v>42.55833333333333</v>
      </c>
      <c r="AC82" s="19">
        <f t="shared" si="46"/>
        <v>53.534999999999997</v>
      </c>
      <c r="AD82" s="19">
        <f t="shared" si="46"/>
        <v>309.5</v>
      </c>
      <c r="AE82" s="19">
        <f t="shared" si="46"/>
        <v>10.266666666666667</v>
      </c>
      <c r="AF82" s="19">
        <f t="shared" si="46"/>
        <v>8.6666666666666661</v>
      </c>
      <c r="AG82" s="19">
        <f t="shared" si="46"/>
        <v>2.25</v>
      </c>
      <c r="AH82" s="31">
        <f t="shared" si="46"/>
        <v>2.4983333333333331</v>
      </c>
    </row>
    <row r="83" spans="1:34" ht="15.75" thickBot="1">
      <c r="A83" s="20" t="s">
        <v>130</v>
      </c>
      <c r="B83" s="21" t="e">
        <f>STDEV(B49:B79)</f>
        <v>#DIV/0!</v>
      </c>
      <c r="C83" s="21" t="e">
        <f t="shared" ref="C83:L83" si="47">STDEV(C49:C79)</f>
        <v>#DIV/0!</v>
      </c>
      <c r="D83" s="21" t="e">
        <f t="shared" si="47"/>
        <v>#DIV/0!</v>
      </c>
      <c r="E83" s="21" t="e">
        <f t="shared" si="47"/>
        <v>#DIV/0!</v>
      </c>
      <c r="F83" s="21" t="e">
        <f t="shared" si="47"/>
        <v>#DIV/0!</v>
      </c>
      <c r="G83" s="21" t="e">
        <f t="shared" si="47"/>
        <v>#DIV/0!</v>
      </c>
      <c r="H83" s="21" t="e">
        <f t="shared" si="47"/>
        <v>#DIV/0!</v>
      </c>
      <c r="I83" s="21" t="e">
        <f t="shared" si="47"/>
        <v>#DIV/0!</v>
      </c>
      <c r="J83" s="21" t="e">
        <f t="shared" si="47"/>
        <v>#DIV/0!</v>
      </c>
      <c r="K83" s="21" t="e">
        <f t="shared" si="47"/>
        <v>#DIV/0!</v>
      </c>
      <c r="L83" s="32" t="e">
        <f t="shared" si="47"/>
        <v>#DIV/0!</v>
      </c>
      <c r="M83" s="22"/>
      <c r="N83" s="21" t="e">
        <f>STDEV(N49:N79)</f>
        <v>#DIV/0!</v>
      </c>
      <c r="O83" s="21" t="e">
        <f t="shared" ref="O83:X83" si="48">STDEV(O49:O79)</f>
        <v>#DIV/0!</v>
      </c>
      <c r="P83" s="21">
        <f t="shared" si="48"/>
        <v>0.72078092802101135</v>
      </c>
      <c r="Q83" s="21">
        <f t="shared" si="48"/>
        <v>1.3919789018364805</v>
      </c>
      <c r="R83" s="21">
        <f t="shared" si="48"/>
        <v>3.0897749686223341</v>
      </c>
      <c r="S83" s="21">
        <f t="shared" si="48"/>
        <v>2.480241923684058</v>
      </c>
      <c r="T83" s="21">
        <f t="shared" si="48"/>
        <v>20.472774675748685</v>
      </c>
      <c r="U83" s="21">
        <f t="shared" si="48"/>
        <v>1.5739190108234915</v>
      </c>
      <c r="V83" s="21">
        <f t="shared" si="48"/>
        <v>9.7509183852971084</v>
      </c>
      <c r="W83" s="21">
        <f t="shared" si="48"/>
        <v>0.34354011827659531</v>
      </c>
      <c r="X83" s="32">
        <f t="shared" si="48"/>
        <v>0.46910765108244884</v>
      </c>
      <c r="Z83" s="42">
        <f>STDEV(Z49:Z79)</f>
        <v>1.2094737147481409</v>
      </c>
      <c r="AA83" s="21">
        <f t="shared" ref="AA83:AH83" si="49">STDEV(AA49:AA79)</f>
        <v>2.081820517399775</v>
      </c>
      <c r="AB83" s="21">
        <f t="shared" si="49"/>
        <v>3.6465294002197042</v>
      </c>
      <c r="AC83" s="21">
        <f t="shared" si="49"/>
        <v>3.5674682899782031</v>
      </c>
      <c r="AD83" s="21">
        <f t="shared" si="49"/>
        <v>3.3911649915626341</v>
      </c>
      <c r="AE83" s="21">
        <f t="shared" si="49"/>
        <v>1.4547393810118228</v>
      </c>
      <c r="AF83" s="21">
        <f t="shared" si="49"/>
        <v>19.028049470890775</v>
      </c>
      <c r="AG83" s="21">
        <f t="shared" si="49"/>
        <v>0.10844353369380762</v>
      </c>
      <c r="AH83" s="32">
        <f t="shared" si="49"/>
        <v>0.57835686791691843</v>
      </c>
    </row>
    <row r="84" spans="1:34" ht="15.75" thickBot="1"/>
    <row r="85" spans="1:34" ht="15.75" thickBot="1">
      <c r="A85" s="1"/>
      <c r="B85" s="338" t="s">
        <v>0</v>
      </c>
      <c r="C85" s="339"/>
      <c r="D85" s="339"/>
      <c r="E85" s="339"/>
      <c r="F85" s="339"/>
      <c r="G85" s="339"/>
      <c r="H85" s="339"/>
      <c r="I85" s="339"/>
      <c r="J85" s="339"/>
      <c r="K85" s="339"/>
      <c r="L85" s="339"/>
      <c r="M85" s="339"/>
      <c r="N85" s="339"/>
      <c r="O85" s="339"/>
      <c r="P85" s="339"/>
      <c r="Q85" s="339"/>
      <c r="R85" s="339"/>
      <c r="S85" s="339"/>
      <c r="T85" s="339"/>
      <c r="U85" s="339"/>
      <c r="V85" s="339"/>
      <c r="W85" s="339"/>
      <c r="X85" s="339"/>
      <c r="Y85" s="339"/>
      <c r="Z85" s="339"/>
      <c r="AA85" s="339"/>
      <c r="AB85" s="339"/>
      <c r="AC85" s="339"/>
      <c r="AD85" s="340"/>
      <c r="AE85" s="340"/>
      <c r="AF85" s="340"/>
      <c r="AG85" s="340"/>
      <c r="AH85" s="340"/>
    </row>
    <row r="86" spans="1:34" ht="15.75" thickBot="1">
      <c r="A86" s="1"/>
      <c r="B86" s="338" t="s">
        <v>172</v>
      </c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  <c r="AA86" s="339"/>
      <c r="AB86" s="339"/>
      <c r="AC86" s="339"/>
      <c r="AD86" s="4"/>
      <c r="AE86" s="43" t="s">
        <v>107</v>
      </c>
      <c r="AF86" s="341">
        <v>46054</v>
      </c>
      <c r="AG86" s="342"/>
      <c r="AH86" s="343"/>
    </row>
    <row r="87" spans="1:34">
      <c r="A87" s="344"/>
      <c r="B87" s="346" t="s">
        <v>132</v>
      </c>
      <c r="C87" s="347"/>
      <c r="D87" s="347"/>
      <c r="E87" s="347"/>
      <c r="F87" s="347"/>
      <c r="G87" s="347"/>
      <c r="H87" s="347"/>
      <c r="I87" s="347"/>
      <c r="J87" s="347"/>
      <c r="K87" s="348"/>
      <c r="L87" s="349"/>
      <c r="M87" s="22"/>
      <c r="N87" s="350" t="s">
        <v>133</v>
      </c>
      <c r="O87" s="347"/>
      <c r="P87" s="347"/>
      <c r="Q87" s="347"/>
      <c r="R87" s="347"/>
      <c r="S87" s="347"/>
      <c r="T87" s="347"/>
      <c r="U87" s="347"/>
      <c r="V87" s="347"/>
      <c r="W87" s="348"/>
      <c r="X87" s="349"/>
      <c r="Y87" s="22"/>
      <c r="Z87" s="346" t="s">
        <v>134</v>
      </c>
      <c r="AA87" s="347"/>
      <c r="AB87" s="347"/>
      <c r="AC87" s="347"/>
      <c r="AD87" s="347"/>
      <c r="AE87" s="347"/>
      <c r="AF87" s="347"/>
      <c r="AG87" s="348"/>
      <c r="AH87" s="349"/>
    </row>
    <row r="88" spans="1:34" ht="25.5">
      <c r="A88" s="345"/>
      <c r="B88" s="359" t="s">
        <v>135</v>
      </c>
      <c r="C88" s="361" t="s">
        <v>136</v>
      </c>
      <c r="D88" s="5" t="s">
        <v>137</v>
      </c>
      <c r="E88" s="5" t="s">
        <v>138</v>
      </c>
      <c r="F88" s="5" t="s">
        <v>139</v>
      </c>
      <c r="G88" s="5" t="s">
        <v>140</v>
      </c>
      <c r="H88" s="5" t="s">
        <v>141</v>
      </c>
      <c r="I88" s="5" t="s">
        <v>142</v>
      </c>
      <c r="J88" s="5" t="s">
        <v>143</v>
      </c>
      <c r="K88" s="181" t="s">
        <v>81</v>
      </c>
      <c r="L88" s="23" t="s">
        <v>144</v>
      </c>
      <c r="M88" s="22"/>
      <c r="N88" s="355" t="s">
        <v>135</v>
      </c>
      <c r="O88" s="357" t="s">
        <v>136</v>
      </c>
      <c r="P88" s="5" t="s">
        <v>137</v>
      </c>
      <c r="Q88" s="5" t="s">
        <v>138</v>
      </c>
      <c r="R88" s="5" t="s">
        <v>139</v>
      </c>
      <c r="S88" s="5" t="s">
        <v>140</v>
      </c>
      <c r="T88" s="5" t="s">
        <v>141</v>
      </c>
      <c r="U88" s="5" t="s">
        <v>142</v>
      </c>
      <c r="V88" s="5" t="s">
        <v>143</v>
      </c>
      <c r="W88" s="181" t="s">
        <v>81</v>
      </c>
      <c r="X88" s="23" t="s">
        <v>144</v>
      </c>
      <c r="Y88" s="22"/>
      <c r="Z88" s="33" t="s">
        <v>137</v>
      </c>
      <c r="AA88" s="5" t="s">
        <v>138</v>
      </c>
      <c r="AB88" s="5" t="s">
        <v>139</v>
      </c>
      <c r="AC88" s="5" t="s">
        <v>140</v>
      </c>
      <c r="AD88" s="5" t="s">
        <v>141</v>
      </c>
      <c r="AE88" s="5" t="s">
        <v>142</v>
      </c>
      <c r="AF88" s="5" t="s">
        <v>143</v>
      </c>
      <c r="AG88" s="181" t="s">
        <v>81</v>
      </c>
      <c r="AH88" s="23" t="s">
        <v>144</v>
      </c>
    </row>
    <row r="89" spans="1:34" ht="25.5">
      <c r="A89" s="6" t="s">
        <v>145</v>
      </c>
      <c r="B89" s="360"/>
      <c r="C89" s="362"/>
      <c r="D89" s="5" t="s">
        <v>128</v>
      </c>
      <c r="E89" s="5" t="s">
        <v>128</v>
      </c>
      <c r="F89" s="5" t="s">
        <v>128</v>
      </c>
      <c r="G89" s="5" t="s">
        <v>128</v>
      </c>
      <c r="H89" s="5" t="s">
        <v>125</v>
      </c>
      <c r="I89" s="5" t="s">
        <v>146</v>
      </c>
      <c r="J89" s="5" t="s">
        <v>127</v>
      </c>
      <c r="K89" s="181" t="s">
        <v>53</v>
      </c>
      <c r="L89" s="23" t="s">
        <v>53</v>
      </c>
      <c r="M89" s="22"/>
      <c r="N89" s="356"/>
      <c r="O89" s="358"/>
      <c r="P89" s="5" t="s">
        <v>128</v>
      </c>
      <c r="Q89" s="5" t="s">
        <v>128</v>
      </c>
      <c r="R89" s="5" t="s">
        <v>128</v>
      </c>
      <c r="S89" s="5" t="s">
        <v>128</v>
      </c>
      <c r="T89" s="5" t="s">
        <v>125</v>
      </c>
      <c r="U89" s="5" t="s">
        <v>146</v>
      </c>
      <c r="V89" s="5" t="s">
        <v>127</v>
      </c>
      <c r="W89" s="181" t="s">
        <v>53</v>
      </c>
      <c r="X89" s="23" t="s">
        <v>53</v>
      </c>
      <c r="Y89" s="22"/>
      <c r="Z89" s="33" t="s">
        <v>128</v>
      </c>
      <c r="AA89" s="5" t="s">
        <v>128</v>
      </c>
      <c r="AB89" s="5" t="s">
        <v>128</v>
      </c>
      <c r="AC89" s="5" t="s">
        <v>128</v>
      </c>
      <c r="AD89" s="5" t="s">
        <v>125</v>
      </c>
      <c r="AE89" s="5" t="s">
        <v>146</v>
      </c>
      <c r="AF89" s="5" t="s">
        <v>127</v>
      </c>
      <c r="AG89" s="181" t="s">
        <v>53</v>
      </c>
      <c r="AH89" s="23" t="s">
        <v>53</v>
      </c>
    </row>
    <row r="90" spans="1:34" ht="39" thickBot="1">
      <c r="A90" s="7" t="s">
        <v>147</v>
      </c>
      <c r="B90" s="8" t="s">
        <v>173</v>
      </c>
      <c r="C90" s="9" t="s">
        <v>174</v>
      </c>
      <c r="D90" s="9" t="s">
        <v>181</v>
      </c>
      <c r="E90" s="9" t="s">
        <v>182</v>
      </c>
      <c r="F90" s="9" t="s">
        <v>183</v>
      </c>
      <c r="G90" s="9" t="s">
        <v>175</v>
      </c>
      <c r="H90" s="9" t="s">
        <v>176</v>
      </c>
      <c r="I90" s="24" t="s">
        <v>155</v>
      </c>
      <c r="J90" s="24" t="s">
        <v>156</v>
      </c>
      <c r="K90" s="24" t="s">
        <v>179</v>
      </c>
      <c r="L90" s="25" t="s">
        <v>177</v>
      </c>
      <c r="M90" s="22"/>
      <c r="N90" s="8" t="s">
        <v>173</v>
      </c>
      <c r="O90" s="9" t="s">
        <v>174</v>
      </c>
      <c r="P90" s="9" t="s">
        <v>181</v>
      </c>
      <c r="Q90" s="9" t="s">
        <v>182</v>
      </c>
      <c r="R90" s="9" t="s">
        <v>183</v>
      </c>
      <c r="S90" s="9" t="s">
        <v>175</v>
      </c>
      <c r="T90" s="9" t="s">
        <v>176</v>
      </c>
      <c r="U90" s="24" t="s">
        <v>155</v>
      </c>
      <c r="V90" s="24" t="s">
        <v>156</v>
      </c>
      <c r="W90" s="24" t="s">
        <v>179</v>
      </c>
      <c r="X90" s="25" t="s">
        <v>177</v>
      </c>
      <c r="Y90" s="22"/>
      <c r="Z90" s="9" t="s">
        <v>181</v>
      </c>
      <c r="AA90" s="9" t="s">
        <v>182</v>
      </c>
      <c r="AB90" s="9" t="s">
        <v>183</v>
      </c>
      <c r="AC90" s="9" t="s">
        <v>175</v>
      </c>
      <c r="AD90" s="9" t="s">
        <v>176</v>
      </c>
      <c r="AE90" s="24" t="s">
        <v>155</v>
      </c>
      <c r="AF90" s="24" t="s">
        <v>156</v>
      </c>
      <c r="AG90" s="24" t="s">
        <v>179</v>
      </c>
      <c r="AH90" s="25" t="s">
        <v>177</v>
      </c>
    </row>
    <row r="91" spans="1:34">
      <c r="A91" s="10">
        <f>AF86+0</f>
        <v>46054</v>
      </c>
      <c r="B91" s="11" t="s">
        <v>35</v>
      </c>
      <c r="C91" s="12" t="s">
        <v>35</v>
      </c>
      <c r="D91" s="12" t="s">
        <v>35</v>
      </c>
      <c r="E91" s="13" t="s">
        <v>35</v>
      </c>
      <c r="F91" s="12" t="s">
        <v>35</v>
      </c>
      <c r="G91" s="12" t="s">
        <v>35</v>
      </c>
      <c r="H91" s="12" t="s">
        <v>35</v>
      </c>
      <c r="I91" s="12" t="s">
        <v>35</v>
      </c>
      <c r="J91" s="13" t="s">
        <v>35</v>
      </c>
      <c r="K91" s="195" t="s">
        <v>35</v>
      </c>
      <c r="L91" s="26" t="s">
        <v>35</v>
      </c>
      <c r="M91" s="22"/>
      <c r="N91" s="35" t="s">
        <v>35</v>
      </c>
      <c r="O91" s="28" t="s">
        <v>35</v>
      </c>
      <c r="P91" s="28" t="s">
        <v>35</v>
      </c>
      <c r="Q91" s="28" t="s">
        <v>35</v>
      </c>
      <c r="R91" s="28" t="s">
        <v>35</v>
      </c>
      <c r="S91" s="28" t="s">
        <v>35</v>
      </c>
      <c r="T91" s="62" t="s">
        <v>35</v>
      </c>
      <c r="U91" s="28" t="s">
        <v>35</v>
      </c>
      <c r="V91" s="28" t="s">
        <v>35</v>
      </c>
      <c r="W91" s="184"/>
      <c r="X91" s="34" t="s">
        <v>35</v>
      </c>
      <c r="Y91" s="22"/>
      <c r="Z91" s="38">
        <v>12.88</v>
      </c>
      <c r="AA91" s="13">
        <v>23.49</v>
      </c>
      <c r="AB91" s="13">
        <v>41.86</v>
      </c>
      <c r="AC91" s="13">
        <v>51.13</v>
      </c>
      <c r="AD91" s="36">
        <v>276</v>
      </c>
      <c r="AE91" s="13">
        <v>12.12</v>
      </c>
      <c r="AF91" s="13">
        <v>0.5</v>
      </c>
      <c r="AG91" s="184">
        <v>2.04</v>
      </c>
      <c r="AH91" s="37">
        <v>2.2799999999999998</v>
      </c>
    </row>
    <row r="92" spans="1:34">
      <c r="A92" s="14">
        <f t="shared" ref="A92:A118" si="50">A91+1</f>
        <v>46055</v>
      </c>
      <c r="B92" s="11" t="s">
        <v>35</v>
      </c>
      <c r="C92" s="12" t="s">
        <v>35</v>
      </c>
      <c r="D92" s="12" t="s">
        <v>35</v>
      </c>
      <c r="E92" s="13" t="s">
        <v>35</v>
      </c>
      <c r="F92" s="12" t="s">
        <v>35</v>
      </c>
      <c r="G92" s="12" t="s">
        <v>35</v>
      </c>
      <c r="H92" s="12" t="s">
        <v>35</v>
      </c>
      <c r="I92" s="12" t="s">
        <v>35</v>
      </c>
      <c r="J92" s="13" t="s">
        <v>35</v>
      </c>
      <c r="K92" s="195" t="s">
        <v>35</v>
      </c>
      <c r="L92" s="26" t="s">
        <v>35</v>
      </c>
      <c r="M92" s="22"/>
      <c r="N92" s="38" t="s">
        <v>35</v>
      </c>
      <c r="O92" s="13" t="s">
        <v>35</v>
      </c>
      <c r="P92" s="13">
        <v>14.43</v>
      </c>
      <c r="Q92" s="13">
        <v>25.78</v>
      </c>
      <c r="R92" s="13">
        <v>38.54</v>
      </c>
      <c r="S92" s="13">
        <v>51.18</v>
      </c>
      <c r="T92" s="36">
        <v>282</v>
      </c>
      <c r="U92" s="13">
        <v>13.52</v>
      </c>
      <c r="V92" s="13">
        <v>1</v>
      </c>
      <c r="W92" s="184">
        <v>2.34</v>
      </c>
      <c r="X92" s="37">
        <v>2.58</v>
      </c>
      <c r="Y92" s="22"/>
      <c r="Z92" s="38" t="s">
        <v>35</v>
      </c>
      <c r="AA92" s="13" t="s">
        <v>35</v>
      </c>
      <c r="AB92" s="13" t="s">
        <v>35</v>
      </c>
      <c r="AC92" s="13" t="s">
        <v>35</v>
      </c>
      <c r="AD92" s="36" t="s">
        <v>35</v>
      </c>
      <c r="AE92" s="13" t="s">
        <v>35</v>
      </c>
      <c r="AF92" s="13" t="s">
        <v>35</v>
      </c>
      <c r="AG92" s="13" t="s">
        <v>35</v>
      </c>
      <c r="AH92" s="37" t="s">
        <v>35</v>
      </c>
    </row>
    <row r="93" spans="1:34">
      <c r="A93" s="14">
        <f t="shared" si="50"/>
        <v>46056</v>
      </c>
      <c r="B93" s="11" t="s">
        <v>35</v>
      </c>
      <c r="C93" s="12" t="s">
        <v>35</v>
      </c>
      <c r="D93" s="12" t="s">
        <v>35</v>
      </c>
      <c r="E93" s="13" t="s">
        <v>35</v>
      </c>
      <c r="F93" s="12" t="s">
        <v>35</v>
      </c>
      <c r="G93" s="12" t="s">
        <v>35</v>
      </c>
      <c r="H93" s="12" t="s">
        <v>35</v>
      </c>
      <c r="I93" s="12" t="s">
        <v>35</v>
      </c>
      <c r="J93" s="13" t="s">
        <v>35</v>
      </c>
      <c r="K93" s="195" t="s">
        <v>35</v>
      </c>
      <c r="L93" s="26" t="s">
        <v>35</v>
      </c>
      <c r="M93" s="22"/>
      <c r="N93" s="38" t="s">
        <v>35</v>
      </c>
      <c r="O93" s="13" t="s">
        <v>35</v>
      </c>
      <c r="P93" s="63" t="s">
        <v>35</v>
      </c>
      <c r="Q93" s="63" t="s">
        <v>35</v>
      </c>
      <c r="R93" s="63" t="s">
        <v>35</v>
      </c>
      <c r="S93" s="63" t="s">
        <v>35</v>
      </c>
      <c r="T93" s="159" t="s">
        <v>35</v>
      </c>
      <c r="U93" s="63" t="s">
        <v>35</v>
      </c>
      <c r="V93" s="63" t="s">
        <v>35</v>
      </c>
      <c r="W93" s="184"/>
      <c r="X93" s="160" t="s">
        <v>35</v>
      </c>
      <c r="Y93" s="22"/>
      <c r="Z93" s="38" t="s">
        <v>35</v>
      </c>
      <c r="AA93" s="13" t="s">
        <v>35</v>
      </c>
      <c r="AB93" s="13" t="s">
        <v>35</v>
      </c>
      <c r="AC93" s="13" t="s">
        <v>35</v>
      </c>
      <c r="AD93" s="36" t="s">
        <v>35</v>
      </c>
      <c r="AE93" s="13" t="s">
        <v>35</v>
      </c>
      <c r="AF93" s="13" t="s">
        <v>35</v>
      </c>
      <c r="AG93" s="13" t="s">
        <v>35</v>
      </c>
      <c r="AH93" s="37" t="s">
        <v>35</v>
      </c>
    </row>
    <row r="94" spans="1:34">
      <c r="A94" s="14">
        <f t="shared" si="50"/>
        <v>46057</v>
      </c>
      <c r="B94" s="11" t="s">
        <v>35</v>
      </c>
      <c r="C94" s="12" t="s">
        <v>35</v>
      </c>
      <c r="D94" s="12" t="s">
        <v>35</v>
      </c>
      <c r="E94" s="13" t="s">
        <v>35</v>
      </c>
      <c r="F94" s="12" t="s">
        <v>35</v>
      </c>
      <c r="G94" s="12" t="s">
        <v>35</v>
      </c>
      <c r="H94" s="12" t="s">
        <v>35</v>
      </c>
      <c r="I94" s="12" t="s">
        <v>35</v>
      </c>
      <c r="J94" s="13" t="s">
        <v>35</v>
      </c>
      <c r="K94" s="195" t="s">
        <v>35</v>
      </c>
      <c r="L94" s="26" t="s">
        <v>35</v>
      </c>
      <c r="M94" s="22"/>
      <c r="N94" s="38" t="s">
        <v>35</v>
      </c>
      <c r="O94" s="13" t="s">
        <v>35</v>
      </c>
      <c r="P94" s="13">
        <v>14.01</v>
      </c>
      <c r="Q94" s="13">
        <v>27.95</v>
      </c>
      <c r="R94" s="13">
        <v>37.78</v>
      </c>
      <c r="S94" s="13">
        <v>51.44</v>
      </c>
      <c r="T94" s="36">
        <v>301</v>
      </c>
      <c r="U94" s="13">
        <v>9.76</v>
      </c>
      <c r="V94" s="13">
        <v>0.5</v>
      </c>
      <c r="W94" s="184">
        <v>2.33</v>
      </c>
      <c r="X94" s="37">
        <v>2.65</v>
      </c>
      <c r="Y94" s="22"/>
      <c r="Z94" s="38" t="s">
        <v>35</v>
      </c>
      <c r="AA94" s="13" t="s">
        <v>35</v>
      </c>
      <c r="AB94" s="13" t="s">
        <v>35</v>
      </c>
      <c r="AC94" s="13" t="s">
        <v>35</v>
      </c>
      <c r="AD94" s="36" t="s">
        <v>35</v>
      </c>
      <c r="AE94" s="13" t="s">
        <v>35</v>
      </c>
      <c r="AF94" s="13" t="s">
        <v>35</v>
      </c>
      <c r="AG94" s="13" t="s">
        <v>35</v>
      </c>
      <c r="AH94" s="37" t="s">
        <v>35</v>
      </c>
    </row>
    <row r="95" spans="1:34">
      <c r="A95" s="14">
        <f t="shared" si="50"/>
        <v>46058</v>
      </c>
      <c r="B95" s="11" t="s">
        <v>35</v>
      </c>
      <c r="C95" s="12" t="s">
        <v>35</v>
      </c>
      <c r="D95" s="12" t="s">
        <v>35</v>
      </c>
      <c r="E95" s="13" t="s">
        <v>35</v>
      </c>
      <c r="F95" s="12" t="s">
        <v>35</v>
      </c>
      <c r="G95" s="12" t="s">
        <v>35</v>
      </c>
      <c r="H95" s="12" t="s">
        <v>35</v>
      </c>
      <c r="I95" s="12" t="s">
        <v>35</v>
      </c>
      <c r="J95" s="13" t="s">
        <v>35</v>
      </c>
      <c r="K95" s="195" t="s">
        <v>35</v>
      </c>
      <c r="L95" s="26" t="s">
        <v>35</v>
      </c>
      <c r="M95" s="22"/>
      <c r="N95" s="38" t="s">
        <v>35</v>
      </c>
      <c r="O95" s="13" t="s">
        <v>35</v>
      </c>
      <c r="P95" s="13">
        <v>13.78</v>
      </c>
      <c r="Q95" s="13">
        <v>27.3</v>
      </c>
      <c r="R95" s="13">
        <v>42.9</v>
      </c>
      <c r="S95" s="13">
        <v>48.85</v>
      </c>
      <c r="T95" s="36">
        <v>315</v>
      </c>
      <c r="U95" s="13">
        <v>9.0399999999999991</v>
      </c>
      <c r="V95" s="13">
        <v>0.5</v>
      </c>
      <c r="W95" s="184">
        <v>2.15</v>
      </c>
      <c r="X95" s="51">
        <v>3.28</v>
      </c>
      <c r="Y95" s="22"/>
      <c r="Z95" s="38" t="s">
        <v>35</v>
      </c>
      <c r="AA95" s="13" t="s">
        <v>35</v>
      </c>
      <c r="AB95" s="13" t="s">
        <v>35</v>
      </c>
      <c r="AC95" s="13" t="s">
        <v>35</v>
      </c>
      <c r="AD95" s="36" t="s">
        <v>35</v>
      </c>
      <c r="AE95" s="13" t="s">
        <v>35</v>
      </c>
      <c r="AF95" s="13" t="s">
        <v>35</v>
      </c>
      <c r="AG95" s="13" t="s">
        <v>35</v>
      </c>
      <c r="AH95" s="37" t="s">
        <v>35</v>
      </c>
    </row>
    <row r="96" spans="1:34">
      <c r="A96" s="14">
        <f t="shared" si="50"/>
        <v>46059</v>
      </c>
      <c r="B96" s="11" t="s">
        <v>35</v>
      </c>
      <c r="C96" s="12" t="s">
        <v>35</v>
      </c>
      <c r="D96" s="12" t="s">
        <v>35</v>
      </c>
      <c r="E96" s="13" t="s">
        <v>35</v>
      </c>
      <c r="F96" s="12" t="s">
        <v>35</v>
      </c>
      <c r="G96" s="12" t="s">
        <v>35</v>
      </c>
      <c r="H96" s="12" t="s">
        <v>35</v>
      </c>
      <c r="I96" s="12" t="s">
        <v>35</v>
      </c>
      <c r="J96" s="13" t="s">
        <v>35</v>
      </c>
      <c r="K96" s="195" t="s">
        <v>35</v>
      </c>
      <c r="L96" s="26" t="s">
        <v>35</v>
      </c>
      <c r="M96" s="22"/>
      <c r="N96" s="38" t="s">
        <v>35</v>
      </c>
      <c r="O96" s="13" t="s">
        <v>35</v>
      </c>
      <c r="P96" s="13">
        <v>13.5</v>
      </c>
      <c r="Q96" s="13">
        <v>23.96</v>
      </c>
      <c r="R96" s="13">
        <v>39.97</v>
      </c>
      <c r="S96" s="13">
        <v>50.59</v>
      </c>
      <c r="T96" s="36">
        <v>287</v>
      </c>
      <c r="U96" s="13">
        <v>9.6</v>
      </c>
      <c r="V96" s="13">
        <v>2</v>
      </c>
      <c r="W96" s="184">
        <v>2.2999999999999998</v>
      </c>
      <c r="X96" s="51">
        <v>3.78</v>
      </c>
      <c r="Y96" s="22"/>
      <c r="Z96" s="38" t="s">
        <v>35</v>
      </c>
      <c r="AA96" s="13" t="s">
        <v>35</v>
      </c>
      <c r="AB96" s="13" t="s">
        <v>35</v>
      </c>
      <c r="AC96" s="13" t="s">
        <v>35</v>
      </c>
      <c r="AD96" s="36" t="s">
        <v>35</v>
      </c>
      <c r="AE96" s="13" t="s">
        <v>35</v>
      </c>
      <c r="AF96" s="13" t="s">
        <v>35</v>
      </c>
      <c r="AG96" s="13" t="s">
        <v>35</v>
      </c>
      <c r="AH96" s="37" t="s">
        <v>35</v>
      </c>
    </row>
    <row r="97" spans="1:34">
      <c r="A97" s="14">
        <f t="shared" si="50"/>
        <v>46060</v>
      </c>
      <c r="B97" s="11" t="s">
        <v>35</v>
      </c>
      <c r="C97" s="12" t="s">
        <v>35</v>
      </c>
      <c r="D97" s="12" t="s">
        <v>35</v>
      </c>
      <c r="E97" s="13" t="s">
        <v>35</v>
      </c>
      <c r="F97" s="12" t="s">
        <v>35</v>
      </c>
      <c r="G97" s="12" t="s">
        <v>35</v>
      </c>
      <c r="H97" s="12" t="s">
        <v>35</v>
      </c>
      <c r="I97" s="12" t="s">
        <v>35</v>
      </c>
      <c r="J97" s="13" t="s">
        <v>35</v>
      </c>
      <c r="K97" s="195" t="s">
        <v>35</v>
      </c>
      <c r="L97" s="26" t="s">
        <v>35</v>
      </c>
      <c r="M97" s="22"/>
      <c r="N97" s="38" t="s">
        <v>35</v>
      </c>
      <c r="O97" s="50" t="s">
        <v>35</v>
      </c>
      <c r="P97" s="13" t="s">
        <v>35</v>
      </c>
      <c r="Q97" s="13" t="s">
        <v>35</v>
      </c>
      <c r="R97" s="13" t="s">
        <v>35</v>
      </c>
      <c r="S97" s="13" t="s">
        <v>35</v>
      </c>
      <c r="T97" s="36" t="s">
        <v>35</v>
      </c>
      <c r="U97" s="13" t="s">
        <v>35</v>
      </c>
      <c r="V97" s="13" t="s">
        <v>35</v>
      </c>
      <c r="W97" s="184"/>
      <c r="X97" s="51" t="s">
        <v>35</v>
      </c>
      <c r="Y97" s="22"/>
      <c r="Z97" s="38" t="s">
        <v>35</v>
      </c>
      <c r="AA97" s="13" t="s">
        <v>35</v>
      </c>
      <c r="AB97" s="13" t="s">
        <v>35</v>
      </c>
      <c r="AC97" s="13" t="s">
        <v>35</v>
      </c>
      <c r="AD97" s="36" t="s">
        <v>35</v>
      </c>
      <c r="AE97" s="13" t="s">
        <v>35</v>
      </c>
      <c r="AF97" s="13" t="s">
        <v>35</v>
      </c>
      <c r="AG97" s="13" t="s">
        <v>35</v>
      </c>
      <c r="AH97" s="37" t="s">
        <v>35</v>
      </c>
    </row>
    <row r="98" spans="1:34">
      <c r="A98" s="14">
        <f t="shared" si="50"/>
        <v>46061</v>
      </c>
      <c r="B98" s="11" t="s">
        <v>35</v>
      </c>
      <c r="C98" s="12" t="s">
        <v>35</v>
      </c>
      <c r="D98" s="12" t="s">
        <v>35</v>
      </c>
      <c r="E98" s="13" t="s">
        <v>35</v>
      </c>
      <c r="F98" s="12" t="s">
        <v>35</v>
      </c>
      <c r="G98" s="12" t="s">
        <v>35</v>
      </c>
      <c r="H98" s="12" t="s">
        <v>35</v>
      </c>
      <c r="I98" s="12" t="s">
        <v>35</v>
      </c>
      <c r="J98" s="13" t="s">
        <v>35</v>
      </c>
      <c r="K98" s="195" t="s">
        <v>35</v>
      </c>
      <c r="L98" s="26" t="s">
        <v>35</v>
      </c>
      <c r="M98" s="22"/>
      <c r="N98" s="38" t="s">
        <v>35</v>
      </c>
      <c r="O98" s="50" t="s">
        <v>35</v>
      </c>
      <c r="P98" s="13">
        <v>14.42</v>
      </c>
      <c r="Q98" s="13">
        <v>26.51</v>
      </c>
      <c r="R98" s="13">
        <v>44.42</v>
      </c>
      <c r="S98" s="13">
        <v>58.75</v>
      </c>
      <c r="T98" s="36">
        <v>311</v>
      </c>
      <c r="U98" s="13">
        <v>30</v>
      </c>
      <c r="V98" s="13">
        <v>1</v>
      </c>
      <c r="W98" s="184">
        <v>2.21</v>
      </c>
      <c r="X98" s="37">
        <v>4.45</v>
      </c>
      <c r="Y98" s="22"/>
      <c r="Z98" s="38">
        <v>16.72</v>
      </c>
      <c r="AA98" s="13">
        <v>26.62</v>
      </c>
      <c r="AB98" s="13">
        <v>45.62</v>
      </c>
      <c r="AC98" s="13">
        <v>49.82</v>
      </c>
      <c r="AD98" s="36">
        <v>313</v>
      </c>
      <c r="AE98" s="13">
        <v>10.64</v>
      </c>
      <c r="AF98" s="13">
        <v>0.5</v>
      </c>
      <c r="AG98" s="184">
        <v>2.19</v>
      </c>
      <c r="AH98" s="37">
        <v>2.62</v>
      </c>
    </row>
    <row r="99" spans="1:34">
      <c r="A99" s="14">
        <f t="shared" si="50"/>
        <v>46062</v>
      </c>
      <c r="B99" s="11" t="s">
        <v>35</v>
      </c>
      <c r="C99" s="12" t="s">
        <v>35</v>
      </c>
      <c r="D99" s="12" t="s">
        <v>35</v>
      </c>
      <c r="E99" s="13" t="s">
        <v>35</v>
      </c>
      <c r="F99" s="12" t="s">
        <v>35</v>
      </c>
      <c r="G99" s="12" t="s">
        <v>35</v>
      </c>
      <c r="H99" s="12" t="s">
        <v>35</v>
      </c>
      <c r="I99" s="12" t="s">
        <v>35</v>
      </c>
      <c r="J99" s="13" t="s">
        <v>35</v>
      </c>
      <c r="K99" s="195" t="s">
        <v>35</v>
      </c>
      <c r="L99" s="26" t="s">
        <v>35</v>
      </c>
      <c r="M99" s="22"/>
      <c r="N99" s="38" t="s">
        <v>35</v>
      </c>
      <c r="O99" s="50" t="s">
        <v>35</v>
      </c>
      <c r="P99" s="13">
        <v>14.53</v>
      </c>
      <c r="Q99" s="13">
        <v>24.05</v>
      </c>
      <c r="R99" s="13">
        <v>45.47</v>
      </c>
      <c r="S99" s="13">
        <v>54.22</v>
      </c>
      <c r="T99" s="36">
        <v>328</v>
      </c>
      <c r="U99" s="13">
        <v>12.04</v>
      </c>
      <c r="V99" s="13">
        <v>0.5</v>
      </c>
      <c r="W99" s="184">
        <v>1.98</v>
      </c>
      <c r="X99" s="37">
        <v>4.53</v>
      </c>
      <c r="Y99" s="22"/>
      <c r="Z99" s="38">
        <v>14.32</v>
      </c>
      <c r="AA99" s="13">
        <v>23.73</v>
      </c>
      <c r="AB99" s="13">
        <v>38.979999999999997</v>
      </c>
      <c r="AC99" s="13">
        <v>50.95</v>
      </c>
      <c r="AD99" s="36">
        <v>387</v>
      </c>
      <c r="AE99" s="13">
        <v>7.2</v>
      </c>
      <c r="AF99" s="13">
        <v>0.5</v>
      </c>
      <c r="AG99" s="184">
        <v>2.14</v>
      </c>
      <c r="AH99" s="37">
        <v>3.72</v>
      </c>
    </row>
    <row r="100" spans="1:34">
      <c r="A100" s="14">
        <f t="shared" si="50"/>
        <v>46063</v>
      </c>
      <c r="B100" s="11" t="s">
        <v>35</v>
      </c>
      <c r="C100" s="12" t="s">
        <v>35</v>
      </c>
      <c r="D100" s="12" t="s">
        <v>35</v>
      </c>
      <c r="E100" s="13" t="s">
        <v>35</v>
      </c>
      <c r="F100" s="12" t="s">
        <v>35</v>
      </c>
      <c r="G100" s="12" t="s">
        <v>35</v>
      </c>
      <c r="H100" s="12" t="s">
        <v>35</v>
      </c>
      <c r="I100" s="12" t="s">
        <v>35</v>
      </c>
      <c r="J100" s="13" t="s">
        <v>35</v>
      </c>
      <c r="K100" s="195" t="s">
        <v>35</v>
      </c>
      <c r="L100" s="26" t="s">
        <v>35</v>
      </c>
      <c r="M100" s="22"/>
      <c r="N100" s="38" t="s">
        <v>35</v>
      </c>
      <c r="O100" s="50" t="s">
        <v>35</v>
      </c>
      <c r="P100" s="13" t="s">
        <v>35</v>
      </c>
      <c r="Q100" s="13" t="s">
        <v>35</v>
      </c>
      <c r="R100" s="13" t="s">
        <v>35</v>
      </c>
      <c r="S100" s="13" t="s">
        <v>35</v>
      </c>
      <c r="T100" s="36" t="s">
        <v>35</v>
      </c>
      <c r="U100" s="13" t="s">
        <v>35</v>
      </c>
      <c r="V100" s="13" t="s">
        <v>35</v>
      </c>
      <c r="W100" s="13" t="s">
        <v>35</v>
      </c>
      <c r="X100" s="51" t="s">
        <v>35</v>
      </c>
      <c r="Y100" s="22"/>
      <c r="Z100" s="38" t="s">
        <v>35</v>
      </c>
      <c r="AA100" s="13" t="s">
        <v>35</v>
      </c>
      <c r="AB100" s="13" t="s">
        <v>35</v>
      </c>
      <c r="AC100" s="13" t="s">
        <v>35</v>
      </c>
      <c r="AD100" s="36" t="s">
        <v>35</v>
      </c>
      <c r="AE100" s="13" t="s">
        <v>35</v>
      </c>
      <c r="AF100" s="13" t="s">
        <v>35</v>
      </c>
      <c r="AG100" s="13" t="s">
        <v>35</v>
      </c>
      <c r="AH100" s="37" t="s">
        <v>35</v>
      </c>
    </row>
    <row r="101" spans="1:34">
      <c r="A101" s="14">
        <f t="shared" si="50"/>
        <v>46064</v>
      </c>
      <c r="B101" s="11" t="s">
        <v>35</v>
      </c>
      <c r="C101" s="12" t="s">
        <v>35</v>
      </c>
      <c r="D101" s="12" t="s">
        <v>35</v>
      </c>
      <c r="E101" s="13" t="s">
        <v>35</v>
      </c>
      <c r="F101" s="12" t="s">
        <v>35</v>
      </c>
      <c r="G101" s="12" t="s">
        <v>35</v>
      </c>
      <c r="H101" s="12" t="s">
        <v>35</v>
      </c>
      <c r="I101" s="12" t="s">
        <v>35</v>
      </c>
      <c r="J101" s="13" t="s">
        <v>35</v>
      </c>
      <c r="K101" s="195" t="s">
        <v>35</v>
      </c>
      <c r="L101" s="26" t="s">
        <v>35</v>
      </c>
      <c r="M101" s="22"/>
      <c r="N101" s="38" t="s">
        <v>35</v>
      </c>
      <c r="O101" s="50" t="s">
        <v>35</v>
      </c>
      <c r="P101" s="13" t="s">
        <v>35</v>
      </c>
      <c r="Q101" s="13" t="s">
        <v>35</v>
      </c>
      <c r="R101" s="13" t="s">
        <v>35</v>
      </c>
      <c r="S101" s="13" t="s">
        <v>35</v>
      </c>
      <c r="T101" s="36" t="s">
        <v>35</v>
      </c>
      <c r="U101" s="13" t="s">
        <v>35</v>
      </c>
      <c r="V101" s="13" t="s">
        <v>35</v>
      </c>
      <c r="W101" s="13" t="s">
        <v>35</v>
      </c>
      <c r="X101" s="51" t="s">
        <v>35</v>
      </c>
      <c r="Y101" s="22"/>
      <c r="Z101" s="38">
        <v>15.86</v>
      </c>
      <c r="AA101" s="13">
        <v>25.4</v>
      </c>
      <c r="AB101" s="13">
        <v>41.11</v>
      </c>
      <c r="AC101" s="13">
        <v>52.84</v>
      </c>
      <c r="AD101" s="36">
        <v>338</v>
      </c>
      <c r="AE101" s="13">
        <v>12.52</v>
      </c>
      <c r="AF101" s="13">
        <v>1</v>
      </c>
      <c r="AG101" s="184">
        <v>2.41</v>
      </c>
      <c r="AH101" s="37">
        <v>2.92</v>
      </c>
    </row>
    <row r="102" spans="1:34">
      <c r="A102" s="14">
        <f t="shared" si="50"/>
        <v>46065</v>
      </c>
      <c r="B102" s="11" t="s">
        <v>35</v>
      </c>
      <c r="C102" s="12" t="s">
        <v>35</v>
      </c>
      <c r="D102" s="12" t="s">
        <v>35</v>
      </c>
      <c r="E102" s="13" t="s">
        <v>35</v>
      </c>
      <c r="F102" s="12" t="s">
        <v>35</v>
      </c>
      <c r="G102" s="12" t="s">
        <v>35</v>
      </c>
      <c r="H102" s="12" t="s">
        <v>35</v>
      </c>
      <c r="I102" s="12" t="s">
        <v>35</v>
      </c>
      <c r="J102" s="13" t="s">
        <v>35</v>
      </c>
      <c r="K102" s="195" t="s">
        <v>35</v>
      </c>
      <c r="L102" s="26" t="s">
        <v>35</v>
      </c>
      <c r="M102" s="22"/>
      <c r="N102" s="38" t="s">
        <v>35</v>
      </c>
      <c r="O102" s="50" t="s">
        <v>35</v>
      </c>
      <c r="P102" s="13" t="s">
        <v>35</v>
      </c>
      <c r="Q102" s="13" t="s">
        <v>35</v>
      </c>
      <c r="R102" s="13" t="s">
        <v>35</v>
      </c>
      <c r="S102" s="13" t="s">
        <v>35</v>
      </c>
      <c r="T102" s="36" t="s">
        <v>35</v>
      </c>
      <c r="U102" s="13" t="s">
        <v>35</v>
      </c>
      <c r="V102" s="13" t="s">
        <v>35</v>
      </c>
      <c r="W102" s="13" t="s">
        <v>35</v>
      </c>
      <c r="X102" s="51" t="s">
        <v>35</v>
      </c>
      <c r="Y102" s="22"/>
      <c r="Z102" s="38">
        <v>17.18</v>
      </c>
      <c r="AA102" s="13">
        <v>27.81</v>
      </c>
      <c r="AB102" s="13">
        <v>45.12</v>
      </c>
      <c r="AC102" s="13">
        <v>53.74</v>
      </c>
      <c r="AD102" s="36">
        <v>324</v>
      </c>
      <c r="AE102" s="13">
        <v>10.72</v>
      </c>
      <c r="AF102" s="13">
        <v>1.5</v>
      </c>
      <c r="AG102" s="184">
        <v>2.2799999999999998</v>
      </c>
      <c r="AH102" s="37">
        <v>2.74</v>
      </c>
    </row>
    <row r="103" spans="1:34">
      <c r="A103" s="14">
        <f t="shared" si="50"/>
        <v>46066</v>
      </c>
      <c r="B103" s="11" t="s">
        <v>35</v>
      </c>
      <c r="C103" s="12" t="s">
        <v>35</v>
      </c>
      <c r="D103" s="12" t="s">
        <v>35</v>
      </c>
      <c r="E103" s="13" t="s">
        <v>35</v>
      </c>
      <c r="F103" s="12" t="s">
        <v>35</v>
      </c>
      <c r="G103" s="12" t="s">
        <v>35</v>
      </c>
      <c r="H103" s="12" t="s">
        <v>35</v>
      </c>
      <c r="I103" s="12" t="s">
        <v>35</v>
      </c>
      <c r="J103" s="13" t="s">
        <v>35</v>
      </c>
      <c r="K103" s="195" t="s">
        <v>35</v>
      </c>
      <c r="L103" s="26" t="s">
        <v>35</v>
      </c>
      <c r="M103" s="22"/>
      <c r="N103" s="38" t="s">
        <v>35</v>
      </c>
      <c r="O103" s="50" t="s">
        <v>35</v>
      </c>
      <c r="P103" s="13" t="s">
        <v>35</v>
      </c>
      <c r="Q103" s="13" t="s">
        <v>35</v>
      </c>
      <c r="R103" s="13" t="s">
        <v>35</v>
      </c>
      <c r="S103" s="13" t="s">
        <v>35</v>
      </c>
      <c r="T103" s="36" t="s">
        <v>35</v>
      </c>
      <c r="U103" s="13" t="s">
        <v>35</v>
      </c>
      <c r="V103" s="13" t="s">
        <v>35</v>
      </c>
      <c r="W103" s="13" t="s">
        <v>35</v>
      </c>
      <c r="X103" s="51" t="s">
        <v>35</v>
      </c>
      <c r="Y103" s="22"/>
      <c r="Z103" s="38">
        <v>14.55</v>
      </c>
      <c r="AA103" s="13">
        <v>27.52</v>
      </c>
      <c r="AB103" s="13">
        <v>43.65</v>
      </c>
      <c r="AC103" s="13">
        <v>55.09</v>
      </c>
      <c r="AD103" s="36">
        <v>280</v>
      </c>
      <c r="AE103" s="13">
        <v>13.32</v>
      </c>
      <c r="AF103" s="13">
        <v>1</v>
      </c>
      <c r="AG103" s="184">
        <v>2.2799999999999998</v>
      </c>
      <c r="AH103" s="37">
        <v>2.75</v>
      </c>
    </row>
    <row r="104" spans="1:34">
      <c r="A104" s="14">
        <f t="shared" si="50"/>
        <v>46067</v>
      </c>
      <c r="B104" s="11" t="s">
        <v>35</v>
      </c>
      <c r="C104" s="12" t="s">
        <v>35</v>
      </c>
      <c r="D104" s="12" t="s">
        <v>35</v>
      </c>
      <c r="E104" s="13" t="s">
        <v>35</v>
      </c>
      <c r="F104" s="12" t="s">
        <v>35</v>
      </c>
      <c r="G104" s="12" t="s">
        <v>35</v>
      </c>
      <c r="H104" s="12" t="s">
        <v>35</v>
      </c>
      <c r="I104" s="12" t="s">
        <v>35</v>
      </c>
      <c r="J104" s="13" t="s">
        <v>35</v>
      </c>
      <c r="K104" s="195" t="s">
        <v>35</v>
      </c>
      <c r="L104" s="26" t="s">
        <v>35</v>
      </c>
      <c r="M104" s="22"/>
      <c r="N104" s="38" t="s">
        <v>35</v>
      </c>
      <c r="O104" s="50" t="s">
        <v>35</v>
      </c>
      <c r="P104" s="13">
        <v>16.04</v>
      </c>
      <c r="Q104" s="13">
        <v>23.66</v>
      </c>
      <c r="R104" s="13">
        <v>47.55</v>
      </c>
      <c r="S104" s="13">
        <v>55.34</v>
      </c>
      <c r="T104" s="36">
        <v>306</v>
      </c>
      <c r="U104" s="13">
        <v>12.64</v>
      </c>
      <c r="V104" s="13">
        <v>0.5</v>
      </c>
      <c r="W104" s="184">
        <v>2.33</v>
      </c>
      <c r="X104" s="51">
        <v>2.94</v>
      </c>
      <c r="Y104" s="22"/>
      <c r="Z104" s="38">
        <v>14.91</v>
      </c>
      <c r="AA104" s="13">
        <v>24.81</v>
      </c>
      <c r="AB104" s="13">
        <v>44.8</v>
      </c>
      <c r="AC104" s="13">
        <v>50.24</v>
      </c>
      <c r="AD104" s="36">
        <v>307</v>
      </c>
      <c r="AE104" s="13">
        <v>9.4</v>
      </c>
      <c r="AF104" s="13">
        <v>1</v>
      </c>
      <c r="AG104" s="184">
        <v>2.39</v>
      </c>
      <c r="AH104" s="37">
        <v>2.88</v>
      </c>
    </row>
    <row r="105" spans="1:34">
      <c r="A105" s="14">
        <f t="shared" si="50"/>
        <v>46068</v>
      </c>
      <c r="B105" s="11" t="s">
        <v>35</v>
      </c>
      <c r="C105" s="12" t="s">
        <v>35</v>
      </c>
      <c r="D105" s="12" t="s">
        <v>35</v>
      </c>
      <c r="E105" s="13" t="s">
        <v>35</v>
      </c>
      <c r="F105" s="12" t="s">
        <v>35</v>
      </c>
      <c r="G105" s="12" t="s">
        <v>35</v>
      </c>
      <c r="H105" s="12" t="s">
        <v>35</v>
      </c>
      <c r="I105" s="12" t="s">
        <v>35</v>
      </c>
      <c r="J105" s="13" t="s">
        <v>35</v>
      </c>
      <c r="K105" s="195" t="s">
        <v>35</v>
      </c>
      <c r="L105" s="26" t="s">
        <v>35</v>
      </c>
      <c r="M105" s="22"/>
      <c r="N105" s="38" t="s">
        <v>35</v>
      </c>
      <c r="O105" s="50" t="s">
        <v>35</v>
      </c>
      <c r="P105" s="13" t="s">
        <v>35</v>
      </c>
      <c r="Q105" s="13" t="s">
        <v>35</v>
      </c>
      <c r="R105" s="13" t="s">
        <v>35</v>
      </c>
      <c r="S105" s="13" t="s">
        <v>35</v>
      </c>
      <c r="T105" s="36" t="s">
        <v>35</v>
      </c>
      <c r="U105" s="13" t="s">
        <v>35</v>
      </c>
      <c r="V105" s="13" t="s">
        <v>35</v>
      </c>
      <c r="W105" s="13" t="s">
        <v>35</v>
      </c>
      <c r="X105" s="37" t="s">
        <v>35</v>
      </c>
      <c r="Y105" s="22"/>
      <c r="Z105" s="38" t="s">
        <v>35</v>
      </c>
      <c r="AA105" s="13" t="s">
        <v>35</v>
      </c>
      <c r="AB105" s="13" t="s">
        <v>35</v>
      </c>
      <c r="AC105" s="13" t="s">
        <v>35</v>
      </c>
      <c r="AD105" s="13" t="s">
        <v>35</v>
      </c>
      <c r="AE105" s="13" t="s">
        <v>35</v>
      </c>
      <c r="AF105" s="13" t="s">
        <v>35</v>
      </c>
      <c r="AG105" s="13" t="s">
        <v>35</v>
      </c>
      <c r="AH105" s="37" t="s">
        <v>35</v>
      </c>
    </row>
    <row r="106" spans="1:34">
      <c r="A106" s="14">
        <f t="shared" si="50"/>
        <v>46069</v>
      </c>
      <c r="B106" s="11" t="s">
        <v>35</v>
      </c>
      <c r="C106" s="12" t="s">
        <v>35</v>
      </c>
      <c r="D106" s="12" t="s">
        <v>35</v>
      </c>
      <c r="E106" s="13" t="s">
        <v>35</v>
      </c>
      <c r="F106" s="12" t="s">
        <v>35</v>
      </c>
      <c r="G106" s="12" t="s">
        <v>35</v>
      </c>
      <c r="H106" s="12" t="s">
        <v>35</v>
      </c>
      <c r="I106" s="12" t="s">
        <v>35</v>
      </c>
      <c r="J106" s="13" t="s">
        <v>35</v>
      </c>
      <c r="K106" s="195" t="s">
        <v>35</v>
      </c>
      <c r="L106" s="26" t="s">
        <v>35</v>
      </c>
      <c r="M106" s="22"/>
      <c r="N106" s="38" t="s">
        <v>35</v>
      </c>
      <c r="O106" s="50" t="s">
        <v>35</v>
      </c>
      <c r="P106" s="13">
        <v>15.46</v>
      </c>
      <c r="Q106" s="13">
        <v>25.45</v>
      </c>
      <c r="R106" s="13">
        <v>41.2</v>
      </c>
      <c r="S106" s="13">
        <v>57.6</v>
      </c>
      <c r="T106" s="36">
        <v>336</v>
      </c>
      <c r="U106" s="13">
        <v>13.92</v>
      </c>
      <c r="V106" s="13">
        <v>0.5</v>
      </c>
      <c r="W106" s="184">
        <v>2.31</v>
      </c>
      <c r="X106" s="51">
        <v>3.33</v>
      </c>
      <c r="Y106" s="22"/>
      <c r="Z106" s="38" t="s">
        <v>35</v>
      </c>
      <c r="AA106" s="13" t="s">
        <v>35</v>
      </c>
      <c r="AB106" s="13" t="s">
        <v>35</v>
      </c>
      <c r="AC106" s="13" t="s">
        <v>35</v>
      </c>
      <c r="AD106" s="13" t="s">
        <v>35</v>
      </c>
      <c r="AE106" s="13" t="s">
        <v>35</v>
      </c>
      <c r="AF106" s="13" t="s">
        <v>35</v>
      </c>
      <c r="AG106" s="13" t="s">
        <v>35</v>
      </c>
      <c r="AH106" s="37" t="s">
        <v>35</v>
      </c>
    </row>
    <row r="107" spans="1:34">
      <c r="A107" s="14">
        <f t="shared" si="50"/>
        <v>46070</v>
      </c>
      <c r="B107" s="11" t="s">
        <v>35</v>
      </c>
      <c r="C107" s="12" t="s">
        <v>35</v>
      </c>
      <c r="D107" s="12" t="s">
        <v>35</v>
      </c>
      <c r="E107" s="13" t="s">
        <v>35</v>
      </c>
      <c r="F107" s="12" t="s">
        <v>35</v>
      </c>
      <c r="G107" s="12" t="s">
        <v>35</v>
      </c>
      <c r="H107" s="12" t="s">
        <v>35</v>
      </c>
      <c r="I107" s="12" t="s">
        <v>35</v>
      </c>
      <c r="J107" s="13" t="s">
        <v>35</v>
      </c>
      <c r="K107" s="195" t="s">
        <v>35</v>
      </c>
      <c r="L107" s="26" t="s">
        <v>35</v>
      </c>
      <c r="M107" s="22"/>
      <c r="N107" s="38" t="s">
        <v>35</v>
      </c>
      <c r="O107" s="50" t="s">
        <v>35</v>
      </c>
      <c r="P107" s="13">
        <v>14.75</v>
      </c>
      <c r="Q107" s="13">
        <v>26.97</v>
      </c>
      <c r="R107" s="13">
        <v>39.35</v>
      </c>
      <c r="S107" s="13">
        <v>51.34</v>
      </c>
      <c r="T107" s="36">
        <v>328</v>
      </c>
      <c r="U107" s="13">
        <v>9.16</v>
      </c>
      <c r="V107" s="13">
        <v>1</v>
      </c>
      <c r="W107" s="184">
        <v>2.33</v>
      </c>
      <c r="X107" s="37">
        <v>3.29</v>
      </c>
      <c r="Y107" s="22"/>
      <c r="Z107" s="38" t="s">
        <v>35</v>
      </c>
      <c r="AA107" s="13" t="s">
        <v>35</v>
      </c>
      <c r="AB107" s="13" t="s">
        <v>35</v>
      </c>
      <c r="AC107" s="13" t="s">
        <v>35</v>
      </c>
      <c r="AD107" s="13" t="s">
        <v>35</v>
      </c>
      <c r="AE107" s="13" t="s">
        <v>35</v>
      </c>
      <c r="AF107" s="13" t="s">
        <v>35</v>
      </c>
      <c r="AG107" s="13" t="s">
        <v>35</v>
      </c>
      <c r="AH107" s="37" t="s">
        <v>35</v>
      </c>
    </row>
    <row r="108" spans="1:34">
      <c r="A108" s="14">
        <f t="shared" si="50"/>
        <v>46071</v>
      </c>
      <c r="B108" s="11" t="s">
        <v>35</v>
      </c>
      <c r="C108" s="12" t="s">
        <v>35</v>
      </c>
      <c r="D108" s="12" t="s">
        <v>35</v>
      </c>
      <c r="E108" s="13" t="s">
        <v>35</v>
      </c>
      <c r="F108" s="12" t="s">
        <v>35</v>
      </c>
      <c r="G108" s="12" t="s">
        <v>35</v>
      </c>
      <c r="H108" s="12" t="s">
        <v>35</v>
      </c>
      <c r="I108" s="12" t="s">
        <v>35</v>
      </c>
      <c r="J108" s="13" t="s">
        <v>35</v>
      </c>
      <c r="K108" s="195" t="s">
        <v>35</v>
      </c>
      <c r="L108" s="26" t="s">
        <v>35</v>
      </c>
      <c r="M108" s="22"/>
      <c r="N108" s="38" t="s">
        <v>35</v>
      </c>
      <c r="O108" s="50" t="s">
        <v>35</v>
      </c>
      <c r="P108" s="13">
        <v>12.96</v>
      </c>
      <c r="Q108" s="13">
        <v>23.6</v>
      </c>
      <c r="R108" s="13">
        <v>38.79</v>
      </c>
      <c r="S108" s="13">
        <v>52.28</v>
      </c>
      <c r="T108" s="36">
        <v>298</v>
      </c>
      <c r="U108" s="13">
        <v>11.68</v>
      </c>
      <c r="V108" s="13">
        <v>14</v>
      </c>
      <c r="W108" s="184">
        <v>2.0430000000000001</v>
      </c>
      <c r="X108" s="37">
        <v>2.2799999999999998</v>
      </c>
      <c r="Y108" s="22"/>
      <c r="Z108" s="38">
        <v>16.23</v>
      </c>
      <c r="AA108" s="13">
        <v>33.06</v>
      </c>
      <c r="AB108" s="13">
        <v>40.11</v>
      </c>
      <c r="AC108" s="13">
        <v>51.34</v>
      </c>
      <c r="AD108" s="13">
        <v>327</v>
      </c>
      <c r="AE108" s="13">
        <v>11.36</v>
      </c>
      <c r="AF108" s="13">
        <v>1</v>
      </c>
      <c r="AG108" s="184">
        <v>2.34</v>
      </c>
      <c r="AH108" s="37">
        <v>2.2799999999999998</v>
      </c>
    </row>
    <row r="109" spans="1:34">
      <c r="A109" s="14">
        <f t="shared" si="50"/>
        <v>46072</v>
      </c>
      <c r="B109" s="11" t="s">
        <v>35</v>
      </c>
      <c r="C109" s="12" t="s">
        <v>35</v>
      </c>
      <c r="D109" s="12" t="s">
        <v>35</v>
      </c>
      <c r="E109" s="13" t="s">
        <v>35</v>
      </c>
      <c r="F109" s="12" t="s">
        <v>35</v>
      </c>
      <c r="G109" s="12" t="s">
        <v>35</v>
      </c>
      <c r="H109" s="12" t="s">
        <v>35</v>
      </c>
      <c r="I109" s="12" t="s">
        <v>35</v>
      </c>
      <c r="J109" s="13" t="s">
        <v>35</v>
      </c>
      <c r="K109" s="195" t="s">
        <v>35</v>
      </c>
      <c r="L109" s="26" t="s">
        <v>35</v>
      </c>
      <c r="M109" s="22"/>
      <c r="N109" s="38" t="s">
        <v>35</v>
      </c>
      <c r="O109" s="50" t="s">
        <v>35</v>
      </c>
      <c r="P109" s="13" t="s">
        <v>35</v>
      </c>
      <c r="Q109" s="13" t="s">
        <v>35</v>
      </c>
      <c r="R109" s="13" t="s">
        <v>35</v>
      </c>
      <c r="S109" s="13" t="s">
        <v>35</v>
      </c>
      <c r="T109" s="36" t="s">
        <v>35</v>
      </c>
      <c r="U109" s="13" t="s">
        <v>35</v>
      </c>
      <c r="V109" s="13" t="s">
        <v>35</v>
      </c>
      <c r="W109" s="13" t="s">
        <v>35</v>
      </c>
      <c r="X109" s="37" t="s">
        <v>35</v>
      </c>
      <c r="Y109" s="22"/>
      <c r="Z109" s="38">
        <v>14.25</v>
      </c>
      <c r="AA109" s="13">
        <v>24.68</v>
      </c>
      <c r="AB109" s="13">
        <v>39.96</v>
      </c>
      <c r="AC109" s="13">
        <v>49.65</v>
      </c>
      <c r="AD109" s="13">
        <v>281</v>
      </c>
      <c r="AE109" s="13">
        <v>11.4</v>
      </c>
      <c r="AF109" s="13">
        <v>2</v>
      </c>
      <c r="AG109" s="184">
        <v>2.06</v>
      </c>
      <c r="AH109" s="37">
        <v>2.77</v>
      </c>
    </row>
    <row r="110" spans="1:34">
      <c r="A110" s="14">
        <f t="shared" si="50"/>
        <v>46073</v>
      </c>
      <c r="B110" s="11" t="s">
        <v>35</v>
      </c>
      <c r="C110" s="12" t="s">
        <v>35</v>
      </c>
      <c r="D110" s="12" t="s">
        <v>35</v>
      </c>
      <c r="E110" s="13" t="s">
        <v>35</v>
      </c>
      <c r="F110" s="12" t="s">
        <v>35</v>
      </c>
      <c r="G110" s="12" t="s">
        <v>35</v>
      </c>
      <c r="H110" s="12" t="s">
        <v>35</v>
      </c>
      <c r="I110" s="12" t="s">
        <v>35</v>
      </c>
      <c r="J110" s="13" t="s">
        <v>35</v>
      </c>
      <c r="K110" s="195" t="s">
        <v>35</v>
      </c>
      <c r="L110" s="26" t="s">
        <v>35</v>
      </c>
      <c r="M110" s="22"/>
      <c r="N110" s="38" t="s">
        <v>35</v>
      </c>
      <c r="O110" s="50" t="s">
        <v>35</v>
      </c>
      <c r="P110" s="13" t="s">
        <v>35</v>
      </c>
      <c r="Q110" s="13" t="s">
        <v>35</v>
      </c>
      <c r="R110" s="13" t="s">
        <v>35</v>
      </c>
      <c r="S110" s="13" t="s">
        <v>35</v>
      </c>
      <c r="T110" s="36" t="s">
        <v>35</v>
      </c>
      <c r="U110" s="13" t="s">
        <v>35</v>
      </c>
      <c r="V110" s="13" t="s">
        <v>35</v>
      </c>
      <c r="W110" s="13" t="s">
        <v>35</v>
      </c>
      <c r="X110" s="37" t="s">
        <v>35</v>
      </c>
      <c r="Y110" s="22"/>
      <c r="Z110" s="38" t="s">
        <v>35</v>
      </c>
      <c r="AA110" s="13" t="s">
        <v>35</v>
      </c>
      <c r="AB110" s="13" t="s">
        <v>35</v>
      </c>
      <c r="AC110" s="13" t="s">
        <v>35</v>
      </c>
      <c r="AD110" s="36" t="s">
        <v>35</v>
      </c>
      <c r="AE110" s="13" t="s">
        <v>35</v>
      </c>
      <c r="AF110" s="13" t="s">
        <v>35</v>
      </c>
      <c r="AG110" s="13" t="s">
        <v>35</v>
      </c>
      <c r="AH110" s="37" t="s">
        <v>35</v>
      </c>
    </row>
    <row r="111" spans="1:34">
      <c r="A111" s="14">
        <f t="shared" si="50"/>
        <v>46074</v>
      </c>
      <c r="B111" s="11" t="s">
        <v>35</v>
      </c>
      <c r="C111" s="12" t="s">
        <v>35</v>
      </c>
      <c r="D111" s="12" t="s">
        <v>35</v>
      </c>
      <c r="E111" s="13" t="s">
        <v>35</v>
      </c>
      <c r="F111" s="12" t="s">
        <v>35</v>
      </c>
      <c r="G111" s="12" t="s">
        <v>35</v>
      </c>
      <c r="H111" s="12" t="s">
        <v>35</v>
      </c>
      <c r="I111" s="12" t="s">
        <v>35</v>
      </c>
      <c r="J111" s="13" t="s">
        <v>35</v>
      </c>
      <c r="K111" s="195" t="s">
        <v>35</v>
      </c>
      <c r="L111" s="26" t="s">
        <v>35</v>
      </c>
      <c r="M111" s="22"/>
      <c r="N111" s="38" t="s">
        <v>35</v>
      </c>
      <c r="O111" s="50" t="s">
        <v>35</v>
      </c>
      <c r="P111" s="13" t="s">
        <v>35</v>
      </c>
      <c r="Q111" s="13" t="s">
        <v>35</v>
      </c>
      <c r="R111" s="13" t="s">
        <v>35</v>
      </c>
      <c r="S111" s="13" t="s">
        <v>35</v>
      </c>
      <c r="T111" s="36" t="s">
        <v>35</v>
      </c>
      <c r="U111" s="13" t="s">
        <v>35</v>
      </c>
      <c r="V111" s="13" t="s">
        <v>35</v>
      </c>
      <c r="W111" s="13" t="s">
        <v>35</v>
      </c>
      <c r="X111" s="37" t="s">
        <v>35</v>
      </c>
      <c r="Y111" s="22"/>
      <c r="Z111" s="38" t="s">
        <v>35</v>
      </c>
      <c r="AA111" s="13" t="s">
        <v>35</v>
      </c>
      <c r="AB111" s="13" t="s">
        <v>35</v>
      </c>
      <c r="AC111" s="13" t="s">
        <v>35</v>
      </c>
      <c r="AD111" s="36" t="s">
        <v>35</v>
      </c>
      <c r="AE111" s="13" t="s">
        <v>35</v>
      </c>
      <c r="AF111" s="13" t="s">
        <v>35</v>
      </c>
      <c r="AG111" s="13" t="s">
        <v>35</v>
      </c>
      <c r="AH111" s="37" t="s">
        <v>35</v>
      </c>
    </row>
    <row r="112" spans="1:34">
      <c r="A112" s="14">
        <f t="shared" si="50"/>
        <v>46075</v>
      </c>
      <c r="B112" s="11" t="s">
        <v>35</v>
      </c>
      <c r="C112" s="12" t="s">
        <v>35</v>
      </c>
      <c r="D112" s="12" t="s">
        <v>35</v>
      </c>
      <c r="E112" s="13" t="s">
        <v>35</v>
      </c>
      <c r="F112" s="12" t="s">
        <v>35</v>
      </c>
      <c r="G112" s="12" t="s">
        <v>35</v>
      </c>
      <c r="H112" s="12" t="s">
        <v>35</v>
      </c>
      <c r="I112" s="12" t="s">
        <v>35</v>
      </c>
      <c r="J112" s="13" t="s">
        <v>35</v>
      </c>
      <c r="K112" s="195" t="s">
        <v>35</v>
      </c>
      <c r="L112" s="26" t="s">
        <v>35</v>
      </c>
      <c r="M112" s="22"/>
      <c r="N112" s="38" t="s">
        <v>35</v>
      </c>
      <c r="O112" s="50" t="s">
        <v>35</v>
      </c>
      <c r="P112" s="13">
        <v>14.2</v>
      </c>
      <c r="Q112" s="13">
        <v>23.71</v>
      </c>
      <c r="R112" s="13">
        <v>39.1</v>
      </c>
      <c r="S112" s="13">
        <v>55.82</v>
      </c>
      <c r="T112" s="36">
        <v>297</v>
      </c>
      <c r="U112" s="13">
        <v>11.04</v>
      </c>
      <c r="V112" s="13">
        <v>2</v>
      </c>
      <c r="W112" s="184">
        <v>2.2400000000000002</v>
      </c>
      <c r="X112" s="37">
        <v>2.46</v>
      </c>
      <c r="Y112" s="22"/>
      <c r="Z112" s="38">
        <v>13.47</v>
      </c>
      <c r="AA112" s="13">
        <v>23.49</v>
      </c>
      <c r="AB112" s="13">
        <v>37.200000000000003</v>
      </c>
      <c r="AC112" s="13">
        <v>52.15</v>
      </c>
      <c r="AD112" s="13">
        <v>301</v>
      </c>
      <c r="AE112" s="13">
        <v>9.16</v>
      </c>
      <c r="AF112" s="13">
        <v>2</v>
      </c>
      <c r="AG112" s="184">
        <v>2.15</v>
      </c>
      <c r="AH112" s="37">
        <v>2.54</v>
      </c>
    </row>
    <row r="113" spans="1:34">
      <c r="A113" s="14">
        <f t="shared" si="50"/>
        <v>46076</v>
      </c>
      <c r="B113" s="11" t="s">
        <v>35</v>
      </c>
      <c r="C113" s="12" t="s">
        <v>35</v>
      </c>
      <c r="D113" s="12" t="s">
        <v>35</v>
      </c>
      <c r="E113" s="13" t="s">
        <v>35</v>
      </c>
      <c r="F113" s="12" t="s">
        <v>35</v>
      </c>
      <c r="G113" s="12" t="s">
        <v>35</v>
      </c>
      <c r="H113" s="12" t="s">
        <v>35</v>
      </c>
      <c r="I113" s="12" t="s">
        <v>35</v>
      </c>
      <c r="J113" s="13" t="s">
        <v>35</v>
      </c>
      <c r="K113" s="195" t="s">
        <v>35</v>
      </c>
      <c r="L113" s="26" t="s">
        <v>35</v>
      </c>
      <c r="M113" s="22"/>
      <c r="N113" s="38" t="s">
        <v>35</v>
      </c>
      <c r="O113" s="13" t="s">
        <v>35</v>
      </c>
      <c r="P113" s="13" t="s">
        <v>35</v>
      </c>
      <c r="Q113" s="13" t="s">
        <v>35</v>
      </c>
      <c r="R113" s="13" t="s">
        <v>35</v>
      </c>
      <c r="S113" s="13" t="s">
        <v>35</v>
      </c>
      <c r="T113" s="36" t="s">
        <v>35</v>
      </c>
      <c r="U113" s="13" t="s">
        <v>35</v>
      </c>
      <c r="V113" s="13" t="s">
        <v>35</v>
      </c>
      <c r="W113" s="13" t="s">
        <v>35</v>
      </c>
      <c r="X113" s="37" t="s">
        <v>35</v>
      </c>
      <c r="Y113" s="22"/>
      <c r="Z113" s="38" t="s">
        <v>35</v>
      </c>
      <c r="AA113" s="13" t="s">
        <v>35</v>
      </c>
      <c r="AB113" s="13" t="s">
        <v>35</v>
      </c>
      <c r="AC113" s="13" t="s">
        <v>35</v>
      </c>
      <c r="AD113" s="13" t="s">
        <v>35</v>
      </c>
      <c r="AE113" s="13" t="s">
        <v>35</v>
      </c>
      <c r="AF113" s="13" t="s">
        <v>35</v>
      </c>
      <c r="AG113" s="13" t="s">
        <v>35</v>
      </c>
      <c r="AH113" s="37" t="s">
        <v>35</v>
      </c>
    </row>
    <row r="114" spans="1:34">
      <c r="A114" s="14">
        <f t="shared" si="50"/>
        <v>46077</v>
      </c>
      <c r="B114" s="11" t="s">
        <v>35</v>
      </c>
      <c r="C114" s="12" t="s">
        <v>35</v>
      </c>
      <c r="D114" s="12" t="s">
        <v>35</v>
      </c>
      <c r="E114" s="13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3" t="s">
        <v>35</v>
      </c>
      <c r="K114" s="195" t="s">
        <v>35</v>
      </c>
      <c r="L114" s="26" t="s">
        <v>35</v>
      </c>
      <c r="M114" s="22"/>
      <c r="N114" s="38" t="s">
        <v>35</v>
      </c>
      <c r="O114" s="13" t="s">
        <v>35</v>
      </c>
      <c r="P114" s="13">
        <v>15.08</v>
      </c>
      <c r="Q114" s="13">
        <v>24.07</v>
      </c>
      <c r="R114" s="13">
        <v>37.090000000000003</v>
      </c>
      <c r="S114" s="13">
        <v>50.43</v>
      </c>
      <c r="T114" s="36">
        <v>394</v>
      </c>
      <c r="U114" s="13">
        <v>10.76</v>
      </c>
      <c r="V114" s="13">
        <v>45</v>
      </c>
      <c r="W114" s="184">
        <v>2.4</v>
      </c>
      <c r="X114" s="37">
        <v>2.85</v>
      </c>
      <c r="Y114" s="22"/>
      <c r="Z114" s="38">
        <v>13</v>
      </c>
      <c r="AA114" s="13">
        <v>23.03</v>
      </c>
      <c r="AB114" s="13">
        <v>38.909999999999997</v>
      </c>
      <c r="AC114" s="13">
        <v>50.43</v>
      </c>
      <c r="AD114" s="36">
        <v>358</v>
      </c>
      <c r="AE114" s="13">
        <v>9.8000000000000007</v>
      </c>
      <c r="AF114" s="13">
        <v>2</v>
      </c>
      <c r="AG114" s="184">
        <v>2.27</v>
      </c>
      <c r="AH114" s="37">
        <v>5.42</v>
      </c>
    </row>
    <row r="115" spans="1:34">
      <c r="A115" s="14">
        <f t="shared" si="50"/>
        <v>46078</v>
      </c>
      <c r="B115" s="11" t="s">
        <v>35</v>
      </c>
      <c r="C115" s="12" t="s">
        <v>35</v>
      </c>
      <c r="D115" s="12" t="s">
        <v>35</v>
      </c>
      <c r="E115" s="13" t="s">
        <v>35</v>
      </c>
      <c r="F115" s="12" t="s">
        <v>35</v>
      </c>
      <c r="G115" s="12" t="s">
        <v>35</v>
      </c>
      <c r="H115" s="12" t="s">
        <v>35</v>
      </c>
      <c r="I115" s="12" t="s">
        <v>35</v>
      </c>
      <c r="J115" s="13" t="s">
        <v>35</v>
      </c>
      <c r="K115" s="195" t="s">
        <v>35</v>
      </c>
      <c r="L115" s="26" t="s">
        <v>35</v>
      </c>
      <c r="M115" s="22"/>
      <c r="N115" s="38" t="s">
        <v>35</v>
      </c>
      <c r="O115" s="13" t="s">
        <v>35</v>
      </c>
      <c r="P115" s="13">
        <v>16.920000000000002</v>
      </c>
      <c r="Q115" s="13">
        <v>23.5</v>
      </c>
      <c r="R115" s="13">
        <v>39.17</v>
      </c>
      <c r="S115" s="13">
        <v>53.72</v>
      </c>
      <c r="T115" s="36">
        <v>312</v>
      </c>
      <c r="U115" s="13">
        <v>10.92</v>
      </c>
      <c r="V115" s="13">
        <v>1.5</v>
      </c>
      <c r="W115" s="184">
        <v>2.2799999999999998</v>
      </c>
      <c r="X115" s="37">
        <v>2.1</v>
      </c>
      <c r="Y115" s="22"/>
      <c r="Z115" s="38" t="s">
        <v>35</v>
      </c>
      <c r="AA115" s="13" t="s">
        <v>35</v>
      </c>
      <c r="AB115" s="13" t="s">
        <v>35</v>
      </c>
      <c r="AC115" s="13" t="s">
        <v>35</v>
      </c>
      <c r="AD115" s="13" t="s">
        <v>35</v>
      </c>
      <c r="AE115" s="13" t="s">
        <v>35</v>
      </c>
      <c r="AF115" s="13" t="s">
        <v>35</v>
      </c>
      <c r="AG115" s="13" t="s">
        <v>35</v>
      </c>
      <c r="AH115" s="37" t="s">
        <v>35</v>
      </c>
    </row>
    <row r="116" spans="1:34">
      <c r="A116" s="14">
        <f t="shared" si="50"/>
        <v>46079</v>
      </c>
      <c r="B116" s="11" t="s">
        <v>35</v>
      </c>
      <c r="C116" s="12" t="s">
        <v>35</v>
      </c>
      <c r="D116" s="12" t="s">
        <v>35</v>
      </c>
      <c r="E116" s="13" t="s">
        <v>35</v>
      </c>
      <c r="F116" s="12" t="s">
        <v>35</v>
      </c>
      <c r="G116" s="12" t="s">
        <v>35</v>
      </c>
      <c r="H116" s="12" t="s">
        <v>35</v>
      </c>
      <c r="I116" s="12" t="s">
        <v>35</v>
      </c>
      <c r="J116" s="13" t="s">
        <v>35</v>
      </c>
      <c r="K116" s="195" t="s">
        <v>35</v>
      </c>
      <c r="L116" s="26" t="s">
        <v>35</v>
      </c>
      <c r="M116" s="22"/>
      <c r="N116" s="38" t="s">
        <v>35</v>
      </c>
      <c r="O116" s="13" t="s">
        <v>35</v>
      </c>
      <c r="P116" s="13">
        <v>14.97</v>
      </c>
      <c r="Q116" s="13">
        <v>24.72</v>
      </c>
      <c r="R116" s="13">
        <v>36.43</v>
      </c>
      <c r="S116" s="13">
        <v>52.65</v>
      </c>
      <c r="T116" s="36">
        <v>298</v>
      </c>
      <c r="U116" s="13">
        <v>9.9600000000000009</v>
      </c>
      <c r="V116" s="13">
        <v>1</v>
      </c>
      <c r="W116" s="184">
        <v>1.94</v>
      </c>
      <c r="X116" s="51">
        <v>2.4900000000000002</v>
      </c>
      <c r="Y116" s="22"/>
      <c r="Z116" s="38">
        <v>15.54</v>
      </c>
      <c r="AA116" s="13">
        <v>24.82</v>
      </c>
      <c r="AB116" s="13">
        <v>40.64</v>
      </c>
      <c r="AC116" s="13">
        <v>58.57</v>
      </c>
      <c r="AD116" s="36">
        <v>304</v>
      </c>
      <c r="AE116" s="13">
        <v>16.68</v>
      </c>
      <c r="AF116" s="13">
        <v>1.5</v>
      </c>
      <c r="AG116" s="184">
        <v>2.46</v>
      </c>
      <c r="AH116" s="37">
        <v>2.38</v>
      </c>
    </row>
    <row r="117" spans="1:34">
      <c r="A117" s="14">
        <f t="shared" si="50"/>
        <v>46080</v>
      </c>
      <c r="B117" s="11" t="s">
        <v>35</v>
      </c>
      <c r="C117" s="12" t="s">
        <v>35</v>
      </c>
      <c r="D117" s="12" t="s">
        <v>35</v>
      </c>
      <c r="E117" s="13" t="s">
        <v>35</v>
      </c>
      <c r="F117" s="12" t="s">
        <v>35</v>
      </c>
      <c r="G117" s="12" t="s">
        <v>35</v>
      </c>
      <c r="H117" s="12" t="s">
        <v>35</v>
      </c>
      <c r="I117" s="12" t="s">
        <v>35</v>
      </c>
      <c r="J117" s="13" t="s">
        <v>35</v>
      </c>
      <c r="K117" s="195" t="s">
        <v>35</v>
      </c>
      <c r="L117" s="26" t="s">
        <v>35</v>
      </c>
      <c r="M117" s="22"/>
      <c r="N117" s="38" t="s">
        <v>35</v>
      </c>
      <c r="O117" s="13" t="s">
        <v>35</v>
      </c>
      <c r="P117" s="13">
        <v>15.16</v>
      </c>
      <c r="Q117" s="13">
        <v>23.88</v>
      </c>
      <c r="R117" s="13">
        <v>37.020000000000003</v>
      </c>
      <c r="S117" s="13">
        <v>50.43</v>
      </c>
      <c r="T117" s="36">
        <v>303</v>
      </c>
      <c r="U117" s="13">
        <v>9.52</v>
      </c>
      <c r="V117" s="13">
        <v>0.5</v>
      </c>
      <c r="W117" s="184">
        <v>2.4900000000000002</v>
      </c>
      <c r="X117" s="37">
        <v>2.0299999999999998</v>
      </c>
      <c r="Y117" s="22"/>
      <c r="Z117" s="38">
        <v>13.12</v>
      </c>
      <c r="AA117" s="13">
        <v>23.96</v>
      </c>
      <c r="AB117" s="13">
        <v>38.86</v>
      </c>
      <c r="AC117" s="13">
        <v>54.4</v>
      </c>
      <c r="AD117" s="36">
        <v>316</v>
      </c>
      <c r="AE117" s="13">
        <v>14.92</v>
      </c>
      <c r="AF117" s="13">
        <v>1</v>
      </c>
      <c r="AG117" s="184">
        <v>2.11</v>
      </c>
      <c r="AH117" s="37">
        <v>4.78</v>
      </c>
    </row>
    <row r="118" spans="1:34" ht="15.75" thickBot="1">
      <c r="A118" s="14">
        <f t="shared" si="50"/>
        <v>46081</v>
      </c>
      <c r="B118" s="11" t="s">
        <v>35</v>
      </c>
      <c r="C118" s="12" t="s">
        <v>35</v>
      </c>
      <c r="D118" s="12" t="s">
        <v>35</v>
      </c>
      <c r="E118" s="13" t="s">
        <v>35</v>
      </c>
      <c r="F118" s="12" t="s">
        <v>35</v>
      </c>
      <c r="G118" s="12" t="s">
        <v>35</v>
      </c>
      <c r="H118" s="12" t="s">
        <v>35</v>
      </c>
      <c r="I118" s="12" t="s">
        <v>35</v>
      </c>
      <c r="J118" s="13" t="s">
        <v>35</v>
      </c>
      <c r="K118" s="195" t="s">
        <v>35</v>
      </c>
      <c r="L118" s="26" t="s">
        <v>35</v>
      </c>
      <c r="M118" s="22"/>
      <c r="N118" s="38" t="s">
        <v>35</v>
      </c>
      <c r="O118" s="13" t="s">
        <v>35</v>
      </c>
      <c r="P118" s="13">
        <v>13.26</v>
      </c>
      <c r="Q118" s="13">
        <v>24.22</v>
      </c>
      <c r="R118" s="13">
        <v>43.51</v>
      </c>
      <c r="S118" s="13">
        <v>58.3</v>
      </c>
      <c r="T118" s="36">
        <v>308</v>
      </c>
      <c r="U118" s="13">
        <v>10.96</v>
      </c>
      <c r="V118" s="13">
        <v>0.5</v>
      </c>
      <c r="W118" s="184">
        <v>2.5099999999999998</v>
      </c>
      <c r="X118" s="37">
        <v>3.18</v>
      </c>
      <c r="Y118" s="22"/>
      <c r="Z118" s="38" t="s">
        <v>35</v>
      </c>
      <c r="AA118" s="13" t="s">
        <v>35</v>
      </c>
      <c r="AB118" s="13" t="s">
        <v>35</v>
      </c>
      <c r="AC118" s="13" t="s">
        <v>35</v>
      </c>
      <c r="AD118" s="36" t="s">
        <v>35</v>
      </c>
      <c r="AE118" s="13" t="s">
        <v>35</v>
      </c>
      <c r="AF118" s="13" t="s">
        <v>35</v>
      </c>
      <c r="AG118" s="13" t="s">
        <v>35</v>
      </c>
      <c r="AH118" s="37" t="s">
        <v>35</v>
      </c>
    </row>
    <row r="119" spans="1:34">
      <c r="A119" s="16" t="s">
        <v>31</v>
      </c>
      <c r="B119" s="17">
        <f t="shared" ref="B119:L119" si="51">MIN(B90:B118)</f>
        <v>0</v>
      </c>
      <c r="C119" s="17">
        <f t="shared" si="51"/>
        <v>0</v>
      </c>
      <c r="D119" s="17">
        <f t="shared" si="51"/>
        <v>0</v>
      </c>
      <c r="E119" s="17">
        <f t="shared" si="51"/>
        <v>0</v>
      </c>
      <c r="F119" s="17">
        <f t="shared" si="51"/>
        <v>0</v>
      </c>
      <c r="G119" s="17">
        <f t="shared" si="51"/>
        <v>0</v>
      </c>
      <c r="H119" s="17">
        <f t="shared" si="51"/>
        <v>0</v>
      </c>
      <c r="I119" s="17">
        <f t="shared" si="51"/>
        <v>0</v>
      </c>
      <c r="J119" s="17">
        <f t="shared" si="51"/>
        <v>0</v>
      </c>
      <c r="K119" s="17">
        <f t="shared" si="51"/>
        <v>0</v>
      </c>
      <c r="L119" s="30">
        <f t="shared" si="51"/>
        <v>0</v>
      </c>
      <c r="M119" s="22"/>
      <c r="N119" s="17">
        <f t="shared" ref="N119:X119" si="52">MIN(N90:N118)</f>
        <v>0</v>
      </c>
      <c r="O119" s="17">
        <f t="shared" si="52"/>
        <v>0</v>
      </c>
      <c r="P119" s="17">
        <f t="shared" si="52"/>
        <v>12.96</v>
      </c>
      <c r="Q119" s="17">
        <f t="shared" si="52"/>
        <v>23.5</v>
      </c>
      <c r="R119" s="17">
        <f t="shared" si="52"/>
        <v>36.43</v>
      </c>
      <c r="S119" s="17">
        <f t="shared" si="52"/>
        <v>48.85</v>
      </c>
      <c r="T119" s="17">
        <f t="shared" si="52"/>
        <v>282</v>
      </c>
      <c r="U119" s="17">
        <f t="shared" si="52"/>
        <v>9.0399999999999991</v>
      </c>
      <c r="V119" s="17">
        <f t="shared" si="52"/>
        <v>0.5</v>
      </c>
      <c r="W119" s="17">
        <f t="shared" si="52"/>
        <v>1.94</v>
      </c>
      <c r="X119" s="30">
        <f t="shared" si="52"/>
        <v>2.0299999999999998</v>
      </c>
      <c r="Z119" s="40">
        <f t="shared" ref="Z119:AH119" si="53">MIN(Z90:Z118)</f>
        <v>12.88</v>
      </c>
      <c r="AA119" s="17">
        <f t="shared" si="53"/>
        <v>23.03</v>
      </c>
      <c r="AB119" s="17">
        <f t="shared" si="53"/>
        <v>37.200000000000003</v>
      </c>
      <c r="AC119" s="17">
        <f t="shared" si="53"/>
        <v>49.65</v>
      </c>
      <c r="AD119" s="17">
        <f t="shared" si="53"/>
        <v>276</v>
      </c>
      <c r="AE119" s="17">
        <f t="shared" si="53"/>
        <v>7.2</v>
      </c>
      <c r="AF119" s="17">
        <f t="shared" si="53"/>
        <v>0.5</v>
      </c>
      <c r="AG119" s="17">
        <f t="shared" si="53"/>
        <v>2.04</v>
      </c>
      <c r="AH119" s="30">
        <f t="shared" si="53"/>
        <v>2.2799999999999998</v>
      </c>
    </row>
    <row r="120" spans="1:34">
      <c r="A120" s="18" t="s">
        <v>33</v>
      </c>
      <c r="B120" s="19">
        <f t="shared" ref="B120:L120" si="54">MAX(B90:B118)</f>
        <v>0</v>
      </c>
      <c r="C120" s="19">
        <f t="shared" si="54"/>
        <v>0</v>
      </c>
      <c r="D120" s="19">
        <f t="shared" si="54"/>
        <v>0</v>
      </c>
      <c r="E120" s="19">
        <f t="shared" si="54"/>
        <v>0</v>
      </c>
      <c r="F120" s="19">
        <f t="shared" si="54"/>
        <v>0</v>
      </c>
      <c r="G120" s="19">
        <f t="shared" si="54"/>
        <v>0</v>
      </c>
      <c r="H120" s="19">
        <f t="shared" si="54"/>
        <v>0</v>
      </c>
      <c r="I120" s="19">
        <f t="shared" si="54"/>
        <v>0</v>
      </c>
      <c r="J120" s="19">
        <f t="shared" si="54"/>
        <v>0</v>
      </c>
      <c r="K120" s="19">
        <f t="shared" si="54"/>
        <v>0</v>
      </c>
      <c r="L120" s="31">
        <f t="shared" si="54"/>
        <v>0</v>
      </c>
      <c r="M120" s="22"/>
      <c r="N120" s="19">
        <f t="shared" ref="N120:X120" si="55">MAX(N90:N118)</f>
        <v>0</v>
      </c>
      <c r="O120" s="19">
        <f t="shared" si="55"/>
        <v>0</v>
      </c>
      <c r="P120" s="19">
        <f t="shared" si="55"/>
        <v>16.920000000000002</v>
      </c>
      <c r="Q120" s="19">
        <f t="shared" si="55"/>
        <v>27.95</v>
      </c>
      <c r="R120" s="19">
        <f t="shared" si="55"/>
        <v>47.55</v>
      </c>
      <c r="S120" s="19">
        <f t="shared" si="55"/>
        <v>58.75</v>
      </c>
      <c r="T120" s="19">
        <f t="shared" si="55"/>
        <v>394</v>
      </c>
      <c r="U120" s="19">
        <f t="shared" si="55"/>
        <v>30</v>
      </c>
      <c r="V120" s="19">
        <f t="shared" si="55"/>
        <v>45</v>
      </c>
      <c r="W120" s="19">
        <f t="shared" si="55"/>
        <v>2.5099999999999998</v>
      </c>
      <c r="X120" s="31">
        <f t="shared" si="55"/>
        <v>4.53</v>
      </c>
      <c r="Z120" s="41">
        <f t="shared" ref="Z120:AH120" si="56">MAX(Z90:Z118)</f>
        <v>17.18</v>
      </c>
      <c r="AA120" s="19">
        <f t="shared" si="56"/>
        <v>33.06</v>
      </c>
      <c r="AB120" s="19">
        <f t="shared" si="56"/>
        <v>45.62</v>
      </c>
      <c r="AC120" s="19">
        <f t="shared" si="56"/>
        <v>58.57</v>
      </c>
      <c r="AD120" s="19">
        <f t="shared" si="56"/>
        <v>387</v>
      </c>
      <c r="AE120" s="19">
        <f t="shared" si="56"/>
        <v>16.68</v>
      </c>
      <c r="AF120" s="19">
        <f t="shared" si="56"/>
        <v>2</v>
      </c>
      <c r="AG120" s="19">
        <f t="shared" si="56"/>
        <v>2.46</v>
      </c>
      <c r="AH120" s="31">
        <f t="shared" si="56"/>
        <v>5.42</v>
      </c>
    </row>
    <row r="121" spans="1:34">
      <c r="A121" s="18" t="s">
        <v>36</v>
      </c>
      <c r="B121" s="19" t="e">
        <f t="shared" ref="B121:L121" si="57">AVERAGE(B90:B118)</f>
        <v>#DIV/0!</v>
      </c>
      <c r="C121" s="19" t="e">
        <f t="shared" si="57"/>
        <v>#DIV/0!</v>
      </c>
      <c r="D121" s="19" t="e">
        <f t="shared" si="57"/>
        <v>#DIV/0!</v>
      </c>
      <c r="E121" s="19" t="e">
        <f t="shared" si="57"/>
        <v>#DIV/0!</v>
      </c>
      <c r="F121" s="19" t="e">
        <f t="shared" si="57"/>
        <v>#DIV/0!</v>
      </c>
      <c r="G121" s="19" t="e">
        <f t="shared" si="57"/>
        <v>#DIV/0!</v>
      </c>
      <c r="H121" s="19" t="e">
        <f t="shared" si="57"/>
        <v>#DIV/0!</v>
      </c>
      <c r="I121" s="19" t="e">
        <f t="shared" si="57"/>
        <v>#DIV/0!</v>
      </c>
      <c r="J121" s="19" t="e">
        <f t="shared" si="57"/>
        <v>#DIV/0!</v>
      </c>
      <c r="K121" s="19" t="e">
        <f t="shared" si="57"/>
        <v>#DIV/0!</v>
      </c>
      <c r="L121" s="31" t="e">
        <f t="shared" si="57"/>
        <v>#DIV/0!</v>
      </c>
      <c r="M121" s="22"/>
      <c r="N121" s="19" t="e">
        <f t="shared" ref="N121:X121" si="58">AVERAGE(N90:N118)</f>
        <v>#DIV/0!</v>
      </c>
      <c r="O121" s="19" t="e">
        <f t="shared" si="58"/>
        <v>#DIV/0!</v>
      </c>
      <c r="P121" s="19">
        <f t="shared" si="58"/>
        <v>14.591875000000002</v>
      </c>
      <c r="Q121" s="19">
        <f t="shared" si="58"/>
        <v>24.958125000000003</v>
      </c>
      <c r="R121" s="19">
        <f t="shared" si="58"/>
        <v>40.518124999999998</v>
      </c>
      <c r="S121" s="19">
        <f t="shared" si="58"/>
        <v>53.308749999999996</v>
      </c>
      <c r="T121" s="19">
        <f t="shared" si="58"/>
        <v>312.75</v>
      </c>
      <c r="U121" s="19">
        <f t="shared" si="58"/>
        <v>12.157500000000001</v>
      </c>
      <c r="V121" s="19">
        <f t="shared" si="58"/>
        <v>4.5</v>
      </c>
      <c r="W121" s="19">
        <f t="shared" si="58"/>
        <v>2.2614375</v>
      </c>
      <c r="X121" s="31">
        <f t="shared" si="58"/>
        <v>3.0137500000000004</v>
      </c>
      <c r="Z121" s="41">
        <f t="shared" ref="Z121:AH121" si="59">AVERAGE(Z90:Z118)</f>
        <v>14.771538461538462</v>
      </c>
      <c r="AA121" s="19">
        <f t="shared" si="59"/>
        <v>25.570769230769226</v>
      </c>
      <c r="AB121" s="19">
        <f t="shared" si="59"/>
        <v>41.293846153846147</v>
      </c>
      <c r="AC121" s="19">
        <f t="shared" si="59"/>
        <v>52.33461538461539</v>
      </c>
      <c r="AD121" s="19">
        <f t="shared" si="59"/>
        <v>316.30769230769232</v>
      </c>
      <c r="AE121" s="19">
        <f t="shared" si="59"/>
        <v>11.479999999999999</v>
      </c>
      <c r="AF121" s="19">
        <f t="shared" si="59"/>
        <v>1.1923076923076923</v>
      </c>
      <c r="AG121" s="19">
        <f t="shared" si="59"/>
        <v>2.2399999999999998</v>
      </c>
      <c r="AH121" s="31">
        <f t="shared" si="59"/>
        <v>3.0830769230769235</v>
      </c>
    </row>
    <row r="122" spans="1:34" ht="15.75" thickBot="1">
      <c r="A122" s="20" t="s">
        <v>130</v>
      </c>
      <c r="B122" s="21" t="e">
        <f t="shared" ref="B122:L122" si="60">STDEV(B90:B118)</f>
        <v>#DIV/0!</v>
      </c>
      <c r="C122" s="21" t="e">
        <f t="shared" si="60"/>
        <v>#DIV/0!</v>
      </c>
      <c r="D122" s="21" t="e">
        <f t="shared" si="60"/>
        <v>#DIV/0!</v>
      </c>
      <c r="E122" s="21" t="e">
        <f t="shared" si="60"/>
        <v>#DIV/0!</v>
      </c>
      <c r="F122" s="21" t="e">
        <f t="shared" si="60"/>
        <v>#DIV/0!</v>
      </c>
      <c r="G122" s="21" t="e">
        <f t="shared" si="60"/>
        <v>#DIV/0!</v>
      </c>
      <c r="H122" s="21" t="e">
        <f t="shared" si="60"/>
        <v>#DIV/0!</v>
      </c>
      <c r="I122" s="21" t="e">
        <f t="shared" si="60"/>
        <v>#DIV/0!</v>
      </c>
      <c r="J122" s="21" t="e">
        <f t="shared" si="60"/>
        <v>#DIV/0!</v>
      </c>
      <c r="K122" s="21" t="e">
        <f t="shared" si="60"/>
        <v>#DIV/0!</v>
      </c>
      <c r="L122" s="32" t="e">
        <f t="shared" si="60"/>
        <v>#DIV/0!</v>
      </c>
      <c r="M122" s="22"/>
      <c r="N122" s="21" t="e">
        <f t="shared" ref="N122:X122" si="61">STDEV(N90:N118)</f>
        <v>#DIV/0!</v>
      </c>
      <c r="O122" s="21" t="e">
        <f t="shared" si="61"/>
        <v>#DIV/0!</v>
      </c>
      <c r="P122" s="21">
        <f t="shared" si="61"/>
        <v>1.0276135379282105</v>
      </c>
      <c r="Q122" s="21">
        <f t="shared" si="61"/>
        <v>1.4921180415771402</v>
      </c>
      <c r="R122" s="21">
        <f t="shared" si="61"/>
        <v>3.3153626624146755</v>
      </c>
      <c r="S122" s="21">
        <f t="shared" si="61"/>
        <v>3.0725122728260441</v>
      </c>
      <c r="T122" s="21">
        <f t="shared" si="61"/>
        <v>26.088311559010485</v>
      </c>
      <c r="U122" s="21">
        <f t="shared" si="61"/>
        <v>4.9848938470810635</v>
      </c>
      <c r="V122" s="21">
        <f t="shared" si="61"/>
        <v>11.293065718985847</v>
      </c>
      <c r="W122" s="21">
        <f t="shared" si="61"/>
        <v>0.16400323929727728</v>
      </c>
      <c r="X122" s="32">
        <f t="shared" si="61"/>
        <v>0.75270955000362794</v>
      </c>
      <c r="Z122" s="42">
        <f t="shared" ref="Z122:AH122" si="62">STDEV(Z90:Z118)</f>
        <v>1.4486076427259735</v>
      </c>
      <c r="AA122" s="21">
        <f t="shared" si="62"/>
        <v>2.7243637224694854</v>
      </c>
      <c r="AB122" s="21">
        <f t="shared" si="62"/>
        <v>2.721548390351646</v>
      </c>
      <c r="AC122" s="21">
        <f t="shared" si="62"/>
        <v>2.564266026840869</v>
      </c>
      <c r="AD122" s="21">
        <f t="shared" si="62"/>
        <v>31.692229897838303</v>
      </c>
      <c r="AE122" s="21">
        <f t="shared" si="62"/>
        <v>2.5150215373498037</v>
      </c>
      <c r="AF122" s="21">
        <f t="shared" si="62"/>
        <v>0.56044853831780506</v>
      </c>
      <c r="AG122" s="21">
        <f t="shared" si="62"/>
        <v>0.13656500283747663</v>
      </c>
      <c r="AH122" s="32">
        <f t="shared" si="62"/>
        <v>0.97615217918267039</v>
      </c>
    </row>
    <row r="123" spans="1:34" ht="15.75" thickBot="1"/>
    <row r="124" spans="1:34" ht="15.75" thickBot="1">
      <c r="A124" s="1"/>
      <c r="B124" s="338" t="s">
        <v>0</v>
      </c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  <c r="AA124" s="339"/>
      <c r="AB124" s="339"/>
      <c r="AC124" s="339"/>
      <c r="AD124" s="340"/>
      <c r="AE124" s="340"/>
      <c r="AF124" s="340"/>
      <c r="AG124" s="340"/>
      <c r="AH124" s="340"/>
    </row>
    <row r="125" spans="1:34" ht="15.75" thickBot="1">
      <c r="A125" s="1"/>
      <c r="B125" s="338" t="s">
        <v>172</v>
      </c>
      <c r="C125" s="339"/>
      <c r="D125" s="339"/>
      <c r="E125" s="339"/>
      <c r="F125" s="339"/>
      <c r="G125" s="339"/>
      <c r="H125" s="339"/>
      <c r="I125" s="339"/>
      <c r="J125" s="339"/>
      <c r="K125" s="339"/>
      <c r="L125" s="339"/>
      <c r="M125" s="339"/>
      <c r="N125" s="339"/>
      <c r="O125" s="339"/>
      <c r="P125" s="339"/>
      <c r="Q125" s="339"/>
      <c r="R125" s="339"/>
      <c r="S125" s="339"/>
      <c r="T125" s="339"/>
      <c r="U125" s="339"/>
      <c r="V125" s="339"/>
      <c r="W125" s="339"/>
      <c r="X125" s="339"/>
      <c r="Y125" s="339"/>
      <c r="Z125" s="339"/>
      <c r="AA125" s="339"/>
      <c r="AB125" s="339"/>
      <c r="AC125" s="339"/>
      <c r="AD125" s="4"/>
      <c r="AE125" s="43" t="s">
        <v>107</v>
      </c>
      <c r="AF125" s="341">
        <v>46082</v>
      </c>
      <c r="AG125" s="342"/>
      <c r="AH125" s="343"/>
    </row>
    <row r="126" spans="1:34">
      <c r="A126" s="344"/>
      <c r="B126" s="346" t="s">
        <v>132</v>
      </c>
      <c r="C126" s="347"/>
      <c r="D126" s="347"/>
      <c r="E126" s="347"/>
      <c r="F126" s="347"/>
      <c r="G126" s="347"/>
      <c r="H126" s="347"/>
      <c r="I126" s="347"/>
      <c r="J126" s="347"/>
      <c r="K126" s="348"/>
      <c r="L126" s="349"/>
      <c r="M126" s="22"/>
      <c r="N126" s="350" t="s">
        <v>133</v>
      </c>
      <c r="O126" s="347"/>
      <c r="P126" s="347"/>
      <c r="Q126" s="347"/>
      <c r="R126" s="347"/>
      <c r="S126" s="347"/>
      <c r="T126" s="347"/>
      <c r="U126" s="347"/>
      <c r="V126" s="347"/>
      <c r="W126" s="348"/>
      <c r="X126" s="349"/>
      <c r="Y126" s="22"/>
      <c r="Z126" s="346" t="s">
        <v>134</v>
      </c>
      <c r="AA126" s="347"/>
      <c r="AB126" s="347"/>
      <c r="AC126" s="347"/>
      <c r="AD126" s="347"/>
      <c r="AE126" s="347"/>
      <c r="AF126" s="347"/>
      <c r="AG126" s="348"/>
      <c r="AH126" s="349"/>
    </row>
    <row r="127" spans="1:34" ht="25.5">
      <c r="A127" s="345"/>
      <c r="B127" s="359" t="s">
        <v>135</v>
      </c>
      <c r="C127" s="361" t="s">
        <v>136</v>
      </c>
      <c r="D127" s="5" t="s">
        <v>137</v>
      </c>
      <c r="E127" s="5" t="s">
        <v>138</v>
      </c>
      <c r="F127" s="5" t="s">
        <v>139</v>
      </c>
      <c r="G127" s="5" t="s">
        <v>140</v>
      </c>
      <c r="H127" s="5" t="s">
        <v>141</v>
      </c>
      <c r="I127" s="5" t="s">
        <v>142</v>
      </c>
      <c r="J127" s="5" t="s">
        <v>143</v>
      </c>
      <c r="K127" s="181" t="s">
        <v>81</v>
      </c>
      <c r="L127" s="23" t="s">
        <v>144</v>
      </c>
      <c r="M127" s="22"/>
      <c r="N127" s="355" t="s">
        <v>135</v>
      </c>
      <c r="O127" s="357" t="s">
        <v>136</v>
      </c>
      <c r="P127" s="5" t="s">
        <v>137</v>
      </c>
      <c r="Q127" s="5" t="s">
        <v>138</v>
      </c>
      <c r="R127" s="5" t="s">
        <v>139</v>
      </c>
      <c r="S127" s="5" t="s">
        <v>140</v>
      </c>
      <c r="T127" s="5" t="s">
        <v>141</v>
      </c>
      <c r="U127" s="5" t="s">
        <v>142</v>
      </c>
      <c r="V127" s="5" t="s">
        <v>143</v>
      </c>
      <c r="W127" s="181" t="s">
        <v>81</v>
      </c>
      <c r="X127" s="23" t="s">
        <v>144</v>
      </c>
      <c r="Y127" s="22"/>
      <c r="Z127" s="33" t="s">
        <v>137</v>
      </c>
      <c r="AA127" s="5" t="s">
        <v>138</v>
      </c>
      <c r="AB127" s="5" t="s">
        <v>139</v>
      </c>
      <c r="AC127" s="5" t="s">
        <v>140</v>
      </c>
      <c r="AD127" s="5" t="s">
        <v>141</v>
      </c>
      <c r="AE127" s="5" t="s">
        <v>142</v>
      </c>
      <c r="AF127" s="5" t="s">
        <v>143</v>
      </c>
      <c r="AG127" s="181" t="s">
        <v>81</v>
      </c>
      <c r="AH127" s="23" t="s">
        <v>144</v>
      </c>
    </row>
    <row r="128" spans="1:34" ht="25.5">
      <c r="A128" s="6" t="s">
        <v>145</v>
      </c>
      <c r="B128" s="360"/>
      <c r="C128" s="362"/>
      <c r="D128" s="5" t="s">
        <v>128</v>
      </c>
      <c r="E128" s="5" t="s">
        <v>128</v>
      </c>
      <c r="F128" s="5" t="s">
        <v>128</v>
      </c>
      <c r="G128" s="5" t="s">
        <v>128</v>
      </c>
      <c r="H128" s="5" t="s">
        <v>125</v>
      </c>
      <c r="I128" s="5" t="s">
        <v>146</v>
      </c>
      <c r="J128" s="5" t="s">
        <v>127</v>
      </c>
      <c r="K128" s="181" t="s">
        <v>53</v>
      </c>
      <c r="L128" s="23" t="s">
        <v>53</v>
      </c>
      <c r="M128" s="22"/>
      <c r="N128" s="356"/>
      <c r="O128" s="358"/>
      <c r="P128" s="5" t="s">
        <v>128</v>
      </c>
      <c r="Q128" s="5" t="s">
        <v>128</v>
      </c>
      <c r="R128" s="5" t="s">
        <v>128</v>
      </c>
      <c r="S128" s="5" t="s">
        <v>128</v>
      </c>
      <c r="T128" s="5" t="s">
        <v>125</v>
      </c>
      <c r="U128" s="5" t="s">
        <v>146</v>
      </c>
      <c r="V128" s="5" t="s">
        <v>127</v>
      </c>
      <c r="W128" s="181" t="s">
        <v>53</v>
      </c>
      <c r="X128" s="23" t="s">
        <v>53</v>
      </c>
      <c r="Y128" s="22"/>
      <c r="Z128" s="33" t="s">
        <v>128</v>
      </c>
      <c r="AA128" s="5" t="s">
        <v>128</v>
      </c>
      <c r="AB128" s="5" t="s">
        <v>128</v>
      </c>
      <c r="AC128" s="5" t="s">
        <v>128</v>
      </c>
      <c r="AD128" s="5" t="s">
        <v>125</v>
      </c>
      <c r="AE128" s="5" t="s">
        <v>146</v>
      </c>
      <c r="AF128" s="5" t="s">
        <v>127</v>
      </c>
      <c r="AG128" s="181" t="s">
        <v>53</v>
      </c>
      <c r="AH128" s="23" t="s">
        <v>53</v>
      </c>
    </row>
    <row r="129" spans="1:34" ht="39" thickBot="1">
      <c r="A129" s="7" t="s">
        <v>147</v>
      </c>
      <c r="B129" s="8" t="s">
        <v>173</v>
      </c>
      <c r="C129" s="9" t="s">
        <v>174</v>
      </c>
      <c r="D129" s="9" t="s">
        <v>181</v>
      </c>
      <c r="E129" s="9" t="s">
        <v>182</v>
      </c>
      <c r="F129" s="9" t="s">
        <v>183</v>
      </c>
      <c r="G129" s="9" t="s">
        <v>175</v>
      </c>
      <c r="H129" s="9" t="s">
        <v>176</v>
      </c>
      <c r="I129" s="24" t="s">
        <v>155</v>
      </c>
      <c r="J129" s="24" t="s">
        <v>156</v>
      </c>
      <c r="K129" s="24" t="s">
        <v>179</v>
      </c>
      <c r="L129" s="25" t="s">
        <v>177</v>
      </c>
      <c r="M129" s="22"/>
      <c r="N129" s="8" t="s">
        <v>173</v>
      </c>
      <c r="O129" s="9" t="s">
        <v>174</v>
      </c>
      <c r="P129" s="9" t="s">
        <v>181</v>
      </c>
      <c r="Q129" s="9" t="s">
        <v>182</v>
      </c>
      <c r="R129" s="9" t="s">
        <v>183</v>
      </c>
      <c r="S129" s="9" t="s">
        <v>175</v>
      </c>
      <c r="T129" s="9" t="s">
        <v>176</v>
      </c>
      <c r="U129" s="24" t="s">
        <v>155</v>
      </c>
      <c r="V129" s="24" t="s">
        <v>156</v>
      </c>
      <c r="W129" s="24" t="s">
        <v>179</v>
      </c>
      <c r="X129" s="25" t="s">
        <v>177</v>
      </c>
      <c r="Y129" s="22"/>
      <c r="Z129" s="9" t="s">
        <v>181</v>
      </c>
      <c r="AA129" s="9" t="s">
        <v>182</v>
      </c>
      <c r="AB129" s="9" t="s">
        <v>183</v>
      </c>
      <c r="AC129" s="9" t="s">
        <v>175</v>
      </c>
      <c r="AD129" s="9" t="s">
        <v>176</v>
      </c>
      <c r="AE129" s="24" t="s">
        <v>155</v>
      </c>
      <c r="AF129" s="24" t="s">
        <v>156</v>
      </c>
      <c r="AG129" s="24" t="s">
        <v>179</v>
      </c>
      <c r="AH129" s="25" t="s">
        <v>177</v>
      </c>
    </row>
    <row r="130" spans="1:34">
      <c r="A130" s="10">
        <f>AF125+0</f>
        <v>46082</v>
      </c>
      <c r="B130" s="11" t="s">
        <v>35</v>
      </c>
      <c r="C130" s="12" t="s">
        <v>35</v>
      </c>
      <c r="D130" s="12" t="s">
        <v>35</v>
      </c>
      <c r="E130" s="13" t="s">
        <v>35</v>
      </c>
      <c r="F130" s="12" t="s">
        <v>35</v>
      </c>
      <c r="G130" s="12" t="s">
        <v>35</v>
      </c>
      <c r="H130" s="12" t="s">
        <v>35</v>
      </c>
      <c r="I130" s="12" t="s">
        <v>35</v>
      </c>
      <c r="J130" s="13" t="s">
        <v>35</v>
      </c>
      <c r="K130" s="195" t="s">
        <v>35</v>
      </c>
      <c r="L130" s="26" t="s">
        <v>35</v>
      </c>
      <c r="M130" s="22"/>
      <c r="N130" s="29" t="s">
        <v>35</v>
      </c>
      <c r="O130" s="13" t="s">
        <v>35</v>
      </c>
      <c r="P130" s="28">
        <v>15.68</v>
      </c>
      <c r="Q130" s="28">
        <v>23.91</v>
      </c>
      <c r="R130" s="28">
        <v>42.77</v>
      </c>
      <c r="S130" s="28">
        <v>55.3</v>
      </c>
      <c r="T130" s="62">
        <v>327</v>
      </c>
      <c r="U130" s="28">
        <v>8.6</v>
      </c>
      <c r="V130" s="28">
        <v>1</v>
      </c>
      <c r="W130" s="184">
        <v>2.15</v>
      </c>
      <c r="X130" s="34">
        <v>2.29</v>
      </c>
      <c r="Y130" s="22"/>
      <c r="Z130" s="38" t="s">
        <v>35</v>
      </c>
      <c r="AA130" s="13" t="s">
        <v>35</v>
      </c>
      <c r="AB130" s="13" t="s">
        <v>35</v>
      </c>
      <c r="AC130" s="13" t="s">
        <v>35</v>
      </c>
      <c r="AD130" s="36" t="s">
        <v>35</v>
      </c>
      <c r="AE130" s="13" t="s">
        <v>35</v>
      </c>
      <c r="AF130" s="13" t="s">
        <v>35</v>
      </c>
      <c r="AG130" s="13" t="s">
        <v>35</v>
      </c>
      <c r="AH130" s="37" t="s">
        <v>35</v>
      </c>
    </row>
    <row r="131" spans="1:34">
      <c r="A131" s="14">
        <f t="shared" ref="A131:A160" si="63">A130+1</f>
        <v>46083</v>
      </c>
      <c r="B131" s="11" t="s">
        <v>35</v>
      </c>
      <c r="C131" s="12" t="s">
        <v>35</v>
      </c>
      <c r="D131" s="12" t="s">
        <v>35</v>
      </c>
      <c r="E131" s="13" t="s">
        <v>35</v>
      </c>
      <c r="F131" s="12" t="s">
        <v>35</v>
      </c>
      <c r="G131" s="12" t="s">
        <v>35</v>
      </c>
      <c r="H131" s="12" t="s">
        <v>35</v>
      </c>
      <c r="I131" s="12" t="s">
        <v>35</v>
      </c>
      <c r="J131" s="13" t="s">
        <v>35</v>
      </c>
      <c r="K131" s="195" t="s">
        <v>35</v>
      </c>
      <c r="L131" s="26" t="s">
        <v>35</v>
      </c>
      <c r="M131" s="22"/>
      <c r="N131" s="29" t="s">
        <v>35</v>
      </c>
      <c r="O131" s="13" t="s">
        <v>35</v>
      </c>
      <c r="P131" s="13">
        <v>13.42</v>
      </c>
      <c r="Q131" s="13">
        <v>23.22</v>
      </c>
      <c r="R131" s="13">
        <v>38.79</v>
      </c>
      <c r="S131" s="13">
        <v>50.4</v>
      </c>
      <c r="T131" s="36">
        <v>367</v>
      </c>
      <c r="U131" s="13">
        <v>12.92</v>
      </c>
      <c r="V131" s="13">
        <v>0.5</v>
      </c>
      <c r="W131" s="184">
        <v>2.34</v>
      </c>
      <c r="X131" s="37">
        <v>2.42</v>
      </c>
      <c r="Y131" s="22"/>
      <c r="Z131" s="38" t="s">
        <v>35</v>
      </c>
      <c r="AA131" s="13" t="s">
        <v>35</v>
      </c>
      <c r="AB131" s="13" t="s">
        <v>35</v>
      </c>
      <c r="AC131" s="13" t="s">
        <v>35</v>
      </c>
      <c r="AD131" s="36" t="s">
        <v>35</v>
      </c>
      <c r="AE131" s="13" t="s">
        <v>35</v>
      </c>
      <c r="AF131" s="13" t="s">
        <v>35</v>
      </c>
      <c r="AG131" s="13" t="s">
        <v>35</v>
      </c>
      <c r="AH131" s="37" t="s">
        <v>35</v>
      </c>
    </row>
    <row r="132" spans="1:34">
      <c r="A132" s="14">
        <f t="shared" si="63"/>
        <v>46084</v>
      </c>
      <c r="B132" s="11" t="s">
        <v>35</v>
      </c>
      <c r="C132" s="12" t="s">
        <v>35</v>
      </c>
      <c r="D132" s="12" t="s">
        <v>35</v>
      </c>
      <c r="E132" s="13" t="s">
        <v>35</v>
      </c>
      <c r="F132" s="12" t="s">
        <v>35</v>
      </c>
      <c r="G132" s="12" t="s">
        <v>35</v>
      </c>
      <c r="H132" s="12" t="s">
        <v>35</v>
      </c>
      <c r="I132" s="12" t="s">
        <v>35</v>
      </c>
      <c r="J132" s="13" t="s">
        <v>35</v>
      </c>
      <c r="K132" s="195" t="s">
        <v>35</v>
      </c>
      <c r="L132" s="26" t="s">
        <v>35</v>
      </c>
      <c r="M132" s="22"/>
      <c r="N132" s="38" t="s">
        <v>35</v>
      </c>
      <c r="O132" s="50" t="s">
        <v>35</v>
      </c>
      <c r="P132" s="13" t="s">
        <v>35</v>
      </c>
      <c r="Q132" s="13" t="s">
        <v>35</v>
      </c>
      <c r="R132" s="13" t="s">
        <v>35</v>
      </c>
      <c r="S132" s="13" t="s">
        <v>35</v>
      </c>
      <c r="T132" s="36" t="s">
        <v>35</v>
      </c>
      <c r="U132" s="13" t="s">
        <v>35</v>
      </c>
      <c r="V132" s="13" t="s">
        <v>35</v>
      </c>
      <c r="W132" s="184"/>
      <c r="X132" s="37" t="s">
        <v>35</v>
      </c>
      <c r="Y132" s="22"/>
      <c r="Z132" s="38" t="s">
        <v>35</v>
      </c>
      <c r="AA132" s="13" t="s">
        <v>35</v>
      </c>
      <c r="AB132" s="13" t="s">
        <v>35</v>
      </c>
      <c r="AC132" s="13" t="s">
        <v>35</v>
      </c>
      <c r="AD132" s="36" t="s">
        <v>35</v>
      </c>
      <c r="AE132" s="13" t="s">
        <v>35</v>
      </c>
      <c r="AF132" s="13" t="s">
        <v>35</v>
      </c>
      <c r="AG132" s="13" t="s">
        <v>35</v>
      </c>
      <c r="AH132" s="37" t="s">
        <v>35</v>
      </c>
    </row>
    <row r="133" spans="1:34">
      <c r="A133" s="14">
        <f t="shared" si="63"/>
        <v>46085</v>
      </c>
      <c r="B133" s="11" t="s">
        <v>35</v>
      </c>
      <c r="C133" s="12" t="s">
        <v>35</v>
      </c>
      <c r="D133" s="12" t="s">
        <v>35</v>
      </c>
      <c r="E133" s="13" t="s">
        <v>35</v>
      </c>
      <c r="F133" s="12" t="s">
        <v>35</v>
      </c>
      <c r="G133" s="12" t="s">
        <v>35</v>
      </c>
      <c r="H133" s="12" t="s">
        <v>35</v>
      </c>
      <c r="I133" s="12" t="s">
        <v>35</v>
      </c>
      <c r="J133" s="13" t="s">
        <v>35</v>
      </c>
      <c r="K133" s="195" t="s">
        <v>35</v>
      </c>
      <c r="L133" s="26" t="s">
        <v>35</v>
      </c>
      <c r="M133" s="22"/>
      <c r="N133" s="38" t="s">
        <v>35</v>
      </c>
      <c r="O133" s="50" t="s">
        <v>35</v>
      </c>
      <c r="P133" s="13">
        <v>13.2</v>
      </c>
      <c r="Q133" s="13">
        <v>24.12</v>
      </c>
      <c r="R133" s="13">
        <v>38.409999999999997</v>
      </c>
      <c r="S133" s="13">
        <v>50.63</v>
      </c>
      <c r="T133" s="36">
        <v>323</v>
      </c>
      <c r="U133" s="13">
        <v>16.12</v>
      </c>
      <c r="V133" s="13">
        <v>1</v>
      </c>
      <c r="W133" s="184">
        <v>1.58</v>
      </c>
      <c r="X133" s="37">
        <v>2.91</v>
      </c>
      <c r="Y133" s="22"/>
      <c r="Z133" s="38">
        <v>12.2</v>
      </c>
      <c r="AA133" s="13">
        <v>27.54</v>
      </c>
      <c r="AB133" s="13">
        <v>41.91</v>
      </c>
      <c r="AC133" s="13">
        <v>51.52</v>
      </c>
      <c r="AD133" s="36">
        <v>348</v>
      </c>
      <c r="AE133" s="13">
        <v>12.56</v>
      </c>
      <c r="AF133" s="13">
        <v>1.5</v>
      </c>
      <c r="AG133" s="184">
        <v>2.2999999999999998</v>
      </c>
      <c r="AH133" s="37">
        <v>1.48</v>
      </c>
    </row>
    <row r="134" spans="1:34">
      <c r="A134" s="14">
        <f t="shared" si="63"/>
        <v>46086</v>
      </c>
      <c r="B134" s="11" t="s">
        <v>35</v>
      </c>
      <c r="C134" s="12" t="s">
        <v>35</v>
      </c>
      <c r="D134" s="12" t="s">
        <v>35</v>
      </c>
      <c r="E134" s="13" t="s">
        <v>35</v>
      </c>
      <c r="F134" s="12" t="s">
        <v>35</v>
      </c>
      <c r="G134" s="12" t="s">
        <v>35</v>
      </c>
      <c r="H134" s="12" t="s">
        <v>35</v>
      </c>
      <c r="I134" s="12" t="s">
        <v>35</v>
      </c>
      <c r="J134" s="13" t="s">
        <v>35</v>
      </c>
      <c r="K134" s="195" t="s">
        <v>35</v>
      </c>
      <c r="L134" s="26" t="s">
        <v>35</v>
      </c>
      <c r="M134" s="22"/>
      <c r="N134" s="38" t="s">
        <v>35</v>
      </c>
      <c r="O134" s="50" t="s">
        <v>35</v>
      </c>
      <c r="P134" s="50" t="s">
        <v>35</v>
      </c>
      <c r="Q134" s="50" t="s">
        <v>35</v>
      </c>
      <c r="R134" s="50" t="s">
        <v>35</v>
      </c>
      <c r="S134" s="50" t="s">
        <v>35</v>
      </c>
      <c r="T134" s="50" t="s">
        <v>35</v>
      </c>
      <c r="U134" s="50" t="s">
        <v>35</v>
      </c>
      <c r="V134" s="50" t="s">
        <v>35</v>
      </c>
      <c r="W134" s="184"/>
      <c r="X134" s="37" t="s">
        <v>35</v>
      </c>
      <c r="Y134" s="22"/>
      <c r="Z134" s="38" t="s">
        <v>35</v>
      </c>
      <c r="AA134" s="13" t="s">
        <v>35</v>
      </c>
      <c r="AB134" s="13" t="s">
        <v>35</v>
      </c>
      <c r="AC134" s="13" t="s">
        <v>35</v>
      </c>
      <c r="AD134" s="36" t="s">
        <v>35</v>
      </c>
      <c r="AE134" s="13" t="s">
        <v>35</v>
      </c>
      <c r="AF134" s="13" t="s">
        <v>35</v>
      </c>
      <c r="AG134" s="13" t="s">
        <v>35</v>
      </c>
      <c r="AH134" s="37" t="s">
        <v>35</v>
      </c>
    </row>
    <row r="135" spans="1:34">
      <c r="A135" s="14">
        <f t="shared" si="63"/>
        <v>46087</v>
      </c>
      <c r="B135" s="11" t="s">
        <v>35</v>
      </c>
      <c r="C135" s="12" t="s">
        <v>35</v>
      </c>
      <c r="D135" s="12" t="s">
        <v>35</v>
      </c>
      <c r="E135" s="13" t="s">
        <v>35</v>
      </c>
      <c r="F135" s="12" t="s">
        <v>35</v>
      </c>
      <c r="G135" s="12" t="s">
        <v>35</v>
      </c>
      <c r="H135" s="12" t="s">
        <v>35</v>
      </c>
      <c r="I135" s="12" t="s">
        <v>35</v>
      </c>
      <c r="J135" s="13" t="s">
        <v>35</v>
      </c>
      <c r="K135" s="195" t="s">
        <v>35</v>
      </c>
      <c r="L135" s="26" t="s">
        <v>35</v>
      </c>
      <c r="M135" s="22"/>
      <c r="N135" s="38" t="s">
        <v>35</v>
      </c>
      <c r="O135" s="50" t="s">
        <v>35</v>
      </c>
      <c r="P135" s="50">
        <v>13.46</v>
      </c>
      <c r="Q135" s="50">
        <v>26.63</v>
      </c>
      <c r="R135" s="50">
        <v>40.450000000000003</v>
      </c>
      <c r="S135" s="50">
        <v>57.77</v>
      </c>
      <c r="T135" s="176">
        <v>307</v>
      </c>
      <c r="U135" s="50">
        <v>14.72</v>
      </c>
      <c r="V135" s="50">
        <v>0.5</v>
      </c>
      <c r="W135" s="184">
        <v>2.2200000000000002</v>
      </c>
      <c r="X135" s="37">
        <v>2.5099999999999998</v>
      </c>
      <c r="Y135" s="22"/>
      <c r="Z135" s="38" t="s">
        <v>35</v>
      </c>
      <c r="AA135" s="13" t="s">
        <v>35</v>
      </c>
      <c r="AB135" s="13" t="s">
        <v>35</v>
      </c>
      <c r="AC135" s="13" t="s">
        <v>35</v>
      </c>
      <c r="AD135" s="36" t="s">
        <v>35</v>
      </c>
      <c r="AE135" s="13" t="s">
        <v>35</v>
      </c>
      <c r="AF135" s="13" t="s">
        <v>35</v>
      </c>
      <c r="AG135" s="13" t="s">
        <v>35</v>
      </c>
      <c r="AH135" s="37" t="s">
        <v>35</v>
      </c>
    </row>
    <row r="136" spans="1:34">
      <c r="A136" s="14">
        <f t="shared" si="63"/>
        <v>46088</v>
      </c>
      <c r="B136" s="11" t="s">
        <v>35</v>
      </c>
      <c r="C136" s="12" t="s">
        <v>35</v>
      </c>
      <c r="D136" s="12" t="s">
        <v>35</v>
      </c>
      <c r="E136" s="13" t="s">
        <v>35</v>
      </c>
      <c r="F136" s="12" t="s">
        <v>35</v>
      </c>
      <c r="G136" s="12" t="s">
        <v>35</v>
      </c>
      <c r="H136" s="12" t="s">
        <v>35</v>
      </c>
      <c r="I136" s="12" t="s">
        <v>35</v>
      </c>
      <c r="J136" s="13" t="s">
        <v>35</v>
      </c>
      <c r="K136" s="195" t="s">
        <v>35</v>
      </c>
      <c r="L136" s="26" t="s">
        <v>35</v>
      </c>
      <c r="M136" s="22"/>
      <c r="N136" s="38" t="s">
        <v>35</v>
      </c>
      <c r="O136" s="50" t="s">
        <v>35</v>
      </c>
      <c r="P136" s="13">
        <v>13.47</v>
      </c>
      <c r="Q136" s="13">
        <v>24.19</v>
      </c>
      <c r="R136" s="13">
        <v>40.92</v>
      </c>
      <c r="S136" s="13">
        <v>51.2</v>
      </c>
      <c r="T136" s="36">
        <v>339</v>
      </c>
      <c r="U136" s="13">
        <v>15.2</v>
      </c>
      <c r="V136" s="13">
        <v>1.5</v>
      </c>
      <c r="W136" s="184">
        <v>2.04</v>
      </c>
      <c r="X136" s="51">
        <v>1.1200000000000001</v>
      </c>
      <c r="Y136" s="22"/>
      <c r="Z136" s="38" t="s">
        <v>35</v>
      </c>
      <c r="AA136" s="13" t="s">
        <v>35</v>
      </c>
      <c r="AB136" s="13" t="s">
        <v>35</v>
      </c>
      <c r="AC136" s="13" t="s">
        <v>35</v>
      </c>
      <c r="AD136" s="36" t="s">
        <v>35</v>
      </c>
      <c r="AE136" s="13" t="s">
        <v>35</v>
      </c>
      <c r="AF136" s="13" t="s">
        <v>35</v>
      </c>
      <c r="AG136" s="13" t="s">
        <v>35</v>
      </c>
      <c r="AH136" s="37" t="s">
        <v>35</v>
      </c>
    </row>
    <row r="137" spans="1:34">
      <c r="A137" s="14">
        <f t="shared" si="63"/>
        <v>46089</v>
      </c>
      <c r="B137" s="11" t="s">
        <v>35</v>
      </c>
      <c r="C137" s="12" t="s">
        <v>35</v>
      </c>
      <c r="D137" s="12" t="s">
        <v>35</v>
      </c>
      <c r="E137" s="13" t="s">
        <v>35</v>
      </c>
      <c r="F137" s="12" t="s">
        <v>35</v>
      </c>
      <c r="G137" s="12" t="s">
        <v>35</v>
      </c>
      <c r="H137" s="12" t="s">
        <v>35</v>
      </c>
      <c r="I137" s="12" t="s">
        <v>35</v>
      </c>
      <c r="J137" s="13" t="s">
        <v>35</v>
      </c>
      <c r="K137" s="195" t="s">
        <v>35</v>
      </c>
      <c r="L137" s="26" t="s">
        <v>35</v>
      </c>
      <c r="M137" s="22"/>
      <c r="N137" s="38" t="s">
        <v>35</v>
      </c>
      <c r="O137" s="50" t="s">
        <v>35</v>
      </c>
      <c r="P137" s="13">
        <v>13.65</v>
      </c>
      <c r="Q137" s="13">
        <v>24.89</v>
      </c>
      <c r="R137" s="13">
        <v>44.08</v>
      </c>
      <c r="S137" s="13">
        <v>52.35</v>
      </c>
      <c r="T137" s="36">
        <v>309</v>
      </c>
      <c r="U137" s="13">
        <v>12.84</v>
      </c>
      <c r="V137" s="13">
        <v>0.5</v>
      </c>
      <c r="W137" s="184">
        <v>2.0390000000000001</v>
      </c>
      <c r="X137" s="37">
        <v>1.37</v>
      </c>
      <c r="Y137" s="22"/>
      <c r="Z137" s="38" t="s">
        <v>35</v>
      </c>
      <c r="AA137" s="13" t="s">
        <v>35</v>
      </c>
      <c r="AB137" s="13" t="s">
        <v>35</v>
      </c>
      <c r="AC137" s="13" t="s">
        <v>35</v>
      </c>
      <c r="AD137" s="36" t="s">
        <v>35</v>
      </c>
      <c r="AE137" s="13" t="s">
        <v>35</v>
      </c>
      <c r="AF137" s="13" t="s">
        <v>35</v>
      </c>
      <c r="AG137" s="13" t="s">
        <v>35</v>
      </c>
      <c r="AH137" s="37" t="s">
        <v>35</v>
      </c>
    </row>
    <row r="138" spans="1:34">
      <c r="A138" s="14">
        <f t="shared" si="63"/>
        <v>46090</v>
      </c>
      <c r="B138" s="11" t="s">
        <v>35</v>
      </c>
      <c r="C138" s="12" t="s">
        <v>35</v>
      </c>
      <c r="D138" s="12" t="s">
        <v>35</v>
      </c>
      <c r="E138" s="13" t="s">
        <v>35</v>
      </c>
      <c r="F138" s="12" t="s">
        <v>35</v>
      </c>
      <c r="G138" s="12" t="s">
        <v>35</v>
      </c>
      <c r="H138" s="12" t="s">
        <v>35</v>
      </c>
      <c r="I138" s="12" t="s">
        <v>35</v>
      </c>
      <c r="J138" s="13" t="s">
        <v>35</v>
      </c>
      <c r="K138" s="195" t="s">
        <v>35</v>
      </c>
      <c r="L138" s="26" t="s">
        <v>35</v>
      </c>
      <c r="M138" s="22"/>
      <c r="N138" s="38" t="s">
        <v>35</v>
      </c>
      <c r="O138" s="50" t="s">
        <v>35</v>
      </c>
      <c r="P138" s="13">
        <v>14.29</v>
      </c>
      <c r="Q138" s="13">
        <v>24.71</v>
      </c>
      <c r="R138" s="13">
        <v>43.64</v>
      </c>
      <c r="S138" s="13">
        <v>52.82</v>
      </c>
      <c r="T138" s="36">
        <v>368</v>
      </c>
      <c r="U138" s="13">
        <v>13.2</v>
      </c>
      <c r="V138" s="13">
        <v>0.5</v>
      </c>
      <c r="W138" s="184">
        <v>2.1800000000000002</v>
      </c>
      <c r="X138" s="37">
        <v>1.33</v>
      </c>
      <c r="Y138" s="22"/>
      <c r="Z138" s="38" t="s">
        <v>35</v>
      </c>
      <c r="AA138" s="13" t="s">
        <v>35</v>
      </c>
      <c r="AB138" s="13" t="s">
        <v>35</v>
      </c>
      <c r="AC138" s="13" t="s">
        <v>35</v>
      </c>
      <c r="AD138" s="36" t="s">
        <v>35</v>
      </c>
      <c r="AE138" s="13" t="s">
        <v>35</v>
      </c>
      <c r="AF138" s="13" t="s">
        <v>35</v>
      </c>
      <c r="AG138" s="13" t="s">
        <v>35</v>
      </c>
      <c r="AH138" s="37" t="s">
        <v>35</v>
      </c>
    </row>
    <row r="139" spans="1:34">
      <c r="A139" s="14">
        <f t="shared" si="63"/>
        <v>46091</v>
      </c>
      <c r="B139" s="11" t="s">
        <v>35</v>
      </c>
      <c r="C139" s="12" t="s">
        <v>35</v>
      </c>
      <c r="D139" s="12" t="s">
        <v>35</v>
      </c>
      <c r="E139" s="13" t="s">
        <v>35</v>
      </c>
      <c r="F139" s="12" t="s">
        <v>35</v>
      </c>
      <c r="G139" s="12" t="s">
        <v>35</v>
      </c>
      <c r="H139" s="12" t="s">
        <v>35</v>
      </c>
      <c r="I139" s="12" t="s">
        <v>35</v>
      </c>
      <c r="J139" s="13" t="s">
        <v>35</v>
      </c>
      <c r="K139" s="195" t="s">
        <v>35</v>
      </c>
      <c r="L139" s="26" t="s">
        <v>35</v>
      </c>
      <c r="M139" s="22"/>
      <c r="N139" s="38" t="s">
        <v>35</v>
      </c>
      <c r="O139" s="50" t="s">
        <v>35</v>
      </c>
      <c r="P139" s="13">
        <v>14.8</v>
      </c>
      <c r="Q139" s="13">
        <v>25.06</v>
      </c>
      <c r="R139" s="13">
        <v>41.34</v>
      </c>
      <c r="S139" s="13">
        <v>51.35</v>
      </c>
      <c r="T139" s="36">
        <v>309</v>
      </c>
      <c r="U139" s="13">
        <v>13.36</v>
      </c>
      <c r="V139" s="13">
        <v>0.5</v>
      </c>
      <c r="W139" s="184">
        <v>2.31</v>
      </c>
      <c r="X139" s="51">
        <v>2.75</v>
      </c>
      <c r="Y139" s="22"/>
      <c r="Z139" s="38" t="s">
        <v>35</v>
      </c>
      <c r="AA139" s="13" t="s">
        <v>35</v>
      </c>
      <c r="AB139" s="13" t="s">
        <v>35</v>
      </c>
      <c r="AC139" s="13" t="s">
        <v>35</v>
      </c>
      <c r="AD139" s="36" t="s">
        <v>35</v>
      </c>
      <c r="AE139" s="13" t="s">
        <v>35</v>
      </c>
      <c r="AF139" s="13" t="s">
        <v>35</v>
      </c>
      <c r="AG139" s="13" t="s">
        <v>35</v>
      </c>
      <c r="AH139" s="37" t="s">
        <v>35</v>
      </c>
    </row>
    <row r="140" spans="1:34">
      <c r="A140" s="14">
        <f t="shared" si="63"/>
        <v>46092</v>
      </c>
      <c r="B140" s="11" t="s">
        <v>35</v>
      </c>
      <c r="C140" s="12" t="s">
        <v>35</v>
      </c>
      <c r="D140" s="12" t="s">
        <v>35</v>
      </c>
      <c r="E140" s="13" t="s">
        <v>35</v>
      </c>
      <c r="F140" s="12" t="s">
        <v>35</v>
      </c>
      <c r="G140" s="12" t="s">
        <v>35</v>
      </c>
      <c r="H140" s="12" t="s">
        <v>35</v>
      </c>
      <c r="I140" s="12" t="s">
        <v>35</v>
      </c>
      <c r="J140" s="13" t="s">
        <v>35</v>
      </c>
      <c r="K140" s="195" t="s">
        <v>35</v>
      </c>
      <c r="L140" s="26" t="s">
        <v>35</v>
      </c>
      <c r="M140" s="22"/>
      <c r="N140" s="38" t="s">
        <v>35</v>
      </c>
      <c r="O140" s="50" t="s">
        <v>35</v>
      </c>
      <c r="P140" s="13">
        <v>13.07</v>
      </c>
      <c r="Q140" s="13">
        <v>24.11</v>
      </c>
      <c r="R140" s="13">
        <v>39.340000000000003</v>
      </c>
      <c r="S140" s="13">
        <v>50</v>
      </c>
      <c r="T140" s="36">
        <v>329</v>
      </c>
      <c r="U140" s="13">
        <v>10.36</v>
      </c>
      <c r="V140" s="13">
        <v>91</v>
      </c>
      <c r="W140" s="184">
        <v>2.25</v>
      </c>
      <c r="X140" s="51">
        <v>2.78</v>
      </c>
      <c r="Y140" s="22"/>
      <c r="Z140" s="38" t="s">
        <v>35</v>
      </c>
      <c r="AA140" s="13" t="s">
        <v>35</v>
      </c>
      <c r="AB140" s="13" t="s">
        <v>35</v>
      </c>
      <c r="AC140" s="13" t="s">
        <v>35</v>
      </c>
      <c r="AD140" s="36" t="s">
        <v>35</v>
      </c>
      <c r="AE140" s="13" t="s">
        <v>35</v>
      </c>
      <c r="AF140" s="13" t="s">
        <v>35</v>
      </c>
      <c r="AG140" s="13" t="s">
        <v>35</v>
      </c>
      <c r="AH140" s="37" t="s">
        <v>35</v>
      </c>
    </row>
    <row r="141" spans="1:34">
      <c r="A141" s="14">
        <f t="shared" si="63"/>
        <v>46093</v>
      </c>
      <c r="B141" s="11" t="s">
        <v>35</v>
      </c>
      <c r="C141" s="12" t="s">
        <v>35</v>
      </c>
      <c r="D141" s="12" t="s">
        <v>35</v>
      </c>
      <c r="E141" s="13" t="s">
        <v>35</v>
      </c>
      <c r="F141" s="12" t="s">
        <v>35</v>
      </c>
      <c r="G141" s="12" t="s">
        <v>35</v>
      </c>
      <c r="H141" s="12" t="s">
        <v>35</v>
      </c>
      <c r="I141" s="12" t="s">
        <v>35</v>
      </c>
      <c r="J141" s="13" t="s">
        <v>35</v>
      </c>
      <c r="K141" s="195" t="s">
        <v>35</v>
      </c>
      <c r="L141" s="26" t="s">
        <v>35</v>
      </c>
      <c r="M141" s="22"/>
      <c r="N141" s="38" t="s">
        <v>35</v>
      </c>
      <c r="O141" s="50" t="s">
        <v>35</v>
      </c>
      <c r="P141" s="13" t="s">
        <v>35</v>
      </c>
      <c r="Q141" s="13" t="s">
        <v>35</v>
      </c>
      <c r="R141" s="13" t="s">
        <v>35</v>
      </c>
      <c r="S141" s="13" t="s">
        <v>35</v>
      </c>
      <c r="T141" s="36" t="s">
        <v>35</v>
      </c>
      <c r="U141" s="13" t="s">
        <v>35</v>
      </c>
      <c r="V141" s="13" t="s">
        <v>35</v>
      </c>
      <c r="W141" s="13" t="s">
        <v>35</v>
      </c>
      <c r="X141" s="51" t="s">
        <v>35</v>
      </c>
      <c r="Y141" s="22"/>
      <c r="Z141" s="38">
        <v>13.84</v>
      </c>
      <c r="AA141" s="13">
        <v>23.39</v>
      </c>
      <c r="AB141" s="13">
        <v>40.71</v>
      </c>
      <c r="AC141" s="13">
        <v>55.32</v>
      </c>
      <c r="AD141" s="36">
        <v>283</v>
      </c>
      <c r="AE141" s="13">
        <v>13.44</v>
      </c>
      <c r="AF141" s="13">
        <v>0.5</v>
      </c>
      <c r="AG141" s="184">
        <v>2.2999999999999998</v>
      </c>
      <c r="AH141" s="37">
        <v>2.75</v>
      </c>
    </row>
    <row r="142" spans="1:34">
      <c r="A142" s="14">
        <f t="shared" si="63"/>
        <v>46094</v>
      </c>
      <c r="B142" s="11" t="s">
        <v>35</v>
      </c>
      <c r="C142" s="12" t="s">
        <v>35</v>
      </c>
      <c r="D142" s="12" t="s">
        <v>35</v>
      </c>
      <c r="E142" s="13" t="s">
        <v>35</v>
      </c>
      <c r="F142" s="12" t="s">
        <v>35</v>
      </c>
      <c r="G142" s="12" t="s">
        <v>35</v>
      </c>
      <c r="H142" s="12" t="s">
        <v>35</v>
      </c>
      <c r="I142" s="12" t="s">
        <v>35</v>
      </c>
      <c r="J142" s="13" t="s">
        <v>35</v>
      </c>
      <c r="K142" s="195" t="s">
        <v>35</v>
      </c>
      <c r="L142" s="26" t="s">
        <v>35</v>
      </c>
      <c r="M142" s="22"/>
      <c r="N142" s="38" t="s">
        <v>35</v>
      </c>
      <c r="O142" s="50" t="s">
        <v>35</v>
      </c>
      <c r="P142" s="13">
        <v>13.04</v>
      </c>
      <c r="Q142" s="13">
        <v>24.78</v>
      </c>
      <c r="R142" s="13">
        <v>41.03</v>
      </c>
      <c r="S142" s="13">
        <v>58.76</v>
      </c>
      <c r="T142" s="36">
        <v>272</v>
      </c>
      <c r="U142" s="13">
        <v>12.6</v>
      </c>
      <c r="V142" s="13">
        <v>1</v>
      </c>
      <c r="W142" s="184">
        <v>2.0299999999999998</v>
      </c>
      <c r="X142" s="51">
        <v>1.74</v>
      </c>
      <c r="Y142" s="22"/>
      <c r="Z142" s="38" t="s">
        <v>35</v>
      </c>
      <c r="AA142" s="13" t="s">
        <v>35</v>
      </c>
      <c r="AB142" s="13" t="s">
        <v>35</v>
      </c>
      <c r="AC142" s="13" t="s">
        <v>35</v>
      </c>
      <c r="AD142" s="36" t="s">
        <v>35</v>
      </c>
      <c r="AE142" s="13" t="s">
        <v>35</v>
      </c>
      <c r="AF142" s="13" t="s">
        <v>35</v>
      </c>
      <c r="AG142" s="13" t="s">
        <v>35</v>
      </c>
      <c r="AH142" s="37" t="s">
        <v>35</v>
      </c>
    </row>
    <row r="143" spans="1:34">
      <c r="A143" s="14">
        <f t="shared" si="63"/>
        <v>46095</v>
      </c>
      <c r="B143" s="11" t="s">
        <v>35</v>
      </c>
      <c r="C143" s="12" t="s">
        <v>35</v>
      </c>
      <c r="D143" s="12" t="s">
        <v>35</v>
      </c>
      <c r="E143" s="13" t="s">
        <v>35</v>
      </c>
      <c r="F143" s="12" t="s">
        <v>35</v>
      </c>
      <c r="G143" s="12" t="s">
        <v>35</v>
      </c>
      <c r="H143" s="12" t="s">
        <v>35</v>
      </c>
      <c r="I143" s="12" t="s">
        <v>35</v>
      </c>
      <c r="J143" s="13" t="s">
        <v>35</v>
      </c>
      <c r="K143" s="195" t="s">
        <v>35</v>
      </c>
      <c r="L143" s="26" t="s">
        <v>35</v>
      </c>
      <c r="M143" s="22"/>
      <c r="N143" s="38" t="s">
        <v>35</v>
      </c>
      <c r="O143" s="50" t="s">
        <v>35</v>
      </c>
      <c r="P143" s="13">
        <v>14.2</v>
      </c>
      <c r="Q143" s="13">
        <v>25.21</v>
      </c>
      <c r="R143" s="13">
        <v>40.36</v>
      </c>
      <c r="S143" s="13">
        <v>58.24</v>
      </c>
      <c r="T143" s="36">
        <v>288</v>
      </c>
      <c r="U143" s="13">
        <v>13.6</v>
      </c>
      <c r="V143" s="13">
        <v>1</v>
      </c>
      <c r="W143" s="184">
        <v>1</v>
      </c>
      <c r="X143" s="51">
        <v>2.5299999999999998</v>
      </c>
      <c r="Y143" s="22"/>
      <c r="Z143" s="38">
        <v>14.81</v>
      </c>
      <c r="AA143" s="13">
        <v>28.28</v>
      </c>
      <c r="AB143" s="13">
        <v>41.3</v>
      </c>
      <c r="AC143" s="13">
        <v>58.14</v>
      </c>
      <c r="AD143" s="36">
        <v>305</v>
      </c>
      <c r="AE143" s="13">
        <v>12.4</v>
      </c>
      <c r="AF143" s="13">
        <v>1.5</v>
      </c>
      <c r="AG143" s="184">
        <v>2.2999999999999998</v>
      </c>
      <c r="AH143" s="37">
        <v>2.38</v>
      </c>
    </row>
    <row r="144" spans="1:34">
      <c r="A144" s="14">
        <f t="shared" si="63"/>
        <v>46096</v>
      </c>
      <c r="B144" s="11" t="s">
        <v>35</v>
      </c>
      <c r="C144" s="12" t="s">
        <v>35</v>
      </c>
      <c r="D144" s="12" t="s">
        <v>35</v>
      </c>
      <c r="E144" s="13" t="s">
        <v>35</v>
      </c>
      <c r="F144" s="12" t="s">
        <v>35</v>
      </c>
      <c r="G144" s="12" t="s">
        <v>35</v>
      </c>
      <c r="H144" s="12" t="s">
        <v>35</v>
      </c>
      <c r="I144" s="12" t="s">
        <v>35</v>
      </c>
      <c r="J144" s="13" t="s">
        <v>35</v>
      </c>
      <c r="K144" s="195" t="s">
        <v>35</v>
      </c>
      <c r="L144" s="26" t="s">
        <v>35</v>
      </c>
      <c r="M144" s="22"/>
      <c r="N144" s="38" t="s">
        <v>35</v>
      </c>
      <c r="O144" s="50" t="s">
        <v>35</v>
      </c>
      <c r="P144" s="13">
        <v>14.88</v>
      </c>
      <c r="Q144" s="13">
        <v>23.85</v>
      </c>
      <c r="R144" s="13">
        <v>44.51</v>
      </c>
      <c r="S144" s="13">
        <v>60.66</v>
      </c>
      <c r="T144" s="36">
        <v>278</v>
      </c>
      <c r="U144" s="13">
        <v>14.24</v>
      </c>
      <c r="V144" s="13">
        <v>0.5</v>
      </c>
      <c r="W144" s="184">
        <v>2.1080000000000001</v>
      </c>
      <c r="X144" s="37">
        <v>2.25</v>
      </c>
      <c r="Y144" s="22"/>
      <c r="Z144" s="38" t="s">
        <v>35</v>
      </c>
      <c r="AA144" s="13" t="s">
        <v>35</v>
      </c>
      <c r="AB144" s="13" t="s">
        <v>35</v>
      </c>
      <c r="AC144" s="13" t="s">
        <v>35</v>
      </c>
      <c r="AD144" s="13" t="s">
        <v>35</v>
      </c>
      <c r="AE144" s="13" t="s">
        <v>35</v>
      </c>
      <c r="AF144" s="13" t="s">
        <v>35</v>
      </c>
      <c r="AG144" s="13" t="s">
        <v>35</v>
      </c>
      <c r="AH144" s="37" t="s">
        <v>35</v>
      </c>
    </row>
    <row r="145" spans="1:34">
      <c r="A145" s="14">
        <f t="shared" si="63"/>
        <v>46097</v>
      </c>
      <c r="B145" s="11" t="s">
        <v>35</v>
      </c>
      <c r="C145" s="12" t="s">
        <v>35</v>
      </c>
      <c r="D145" s="12" t="s">
        <v>35</v>
      </c>
      <c r="E145" s="13" t="s">
        <v>35</v>
      </c>
      <c r="F145" s="12" t="s">
        <v>35</v>
      </c>
      <c r="G145" s="12" t="s">
        <v>35</v>
      </c>
      <c r="H145" s="12" t="s">
        <v>35</v>
      </c>
      <c r="I145" s="12" t="s">
        <v>35</v>
      </c>
      <c r="J145" s="13" t="s">
        <v>35</v>
      </c>
      <c r="K145" s="195" t="s">
        <v>35</v>
      </c>
      <c r="L145" s="26" t="s">
        <v>35</v>
      </c>
      <c r="M145" s="22"/>
      <c r="N145" s="29" t="s">
        <v>35</v>
      </c>
      <c r="O145" s="50" t="s">
        <v>35</v>
      </c>
      <c r="P145" s="13" t="s">
        <v>35</v>
      </c>
      <c r="Q145" s="13" t="s">
        <v>35</v>
      </c>
      <c r="R145" s="13" t="s">
        <v>35</v>
      </c>
      <c r="S145" s="13" t="s">
        <v>35</v>
      </c>
      <c r="T145" s="36" t="s">
        <v>35</v>
      </c>
      <c r="U145" s="13" t="s">
        <v>35</v>
      </c>
      <c r="V145" s="13" t="s">
        <v>35</v>
      </c>
      <c r="W145" s="13" t="s">
        <v>35</v>
      </c>
      <c r="X145" s="51" t="s">
        <v>35</v>
      </c>
      <c r="Y145" s="22"/>
      <c r="Z145" s="38" t="s">
        <v>35</v>
      </c>
      <c r="AA145" s="13" t="s">
        <v>35</v>
      </c>
      <c r="AB145" s="13" t="s">
        <v>35</v>
      </c>
      <c r="AC145" s="13" t="s">
        <v>35</v>
      </c>
      <c r="AD145" s="13" t="s">
        <v>35</v>
      </c>
      <c r="AE145" s="13" t="s">
        <v>35</v>
      </c>
      <c r="AF145" s="13" t="s">
        <v>35</v>
      </c>
      <c r="AG145" s="13" t="s">
        <v>35</v>
      </c>
      <c r="AH145" s="37" t="s">
        <v>35</v>
      </c>
    </row>
    <row r="146" spans="1:34">
      <c r="A146" s="14">
        <f t="shared" si="63"/>
        <v>46098</v>
      </c>
      <c r="B146" s="11" t="s">
        <v>35</v>
      </c>
      <c r="C146" s="12" t="s">
        <v>35</v>
      </c>
      <c r="D146" s="12" t="s">
        <v>35</v>
      </c>
      <c r="E146" s="13" t="s">
        <v>35</v>
      </c>
      <c r="F146" s="12" t="s">
        <v>35</v>
      </c>
      <c r="G146" s="12" t="s">
        <v>35</v>
      </c>
      <c r="H146" s="12" t="s">
        <v>35</v>
      </c>
      <c r="I146" s="12" t="s">
        <v>35</v>
      </c>
      <c r="J146" s="13" t="s">
        <v>35</v>
      </c>
      <c r="K146" s="195" t="s">
        <v>35</v>
      </c>
      <c r="L146" s="26" t="s">
        <v>35</v>
      </c>
      <c r="M146" s="22"/>
      <c r="N146" s="29" t="s">
        <v>35</v>
      </c>
      <c r="O146" s="50" t="s">
        <v>35</v>
      </c>
      <c r="P146" s="13">
        <v>15.55</v>
      </c>
      <c r="Q146" s="13">
        <v>25.95</v>
      </c>
      <c r="R146" s="13">
        <v>37.33</v>
      </c>
      <c r="S146" s="13">
        <v>50.43</v>
      </c>
      <c r="T146" s="36">
        <v>280</v>
      </c>
      <c r="U146" s="13">
        <v>13.2</v>
      </c>
      <c r="V146" s="13">
        <v>1</v>
      </c>
      <c r="W146" s="184">
        <v>2.1</v>
      </c>
      <c r="X146" s="37">
        <v>2.2999999999999998</v>
      </c>
      <c r="Y146" s="22"/>
      <c r="Z146" s="38" t="s">
        <v>35</v>
      </c>
      <c r="AA146" s="13" t="s">
        <v>35</v>
      </c>
      <c r="AB146" s="13" t="s">
        <v>35</v>
      </c>
      <c r="AC146" s="13" t="s">
        <v>35</v>
      </c>
      <c r="AD146" s="13" t="s">
        <v>35</v>
      </c>
      <c r="AE146" s="13" t="s">
        <v>35</v>
      </c>
      <c r="AF146" s="13" t="s">
        <v>35</v>
      </c>
      <c r="AG146" s="13" t="s">
        <v>35</v>
      </c>
      <c r="AH146" s="37" t="s">
        <v>35</v>
      </c>
    </row>
    <row r="147" spans="1:34">
      <c r="A147" s="14">
        <f t="shared" si="63"/>
        <v>46099</v>
      </c>
      <c r="B147" s="11" t="s">
        <v>35</v>
      </c>
      <c r="C147" s="12" t="s">
        <v>35</v>
      </c>
      <c r="D147" s="12" t="s">
        <v>35</v>
      </c>
      <c r="E147" s="13" t="s">
        <v>35</v>
      </c>
      <c r="F147" s="12" t="s">
        <v>35</v>
      </c>
      <c r="G147" s="12" t="s">
        <v>35</v>
      </c>
      <c r="H147" s="12" t="s">
        <v>35</v>
      </c>
      <c r="I147" s="12" t="s">
        <v>35</v>
      </c>
      <c r="J147" s="13" t="s">
        <v>35</v>
      </c>
      <c r="K147" s="195" t="s">
        <v>35</v>
      </c>
      <c r="L147" s="26" t="s">
        <v>35</v>
      </c>
      <c r="M147" s="22"/>
      <c r="N147" s="29" t="s">
        <v>35</v>
      </c>
      <c r="O147" s="50" t="s">
        <v>35</v>
      </c>
      <c r="P147" s="13">
        <v>13.92</v>
      </c>
      <c r="Q147" s="13">
        <v>26.14</v>
      </c>
      <c r="R147" s="13">
        <v>35.65</v>
      </c>
      <c r="S147" s="13">
        <v>50.94</v>
      </c>
      <c r="T147" s="36">
        <v>288</v>
      </c>
      <c r="U147" s="13">
        <v>13.8</v>
      </c>
      <c r="V147" s="13">
        <v>12.5</v>
      </c>
      <c r="W147" s="184">
        <v>2.2999999999999998</v>
      </c>
      <c r="X147" s="37">
        <v>2.08</v>
      </c>
      <c r="Y147" s="22"/>
      <c r="Z147" s="38" t="s">
        <v>35</v>
      </c>
      <c r="AA147" s="13" t="s">
        <v>35</v>
      </c>
      <c r="AB147" s="13" t="s">
        <v>35</v>
      </c>
      <c r="AC147" s="13" t="s">
        <v>35</v>
      </c>
      <c r="AD147" s="13" t="s">
        <v>35</v>
      </c>
      <c r="AE147" s="13" t="s">
        <v>35</v>
      </c>
      <c r="AF147" s="13" t="s">
        <v>35</v>
      </c>
      <c r="AG147" s="13" t="s">
        <v>35</v>
      </c>
      <c r="AH147" s="37" t="s">
        <v>35</v>
      </c>
    </row>
    <row r="148" spans="1:34">
      <c r="A148" s="14">
        <f t="shared" si="63"/>
        <v>46100</v>
      </c>
      <c r="B148" s="11" t="s">
        <v>35</v>
      </c>
      <c r="C148" s="12" t="s">
        <v>35</v>
      </c>
      <c r="D148" s="12" t="s">
        <v>35</v>
      </c>
      <c r="E148" s="13" t="s">
        <v>35</v>
      </c>
      <c r="F148" s="12" t="s">
        <v>35</v>
      </c>
      <c r="G148" s="12" t="s">
        <v>35</v>
      </c>
      <c r="H148" s="12" t="s">
        <v>35</v>
      </c>
      <c r="I148" s="12" t="s">
        <v>35</v>
      </c>
      <c r="J148" s="13" t="s">
        <v>35</v>
      </c>
      <c r="K148" s="195" t="s">
        <v>35</v>
      </c>
      <c r="L148" s="26" t="s">
        <v>35</v>
      </c>
      <c r="M148" s="22"/>
      <c r="N148" s="29" t="s">
        <v>35</v>
      </c>
      <c r="O148" s="50" t="s">
        <v>35</v>
      </c>
      <c r="P148" s="13">
        <v>13.97</v>
      </c>
      <c r="Q148" s="13">
        <v>23.9</v>
      </c>
      <c r="R148" s="13">
        <v>41.22</v>
      </c>
      <c r="S148" s="13">
        <v>50.5</v>
      </c>
      <c r="T148" s="36">
        <v>262</v>
      </c>
      <c r="U148" s="13">
        <v>14.84</v>
      </c>
      <c r="V148" s="13">
        <v>9</v>
      </c>
      <c r="W148" s="184">
        <v>2.09</v>
      </c>
      <c r="X148" s="37">
        <v>1.76</v>
      </c>
      <c r="Y148" s="22"/>
      <c r="Z148" s="38">
        <v>13.37</v>
      </c>
      <c r="AA148" s="13">
        <v>24.58</v>
      </c>
      <c r="AB148" s="13">
        <v>44.49</v>
      </c>
      <c r="AC148" s="13">
        <v>48.37</v>
      </c>
      <c r="AD148" s="36">
        <v>298</v>
      </c>
      <c r="AE148" s="13">
        <v>15.04</v>
      </c>
      <c r="AF148" s="13">
        <v>1</v>
      </c>
      <c r="AG148" s="184">
        <v>2.1080000000000001</v>
      </c>
      <c r="AH148" s="37">
        <v>2.06</v>
      </c>
    </row>
    <row r="149" spans="1:34">
      <c r="A149" s="14">
        <f t="shared" si="63"/>
        <v>46101</v>
      </c>
      <c r="B149" s="11" t="s">
        <v>35</v>
      </c>
      <c r="C149" s="12" t="s">
        <v>35</v>
      </c>
      <c r="D149" s="12" t="s">
        <v>35</v>
      </c>
      <c r="E149" s="13" t="s">
        <v>35</v>
      </c>
      <c r="F149" s="12" t="s">
        <v>35</v>
      </c>
      <c r="G149" s="12" t="s">
        <v>35</v>
      </c>
      <c r="H149" s="12" t="s">
        <v>35</v>
      </c>
      <c r="I149" s="12" t="s">
        <v>35</v>
      </c>
      <c r="J149" s="13" t="s">
        <v>35</v>
      </c>
      <c r="K149" s="195" t="s">
        <v>35</v>
      </c>
      <c r="L149" s="26" t="s">
        <v>35</v>
      </c>
      <c r="M149" s="22"/>
      <c r="N149" s="29" t="s">
        <v>35</v>
      </c>
      <c r="O149" s="50" t="s">
        <v>35</v>
      </c>
      <c r="P149" s="13">
        <v>12.77</v>
      </c>
      <c r="Q149" s="13">
        <v>25.03</v>
      </c>
      <c r="R149" s="13">
        <v>45.69</v>
      </c>
      <c r="S149" s="13">
        <v>55.2</v>
      </c>
      <c r="T149" s="36">
        <v>397</v>
      </c>
      <c r="U149" s="13">
        <v>17.84</v>
      </c>
      <c r="V149" s="13">
        <v>0.5</v>
      </c>
      <c r="W149" s="184">
        <v>2.33</v>
      </c>
      <c r="X149" s="37">
        <v>2.15</v>
      </c>
      <c r="Y149" s="22"/>
      <c r="Z149" s="38">
        <v>14.28</v>
      </c>
      <c r="AA149" s="13">
        <v>25.23</v>
      </c>
      <c r="AB149" s="13">
        <v>43.68</v>
      </c>
      <c r="AC149" s="13">
        <v>57.56</v>
      </c>
      <c r="AD149" s="36">
        <v>303</v>
      </c>
      <c r="AE149" s="13">
        <v>14.64</v>
      </c>
      <c r="AF149" s="13">
        <v>0.5</v>
      </c>
      <c r="AG149" s="184">
        <v>1.964</v>
      </c>
      <c r="AH149" s="37">
        <v>2</v>
      </c>
    </row>
    <row r="150" spans="1:34">
      <c r="A150" s="14">
        <f t="shared" si="63"/>
        <v>46102</v>
      </c>
      <c r="B150" s="11" t="s">
        <v>35</v>
      </c>
      <c r="C150" s="12" t="s">
        <v>35</v>
      </c>
      <c r="D150" s="12" t="s">
        <v>35</v>
      </c>
      <c r="E150" s="13" t="s">
        <v>35</v>
      </c>
      <c r="F150" s="12" t="s">
        <v>35</v>
      </c>
      <c r="G150" s="12" t="s">
        <v>35</v>
      </c>
      <c r="H150" s="12" t="s">
        <v>35</v>
      </c>
      <c r="I150" s="12" t="s">
        <v>35</v>
      </c>
      <c r="J150" s="13" t="s">
        <v>35</v>
      </c>
      <c r="K150" s="195" t="s">
        <v>35</v>
      </c>
      <c r="L150" s="26" t="s">
        <v>35</v>
      </c>
      <c r="M150" s="22"/>
      <c r="N150" s="29" t="s">
        <v>35</v>
      </c>
      <c r="O150" s="50" t="s">
        <v>35</v>
      </c>
      <c r="P150" s="13">
        <v>12.71</v>
      </c>
      <c r="Q150" s="13">
        <v>23.87</v>
      </c>
      <c r="R150" s="13">
        <v>48.16</v>
      </c>
      <c r="S150" s="13">
        <v>57.78</v>
      </c>
      <c r="T150" s="36">
        <v>364</v>
      </c>
      <c r="U150" s="13">
        <v>12.8</v>
      </c>
      <c r="V150" s="13">
        <v>1</v>
      </c>
      <c r="W150" s="184">
        <v>2.2999999999999998</v>
      </c>
      <c r="X150" s="37">
        <v>3.4</v>
      </c>
      <c r="Y150" s="22"/>
      <c r="Z150" s="38">
        <v>14.79</v>
      </c>
      <c r="AA150" s="13">
        <v>26.08</v>
      </c>
      <c r="AB150" s="13">
        <v>44.86</v>
      </c>
      <c r="AC150" s="13">
        <v>53.97</v>
      </c>
      <c r="AD150" s="36">
        <v>342</v>
      </c>
      <c r="AE150" s="13">
        <v>14.32</v>
      </c>
      <c r="AF150" s="13">
        <v>0.5</v>
      </c>
      <c r="AG150" s="184">
        <v>2.2999999999999998</v>
      </c>
      <c r="AH150" s="37">
        <v>2.35</v>
      </c>
    </row>
    <row r="151" spans="1:34">
      <c r="A151" s="14">
        <f t="shared" si="63"/>
        <v>46103</v>
      </c>
      <c r="B151" s="11" t="s">
        <v>35</v>
      </c>
      <c r="C151" s="12" t="s">
        <v>35</v>
      </c>
      <c r="D151" s="12" t="s">
        <v>35</v>
      </c>
      <c r="E151" s="13" t="s">
        <v>35</v>
      </c>
      <c r="F151" s="12" t="s">
        <v>35</v>
      </c>
      <c r="G151" s="12" t="s">
        <v>35</v>
      </c>
      <c r="H151" s="12" t="s">
        <v>35</v>
      </c>
      <c r="I151" s="12" t="s">
        <v>35</v>
      </c>
      <c r="J151" s="13" t="s">
        <v>35</v>
      </c>
      <c r="K151" s="195" t="s">
        <v>35</v>
      </c>
      <c r="L151" s="26" t="s">
        <v>35</v>
      </c>
      <c r="M151" s="22"/>
      <c r="N151" s="29" t="s">
        <v>35</v>
      </c>
      <c r="O151" s="50" t="s">
        <v>35</v>
      </c>
      <c r="P151" s="13">
        <v>13.51</v>
      </c>
      <c r="Q151" s="13">
        <v>23.54</v>
      </c>
      <c r="R151" s="13">
        <v>44.06</v>
      </c>
      <c r="S151" s="13">
        <v>51.36</v>
      </c>
      <c r="T151" s="36">
        <v>311</v>
      </c>
      <c r="U151" s="13">
        <v>14.4</v>
      </c>
      <c r="V151" s="13">
        <v>2.5</v>
      </c>
      <c r="W151" s="184">
        <v>2.31</v>
      </c>
      <c r="X151" s="37">
        <v>1.86</v>
      </c>
      <c r="Y151" s="22"/>
      <c r="Z151" s="38">
        <v>14.13</v>
      </c>
      <c r="AA151" s="13">
        <v>23.94</v>
      </c>
      <c r="AB151" s="13">
        <v>43.66</v>
      </c>
      <c r="AC151" s="13">
        <v>53.51</v>
      </c>
      <c r="AD151" s="36">
        <v>356</v>
      </c>
      <c r="AE151" s="13">
        <v>14.44</v>
      </c>
      <c r="AF151" s="13">
        <v>0.5</v>
      </c>
      <c r="AG151" s="184">
        <v>2.2799999999999998</v>
      </c>
      <c r="AH151" s="37">
        <v>3.32</v>
      </c>
    </row>
    <row r="152" spans="1:34">
      <c r="A152" s="14">
        <f t="shared" si="63"/>
        <v>46104</v>
      </c>
      <c r="B152" s="11" t="s">
        <v>35</v>
      </c>
      <c r="C152" s="12" t="s">
        <v>35</v>
      </c>
      <c r="D152" s="12" t="s">
        <v>35</v>
      </c>
      <c r="E152" s="13" t="s">
        <v>35</v>
      </c>
      <c r="F152" s="12" t="s">
        <v>35</v>
      </c>
      <c r="G152" s="12" t="s">
        <v>35</v>
      </c>
      <c r="H152" s="12" t="s">
        <v>35</v>
      </c>
      <c r="I152" s="12" t="s">
        <v>35</v>
      </c>
      <c r="J152" s="13" t="s">
        <v>35</v>
      </c>
      <c r="K152" s="195" t="s">
        <v>35</v>
      </c>
      <c r="L152" s="26" t="s">
        <v>35</v>
      </c>
      <c r="M152" s="22"/>
      <c r="N152" s="29" t="s">
        <v>35</v>
      </c>
      <c r="O152" s="13" t="s">
        <v>35</v>
      </c>
      <c r="P152" s="13" t="s">
        <v>35</v>
      </c>
      <c r="Q152" s="13" t="s">
        <v>35</v>
      </c>
      <c r="R152" s="13" t="s">
        <v>35</v>
      </c>
      <c r="S152" s="13" t="s">
        <v>35</v>
      </c>
      <c r="T152" s="36" t="s">
        <v>35</v>
      </c>
      <c r="U152" s="13" t="s">
        <v>35</v>
      </c>
      <c r="V152" s="13" t="s">
        <v>35</v>
      </c>
      <c r="W152" s="13" t="s">
        <v>35</v>
      </c>
      <c r="X152" s="37" t="s">
        <v>35</v>
      </c>
      <c r="Y152" s="22"/>
      <c r="Z152" s="38" t="s">
        <v>35</v>
      </c>
      <c r="AA152" s="13" t="s">
        <v>35</v>
      </c>
      <c r="AB152" s="13" t="s">
        <v>35</v>
      </c>
      <c r="AC152" s="13" t="s">
        <v>35</v>
      </c>
      <c r="AD152" s="13" t="s">
        <v>35</v>
      </c>
      <c r="AE152" s="13" t="s">
        <v>35</v>
      </c>
      <c r="AF152" s="13" t="s">
        <v>35</v>
      </c>
      <c r="AG152" s="13" t="s">
        <v>35</v>
      </c>
      <c r="AH152" s="37" t="s">
        <v>35</v>
      </c>
    </row>
    <row r="153" spans="1:34">
      <c r="A153" s="14">
        <f t="shared" si="63"/>
        <v>46105</v>
      </c>
      <c r="B153" s="11" t="s">
        <v>35</v>
      </c>
      <c r="C153" s="12" t="s">
        <v>35</v>
      </c>
      <c r="D153" s="12" t="s">
        <v>35</v>
      </c>
      <c r="E153" s="13" t="s">
        <v>35</v>
      </c>
      <c r="F153" s="12" t="s">
        <v>35</v>
      </c>
      <c r="G153" s="12" t="s">
        <v>35</v>
      </c>
      <c r="H153" s="12" t="s">
        <v>35</v>
      </c>
      <c r="I153" s="12" t="s">
        <v>35</v>
      </c>
      <c r="J153" s="13" t="s">
        <v>35</v>
      </c>
      <c r="K153" s="195" t="s">
        <v>35</v>
      </c>
      <c r="L153" s="26" t="s">
        <v>35</v>
      </c>
      <c r="M153" s="22"/>
      <c r="N153" s="29" t="s">
        <v>35</v>
      </c>
      <c r="O153" s="13" t="s">
        <v>35</v>
      </c>
      <c r="P153" s="13">
        <v>12.23</v>
      </c>
      <c r="Q153" s="13">
        <v>23.46</v>
      </c>
      <c r="R153" s="13">
        <v>37.07</v>
      </c>
      <c r="S153" s="13"/>
      <c r="T153" s="36">
        <v>262</v>
      </c>
      <c r="U153" s="13">
        <v>11.18</v>
      </c>
      <c r="V153" s="13">
        <v>1.5</v>
      </c>
      <c r="W153" s="184">
        <v>1.95</v>
      </c>
      <c r="X153" s="37">
        <v>2.8</v>
      </c>
      <c r="Y153" s="22"/>
      <c r="Z153" s="38">
        <v>12.52</v>
      </c>
      <c r="AA153" s="13">
        <v>27.14</v>
      </c>
      <c r="AB153" s="13">
        <v>38.700000000000003</v>
      </c>
      <c r="AC153" s="13"/>
      <c r="AD153" s="36">
        <v>323</v>
      </c>
      <c r="AE153" s="13">
        <v>15.14</v>
      </c>
      <c r="AF153" s="13">
        <v>0.5</v>
      </c>
      <c r="AG153" s="184">
        <v>2</v>
      </c>
      <c r="AH153" s="37">
        <v>3.04</v>
      </c>
    </row>
    <row r="154" spans="1:34">
      <c r="A154" s="14">
        <f t="shared" si="63"/>
        <v>46106</v>
      </c>
      <c r="B154" s="11" t="s">
        <v>35</v>
      </c>
      <c r="C154" s="12" t="s">
        <v>35</v>
      </c>
      <c r="D154" s="12" t="s">
        <v>35</v>
      </c>
      <c r="E154" s="13" t="s">
        <v>35</v>
      </c>
      <c r="F154" s="12" t="s">
        <v>35</v>
      </c>
      <c r="G154" s="12" t="s">
        <v>35</v>
      </c>
      <c r="H154" s="12" t="s">
        <v>35</v>
      </c>
      <c r="I154" s="12" t="s">
        <v>35</v>
      </c>
      <c r="J154" s="13" t="s">
        <v>35</v>
      </c>
      <c r="K154" s="195" t="s">
        <v>35</v>
      </c>
      <c r="L154" s="26" t="s">
        <v>35</v>
      </c>
      <c r="M154" s="22"/>
      <c r="N154" s="29" t="s">
        <v>35</v>
      </c>
      <c r="O154" s="13" t="s">
        <v>35</v>
      </c>
      <c r="P154" s="29" t="s">
        <v>35</v>
      </c>
      <c r="Q154" s="13" t="s">
        <v>35</v>
      </c>
      <c r="R154" s="13" t="s">
        <v>35</v>
      </c>
      <c r="S154" s="13" t="s">
        <v>35</v>
      </c>
      <c r="T154" s="13" t="s">
        <v>35</v>
      </c>
      <c r="U154" s="13" t="s">
        <v>35</v>
      </c>
      <c r="V154" s="36" t="s">
        <v>35</v>
      </c>
      <c r="W154" s="36" t="s">
        <v>35</v>
      </c>
      <c r="X154" s="180" t="s">
        <v>35</v>
      </c>
      <c r="Y154" s="13"/>
      <c r="Z154" s="38" t="s">
        <v>35</v>
      </c>
      <c r="AA154" s="13" t="s">
        <v>35</v>
      </c>
      <c r="AB154" s="13" t="s">
        <v>35</v>
      </c>
      <c r="AC154" s="13" t="s">
        <v>35</v>
      </c>
      <c r="AD154" s="13" t="s">
        <v>35</v>
      </c>
      <c r="AE154" s="13" t="s">
        <v>35</v>
      </c>
      <c r="AF154" s="13" t="s">
        <v>35</v>
      </c>
      <c r="AG154" s="13" t="s">
        <v>35</v>
      </c>
      <c r="AH154" s="37" t="s">
        <v>35</v>
      </c>
    </row>
    <row r="155" spans="1:34">
      <c r="A155" s="14">
        <f t="shared" si="63"/>
        <v>46107</v>
      </c>
      <c r="B155" s="11" t="s">
        <v>35</v>
      </c>
      <c r="C155" s="12" t="s">
        <v>35</v>
      </c>
      <c r="D155" s="12" t="s">
        <v>35</v>
      </c>
      <c r="E155" s="13" t="s">
        <v>35</v>
      </c>
      <c r="F155" s="12" t="s">
        <v>35</v>
      </c>
      <c r="G155" s="12" t="s">
        <v>35</v>
      </c>
      <c r="H155" s="12" t="s">
        <v>35</v>
      </c>
      <c r="I155" s="12" t="s">
        <v>35</v>
      </c>
      <c r="J155" s="13" t="s">
        <v>35</v>
      </c>
      <c r="K155" s="195" t="s">
        <v>35</v>
      </c>
      <c r="L155" s="26" t="s">
        <v>35</v>
      </c>
      <c r="M155" s="22"/>
      <c r="N155" s="29" t="s">
        <v>35</v>
      </c>
      <c r="O155" s="13" t="s">
        <v>35</v>
      </c>
      <c r="P155" s="29" t="s">
        <v>35</v>
      </c>
      <c r="Q155" s="13" t="s">
        <v>35</v>
      </c>
      <c r="R155" s="13" t="s">
        <v>35</v>
      </c>
      <c r="S155" s="13" t="s">
        <v>35</v>
      </c>
      <c r="T155" s="13" t="s">
        <v>35</v>
      </c>
      <c r="U155" s="13" t="s">
        <v>35</v>
      </c>
      <c r="V155" s="36" t="s">
        <v>35</v>
      </c>
      <c r="W155" s="36" t="s">
        <v>35</v>
      </c>
      <c r="X155" s="180" t="s">
        <v>35</v>
      </c>
      <c r="Y155" s="13"/>
      <c r="Z155" s="38" t="s">
        <v>35</v>
      </c>
      <c r="AA155" s="13" t="s">
        <v>35</v>
      </c>
      <c r="AB155" s="13" t="s">
        <v>35</v>
      </c>
      <c r="AC155" s="13" t="s">
        <v>35</v>
      </c>
      <c r="AD155" s="13" t="s">
        <v>35</v>
      </c>
      <c r="AE155" s="13" t="s">
        <v>35</v>
      </c>
      <c r="AF155" s="13" t="s">
        <v>35</v>
      </c>
      <c r="AG155" s="13" t="s">
        <v>35</v>
      </c>
      <c r="AH155" s="37" t="s">
        <v>35</v>
      </c>
    </row>
    <row r="156" spans="1:34">
      <c r="A156" s="14">
        <f t="shared" si="63"/>
        <v>46108</v>
      </c>
      <c r="B156" s="11" t="s">
        <v>35</v>
      </c>
      <c r="C156" s="12" t="s">
        <v>35</v>
      </c>
      <c r="D156" s="12" t="s">
        <v>35</v>
      </c>
      <c r="E156" s="13" t="s">
        <v>35</v>
      </c>
      <c r="F156" s="12" t="s">
        <v>35</v>
      </c>
      <c r="G156" s="12" t="s">
        <v>35</v>
      </c>
      <c r="H156" s="12" t="s">
        <v>35</v>
      </c>
      <c r="I156" s="12" t="s">
        <v>35</v>
      </c>
      <c r="J156" s="13" t="s">
        <v>35</v>
      </c>
      <c r="K156" s="195" t="s">
        <v>35</v>
      </c>
      <c r="L156" s="26" t="s">
        <v>35</v>
      </c>
      <c r="M156" s="22"/>
      <c r="N156" s="29" t="s">
        <v>35</v>
      </c>
      <c r="O156" s="13" t="s">
        <v>35</v>
      </c>
      <c r="P156" s="29" t="s">
        <v>35</v>
      </c>
      <c r="Q156" s="13" t="s">
        <v>35</v>
      </c>
      <c r="R156" s="13" t="s">
        <v>35</v>
      </c>
      <c r="S156" s="13" t="s">
        <v>35</v>
      </c>
      <c r="T156" s="13" t="s">
        <v>35</v>
      </c>
      <c r="U156" s="13" t="s">
        <v>35</v>
      </c>
      <c r="V156" s="36" t="s">
        <v>35</v>
      </c>
      <c r="W156" s="36" t="s">
        <v>35</v>
      </c>
      <c r="X156" s="180" t="s">
        <v>35</v>
      </c>
      <c r="Y156" s="13"/>
      <c r="Z156" s="38" t="s">
        <v>35</v>
      </c>
      <c r="AA156" s="13" t="s">
        <v>35</v>
      </c>
      <c r="AB156" s="13" t="s">
        <v>35</v>
      </c>
      <c r="AC156" s="13" t="s">
        <v>35</v>
      </c>
      <c r="AD156" s="13" t="s">
        <v>35</v>
      </c>
      <c r="AE156" s="13" t="s">
        <v>35</v>
      </c>
      <c r="AF156" s="13" t="s">
        <v>35</v>
      </c>
      <c r="AG156" s="13" t="s">
        <v>35</v>
      </c>
      <c r="AH156" s="37" t="s">
        <v>35</v>
      </c>
    </row>
    <row r="157" spans="1:34">
      <c r="A157" s="14">
        <f t="shared" si="63"/>
        <v>46109</v>
      </c>
      <c r="B157" s="11" t="s">
        <v>35</v>
      </c>
      <c r="C157" s="12" t="s">
        <v>35</v>
      </c>
      <c r="D157" s="12" t="s">
        <v>35</v>
      </c>
      <c r="E157" s="13" t="s">
        <v>35</v>
      </c>
      <c r="F157" s="12" t="s">
        <v>35</v>
      </c>
      <c r="G157" s="12" t="s">
        <v>35</v>
      </c>
      <c r="H157" s="12" t="s">
        <v>35</v>
      </c>
      <c r="I157" s="12" t="s">
        <v>35</v>
      </c>
      <c r="J157" s="13" t="s">
        <v>35</v>
      </c>
      <c r="K157" s="195" t="s">
        <v>35</v>
      </c>
      <c r="L157" s="26" t="s">
        <v>35</v>
      </c>
      <c r="M157" s="22"/>
      <c r="N157" s="29" t="s">
        <v>35</v>
      </c>
      <c r="O157" s="13" t="s">
        <v>35</v>
      </c>
      <c r="P157" s="13">
        <v>14.05</v>
      </c>
      <c r="Q157" s="13">
        <v>24.65</v>
      </c>
      <c r="R157" s="13">
        <v>36.85</v>
      </c>
      <c r="S157" s="13"/>
      <c r="T157" s="36">
        <v>241</v>
      </c>
      <c r="U157" s="13">
        <v>17.04</v>
      </c>
      <c r="V157" s="13">
        <v>2.5</v>
      </c>
      <c r="W157" s="184">
        <v>2.2599999999999998</v>
      </c>
      <c r="X157" s="37">
        <v>2.4500000000000002</v>
      </c>
      <c r="Y157" s="22"/>
      <c r="Z157" s="38" t="s">
        <v>35</v>
      </c>
      <c r="AA157" s="13" t="s">
        <v>35</v>
      </c>
      <c r="AB157" s="13" t="s">
        <v>35</v>
      </c>
      <c r="AC157" s="13" t="s">
        <v>35</v>
      </c>
      <c r="AD157" s="13" t="s">
        <v>35</v>
      </c>
      <c r="AE157" s="13" t="s">
        <v>35</v>
      </c>
      <c r="AF157" s="13" t="s">
        <v>35</v>
      </c>
      <c r="AG157" s="13" t="s">
        <v>35</v>
      </c>
      <c r="AH157" s="37" t="s">
        <v>35</v>
      </c>
    </row>
    <row r="158" spans="1:34">
      <c r="A158" s="14">
        <f t="shared" si="63"/>
        <v>46110</v>
      </c>
      <c r="B158" s="11" t="s">
        <v>35</v>
      </c>
      <c r="C158" s="12" t="s">
        <v>35</v>
      </c>
      <c r="D158" s="12" t="s">
        <v>35</v>
      </c>
      <c r="E158" s="13" t="s">
        <v>35</v>
      </c>
      <c r="F158" s="12" t="s">
        <v>35</v>
      </c>
      <c r="G158" s="12" t="s">
        <v>35</v>
      </c>
      <c r="H158" s="12" t="s">
        <v>35</v>
      </c>
      <c r="I158" s="12" t="s">
        <v>35</v>
      </c>
      <c r="J158" s="13" t="s">
        <v>35</v>
      </c>
      <c r="K158" s="195" t="s">
        <v>35</v>
      </c>
      <c r="L158" s="26" t="s">
        <v>35</v>
      </c>
      <c r="M158" s="22"/>
      <c r="N158" s="29" t="s">
        <v>35</v>
      </c>
      <c r="O158" s="13" t="s">
        <v>35</v>
      </c>
      <c r="P158" s="13">
        <v>14.66</v>
      </c>
      <c r="Q158" s="13">
        <v>24.13</v>
      </c>
      <c r="R158" s="13">
        <v>38.840000000000003</v>
      </c>
      <c r="S158" s="13"/>
      <c r="T158" s="36">
        <v>285</v>
      </c>
      <c r="U158" s="13">
        <v>13.32</v>
      </c>
      <c r="V158" s="13">
        <v>0.5</v>
      </c>
      <c r="W158" s="184">
        <v>2.25</v>
      </c>
      <c r="X158" s="37">
        <v>2.2599999999999998</v>
      </c>
      <c r="Y158" s="22"/>
      <c r="Z158" s="38" t="s">
        <v>35</v>
      </c>
      <c r="AA158" s="13" t="s">
        <v>35</v>
      </c>
      <c r="AB158" s="13" t="s">
        <v>35</v>
      </c>
      <c r="AC158" s="13" t="s">
        <v>35</v>
      </c>
      <c r="AD158" s="13" t="s">
        <v>35</v>
      </c>
      <c r="AE158" s="13" t="s">
        <v>35</v>
      </c>
      <c r="AF158" s="13" t="s">
        <v>35</v>
      </c>
      <c r="AG158" s="13" t="s">
        <v>35</v>
      </c>
      <c r="AH158" s="37" t="s">
        <v>35</v>
      </c>
    </row>
    <row r="159" spans="1:34">
      <c r="A159" s="14">
        <f t="shared" si="63"/>
        <v>46111</v>
      </c>
      <c r="B159" s="11" t="s">
        <v>35</v>
      </c>
      <c r="C159" s="12" t="s">
        <v>35</v>
      </c>
      <c r="D159" s="12" t="s">
        <v>35</v>
      </c>
      <c r="E159" s="13" t="s">
        <v>35</v>
      </c>
      <c r="F159" s="12" t="s">
        <v>35</v>
      </c>
      <c r="G159" s="12" t="s">
        <v>35</v>
      </c>
      <c r="H159" s="12" t="s">
        <v>35</v>
      </c>
      <c r="I159" s="12" t="s">
        <v>35</v>
      </c>
      <c r="J159" s="13" t="s">
        <v>35</v>
      </c>
      <c r="K159" s="195" t="s">
        <v>35</v>
      </c>
      <c r="L159" s="26" t="s">
        <v>35</v>
      </c>
      <c r="M159" s="22"/>
      <c r="N159" s="29" t="s">
        <v>35</v>
      </c>
      <c r="O159" s="13" t="s">
        <v>35</v>
      </c>
      <c r="P159" s="29" t="s">
        <v>35</v>
      </c>
      <c r="Q159" s="13" t="s">
        <v>35</v>
      </c>
      <c r="R159" s="13" t="s">
        <v>35</v>
      </c>
      <c r="S159" s="13" t="s">
        <v>35</v>
      </c>
      <c r="T159" s="13" t="s">
        <v>35</v>
      </c>
      <c r="U159" s="13" t="s">
        <v>35</v>
      </c>
      <c r="V159" s="36" t="s">
        <v>35</v>
      </c>
      <c r="W159" s="36" t="s">
        <v>35</v>
      </c>
      <c r="X159" s="180" t="s">
        <v>35</v>
      </c>
      <c r="Y159" s="22"/>
      <c r="Z159" s="38" t="s">
        <v>35</v>
      </c>
      <c r="AA159" s="13" t="s">
        <v>35</v>
      </c>
      <c r="AB159" s="13" t="s">
        <v>35</v>
      </c>
      <c r="AC159" s="13" t="s">
        <v>35</v>
      </c>
      <c r="AD159" s="13" t="s">
        <v>35</v>
      </c>
      <c r="AE159" s="13" t="s">
        <v>35</v>
      </c>
      <c r="AF159" s="13" t="s">
        <v>35</v>
      </c>
      <c r="AG159" s="13" t="s">
        <v>35</v>
      </c>
      <c r="AH159" s="37" t="s">
        <v>35</v>
      </c>
    </row>
    <row r="160" spans="1:34" ht="15.75" thickBot="1">
      <c r="A160" s="15">
        <f t="shared" si="63"/>
        <v>46112</v>
      </c>
      <c r="B160" s="11" t="s">
        <v>35</v>
      </c>
      <c r="C160" s="12" t="s">
        <v>35</v>
      </c>
      <c r="D160" s="12" t="s">
        <v>35</v>
      </c>
      <c r="E160" s="13" t="s">
        <v>35</v>
      </c>
      <c r="F160" s="12" t="s">
        <v>35</v>
      </c>
      <c r="G160" s="12" t="s">
        <v>35</v>
      </c>
      <c r="H160" s="12" t="s">
        <v>35</v>
      </c>
      <c r="I160" s="12" t="s">
        <v>35</v>
      </c>
      <c r="J160" s="13" t="s">
        <v>35</v>
      </c>
      <c r="K160" s="195" t="s">
        <v>35</v>
      </c>
      <c r="L160" s="26" t="s">
        <v>35</v>
      </c>
      <c r="M160" s="22"/>
      <c r="N160" s="29" t="s">
        <v>35</v>
      </c>
      <c r="O160" s="13" t="s">
        <v>35</v>
      </c>
      <c r="P160" s="47">
        <v>13.23</v>
      </c>
      <c r="Q160" s="47">
        <v>24.75</v>
      </c>
      <c r="R160" s="47">
        <v>39</v>
      </c>
      <c r="S160" s="47"/>
      <c r="T160" s="52">
        <v>301</v>
      </c>
      <c r="U160" s="47">
        <v>17.559999999999999</v>
      </c>
      <c r="V160" s="47">
        <v>1</v>
      </c>
      <c r="W160" s="184">
        <v>2.44</v>
      </c>
      <c r="X160" s="48">
        <v>2.4</v>
      </c>
      <c r="Y160" s="22"/>
      <c r="Z160" s="38" t="s">
        <v>35</v>
      </c>
      <c r="AA160" s="13" t="s">
        <v>35</v>
      </c>
      <c r="AB160" s="13" t="s">
        <v>35</v>
      </c>
      <c r="AC160" s="13" t="s">
        <v>35</v>
      </c>
      <c r="AD160" s="13" t="s">
        <v>35</v>
      </c>
      <c r="AE160" s="13" t="s">
        <v>35</v>
      </c>
      <c r="AF160" s="13" t="s">
        <v>35</v>
      </c>
      <c r="AG160" s="13" t="s">
        <v>35</v>
      </c>
      <c r="AH160" s="37" t="s">
        <v>35</v>
      </c>
    </row>
    <row r="161" spans="1:34">
      <c r="A161" s="16" t="s">
        <v>31</v>
      </c>
      <c r="B161" s="17">
        <f>MIN(B130:B160)</f>
        <v>0</v>
      </c>
      <c r="C161" s="17">
        <f>MIN(C130:C160)</f>
        <v>0</v>
      </c>
      <c r="D161" s="17">
        <f t="shared" ref="D161:L161" si="64">MIN(D130:D160)</f>
        <v>0</v>
      </c>
      <c r="E161" s="17">
        <f t="shared" si="64"/>
        <v>0</v>
      </c>
      <c r="F161" s="17">
        <f t="shared" si="64"/>
        <v>0</v>
      </c>
      <c r="G161" s="17">
        <f t="shared" si="64"/>
        <v>0</v>
      </c>
      <c r="H161" s="17">
        <f t="shared" si="64"/>
        <v>0</v>
      </c>
      <c r="I161" s="17">
        <f t="shared" si="64"/>
        <v>0</v>
      </c>
      <c r="J161" s="17">
        <f t="shared" si="64"/>
        <v>0</v>
      </c>
      <c r="K161" s="17">
        <f t="shared" si="64"/>
        <v>0</v>
      </c>
      <c r="L161" s="30">
        <f t="shared" si="64"/>
        <v>0</v>
      </c>
      <c r="M161" s="22"/>
      <c r="N161" s="17">
        <f>MIN(N130:N160)</f>
        <v>0</v>
      </c>
      <c r="O161" s="17">
        <f>MIN(O130:O160)</f>
        <v>0</v>
      </c>
      <c r="P161" s="17">
        <f t="shared" ref="P161:X161" si="65">MIN(P130:P160)</f>
        <v>12.23</v>
      </c>
      <c r="Q161" s="17">
        <f t="shared" si="65"/>
        <v>23.22</v>
      </c>
      <c r="R161" s="17">
        <f t="shared" si="65"/>
        <v>35.65</v>
      </c>
      <c r="S161" s="17">
        <f t="shared" si="65"/>
        <v>50</v>
      </c>
      <c r="T161" s="17">
        <f t="shared" si="65"/>
        <v>241</v>
      </c>
      <c r="U161" s="17">
        <f t="shared" si="65"/>
        <v>8.6</v>
      </c>
      <c r="V161" s="17">
        <f t="shared" si="65"/>
        <v>0.5</v>
      </c>
      <c r="W161" s="17">
        <f t="shared" si="65"/>
        <v>1</v>
      </c>
      <c r="X161" s="30">
        <f t="shared" si="65"/>
        <v>1.1200000000000001</v>
      </c>
      <c r="Z161" s="40">
        <f t="shared" ref="Z161:AH161" si="66">MIN(Z130:Z160)</f>
        <v>12.2</v>
      </c>
      <c r="AA161" s="17">
        <f t="shared" si="66"/>
        <v>23.39</v>
      </c>
      <c r="AB161" s="17">
        <f t="shared" si="66"/>
        <v>38.700000000000003</v>
      </c>
      <c r="AC161" s="17">
        <f t="shared" si="66"/>
        <v>48.37</v>
      </c>
      <c r="AD161" s="17">
        <f t="shared" si="66"/>
        <v>283</v>
      </c>
      <c r="AE161" s="17">
        <f t="shared" si="66"/>
        <v>12.4</v>
      </c>
      <c r="AF161" s="17">
        <f t="shared" si="66"/>
        <v>0.5</v>
      </c>
      <c r="AG161" s="17">
        <f t="shared" si="66"/>
        <v>1.964</v>
      </c>
      <c r="AH161" s="30">
        <f t="shared" si="66"/>
        <v>1.48</v>
      </c>
    </row>
    <row r="162" spans="1:34">
      <c r="A162" s="18" t="s">
        <v>33</v>
      </c>
      <c r="B162" s="19">
        <f>MAX(B130:B160)</f>
        <v>0</v>
      </c>
      <c r="C162" s="19">
        <f>MAX(C130:C160)</f>
        <v>0</v>
      </c>
      <c r="D162" s="19">
        <f t="shared" ref="D162:L162" si="67">MAX(D130:D160)</f>
        <v>0</v>
      </c>
      <c r="E162" s="19">
        <f t="shared" si="67"/>
        <v>0</v>
      </c>
      <c r="F162" s="19">
        <f t="shared" si="67"/>
        <v>0</v>
      </c>
      <c r="G162" s="19">
        <f t="shared" si="67"/>
        <v>0</v>
      </c>
      <c r="H162" s="19">
        <f t="shared" si="67"/>
        <v>0</v>
      </c>
      <c r="I162" s="19">
        <f t="shared" si="67"/>
        <v>0</v>
      </c>
      <c r="J162" s="19">
        <f t="shared" si="67"/>
        <v>0</v>
      </c>
      <c r="K162" s="19">
        <f t="shared" si="67"/>
        <v>0</v>
      </c>
      <c r="L162" s="31">
        <f t="shared" si="67"/>
        <v>0</v>
      </c>
      <c r="M162" s="22"/>
      <c r="N162" s="19">
        <f>MAX(N130:N160)</f>
        <v>0</v>
      </c>
      <c r="O162" s="19">
        <f>MAX(O130:O160)</f>
        <v>0</v>
      </c>
      <c r="P162" s="19">
        <f t="shared" ref="P162:X162" si="68">MAX(P130:P160)</f>
        <v>15.68</v>
      </c>
      <c r="Q162" s="19">
        <f t="shared" si="68"/>
        <v>26.63</v>
      </c>
      <c r="R162" s="19">
        <f t="shared" si="68"/>
        <v>48.16</v>
      </c>
      <c r="S162" s="19">
        <f t="shared" si="68"/>
        <v>60.66</v>
      </c>
      <c r="T162" s="19">
        <f t="shared" si="68"/>
        <v>397</v>
      </c>
      <c r="U162" s="19">
        <f t="shared" si="68"/>
        <v>17.84</v>
      </c>
      <c r="V162" s="19">
        <f t="shared" si="68"/>
        <v>91</v>
      </c>
      <c r="W162" s="19">
        <f t="shared" si="68"/>
        <v>2.44</v>
      </c>
      <c r="X162" s="31">
        <f t="shared" si="68"/>
        <v>3.4</v>
      </c>
      <c r="Z162" s="41">
        <f t="shared" ref="Z162:AH162" si="69">MAX(Z130:Z160)</f>
        <v>14.81</v>
      </c>
      <c r="AA162" s="19">
        <f t="shared" si="69"/>
        <v>28.28</v>
      </c>
      <c r="AB162" s="19">
        <f t="shared" si="69"/>
        <v>44.86</v>
      </c>
      <c r="AC162" s="19">
        <f t="shared" si="69"/>
        <v>58.14</v>
      </c>
      <c r="AD162" s="19">
        <f t="shared" si="69"/>
        <v>356</v>
      </c>
      <c r="AE162" s="19">
        <f t="shared" si="69"/>
        <v>15.14</v>
      </c>
      <c r="AF162" s="19">
        <f t="shared" si="69"/>
        <v>1.5</v>
      </c>
      <c r="AG162" s="19">
        <f t="shared" si="69"/>
        <v>2.2999999999999998</v>
      </c>
      <c r="AH162" s="31">
        <f t="shared" si="69"/>
        <v>3.32</v>
      </c>
    </row>
    <row r="163" spans="1:34">
      <c r="A163" s="18" t="s">
        <v>36</v>
      </c>
      <c r="B163" s="19" t="e">
        <f t="shared" ref="B163:L163" si="70">AVERAGE(B130:B160)</f>
        <v>#DIV/0!</v>
      </c>
      <c r="C163" s="19" t="e">
        <f t="shared" si="70"/>
        <v>#DIV/0!</v>
      </c>
      <c r="D163" s="19" t="e">
        <f t="shared" si="70"/>
        <v>#DIV/0!</v>
      </c>
      <c r="E163" s="19" t="e">
        <f t="shared" si="70"/>
        <v>#DIV/0!</v>
      </c>
      <c r="F163" s="19" t="e">
        <f t="shared" si="70"/>
        <v>#DIV/0!</v>
      </c>
      <c r="G163" s="19" t="e">
        <f t="shared" si="70"/>
        <v>#DIV/0!</v>
      </c>
      <c r="H163" s="19" t="e">
        <f t="shared" si="70"/>
        <v>#DIV/0!</v>
      </c>
      <c r="I163" s="19" t="e">
        <f t="shared" si="70"/>
        <v>#DIV/0!</v>
      </c>
      <c r="J163" s="19" t="e">
        <f t="shared" si="70"/>
        <v>#DIV/0!</v>
      </c>
      <c r="K163" s="19" t="e">
        <f t="shared" si="70"/>
        <v>#DIV/0!</v>
      </c>
      <c r="L163" s="31" t="e">
        <f t="shared" si="70"/>
        <v>#DIV/0!</v>
      </c>
      <c r="M163" s="22"/>
      <c r="N163" s="19" t="e">
        <f t="shared" ref="N163:X163" si="71">AVERAGE(N130:N160)</f>
        <v>#DIV/0!</v>
      </c>
      <c r="O163" s="19" t="e">
        <f t="shared" si="71"/>
        <v>#DIV/0!</v>
      </c>
      <c r="P163" s="19">
        <f t="shared" si="71"/>
        <v>13.80727272727273</v>
      </c>
      <c r="Q163" s="19">
        <f t="shared" si="71"/>
        <v>24.549999999999997</v>
      </c>
      <c r="R163" s="19">
        <f t="shared" si="71"/>
        <v>40.886818181818185</v>
      </c>
      <c r="S163" s="19">
        <f t="shared" si="71"/>
        <v>53.649444444444441</v>
      </c>
      <c r="T163" s="19">
        <f t="shared" si="71"/>
        <v>309.40909090909093</v>
      </c>
      <c r="U163" s="19">
        <f t="shared" si="71"/>
        <v>13.80636363636364</v>
      </c>
      <c r="V163" s="19">
        <f t="shared" si="71"/>
        <v>5.9772727272727275</v>
      </c>
      <c r="W163" s="19">
        <f t="shared" si="71"/>
        <v>2.117136363636364</v>
      </c>
      <c r="X163" s="31">
        <f t="shared" si="71"/>
        <v>2.2481818181818181</v>
      </c>
      <c r="Z163" s="41">
        <f>AVERAGE(Z130:Z160)</f>
        <v>13.742499999999998</v>
      </c>
      <c r="AA163" s="19">
        <f t="shared" ref="AA163:AH163" si="72">AVERAGE(AA130:AA160)</f>
        <v>25.772500000000001</v>
      </c>
      <c r="AB163" s="19">
        <f t="shared" si="72"/>
        <v>42.41375</v>
      </c>
      <c r="AC163" s="19">
        <f t="shared" si="72"/>
        <v>54.055714285714281</v>
      </c>
      <c r="AD163" s="19">
        <f t="shared" si="72"/>
        <v>319.75</v>
      </c>
      <c r="AE163" s="19">
        <f t="shared" si="72"/>
        <v>13.9975</v>
      </c>
      <c r="AF163" s="19">
        <f t="shared" si="72"/>
        <v>0.8125</v>
      </c>
      <c r="AG163" s="19">
        <f t="shared" si="72"/>
        <v>2.194</v>
      </c>
      <c r="AH163" s="31">
        <f t="shared" si="72"/>
        <v>2.4224999999999999</v>
      </c>
    </row>
    <row r="164" spans="1:34" ht="15.75" thickBot="1">
      <c r="A164" s="20" t="s">
        <v>130</v>
      </c>
      <c r="B164" s="21" t="e">
        <f>STDEV(B130:B160)</f>
        <v>#DIV/0!</v>
      </c>
      <c r="C164" s="21" t="e">
        <f t="shared" ref="C164:L164" si="73">STDEV(C130:C160)</f>
        <v>#DIV/0!</v>
      </c>
      <c r="D164" s="21" t="e">
        <f t="shared" si="73"/>
        <v>#DIV/0!</v>
      </c>
      <c r="E164" s="21" t="e">
        <f t="shared" si="73"/>
        <v>#DIV/0!</v>
      </c>
      <c r="F164" s="21" t="e">
        <f t="shared" si="73"/>
        <v>#DIV/0!</v>
      </c>
      <c r="G164" s="21" t="e">
        <f t="shared" si="73"/>
        <v>#DIV/0!</v>
      </c>
      <c r="H164" s="21" t="e">
        <f t="shared" si="73"/>
        <v>#DIV/0!</v>
      </c>
      <c r="I164" s="21" t="e">
        <f t="shared" si="73"/>
        <v>#DIV/0!</v>
      </c>
      <c r="J164" s="21" t="e">
        <f t="shared" si="73"/>
        <v>#DIV/0!</v>
      </c>
      <c r="K164" s="21" t="e">
        <f t="shared" si="73"/>
        <v>#DIV/0!</v>
      </c>
      <c r="L164" s="32" t="e">
        <f t="shared" si="73"/>
        <v>#DIV/0!</v>
      </c>
      <c r="M164" s="22"/>
      <c r="N164" s="21" t="e">
        <f>STDEV(N130:N160)</f>
        <v>#DIV/0!</v>
      </c>
      <c r="O164" s="21" t="e">
        <f t="shared" ref="O164:X164" si="74">STDEV(O130:O160)</f>
        <v>#DIV/0!</v>
      </c>
      <c r="P164" s="21">
        <f t="shared" si="74"/>
        <v>0.89953523353098097</v>
      </c>
      <c r="Q164" s="21">
        <f t="shared" si="74"/>
        <v>0.88454454247315761</v>
      </c>
      <c r="R164" s="21">
        <f t="shared" si="74"/>
        <v>3.1840979680483872</v>
      </c>
      <c r="S164" s="21">
        <f t="shared" si="74"/>
        <v>3.5565390847617446</v>
      </c>
      <c r="T164" s="21">
        <f t="shared" si="74"/>
        <v>39.745211261003838</v>
      </c>
      <c r="U164" s="21">
        <f t="shared" si="74"/>
        <v>2.2021408316509112</v>
      </c>
      <c r="V164" s="21">
        <f t="shared" si="74"/>
        <v>19.220820353588842</v>
      </c>
      <c r="W164" s="21">
        <f t="shared" si="74"/>
        <v>0.30837705668695231</v>
      </c>
      <c r="X164" s="32">
        <f t="shared" si="74"/>
        <v>0.55299734231374265</v>
      </c>
      <c r="Z164" s="42">
        <f>STDEV(Z130:Z160)</f>
        <v>0.97818709866773468</v>
      </c>
      <c r="AA164" s="21">
        <f t="shared" ref="AA164:AH164" si="75">STDEV(AA130:AA160)</f>
        <v>1.7779181244204856</v>
      </c>
      <c r="AB164" s="21">
        <f t="shared" si="75"/>
        <v>2.1260421814119432</v>
      </c>
      <c r="AC164" s="21">
        <f t="shared" si="75"/>
        <v>3.4064197096211211</v>
      </c>
      <c r="AD164" s="21">
        <f t="shared" si="75"/>
        <v>26.563939036649987</v>
      </c>
      <c r="AE164" s="21">
        <f t="shared" si="75"/>
        <v>1.0713109459242645</v>
      </c>
      <c r="AF164" s="21">
        <f t="shared" si="75"/>
        <v>0.45806269065645216</v>
      </c>
      <c r="AG164" s="21">
        <f t="shared" si="75"/>
        <v>0.14651767323919851</v>
      </c>
      <c r="AH164" s="32">
        <f t="shared" si="75"/>
        <v>0.59753660975709344</v>
      </c>
    </row>
    <row r="165" spans="1:34" ht="15.75" thickBot="1"/>
    <row r="166" spans="1:34" ht="15.75" thickBot="1">
      <c r="A166" s="1"/>
      <c r="B166" s="338" t="s">
        <v>0</v>
      </c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  <c r="M166" s="339"/>
      <c r="N166" s="339"/>
      <c r="O166" s="339"/>
      <c r="P166" s="339"/>
      <c r="Q166" s="339"/>
      <c r="R166" s="339"/>
      <c r="S166" s="339"/>
      <c r="T166" s="339"/>
      <c r="U166" s="339"/>
      <c r="V166" s="339"/>
      <c r="W166" s="339"/>
      <c r="X166" s="339"/>
      <c r="Y166" s="339"/>
      <c r="Z166" s="339"/>
      <c r="AA166" s="339"/>
      <c r="AB166" s="339"/>
      <c r="AC166" s="339"/>
      <c r="AD166" s="340"/>
      <c r="AE166" s="340"/>
      <c r="AF166" s="340"/>
      <c r="AG166" s="340"/>
      <c r="AH166" s="340"/>
    </row>
    <row r="167" spans="1:34" ht="15.75" thickBot="1">
      <c r="A167" s="1"/>
      <c r="B167" s="338" t="s">
        <v>172</v>
      </c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339"/>
      <c r="O167" s="339"/>
      <c r="P167" s="339"/>
      <c r="Q167" s="339"/>
      <c r="R167" s="339"/>
      <c r="S167" s="339"/>
      <c r="T167" s="339"/>
      <c r="U167" s="339"/>
      <c r="V167" s="339"/>
      <c r="W167" s="339"/>
      <c r="X167" s="339"/>
      <c r="Y167" s="339"/>
      <c r="Z167" s="339"/>
      <c r="AA167" s="339"/>
      <c r="AB167" s="339"/>
      <c r="AC167" s="339"/>
      <c r="AD167" s="4"/>
      <c r="AE167" s="43" t="s">
        <v>107</v>
      </c>
      <c r="AF167" s="341">
        <v>46113</v>
      </c>
      <c r="AG167" s="342"/>
      <c r="AH167" s="343"/>
    </row>
    <row r="168" spans="1:34">
      <c r="A168" s="344"/>
      <c r="B168" s="346" t="s">
        <v>132</v>
      </c>
      <c r="C168" s="347"/>
      <c r="D168" s="347"/>
      <c r="E168" s="347"/>
      <c r="F168" s="347"/>
      <c r="G168" s="347"/>
      <c r="H168" s="347"/>
      <c r="I168" s="347"/>
      <c r="J168" s="347"/>
      <c r="K168" s="348"/>
      <c r="L168" s="349"/>
      <c r="M168" s="22"/>
      <c r="N168" s="350" t="s">
        <v>133</v>
      </c>
      <c r="O168" s="347"/>
      <c r="P168" s="347"/>
      <c r="Q168" s="347"/>
      <c r="R168" s="347"/>
      <c r="S168" s="347"/>
      <c r="T168" s="347"/>
      <c r="U168" s="347"/>
      <c r="V168" s="347"/>
      <c r="W168" s="348"/>
      <c r="X168" s="349"/>
      <c r="Y168" s="22"/>
      <c r="Z168" s="346" t="s">
        <v>134</v>
      </c>
      <c r="AA168" s="347"/>
      <c r="AB168" s="347"/>
      <c r="AC168" s="347"/>
      <c r="AD168" s="347"/>
      <c r="AE168" s="347"/>
      <c r="AF168" s="347"/>
      <c r="AG168" s="348"/>
      <c r="AH168" s="349"/>
    </row>
    <row r="169" spans="1:34" ht="25.5">
      <c r="A169" s="345"/>
      <c r="B169" s="359" t="s">
        <v>135</v>
      </c>
      <c r="C169" s="361" t="s">
        <v>136</v>
      </c>
      <c r="D169" s="5" t="s">
        <v>137</v>
      </c>
      <c r="E169" s="5" t="s">
        <v>138</v>
      </c>
      <c r="F169" s="5" t="s">
        <v>139</v>
      </c>
      <c r="G169" s="5" t="s">
        <v>140</v>
      </c>
      <c r="H169" s="5" t="s">
        <v>141</v>
      </c>
      <c r="I169" s="5" t="s">
        <v>142</v>
      </c>
      <c r="J169" s="5" t="s">
        <v>143</v>
      </c>
      <c r="K169" s="181" t="s">
        <v>81</v>
      </c>
      <c r="L169" s="23" t="s">
        <v>144</v>
      </c>
      <c r="M169" s="22"/>
      <c r="N169" s="355" t="s">
        <v>135</v>
      </c>
      <c r="O169" s="357" t="s">
        <v>136</v>
      </c>
      <c r="P169" s="5" t="s">
        <v>137</v>
      </c>
      <c r="Q169" s="5" t="s">
        <v>138</v>
      </c>
      <c r="R169" s="5" t="s">
        <v>139</v>
      </c>
      <c r="S169" s="5" t="s">
        <v>140</v>
      </c>
      <c r="T169" s="5" t="s">
        <v>141</v>
      </c>
      <c r="U169" s="5" t="s">
        <v>142</v>
      </c>
      <c r="V169" s="5" t="s">
        <v>143</v>
      </c>
      <c r="W169" s="181" t="s">
        <v>81</v>
      </c>
      <c r="X169" s="23" t="s">
        <v>144</v>
      </c>
      <c r="Y169" s="22"/>
      <c r="Z169" s="33" t="s">
        <v>137</v>
      </c>
      <c r="AA169" s="5" t="s">
        <v>138</v>
      </c>
      <c r="AB169" s="5" t="s">
        <v>139</v>
      </c>
      <c r="AC169" s="5" t="s">
        <v>140</v>
      </c>
      <c r="AD169" s="5" t="s">
        <v>141</v>
      </c>
      <c r="AE169" s="5" t="s">
        <v>142</v>
      </c>
      <c r="AF169" s="5" t="s">
        <v>143</v>
      </c>
      <c r="AG169" s="181" t="s">
        <v>81</v>
      </c>
      <c r="AH169" s="23" t="s">
        <v>144</v>
      </c>
    </row>
    <row r="170" spans="1:34" ht="25.5">
      <c r="A170" s="6" t="s">
        <v>145</v>
      </c>
      <c r="B170" s="360"/>
      <c r="C170" s="362"/>
      <c r="D170" s="5" t="s">
        <v>128</v>
      </c>
      <c r="E170" s="5" t="s">
        <v>128</v>
      </c>
      <c r="F170" s="5" t="s">
        <v>128</v>
      </c>
      <c r="G170" s="5" t="s">
        <v>128</v>
      </c>
      <c r="H170" s="5" t="s">
        <v>125</v>
      </c>
      <c r="I170" s="5" t="s">
        <v>146</v>
      </c>
      <c r="J170" s="5" t="s">
        <v>127</v>
      </c>
      <c r="K170" s="181" t="s">
        <v>53</v>
      </c>
      <c r="L170" s="23" t="s">
        <v>53</v>
      </c>
      <c r="M170" s="22"/>
      <c r="N170" s="356"/>
      <c r="O170" s="358"/>
      <c r="P170" s="5" t="s">
        <v>128</v>
      </c>
      <c r="Q170" s="5" t="s">
        <v>128</v>
      </c>
      <c r="R170" s="5" t="s">
        <v>128</v>
      </c>
      <c r="S170" s="5" t="s">
        <v>128</v>
      </c>
      <c r="T170" s="5" t="s">
        <v>125</v>
      </c>
      <c r="U170" s="5" t="s">
        <v>146</v>
      </c>
      <c r="V170" s="5" t="s">
        <v>127</v>
      </c>
      <c r="W170" s="181" t="s">
        <v>53</v>
      </c>
      <c r="X170" s="23" t="s">
        <v>53</v>
      </c>
      <c r="Y170" s="22"/>
      <c r="Z170" s="33" t="s">
        <v>128</v>
      </c>
      <c r="AA170" s="5" t="s">
        <v>128</v>
      </c>
      <c r="AB170" s="5" t="s">
        <v>128</v>
      </c>
      <c r="AC170" s="5" t="s">
        <v>128</v>
      </c>
      <c r="AD170" s="5" t="s">
        <v>125</v>
      </c>
      <c r="AE170" s="5" t="s">
        <v>146</v>
      </c>
      <c r="AF170" s="5" t="s">
        <v>127</v>
      </c>
      <c r="AG170" s="181" t="s">
        <v>53</v>
      </c>
      <c r="AH170" s="23" t="s">
        <v>53</v>
      </c>
    </row>
    <row r="171" spans="1:34" ht="39" thickBot="1">
      <c r="A171" s="7" t="s">
        <v>147</v>
      </c>
      <c r="B171" s="8" t="s">
        <v>173</v>
      </c>
      <c r="C171" s="9" t="s">
        <v>174</v>
      </c>
      <c r="D171" s="9" t="s">
        <v>181</v>
      </c>
      <c r="E171" s="9" t="s">
        <v>182</v>
      </c>
      <c r="F171" s="9" t="s">
        <v>183</v>
      </c>
      <c r="G171" s="9" t="s">
        <v>175</v>
      </c>
      <c r="H171" s="9" t="s">
        <v>176</v>
      </c>
      <c r="I171" s="24" t="s">
        <v>155</v>
      </c>
      <c r="J171" s="24" t="s">
        <v>156</v>
      </c>
      <c r="K171" s="24" t="s">
        <v>179</v>
      </c>
      <c r="L171" s="25" t="s">
        <v>177</v>
      </c>
      <c r="M171" s="22"/>
      <c r="N171" s="8" t="s">
        <v>173</v>
      </c>
      <c r="O171" s="9" t="s">
        <v>174</v>
      </c>
      <c r="P171" s="9" t="s">
        <v>181</v>
      </c>
      <c r="Q171" s="9" t="s">
        <v>182</v>
      </c>
      <c r="R171" s="9" t="s">
        <v>183</v>
      </c>
      <c r="S171" s="9" t="s">
        <v>175</v>
      </c>
      <c r="T171" s="9" t="s">
        <v>176</v>
      </c>
      <c r="U171" s="24" t="s">
        <v>155</v>
      </c>
      <c r="V171" s="24" t="s">
        <v>156</v>
      </c>
      <c r="W171" s="24" t="s">
        <v>179</v>
      </c>
      <c r="X171" s="25" t="s">
        <v>177</v>
      </c>
      <c r="Y171" s="22"/>
      <c r="Z171" s="9" t="s">
        <v>181</v>
      </c>
      <c r="AA171" s="9" t="s">
        <v>182</v>
      </c>
      <c r="AB171" s="9" t="s">
        <v>183</v>
      </c>
      <c r="AC171" s="9" t="s">
        <v>175</v>
      </c>
      <c r="AD171" s="9" t="s">
        <v>176</v>
      </c>
      <c r="AE171" s="24" t="s">
        <v>155</v>
      </c>
      <c r="AF171" s="24" t="s">
        <v>156</v>
      </c>
      <c r="AG171" s="24" t="s">
        <v>179</v>
      </c>
      <c r="AH171" s="25" t="s">
        <v>177</v>
      </c>
    </row>
    <row r="172" spans="1:34">
      <c r="A172" s="10">
        <f>AF167+0</f>
        <v>46113</v>
      </c>
      <c r="B172" s="11" t="s">
        <v>35</v>
      </c>
      <c r="C172" s="12" t="s">
        <v>35</v>
      </c>
      <c r="D172" s="12" t="s">
        <v>35</v>
      </c>
      <c r="E172" s="13" t="s">
        <v>35</v>
      </c>
      <c r="F172" s="12" t="s">
        <v>35</v>
      </c>
      <c r="G172" s="12" t="s">
        <v>35</v>
      </c>
      <c r="H172" s="12" t="s">
        <v>35</v>
      </c>
      <c r="I172" s="12" t="s">
        <v>35</v>
      </c>
      <c r="J172" s="13" t="s">
        <v>35</v>
      </c>
      <c r="K172" s="195" t="s">
        <v>35</v>
      </c>
      <c r="L172" s="26" t="s">
        <v>35</v>
      </c>
      <c r="M172" s="22"/>
      <c r="N172" s="29" t="s">
        <v>35</v>
      </c>
      <c r="O172" s="13" t="s">
        <v>35</v>
      </c>
      <c r="P172" s="29" t="s">
        <v>35</v>
      </c>
      <c r="Q172" s="13" t="s">
        <v>35</v>
      </c>
      <c r="R172" s="13" t="s">
        <v>35</v>
      </c>
      <c r="S172" s="13" t="s">
        <v>35</v>
      </c>
      <c r="T172" s="13" t="s">
        <v>35</v>
      </c>
      <c r="U172" s="13" t="s">
        <v>35</v>
      </c>
      <c r="V172" s="36" t="s">
        <v>35</v>
      </c>
      <c r="W172" s="36" t="s">
        <v>35</v>
      </c>
      <c r="X172" s="180" t="s">
        <v>35</v>
      </c>
      <c r="Y172" s="22"/>
      <c r="Z172" s="38" t="s">
        <v>35</v>
      </c>
      <c r="AA172" s="13" t="s">
        <v>35</v>
      </c>
      <c r="AB172" s="13" t="s">
        <v>35</v>
      </c>
      <c r="AC172" s="13" t="s">
        <v>35</v>
      </c>
      <c r="AD172" s="13" t="s">
        <v>35</v>
      </c>
      <c r="AE172" s="13" t="s">
        <v>35</v>
      </c>
      <c r="AF172" s="13" t="s">
        <v>35</v>
      </c>
      <c r="AG172" s="13" t="s">
        <v>35</v>
      </c>
      <c r="AH172" s="37" t="s">
        <v>35</v>
      </c>
    </row>
    <row r="173" spans="1:34">
      <c r="A173" s="14">
        <f t="shared" ref="A173:A202" si="76">A172+1</f>
        <v>46114</v>
      </c>
      <c r="B173" s="11" t="s">
        <v>35</v>
      </c>
      <c r="C173" s="12" t="s">
        <v>35</v>
      </c>
      <c r="D173" s="12" t="s">
        <v>35</v>
      </c>
      <c r="E173" s="13" t="s">
        <v>35</v>
      </c>
      <c r="F173" s="12" t="s">
        <v>35</v>
      </c>
      <c r="G173" s="12" t="s">
        <v>35</v>
      </c>
      <c r="H173" s="12" t="s">
        <v>35</v>
      </c>
      <c r="I173" s="12" t="s">
        <v>35</v>
      </c>
      <c r="J173" s="13" t="s">
        <v>35</v>
      </c>
      <c r="K173" s="195" t="s">
        <v>35</v>
      </c>
      <c r="L173" s="26" t="s">
        <v>35</v>
      </c>
      <c r="M173" s="22"/>
      <c r="N173" s="29" t="s">
        <v>35</v>
      </c>
      <c r="O173" s="13" t="s">
        <v>35</v>
      </c>
      <c r="P173" s="13">
        <v>14.29</v>
      </c>
      <c r="Q173" s="13">
        <v>22.65</v>
      </c>
      <c r="R173" s="13">
        <v>41.2</v>
      </c>
      <c r="S173" s="13"/>
      <c r="T173" s="36">
        <v>319</v>
      </c>
      <c r="U173" s="13">
        <v>12.28</v>
      </c>
      <c r="V173" s="13">
        <v>0.5</v>
      </c>
      <c r="W173" s="184">
        <v>2.4300000000000002</v>
      </c>
      <c r="X173" s="37">
        <v>2.86</v>
      </c>
      <c r="Y173" s="22"/>
      <c r="Z173" s="38" t="s">
        <v>35</v>
      </c>
      <c r="AA173" s="13" t="s">
        <v>35</v>
      </c>
      <c r="AB173" s="13" t="s">
        <v>35</v>
      </c>
      <c r="AC173" s="13" t="s">
        <v>35</v>
      </c>
      <c r="AD173" s="13" t="s">
        <v>35</v>
      </c>
      <c r="AE173" s="13" t="s">
        <v>35</v>
      </c>
      <c r="AF173" s="13" t="s">
        <v>35</v>
      </c>
      <c r="AG173" s="13" t="s">
        <v>35</v>
      </c>
      <c r="AH173" s="37" t="s">
        <v>35</v>
      </c>
    </row>
    <row r="174" spans="1:34">
      <c r="A174" s="14">
        <f t="shared" si="76"/>
        <v>46115</v>
      </c>
      <c r="B174" s="11" t="s">
        <v>35</v>
      </c>
      <c r="C174" s="12" t="s">
        <v>35</v>
      </c>
      <c r="D174" s="12" t="s">
        <v>35</v>
      </c>
      <c r="E174" s="13" t="s">
        <v>35</v>
      </c>
      <c r="F174" s="12" t="s">
        <v>35</v>
      </c>
      <c r="G174" s="12" t="s">
        <v>35</v>
      </c>
      <c r="H174" s="12" t="s">
        <v>35</v>
      </c>
      <c r="I174" s="12" t="s">
        <v>35</v>
      </c>
      <c r="J174" s="13" t="s">
        <v>35</v>
      </c>
      <c r="K174" s="195" t="s">
        <v>35</v>
      </c>
      <c r="L174" s="26" t="s">
        <v>35</v>
      </c>
      <c r="M174" s="22"/>
      <c r="N174" s="29" t="s">
        <v>35</v>
      </c>
      <c r="O174" s="13" t="s">
        <v>35</v>
      </c>
      <c r="P174" s="13" t="s">
        <v>35</v>
      </c>
      <c r="Q174" s="13" t="s">
        <v>35</v>
      </c>
      <c r="R174" s="13" t="s">
        <v>35</v>
      </c>
      <c r="S174" s="13" t="s">
        <v>35</v>
      </c>
      <c r="T174" s="36" t="s">
        <v>35</v>
      </c>
      <c r="U174" s="13" t="s">
        <v>35</v>
      </c>
      <c r="V174" s="13" t="s">
        <v>35</v>
      </c>
      <c r="W174" s="184" t="s">
        <v>35</v>
      </c>
      <c r="X174" s="37" t="s">
        <v>35</v>
      </c>
      <c r="Y174" s="22"/>
      <c r="Z174" s="38" t="s">
        <v>35</v>
      </c>
      <c r="AA174" s="13" t="s">
        <v>35</v>
      </c>
      <c r="AB174" s="13" t="s">
        <v>35</v>
      </c>
      <c r="AC174" s="13" t="s">
        <v>35</v>
      </c>
      <c r="AD174" s="13" t="s">
        <v>35</v>
      </c>
      <c r="AE174" s="13" t="s">
        <v>35</v>
      </c>
      <c r="AF174" s="13" t="s">
        <v>35</v>
      </c>
      <c r="AG174" s="13" t="s">
        <v>35</v>
      </c>
      <c r="AH174" s="37" t="s">
        <v>35</v>
      </c>
    </row>
    <row r="175" spans="1:34">
      <c r="A175" s="14">
        <f t="shared" si="76"/>
        <v>46116</v>
      </c>
      <c r="B175" s="11" t="s">
        <v>35</v>
      </c>
      <c r="C175" s="12" t="s">
        <v>35</v>
      </c>
      <c r="D175" s="12" t="s">
        <v>35</v>
      </c>
      <c r="E175" s="13" t="s">
        <v>35</v>
      </c>
      <c r="F175" s="12" t="s">
        <v>35</v>
      </c>
      <c r="G175" s="12" t="s">
        <v>35</v>
      </c>
      <c r="H175" s="12" t="s">
        <v>35</v>
      </c>
      <c r="I175" s="12" t="s">
        <v>35</v>
      </c>
      <c r="J175" s="13" t="s">
        <v>35</v>
      </c>
      <c r="K175" s="195" t="s">
        <v>35</v>
      </c>
      <c r="L175" s="26" t="s">
        <v>35</v>
      </c>
      <c r="M175" s="22"/>
      <c r="N175" s="29" t="s">
        <v>35</v>
      </c>
      <c r="O175" s="13" t="s">
        <v>35</v>
      </c>
      <c r="P175" s="13" t="s">
        <v>35</v>
      </c>
      <c r="Q175" s="13" t="s">
        <v>35</v>
      </c>
      <c r="R175" s="13" t="s">
        <v>35</v>
      </c>
      <c r="S175" s="13" t="s">
        <v>35</v>
      </c>
      <c r="T175" s="36" t="s">
        <v>35</v>
      </c>
      <c r="U175" s="13" t="s">
        <v>35</v>
      </c>
      <c r="V175" s="13" t="s">
        <v>35</v>
      </c>
      <c r="W175" s="184" t="s">
        <v>35</v>
      </c>
      <c r="X175" s="37" t="s">
        <v>35</v>
      </c>
      <c r="Y175" s="22"/>
      <c r="Z175" s="38" t="s">
        <v>35</v>
      </c>
      <c r="AA175" s="13" t="s">
        <v>35</v>
      </c>
      <c r="AB175" s="13" t="s">
        <v>35</v>
      </c>
      <c r="AC175" s="13" t="s">
        <v>35</v>
      </c>
      <c r="AD175" s="13" t="s">
        <v>35</v>
      </c>
      <c r="AE175" s="13" t="s">
        <v>35</v>
      </c>
      <c r="AF175" s="13" t="s">
        <v>35</v>
      </c>
      <c r="AG175" s="13" t="s">
        <v>35</v>
      </c>
      <c r="AH175" s="37" t="s">
        <v>35</v>
      </c>
    </row>
    <row r="176" spans="1:34">
      <c r="A176" s="14">
        <f t="shared" si="76"/>
        <v>46117</v>
      </c>
      <c r="B176" s="11" t="s">
        <v>35</v>
      </c>
      <c r="C176" s="12" t="s">
        <v>35</v>
      </c>
      <c r="D176" s="12" t="s">
        <v>35</v>
      </c>
      <c r="E176" s="13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3" t="s">
        <v>35</v>
      </c>
      <c r="K176" s="195" t="s">
        <v>35</v>
      </c>
      <c r="L176" s="26" t="s">
        <v>35</v>
      </c>
      <c r="M176" s="22"/>
      <c r="N176" s="29" t="s">
        <v>35</v>
      </c>
      <c r="O176" s="13" t="s">
        <v>35</v>
      </c>
      <c r="P176" s="13" t="s">
        <v>35</v>
      </c>
      <c r="Q176" s="13" t="s">
        <v>35</v>
      </c>
      <c r="R176" s="13" t="s">
        <v>35</v>
      </c>
      <c r="S176" s="13" t="s">
        <v>35</v>
      </c>
      <c r="T176" s="36" t="s">
        <v>35</v>
      </c>
      <c r="U176" s="13" t="s">
        <v>35</v>
      </c>
      <c r="V176" s="13" t="s">
        <v>35</v>
      </c>
      <c r="W176" s="184" t="s">
        <v>35</v>
      </c>
      <c r="X176" s="37" t="s">
        <v>35</v>
      </c>
      <c r="Y176" s="22"/>
      <c r="Z176" s="38" t="s">
        <v>35</v>
      </c>
      <c r="AA176" s="13" t="s">
        <v>35</v>
      </c>
      <c r="AB176" s="13" t="s">
        <v>35</v>
      </c>
      <c r="AC176" s="13" t="s">
        <v>35</v>
      </c>
      <c r="AD176" s="13" t="s">
        <v>35</v>
      </c>
      <c r="AE176" s="13" t="s">
        <v>35</v>
      </c>
      <c r="AF176" s="13" t="s">
        <v>35</v>
      </c>
      <c r="AG176" s="13" t="s">
        <v>35</v>
      </c>
      <c r="AH176" s="37" t="s">
        <v>35</v>
      </c>
    </row>
    <row r="177" spans="1:34">
      <c r="A177" s="14">
        <f t="shared" si="76"/>
        <v>46118</v>
      </c>
      <c r="B177" s="11" t="s">
        <v>35</v>
      </c>
      <c r="C177" s="12" t="s">
        <v>35</v>
      </c>
      <c r="D177" s="12" t="s">
        <v>35</v>
      </c>
      <c r="E177" s="13" t="s">
        <v>35</v>
      </c>
      <c r="F177" s="12" t="s">
        <v>35</v>
      </c>
      <c r="G177" s="12" t="s">
        <v>35</v>
      </c>
      <c r="H177" s="12" t="s">
        <v>35</v>
      </c>
      <c r="I177" s="12" t="s">
        <v>35</v>
      </c>
      <c r="J177" s="13" t="s">
        <v>35</v>
      </c>
      <c r="K177" s="195" t="s">
        <v>35</v>
      </c>
      <c r="L177" s="26" t="s">
        <v>35</v>
      </c>
      <c r="M177" s="22"/>
      <c r="N177" s="29" t="s">
        <v>35</v>
      </c>
      <c r="O177" s="13" t="s">
        <v>35</v>
      </c>
      <c r="P177" s="13" t="s">
        <v>35</v>
      </c>
      <c r="Q177" s="13" t="s">
        <v>35</v>
      </c>
      <c r="R177" s="13" t="s">
        <v>35</v>
      </c>
      <c r="S177" s="13" t="s">
        <v>35</v>
      </c>
      <c r="T177" s="36" t="s">
        <v>35</v>
      </c>
      <c r="U177" s="13" t="s">
        <v>35</v>
      </c>
      <c r="V177" s="13" t="s">
        <v>35</v>
      </c>
      <c r="W177" s="184" t="s">
        <v>35</v>
      </c>
      <c r="X177" s="37" t="s">
        <v>35</v>
      </c>
      <c r="Y177" s="22"/>
      <c r="Z177" s="38" t="s">
        <v>35</v>
      </c>
      <c r="AA177" s="13" t="s">
        <v>35</v>
      </c>
      <c r="AB177" s="13" t="s">
        <v>35</v>
      </c>
      <c r="AC177" s="13" t="s">
        <v>35</v>
      </c>
      <c r="AD177" s="13" t="s">
        <v>35</v>
      </c>
      <c r="AE177" s="13" t="s">
        <v>35</v>
      </c>
      <c r="AF177" s="13" t="s">
        <v>35</v>
      </c>
      <c r="AG177" s="13" t="s">
        <v>35</v>
      </c>
      <c r="AH177" s="37" t="s">
        <v>35</v>
      </c>
    </row>
    <row r="178" spans="1:34">
      <c r="A178" s="14">
        <f t="shared" si="76"/>
        <v>46119</v>
      </c>
      <c r="B178" s="11" t="s">
        <v>35</v>
      </c>
      <c r="C178" s="12" t="s">
        <v>35</v>
      </c>
      <c r="D178" s="12" t="s">
        <v>35</v>
      </c>
      <c r="E178" s="13" t="s">
        <v>35</v>
      </c>
      <c r="F178" s="12" t="s">
        <v>35</v>
      </c>
      <c r="G178" s="12" t="s">
        <v>35</v>
      </c>
      <c r="H178" s="12" t="s">
        <v>35</v>
      </c>
      <c r="I178" s="12" t="s">
        <v>35</v>
      </c>
      <c r="J178" s="13" t="s">
        <v>35</v>
      </c>
      <c r="K178" s="195" t="s">
        <v>35</v>
      </c>
      <c r="L178" s="26" t="s">
        <v>35</v>
      </c>
      <c r="M178" s="22"/>
      <c r="N178" s="29" t="s">
        <v>35</v>
      </c>
      <c r="O178" s="13" t="s">
        <v>35</v>
      </c>
      <c r="P178" s="13" t="s">
        <v>35</v>
      </c>
      <c r="Q178" s="13" t="s">
        <v>35</v>
      </c>
      <c r="R178" s="13" t="s">
        <v>35</v>
      </c>
      <c r="S178" s="13" t="s">
        <v>35</v>
      </c>
      <c r="T178" s="36" t="s">
        <v>35</v>
      </c>
      <c r="U178" s="13" t="s">
        <v>35</v>
      </c>
      <c r="V178" s="13" t="s">
        <v>35</v>
      </c>
      <c r="W178" s="184" t="s">
        <v>35</v>
      </c>
      <c r="X178" s="37" t="s">
        <v>35</v>
      </c>
      <c r="Y178" s="22"/>
      <c r="Z178" s="38" t="s">
        <v>35</v>
      </c>
      <c r="AA178" s="13" t="s">
        <v>35</v>
      </c>
      <c r="AB178" s="13" t="s">
        <v>35</v>
      </c>
      <c r="AC178" s="13" t="s">
        <v>35</v>
      </c>
      <c r="AD178" s="13" t="s">
        <v>35</v>
      </c>
      <c r="AE178" s="13" t="s">
        <v>35</v>
      </c>
      <c r="AF178" s="13" t="s">
        <v>35</v>
      </c>
      <c r="AG178" s="13" t="s">
        <v>35</v>
      </c>
      <c r="AH178" s="37" t="s">
        <v>35</v>
      </c>
    </row>
    <row r="179" spans="1:34">
      <c r="A179" s="14">
        <f t="shared" si="76"/>
        <v>46120</v>
      </c>
      <c r="B179" s="11" t="s">
        <v>35</v>
      </c>
      <c r="C179" s="12" t="s">
        <v>35</v>
      </c>
      <c r="D179" s="12" t="s">
        <v>35</v>
      </c>
      <c r="E179" s="13" t="s">
        <v>35</v>
      </c>
      <c r="F179" s="12" t="s">
        <v>35</v>
      </c>
      <c r="G179" s="12" t="s">
        <v>35</v>
      </c>
      <c r="H179" s="12" t="s">
        <v>35</v>
      </c>
      <c r="I179" s="12" t="s">
        <v>35</v>
      </c>
      <c r="J179" s="13" t="s">
        <v>35</v>
      </c>
      <c r="K179" s="195" t="s">
        <v>35</v>
      </c>
      <c r="L179" s="26" t="s">
        <v>35</v>
      </c>
      <c r="M179" s="22"/>
      <c r="N179" s="29" t="s">
        <v>35</v>
      </c>
      <c r="O179" s="13" t="s">
        <v>35</v>
      </c>
      <c r="P179" s="13">
        <v>13.46</v>
      </c>
      <c r="Q179" s="13">
        <v>25.25</v>
      </c>
      <c r="R179" s="13">
        <v>39.6</v>
      </c>
      <c r="S179" s="13"/>
      <c r="T179" s="36">
        <v>308</v>
      </c>
      <c r="U179" s="13">
        <v>12.84</v>
      </c>
      <c r="V179" s="13">
        <v>1</v>
      </c>
      <c r="W179" s="184">
        <v>2.13</v>
      </c>
      <c r="X179" s="37">
        <v>4.4000000000000004</v>
      </c>
      <c r="Y179" s="22"/>
      <c r="Z179" s="38" t="s">
        <v>35</v>
      </c>
      <c r="AA179" s="13" t="s">
        <v>35</v>
      </c>
      <c r="AB179" s="13" t="s">
        <v>35</v>
      </c>
      <c r="AC179" s="13" t="s">
        <v>35</v>
      </c>
      <c r="AD179" s="13" t="s">
        <v>35</v>
      </c>
      <c r="AE179" s="13" t="s">
        <v>35</v>
      </c>
      <c r="AF179" s="13" t="s">
        <v>35</v>
      </c>
      <c r="AG179" s="13" t="s">
        <v>35</v>
      </c>
      <c r="AH179" s="37" t="s">
        <v>35</v>
      </c>
    </row>
    <row r="180" spans="1:34">
      <c r="A180" s="14">
        <f t="shared" si="76"/>
        <v>46121</v>
      </c>
      <c r="B180" s="11" t="s">
        <v>35</v>
      </c>
      <c r="C180" s="12" t="s">
        <v>35</v>
      </c>
      <c r="D180" s="12" t="s">
        <v>35</v>
      </c>
      <c r="E180" s="13" t="s">
        <v>35</v>
      </c>
      <c r="F180" s="12" t="s">
        <v>35</v>
      </c>
      <c r="G180" s="12" t="s">
        <v>35</v>
      </c>
      <c r="H180" s="12" t="s">
        <v>35</v>
      </c>
      <c r="I180" s="12" t="s">
        <v>35</v>
      </c>
      <c r="J180" s="13" t="s">
        <v>35</v>
      </c>
      <c r="K180" s="195" t="s">
        <v>35</v>
      </c>
      <c r="L180" s="26" t="s">
        <v>35</v>
      </c>
      <c r="M180" s="22"/>
      <c r="N180" s="29" t="s">
        <v>35</v>
      </c>
      <c r="O180" s="13" t="s">
        <v>35</v>
      </c>
      <c r="P180" s="13" t="s">
        <v>35</v>
      </c>
      <c r="Q180" s="13" t="s">
        <v>35</v>
      </c>
      <c r="R180" s="13" t="s">
        <v>35</v>
      </c>
      <c r="S180" s="13" t="s">
        <v>35</v>
      </c>
      <c r="T180" s="13" t="s">
        <v>35</v>
      </c>
      <c r="U180" s="13" t="s">
        <v>35</v>
      </c>
      <c r="V180" s="13" t="s">
        <v>35</v>
      </c>
      <c r="W180" s="13" t="s">
        <v>35</v>
      </c>
      <c r="X180" s="208" t="s">
        <v>35</v>
      </c>
      <c r="Y180" s="22"/>
      <c r="Z180" s="38" t="s">
        <v>35</v>
      </c>
      <c r="AA180" s="13" t="s">
        <v>35</v>
      </c>
      <c r="AB180" s="13" t="s">
        <v>35</v>
      </c>
      <c r="AC180" s="13" t="s">
        <v>35</v>
      </c>
      <c r="AD180" s="13" t="s">
        <v>35</v>
      </c>
      <c r="AE180" s="13" t="s">
        <v>35</v>
      </c>
      <c r="AF180" s="13" t="s">
        <v>35</v>
      </c>
      <c r="AG180" s="13" t="s">
        <v>35</v>
      </c>
      <c r="AH180" s="37" t="s">
        <v>35</v>
      </c>
    </row>
    <row r="181" spans="1:34">
      <c r="A181" s="14">
        <f t="shared" si="76"/>
        <v>46122</v>
      </c>
      <c r="B181" s="11" t="s">
        <v>35</v>
      </c>
      <c r="C181" s="12" t="s">
        <v>35</v>
      </c>
      <c r="D181" s="12" t="s">
        <v>35</v>
      </c>
      <c r="E181" s="13" t="s">
        <v>35</v>
      </c>
      <c r="F181" s="12" t="s">
        <v>35</v>
      </c>
      <c r="G181" s="12" t="s">
        <v>35</v>
      </c>
      <c r="H181" s="12" t="s">
        <v>35</v>
      </c>
      <c r="I181" s="12" t="s">
        <v>35</v>
      </c>
      <c r="J181" s="13" t="s">
        <v>35</v>
      </c>
      <c r="K181" s="195" t="s">
        <v>35</v>
      </c>
      <c r="L181" s="26" t="s">
        <v>35</v>
      </c>
      <c r="M181" s="22"/>
      <c r="N181" s="29" t="s">
        <v>35</v>
      </c>
      <c r="O181" s="13" t="s">
        <v>35</v>
      </c>
      <c r="P181" s="13" t="s">
        <v>35</v>
      </c>
      <c r="Q181" s="13" t="s">
        <v>35</v>
      </c>
      <c r="R181" s="13" t="s">
        <v>35</v>
      </c>
      <c r="S181" s="13" t="s">
        <v>35</v>
      </c>
      <c r="T181" s="13" t="s">
        <v>35</v>
      </c>
      <c r="U181" s="13" t="s">
        <v>35</v>
      </c>
      <c r="V181" s="13" t="s">
        <v>35</v>
      </c>
      <c r="W181" s="13" t="s">
        <v>35</v>
      </c>
      <c r="X181" s="208" t="s">
        <v>35</v>
      </c>
      <c r="Y181" s="22"/>
      <c r="Z181" s="38" t="s">
        <v>35</v>
      </c>
      <c r="AA181" s="13" t="s">
        <v>35</v>
      </c>
      <c r="AB181" s="13" t="s">
        <v>35</v>
      </c>
      <c r="AC181" s="13" t="s">
        <v>35</v>
      </c>
      <c r="AD181" s="13" t="s">
        <v>35</v>
      </c>
      <c r="AE181" s="13" t="s">
        <v>35</v>
      </c>
      <c r="AF181" s="13" t="s">
        <v>35</v>
      </c>
      <c r="AG181" s="13" t="s">
        <v>35</v>
      </c>
      <c r="AH181" s="37" t="s">
        <v>35</v>
      </c>
    </row>
    <row r="182" spans="1:34">
      <c r="A182" s="14">
        <f t="shared" si="76"/>
        <v>46123</v>
      </c>
      <c r="B182" s="11" t="s">
        <v>35</v>
      </c>
      <c r="C182" s="12" t="s">
        <v>35</v>
      </c>
      <c r="D182" s="12" t="s">
        <v>35</v>
      </c>
      <c r="E182" s="13" t="s">
        <v>35</v>
      </c>
      <c r="F182" s="12" t="s">
        <v>35</v>
      </c>
      <c r="G182" s="12" t="s">
        <v>35</v>
      </c>
      <c r="H182" s="12" t="s">
        <v>35</v>
      </c>
      <c r="I182" s="12" t="s">
        <v>35</v>
      </c>
      <c r="J182" s="13" t="s">
        <v>35</v>
      </c>
      <c r="K182" s="195" t="s">
        <v>35</v>
      </c>
      <c r="L182" s="26" t="s">
        <v>35</v>
      </c>
      <c r="M182" s="22"/>
      <c r="N182" s="29" t="s">
        <v>35</v>
      </c>
      <c r="O182" s="13" t="s">
        <v>35</v>
      </c>
      <c r="P182" s="13" t="s">
        <v>35</v>
      </c>
      <c r="Q182" s="13" t="s">
        <v>35</v>
      </c>
      <c r="R182" s="13" t="s">
        <v>35</v>
      </c>
      <c r="S182" s="13" t="s">
        <v>35</v>
      </c>
      <c r="T182" s="13" t="s">
        <v>35</v>
      </c>
      <c r="U182" s="13" t="s">
        <v>35</v>
      </c>
      <c r="V182" s="13" t="s">
        <v>35</v>
      </c>
      <c r="W182" s="13" t="s">
        <v>35</v>
      </c>
      <c r="X182" s="208" t="s">
        <v>35</v>
      </c>
      <c r="Y182" s="22"/>
      <c r="Z182" s="38">
        <v>13.31</v>
      </c>
      <c r="AA182" s="13">
        <v>25.05</v>
      </c>
      <c r="AB182" s="13">
        <v>40.840000000000003</v>
      </c>
      <c r="AC182" s="13"/>
      <c r="AD182" s="36">
        <v>302</v>
      </c>
      <c r="AE182" s="13">
        <v>11.4</v>
      </c>
      <c r="AF182" s="13">
        <v>1</v>
      </c>
      <c r="AG182" s="184">
        <v>2.4300000000000002</v>
      </c>
      <c r="AH182" s="37">
        <v>3.72</v>
      </c>
    </row>
    <row r="183" spans="1:34">
      <c r="A183" s="14">
        <f t="shared" si="76"/>
        <v>46124</v>
      </c>
      <c r="B183" s="11" t="s">
        <v>35</v>
      </c>
      <c r="C183" s="12" t="s">
        <v>35</v>
      </c>
      <c r="D183" s="12" t="s">
        <v>35</v>
      </c>
      <c r="E183" s="13" t="s">
        <v>35</v>
      </c>
      <c r="F183" s="12" t="s">
        <v>35</v>
      </c>
      <c r="G183" s="12" t="s">
        <v>35</v>
      </c>
      <c r="H183" s="12" t="s">
        <v>35</v>
      </c>
      <c r="I183" s="12" t="s">
        <v>35</v>
      </c>
      <c r="J183" s="13" t="s">
        <v>35</v>
      </c>
      <c r="K183" s="195" t="s">
        <v>35</v>
      </c>
      <c r="L183" s="26" t="s">
        <v>35</v>
      </c>
      <c r="M183" s="22"/>
      <c r="N183" s="29" t="s">
        <v>35</v>
      </c>
      <c r="O183" s="13" t="s">
        <v>35</v>
      </c>
      <c r="P183" s="13">
        <v>13.86</v>
      </c>
      <c r="Q183" s="13">
        <v>23.25</v>
      </c>
      <c r="R183" s="13">
        <v>37.409999999999997</v>
      </c>
      <c r="S183" s="13"/>
      <c r="T183" s="36">
        <v>289</v>
      </c>
      <c r="U183" s="13">
        <v>9.32</v>
      </c>
      <c r="V183" s="13">
        <v>1</v>
      </c>
      <c r="W183" s="184">
        <v>1.71</v>
      </c>
      <c r="X183" s="51">
        <v>3.92</v>
      </c>
      <c r="Y183" s="22"/>
      <c r="Z183" s="38">
        <v>14.71</v>
      </c>
      <c r="AA183" s="13">
        <v>23.74</v>
      </c>
      <c r="AB183" s="13">
        <v>39.58</v>
      </c>
      <c r="AC183" s="13"/>
      <c r="AD183" s="36">
        <v>321</v>
      </c>
      <c r="AE183" s="13">
        <v>11.52</v>
      </c>
      <c r="AF183" s="13">
        <v>0.5</v>
      </c>
      <c r="AG183" s="184">
        <v>2.35</v>
      </c>
      <c r="AH183" s="37">
        <v>2.86</v>
      </c>
    </row>
    <row r="184" spans="1:34">
      <c r="A184" s="14">
        <f t="shared" si="76"/>
        <v>46125</v>
      </c>
      <c r="B184" s="11" t="s">
        <v>35</v>
      </c>
      <c r="C184" s="12" t="s">
        <v>35</v>
      </c>
      <c r="D184" s="12" t="s">
        <v>35</v>
      </c>
      <c r="E184" s="13" t="s">
        <v>35</v>
      </c>
      <c r="F184" s="12" t="s">
        <v>35</v>
      </c>
      <c r="G184" s="12" t="s">
        <v>35</v>
      </c>
      <c r="H184" s="12" t="s">
        <v>35</v>
      </c>
      <c r="I184" s="12" t="s">
        <v>35</v>
      </c>
      <c r="J184" s="13" t="s">
        <v>35</v>
      </c>
      <c r="K184" s="195" t="s">
        <v>35</v>
      </c>
      <c r="L184" s="26" t="s">
        <v>35</v>
      </c>
      <c r="M184" s="22"/>
      <c r="N184" s="29" t="s">
        <v>35</v>
      </c>
      <c r="O184" s="13" t="s">
        <v>35</v>
      </c>
      <c r="P184" s="13" t="s">
        <v>35</v>
      </c>
      <c r="Q184" s="13" t="s">
        <v>35</v>
      </c>
      <c r="R184" s="13" t="s">
        <v>35</v>
      </c>
      <c r="S184" s="13" t="s">
        <v>35</v>
      </c>
      <c r="T184" s="13" t="s">
        <v>35</v>
      </c>
      <c r="U184" s="13" t="s">
        <v>35</v>
      </c>
      <c r="V184" s="13" t="s">
        <v>35</v>
      </c>
      <c r="W184" s="13" t="s">
        <v>35</v>
      </c>
      <c r="X184" s="208" t="s">
        <v>35</v>
      </c>
      <c r="Y184" s="22"/>
      <c r="Z184" s="38" t="s">
        <v>35</v>
      </c>
      <c r="AA184" s="13" t="s">
        <v>35</v>
      </c>
      <c r="AB184" s="13" t="s">
        <v>35</v>
      </c>
      <c r="AC184" s="13" t="s">
        <v>35</v>
      </c>
      <c r="AD184" s="13" t="s">
        <v>35</v>
      </c>
      <c r="AE184" s="13" t="s">
        <v>35</v>
      </c>
      <c r="AF184" s="13" t="s">
        <v>35</v>
      </c>
      <c r="AG184" s="13" t="s">
        <v>35</v>
      </c>
      <c r="AH184" s="37" t="s">
        <v>35</v>
      </c>
    </row>
    <row r="185" spans="1:34">
      <c r="A185" s="14">
        <f t="shared" si="76"/>
        <v>46126</v>
      </c>
      <c r="B185" s="11" t="s">
        <v>35</v>
      </c>
      <c r="C185" s="12" t="s">
        <v>35</v>
      </c>
      <c r="D185" s="12" t="s">
        <v>35</v>
      </c>
      <c r="E185" s="13" t="s">
        <v>35</v>
      </c>
      <c r="F185" s="12" t="s">
        <v>35</v>
      </c>
      <c r="G185" s="12" t="s">
        <v>35</v>
      </c>
      <c r="H185" s="12" t="s">
        <v>35</v>
      </c>
      <c r="I185" s="12" t="s">
        <v>35</v>
      </c>
      <c r="J185" s="13" t="s">
        <v>35</v>
      </c>
      <c r="K185" s="195" t="s">
        <v>35</v>
      </c>
      <c r="L185" s="26" t="s">
        <v>35</v>
      </c>
      <c r="M185" s="22"/>
      <c r="N185" s="29" t="s">
        <v>35</v>
      </c>
      <c r="O185" s="13" t="s">
        <v>35</v>
      </c>
      <c r="P185" s="13">
        <v>13.32</v>
      </c>
      <c r="Q185" s="13">
        <v>24.87</v>
      </c>
      <c r="R185" s="13"/>
      <c r="S185" s="13"/>
      <c r="T185" s="36">
        <v>236</v>
      </c>
      <c r="U185" s="13">
        <v>12.92</v>
      </c>
      <c r="V185" s="13">
        <v>0.5</v>
      </c>
      <c r="W185" s="184">
        <v>2.5299999999999998</v>
      </c>
      <c r="X185" s="51">
        <v>2.4300000000000002</v>
      </c>
      <c r="Y185" s="22"/>
      <c r="Z185" s="38">
        <v>14.21</v>
      </c>
      <c r="AA185" s="13">
        <v>24.05</v>
      </c>
      <c r="AB185" s="13"/>
      <c r="AC185" s="13"/>
      <c r="AD185" s="36">
        <v>236</v>
      </c>
      <c r="AE185" s="13">
        <v>12.96</v>
      </c>
      <c r="AF185" s="13">
        <v>3.5</v>
      </c>
      <c r="AG185" s="184">
        <v>2</v>
      </c>
      <c r="AH185" s="37">
        <v>3.03</v>
      </c>
    </row>
    <row r="186" spans="1:34">
      <c r="A186" s="14">
        <f t="shared" si="76"/>
        <v>46127</v>
      </c>
      <c r="B186" s="11" t="s">
        <v>35</v>
      </c>
      <c r="C186" s="12" t="s">
        <v>35</v>
      </c>
      <c r="D186" s="12" t="s">
        <v>35</v>
      </c>
      <c r="E186" s="13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3" t="s">
        <v>35</v>
      </c>
      <c r="K186" s="195" t="s">
        <v>35</v>
      </c>
      <c r="L186" s="26" t="s">
        <v>35</v>
      </c>
      <c r="M186" s="22"/>
      <c r="N186" s="29" t="s">
        <v>35</v>
      </c>
      <c r="O186" s="13" t="s">
        <v>35</v>
      </c>
      <c r="P186" s="13" t="s">
        <v>35</v>
      </c>
      <c r="Q186" s="13" t="s">
        <v>35</v>
      </c>
      <c r="R186" s="13" t="s">
        <v>35</v>
      </c>
      <c r="S186" s="13" t="s">
        <v>35</v>
      </c>
      <c r="T186" s="13" t="s">
        <v>35</v>
      </c>
      <c r="U186" s="13" t="s">
        <v>35</v>
      </c>
      <c r="V186" s="13" t="s">
        <v>35</v>
      </c>
      <c r="W186" s="13" t="s">
        <v>35</v>
      </c>
      <c r="X186" s="208" t="s">
        <v>35</v>
      </c>
      <c r="Y186" s="22"/>
      <c r="Z186" s="38" t="s">
        <v>35</v>
      </c>
      <c r="AA186" s="13" t="s">
        <v>35</v>
      </c>
      <c r="AB186" s="13" t="s">
        <v>35</v>
      </c>
      <c r="AC186" s="13" t="s">
        <v>35</v>
      </c>
      <c r="AD186" s="13" t="s">
        <v>35</v>
      </c>
      <c r="AE186" s="13" t="s">
        <v>35</v>
      </c>
      <c r="AF186" s="13" t="s">
        <v>35</v>
      </c>
      <c r="AG186" s="13" t="s">
        <v>35</v>
      </c>
      <c r="AH186" s="37" t="s">
        <v>35</v>
      </c>
    </row>
    <row r="187" spans="1:34">
      <c r="A187" s="14">
        <f t="shared" si="76"/>
        <v>46128</v>
      </c>
      <c r="B187" s="11" t="s">
        <v>35</v>
      </c>
      <c r="C187" s="12" t="s">
        <v>35</v>
      </c>
      <c r="D187" s="12" t="s">
        <v>35</v>
      </c>
      <c r="E187" s="13" t="s">
        <v>35</v>
      </c>
      <c r="F187" s="12" t="s">
        <v>35</v>
      </c>
      <c r="G187" s="12" t="s">
        <v>35</v>
      </c>
      <c r="H187" s="12" t="s">
        <v>35</v>
      </c>
      <c r="I187" s="12" t="s">
        <v>35</v>
      </c>
      <c r="J187" s="13" t="s">
        <v>35</v>
      </c>
      <c r="K187" s="195" t="s">
        <v>35</v>
      </c>
      <c r="L187" s="26" t="s">
        <v>35</v>
      </c>
      <c r="M187" s="22"/>
      <c r="N187" s="29" t="s">
        <v>35</v>
      </c>
      <c r="O187" s="13" t="s">
        <v>35</v>
      </c>
      <c r="P187" s="13" t="s">
        <v>35</v>
      </c>
      <c r="Q187" s="13" t="s">
        <v>35</v>
      </c>
      <c r="R187" s="13" t="s">
        <v>35</v>
      </c>
      <c r="S187" s="13" t="s">
        <v>35</v>
      </c>
      <c r="T187" s="13" t="s">
        <v>35</v>
      </c>
      <c r="U187" s="13" t="s">
        <v>35</v>
      </c>
      <c r="V187" s="13" t="s">
        <v>35</v>
      </c>
      <c r="W187" s="13" t="s">
        <v>35</v>
      </c>
      <c r="X187" s="208" t="s">
        <v>35</v>
      </c>
      <c r="Y187" s="22"/>
      <c r="Z187" s="38" t="s">
        <v>35</v>
      </c>
      <c r="AA187" s="13" t="s">
        <v>35</v>
      </c>
      <c r="AB187" s="13" t="s">
        <v>35</v>
      </c>
      <c r="AC187" s="13" t="s">
        <v>35</v>
      </c>
      <c r="AD187" s="13" t="s">
        <v>35</v>
      </c>
      <c r="AE187" s="13" t="s">
        <v>35</v>
      </c>
      <c r="AF187" s="13" t="s">
        <v>35</v>
      </c>
      <c r="AG187" s="13" t="s">
        <v>35</v>
      </c>
      <c r="AH187" s="37" t="s">
        <v>35</v>
      </c>
    </row>
    <row r="188" spans="1:34">
      <c r="A188" s="14">
        <f t="shared" si="76"/>
        <v>46129</v>
      </c>
      <c r="B188" s="11" t="s">
        <v>35</v>
      </c>
      <c r="C188" s="12" t="s">
        <v>35</v>
      </c>
      <c r="D188" s="12" t="s">
        <v>35</v>
      </c>
      <c r="E188" s="13" t="s">
        <v>35</v>
      </c>
      <c r="F188" s="12" t="s">
        <v>35</v>
      </c>
      <c r="G188" s="12" t="s">
        <v>35</v>
      </c>
      <c r="H188" s="12" t="s">
        <v>35</v>
      </c>
      <c r="I188" s="12" t="s">
        <v>35</v>
      </c>
      <c r="J188" s="13" t="s">
        <v>35</v>
      </c>
      <c r="K188" s="195" t="s">
        <v>35</v>
      </c>
      <c r="L188" s="26" t="s">
        <v>35</v>
      </c>
      <c r="M188" s="22"/>
      <c r="N188" s="29" t="s">
        <v>35</v>
      </c>
      <c r="O188" s="13" t="s">
        <v>35</v>
      </c>
      <c r="P188" s="13" t="s">
        <v>35</v>
      </c>
      <c r="Q188" s="13" t="s">
        <v>35</v>
      </c>
      <c r="R188" s="13" t="s">
        <v>35</v>
      </c>
      <c r="S188" s="13" t="s">
        <v>35</v>
      </c>
      <c r="T188" s="13" t="s">
        <v>35</v>
      </c>
      <c r="U188" s="13" t="s">
        <v>35</v>
      </c>
      <c r="V188" s="13" t="s">
        <v>35</v>
      </c>
      <c r="W188" s="13" t="s">
        <v>35</v>
      </c>
      <c r="X188" s="208" t="s">
        <v>35</v>
      </c>
      <c r="Y188" s="22"/>
      <c r="Z188" s="38" t="s">
        <v>35</v>
      </c>
      <c r="AA188" s="13" t="s">
        <v>35</v>
      </c>
      <c r="AB188" s="13" t="s">
        <v>35</v>
      </c>
      <c r="AC188" s="13" t="s">
        <v>35</v>
      </c>
      <c r="AD188" s="13" t="s">
        <v>35</v>
      </c>
      <c r="AE188" s="13" t="s">
        <v>35</v>
      </c>
      <c r="AF188" s="13" t="s">
        <v>35</v>
      </c>
      <c r="AG188" s="13" t="s">
        <v>35</v>
      </c>
      <c r="AH188" s="37" t="s">
        <v>35</v>
      </c>
    </row>
    <row r="189" spans="1:34">
      <c r="A189" s="14">
        <f t="shared" si="76"/>
        <v>46130</v>
      </c>
      <c r="B189" s="11" t="s">
        <v>35</v>
      </c>
      <c r="C189" s="12" t="s">
        <v>35</v>
      </c>
      <c r="D189" s="12" t="s">
        <v>35</v>
      </c>
      <c r="E189" s="13" t="s">
        <v>35</v>
      </c>
      <c r="F189" s="12" t="s">
        <v>35</v>
      </c>
      <c r="G189" s="12" t="s">
        <v>35</v>
      </c>
      <c r="H189" s="12" t="s">
        <v>35</v>
      </c>
      <c r="I189" s="12" t="s">
        <v>35</v>
      </c>
      <c r="J189" s="13" t="s">
        <v>35</v>
      </c>
      <c r="K189" s="195" t="s">
        <v>35</v>
      </c>
      <c r="L189" s="26" t="s">
        <v>35</v>
      </c>
      <c r="M189" s="22"/>
      <c r="N189" s="29" t="s">
        <v>35</v>
      </c>
      <c r="O189" s="13" t="s">
        <v>35</v>
      </c>
      <c r="P189" s="13" t="s">
        <v>35</v>
      </c>
      <c r="Q189" s="13" t="s">
        <v>35</v>
      </c>
      <c r="R189" s="13" t="s">
        <v>35</v>
      </c>
      <c r="S189" s="13" t="s">
        <v>35</v>
      </c>
      <c r="T189" s="13" t="s">
        <v>35</v>
      </c>
      <c r="U189" s="13" t="s">
        <v>35</v>
      </c>
      <c r="V189" s="13" t="s">
        <v>35</v>
      </c>
      <c r="W189" s="13" t="s">
        <v>35</v>
      </c>
      <c r="X189" s="208" t="s">
        <v>35</v>
      </c>
      <c r="Y189" s="22"/>
      <c r="Z189" s="38" t="s">
        <v>35</v>
      </c>
      <c r="AA189" s="13" t="s">
        <v>35</v>
      </c>
      <c r="AB189" s="13" t="s">
        <v>35</v>
      </c>
      <c r="AC189" s="13" t="s">
        <v>35</v>
      </c>
      <c r="AD189" s="13" t="s">
        <v>35</v>
      </c>
      <c r="AE189" s="13" t="s">
        <v>35</v>
      </c>
      <c r="AF189" s="13" t="s">
        <v>35</v>
      </c>
      <c r="AG189" s="13" t="s">
        <v>35</v>
      </c>
      <c r="AH189" s="37" t="s">
        <v>35</v>
      </c>
    </row>
    <row r="190" spans="1:34">
      <c r="A190" s="14">
        <f t="shared" si="76"/>
        <v>46131</v>
      </c>
      <c r="B190" s="11" t="s">
        <v>35</v>
      </c>
      <c r="C190" s="12" t="s">
        <v>35</v>
      </c>
      <c r="D190" s="12" t="s">
        <v>35</v>
      </c>
      <c r="E190" s="13" t="s">
        <v>35</v>
      </c>
      <c r="F190" s="12" t="s">
        <v>35</v>
      </c>
      <c r="G190" s="12" t="s">
        <v>35</v>
      </c>
      <c r="H190" s="12" t="s">
        <v>35</v>
      </c>
      <c r="I190" s="12" t="s">
        <v>35</v>
      </c>
      <c r="J190" s="13" t="s">
        <v>35</v>
      </c>
      <c r="K190" s="195" t="s">
        <v>35</v>
      </c>
      <c r="L190" s="26" t="s">
        <v>35</v>
      </c>
      <c r="M190" s="22"/>
      <c r="N190" s="29" t="s">
        <v>35</v>
      </c>
      <c r="O190" s="13" t="s">
        <v>35</v>
      </c>
      <c r="P190" s="13" t="s">
        <v>35</v>
      </c>
      <c r="Q190" s="13" t="s">
        <v>35</v>
      </c>
      <c r="R190" s="13" t="s">
        <v>35</v>
      </c>
      <c r="S190" s="13" t="s">
        <v>35</v>
      </c>
      <c r="T190" s="13" t="s">
        <v>35</v>
      </c>
      <c r="U190" s="13" t="s">
        <v>35</v>
      </c>
      <c r="V190" s="13" t="s">
        <v>35</v>
      </c>
      <c r="W190" s="13" t="s">
        <v>35</v>
      </c>
      <c r="X190" s="208" t="s">
        <v>35</v>
      </c>
      <c r="Y190" s="22"/>
      <c r="Z190" s="38">
        <v>15.59</v>
      </c>
      <c r="AA190" s="13"/>
      <c r="AB190" s="13"/>
      <c r="AC190" s="13"/>
      <c r="AD190" s="36">
        <v>323</v>
      </c>
      <c r="AE190" s="13">
        <v>10.52</v>
      </c>
      <c r="AF190" s="13">
        <v>3</v>
      </c>
      <c r="AG190" s="184">
        <v>2.31</v>
      </c>
      <c r="AH190" s="37">
        <v>3.16</v>
      </c>
    </row>
    <row r="191" spans="1:34">
      <c r="A191" s="14">
        <f t="shared" si="76"/>
        <v>46132</v>
      </c>
      <c r="B191" s="11" t="s">
        <v>35</v>
      </c>
      <c r="C191" s="12" t="s">
        <v>35</v>
      </c>
      <c r="D191" s="12" t="s">
        <v>35</v>
      </c>
      <c r="E191" s="13" t="s">
        <v>35</v>
      </c>
      <c r="F191" s="12" t="s">
        <v>35</v>
      </c>
      <c r="G191" s="12" t="s">
        <v>35</v>
      </c>
      <c r="H191" s="12" t="s">
        <v>35</v>
      </c>
      <c r="I191" s="12" t="s">
        <v>35</v>
      </c>
      <c r="J191" s="13" t="s">
        <v>35</v>
      </c>
      <c r="K191" s="184" t="s">
        <v>35</v>
      </c>
      <c r="L191" s="26" t="s">
        <v>35</v>
      </c>
      <c r="M191" s="22"/>
      <c r="N191" s="29" t="s">
        <v>35</v>
      </c>
      <c r="O191" s="13" t="s">
        <v>35</v>
      </c>
      <c r="P191" s="13" t="s">
        <v>35</v>
      </c>
      <c r="Q191" s="13" t="s">
        <v>35</v>
      </c>
      <c r="R191" s="13" t="s">
        <v>35</v>
      </c>
      <c r="S191" s="13" t="s">
        <v>35</v>
      </c>
      <c r="T191" s="36" t="s">
        <v>35</v>
      </c>
      <c r="U191" s="13" t="s">
        <v>35</v>
      </c>
      <c r="V191" s="13" t="s">
        <v>35</v>
      </c>
      <c r="W191" s="184" t="s">
        <v>35</v>
      </c>
      <c r="X191" s="37" t="s">
        <v>35</v>
      </c>
      <c r="Y191" s="22"/>
      <c r="Z191" s="38" t="s">
        <v>35</v>
      </c>
      <c r="AA191" s="13" t="s">
        <v>35</v>
      </c>
      <c r="AB191" s="13" t="s">
        <v>35</v>
      </c>
      <c r="AC191" s="13" t="s">
        <v>35</v>
      </c>
      <c r="AD191" s="36" t="s">
        <v>35</v>
      </c>
      <c r="AE191" s="13" t="s">
        <v>35</v>
      </c>
      <c r="AF191" s="13" t="s">
        <v>35</v>
      </c>
      <c r="AG191" s="184" t="s">
        <v>35</v>
      </c>
      <c r="AH191" s="37" t="s">
        <v>35</v>
      </c>
    </row>
    <row r="192" spans="1:34">
      <c r="A192" s="14">
        <f t="shared" si="76"/>
        <v>46133</v>
      </c>
      <c r="B192" s="11"/>
      <c r="C192" s="12"/>
      <c r="D192" s="12"/>
      <c r="E192" s="13"/>
      <c r="F192" s="12"/>
      <c r="G192" s="12"/>
      <c r="H192" s="12"/>
      <c r="I192" s="12"/>
      <c r="J192" s="13"/>
      <c r="K192" s="184"/>
      <c r="L192" s="26"/>
      <c r="M192" s="22"/>
      <c r="N192" s="29"/>
      <c r="O192" s="13"/>
      <c r="P192" s="13"/>
      <c r="Q192" s="13"/>
      <c r="R192" s="13"/>
      <c r="S192" s="13"/>
      <c r="T192" s="36"/>
      <c r="U192" s="13"/>
      <c r="V192" s="13"/>
      <c r="W192" s="184"/>
      <c r="X192" s="37"/>
      <c r="Y192" s="22"/>
      <c r="Z192" s="38"/>
      <c r="AA192" s="13"/>
      <c r="AB192" s="13"/>
      <c r="AC192" s="13"/>
      <c r="AD192" s="36"/>
      <c r="AE192" s="13"/>
      <c r="AF192" s="13"/>
      <c r="AG192" s="184"/>
      <c r="AH192" s="37"/>
    </row>
    <row r="193" spans="1:34">
      <c r="A193" s="14">
        <f t="shared" si="76"/>
        <v>46134</v>
      </c>
      <c r="B193" s="11"/>
      <c r="C193" s="12"/>
      <c r="D193" s="12"/>
      <c r="E193" s="13"/>
      <c r="F193" s="12"/>
      <c r="G193" s="12"/>
      <c r="H193" s="12"/>
      <c r="I193" s="12"/>
      <c r="J193" s="13"/>
      <c r="K193" s="184"/>
      <c r="L193" s="26"/>
      <c r="M193" s="22"/>
      <c r="N193" s="29"/>
      <c r="O193" s="13"/>
      <c r="P193" s="13"/>
      <c r="Q193" s="13"/>
      <c r="R193" s="13"/>
      <c r="S193" s="13"/>
      <c r="T193" s="36"/>
      <c r="U193" s="13"/>
      <c r="V193" s="13"/>
      <c r="W193" s="184"/>
      <c r="X193" s="37"/>
      <c r="Y193" s="22"/>
      <c r="Z193" s="38"/>
      <c r="AA193" s="13"/>
      <c r="AB193" s="13"/>
      <c r="AC193" s="13"/>
      <c r="AD193" s="13"/>
      <c r="AE193" s="13"/>
      <c r="AF193" s="13"/>
      <c r="AG193" s="184"/>
      <c r="AH193" s="37"/>
    </row>
    <row r="194" spans="1:34">
      <c r="A194" s="14">
        <f t="shared" si="76"/>
        <v>46135</v>
      </c>
      <c r="B194" s="11"/>
      <c r="C194" s="12"/>
      <c r="D194" s="12"/>
      <c r="E194" s="13"/>
      <c r="F194" s="12"/>
      <c r="G194" s="12"/>
      <c r="H194" s="12"/>
      <c r="I194" s="12"/>
      <c r="J194" s="13"/>
      <c r="K194" s="184"/>
      <c r="L194" s="26"/>
      <c r="M194" s="22"/>
      <c r="N194" s="29"/>
      <c r="O194" s="13"/>
      <c r="P194" s="13"/>
      <c r="Q194" s="13"/>
      <c r="R194" s="13"/>
      <c r="S194" s="13"/>
      <c r="T194" s="36"/>
      <c r="U194" s="13"/>
      <c r="V194" s="13"/>
      <c r="W194" s="184"/>
      <c r="X194" s="37"/>
      <c r="Y194" s="22"/>
      <c r="Z194" s="38"/>
      <c r="AA194" s="13"/>
      <c r="AB194" s="13"/>
      <c r="AC194" s="13"/>
      <c r="AD194" s="13"/>
      <c r="AE194" s="13"/>
      <c r="AF194" s="13"/>
      <c r="AG194" s="184"/>
      <c r="AH194" s="37"/>
    </row>
    <row r="195" spans="1:34">
      <c r="A195" s="14">
        <f t="shared" si="76"/>
        <v>46136</v>
      </c>
      <c r="B195" s="11"/>
      <c r="C195" s="12"/>
      <c r="D195" s="12"/>
      <c r="E195" s="13"/>
      <c r="F195" s="12"/>
      <c r="G195" s="12"/>
      <c r="H195" s="12"/>
      <c r="I195" s="12"/>
      <c r="J195" s="13"/>
      <c r="K195" s="184"/>
      <c r="L195" s="26"/>
      <c r="M195" s="22"/>
      <c r="N195" s="29"/>
      <c r="O195" s="13"/>
      <c r="P195" s="13"/>
      <c r="Q195" s="13"/>
      <c r="R195" s="13"/>
      <c r="S195" s="13"/>
      <c r="T195" s="36"/>
      <c r="U195" s="13"/>
      <c r="V195" s="13"/>
      <c r="W195" s="184"/>
      <c r="X195" s="37"/>
      <c r="Y195" s="22"/>
      <c r="Z195" s="38"/>
      <c r="AA195" s="13"/>
      <c r="AB195" s="13"/>
      <c r="AC195" s="13"/>
      <c r="AD195" s="36"/>
      <c r="AE195" s="13"/>
      <c r="AF195" s="13"/>
      <c r="AG195" s="184"/>
      <c r="AH195" s="37"/>
    </row>
    <row r="196" spans="1:34">
      <c r="A196" s="14">
        <f t="shared" si="76"/>
        <v>46137</v>
      </c>
      <c r="B196" s="11"/>
      <c r="C196" s="12"/>
      <c r="D196" s="12"/>
      <c r="E196" s="13"/>
      <c r="F196" s="12"/>
      <c r="G196" s="12"/>
      <c r="H196" s="12"/>
      <c r="I196" s="12"/>
      <c r="J196" s="13"/>
      <c r="K196" s="184"/>
      <c r="L196" s="26"/>
      <c r="M196" s="22"/>
      <c r="N196" s="29"/>
      <c r="O196" s="13"/>
      <c r="P196" s="13"/>
      <c r="Q196" s="13"/>
      <c r="R196" s="13"/>
      <c r="S196" s="13"/>
      <c r="T196" s="36"/>
      <c r="U196" s="13"/>
      <c r="V196" s="13"/>
      <c r="W196" s="184"/>
      <c r="X196" s="37"/>
      <c r="Y196" s="22"/>
      <c r="Z196" s="38"/>
      <c r="AA196" s="13"/>
      <c r="AB196" s="13"/>
      <c r="AC196" s="13"/>
      <c r="AD196" s="13"/>
      <c r="AE196" s="13"/>
      <c r="AF196" s="13"/>
      <c r="AG196" s="184"/>
      <c r="AH196" s="37"/>
    </row>
    <row r="197" spans="1:34">
      <c r="A197" s="14">
        <f t="shared" si="76"/>
        <v>46138</v>
      </c>
      <c r="B197" s="11"/>
      <c r="C197" s="12"/>
      <c r="D197" s="12"/>
      <c r="E197" s="13"/>
      <c r="F197" s="12"/>
      <c r="G197" s="12"/>
      <c r="H197" s="12"/>
      <c r="I197" s="12"/>
      <c r="J197" s="13"/>
      <c r="K197" s="184"/>
      <c r="L197" s="26"/>
      <c r="M197" s="22"/>
      <c r="N197" s="29"/>
      <c r="O197" s="13"/>
      <c r="P197" s="13"/>
      <c r="Q197" s="13"/>
      <c r="R197" s="13"/>
      <c r="S197" s="13"/>
      <c r="T197" s="36"/>
      <c r="U197" s="13"/>
      <c r="V197" s="13"/>
      <c r="W197" s="184"/>
      <c r="X197" s="51"/>
      <c r="Y197" s="22"/>
      <c r="Z197" s="38"/>
      <c r="AA197" s="13"/>
      <c r="AB197" s="13"/>
      <c r="AC197" s="13"/>
      <c r="AD197" s="13"/>
      <c r="AE197" s="13"/>
      <c r="AF197" s="13"/>
      <c r="AG197" s="184"/>
      <c r="AH197" s="37"/>
    </row>
    <row r="198" spans="1:34">
      <c r="A198" s="14">
        <f t="shared" si="76"/>
        <v>46139</v>
      </c>
      <c r="B198" s="11"/>
      <c r="C198" s="12"/>
      <c r="D198" s="12"/>
      <c r="E198" s="13"/>
      <c r="F198" s="12"/>
      <c r="G198" s="12"/>
      <c r="H198" s="12"/>
      <c r="I198" s="12"/>
      <c r="J198" s="13"/>
      <c r="K198" s="184"/>
      <c r="L198" s="26"/>
      <c r="M198" s="22"/>
      <c r="N198" s="29"/>
      <c r="O198" s="13"/>
      <c r="P198" s="13"/>
      <c r="Q198" s="13"/>
      <c r="R198" s="13"/>
      <c r="S198" s="13"/>
      <c r="T198" s="36"/>
      <c r="U198" s="13"/>
      <c r="V198" s="13"/>
      <c r="W198" s="184"/>
      <c r="X198" s="37"/>
      <c r="Y198" s="22"/>
      <c r="Z198" s="38"/>
      <c r="AA198" s="13"/>
      <c r="AB198" s="13"/>
      <c r="AC198" s="13"/>
      <c r="AD198" s="36"/>
      <c r="AE198" s="13"/>
      <c r="AF198" s="13"/>
      <c r="AG198" s="184"/>
      <c r="AH198" s="37"/>
    </row>
    <row r="199" spans="1:34">
      <c r="A199" s="14">
        <f t="shared" si="76"/>
        <v>46140</v>
      </c>
      <c r="B199" s="11"/>
      <c r="C199" s="12"/>
      <c r="D199" s="12"/>
      <c r="E199" s="13"/>
      <c r="F199" s="12"/>
      <c r="G199" s="12"/>
      <c r="H199" s="12"/>
      <c r="I199" s="12"/>
      <c r="J199" s="13"/>
      <c r="K199" s="184"/>
      <c r="L199" s="26"/>
      <c r="M199" s="22"/>
      <c r="N199" s="29"/>
      <c r="O199" s="13"/>
      <c r="P199" s="13"/>
      <c r="Q199" s="13"/>
      <c r="R199" s="13"/>
      <c r="S199" s="13"/>
      <c r="T199" s="36"/>
      <c r="U199" s="13"/>
      <c r="V199" s="13"/>
      <c r="W199" s="184"/>
      <c r="X199" s="37"/>
      <c r="Y199" s="22"/>
      <c r="Z199" s="38"/>
      <c r="AA199" s="13"/>
      <c r="AB199" s="13"/>
      <c r="AC199" s="13"/>
      <c r="AD199" s="36"/>
      <c r="AE199" s="13"/>
      <c r="AF199" s="13"/>
      <c r="AG199" s="184"/>
      <c r="AH199" s="37"/>
    </row>
    <row r="200" spans="1:34">
      <c r="A200" s="14">
        <f t="shared" si="76"/>
        <v>46141</v>
      </c>
      <c r="B200" s="11"/>
      <c r="C200" s="12"/>
      <c r="D200" s="12"/>
      <c r="E200" s="13"/>
      <c r="F200" s="12"/>
      <c r="G200" s="12"/>
      <c r="H200" s="12"/>
      <c r="I200" s="12"/>
      <c r="J200" s="13"/>
      <c r="K200" s="184"/>
      <c r="L200" s="26"/>
      <c r="M200" s="22"/>
      <c r="N200" s="29"/>
      <c r="O200" s="13"/>
      <c r="P200" s="13"/>
      <c r="Q200" s="13"/>
      <c r="R200" s="13"/>
      <c r="S200" s="13"/>
      <c r="T200" s="36"/>
      <c r="U200" s="13"/>
      <c r="V200" s="13"/>
      <c r="W200" s="184"/>
      <c r="X200" s="37"/>
      <c r="Y200" s="22"/>
      <c r="Z200" s="38"/>
      <c r="AA200" s="13"/>
      <c r="AB200" s="13"/>
      <c r="AC200" s="13"/>
      <c r="AD200" s="36"/>
      <c r="AE200" s="13"/>
      <c r="AF200" s="13"/>
      <c r="AG200" s="184"/>
      <c r="AH200" s="37"/>
    </row>
    <row r="201" spans="1:34">
      <c r="A201" s="14">
        <f t="shared" si="76"/>
        <v>46142</v>
      </c>
      <c r="B201" s="11"/>
      <c r="C201" s="12"/>
      <c r="D201" s="12"/>
      <c r="E201" s="13"/>
      <c r="F201" s="12"/>
      <c r="G201" s="12"/>
      <c r="H201" s="12"/>
      <c r="I201" s="12"/>
      <c r="J201" s="13"/>
      <c r="K201" s="184"/>
      <c r="L201" s="26"/>
      <c r="M201" s="22"/>
      <c r="N201" s="29"/>
      <c r="O201" s="13"/>
      <c r="P201" s="13"/>
      <c r="Q201" s="13"/>
      <c r="R201" s="13"/>
      <c r="S201" s="13"/>
      <c r="T201" s="36"/>
      <c r="U201" s="13"/>
      <c r="V201" s="13"/>
      <c r="W201" s="184"/>
      <c r="X201" s="37"/>
      <c r="Y201" s="22"/>
      <c r="Z201" s="38"/>
      <c r="AA201" s="13"/>
      <c r="AB201" s="13"/>
      <c r="AC201" s="13"/>
      <c r="AD201" s="13"/>
      <c r="AE201" s="13"/>
      <c r="AF201" s="13"/>
      <c r="AG201" s="184"/>
      <c r="AH201" s="37"/>
    </row>
    <row r="202" spans="1:34" ht="15.75" thickBot="1">
      <c r="A202" s="15">
        <f t="shared" si="76"/>
        <v>46143</v>
      </c>
      <c r="B202" s="11"/>
      <c r="C202" s="12"/>
      <c r="D202" s="12"/>
      <c r="E202" s="13"/>
      <c r="F202" s="12"/>
      <c r="G202" s="12"/>
      <c r="H202" s="12"/>
      <c r="I202" s="12"/>
      <c r="J202" s="13"/>
      <c r="K202" s="184"/>
      <c r="L202" s="26"/>
      <c r="M202" s="22"/>
      <c r="N202" s="29"/>
      <c r="O202" s="13"/>
      <c r="P202" s="47"/>
      <c r="Q202" s="47"/>
      <c r="R202" s="47"/>
      <c r="S202" s="47"/>
      <c r="T202" s="52"/>
      <c r="U202" s="47"/>
      <c r="V202" s="47"/>
      <c r="W202" s="184"/>
      <c r="X202" s="48"/>
      <c r="Y202" s="22"/>
      <c r="Z202" s="38"/>
      <c r="AA202" s="13"/>
      <c r="AB202" s="13"/>
      <c r="AC202" s="13"/>
      <c r="AD202" s="13"/>
      <c r="AE202" s="13"/>
      <c r="AF202" s="13"/>
      <c r="AG202" s="184"/>
      <c r="AH202" s="37"/>
    </row>
    <row r="203" spans="1:34">
      <c r="A203" s="16" t="s">
        <v>31</v>
      </c>
      <c r="B203" s="17">
        <f>MIN(B172:B202)</f>
        <v>0</v>
      </c>
      <c r="C203" s="17">
        <f>MIN(C172:C202)</f>
        <v>0</v>
      </c>
      <c r="D203" s="17">
        <f t="shared" ref="D203:L203" si="77">MIN(D172:D202)</f>
        <v>0</v>
      </c>
      <c r="E203" s="17">
        <f t="shared" si="77"/>
        <v>0</v>
      </c>
      <c r="F203" s="17">
        <f t="shared" si="77"/>
        <v>0</v>
      </c>
      <c r="G203" s="17">
        <f t="shared" si="77"/>
        <v>0</v>
      </c>
      <c r="H203" s="17">
        <f t="shared" si="77"/>
        <v>0</v>
      </c>
      <c r="I203" s="17">
        <f t="shared" si="77"/>
        <v>0</v>
      </c>
      <c r="J203" s="17">
        <f t="shared" si="77"/>
        <v>0</v>
      </c>
      <c r="K203" s="17">
        <f t="shared" si="77"/>
        <v>0</v>
      </c>
      <c r="L203" s="30">
        <f t="shared" si="77"/>
        <v>0</v>
      </c>
      <c r="M203" s="22"/>
      <c r="N203" s="17">
        <f>MIN(N172:N202)</f>
        <v>0</v>
      </c>
      <c r="O203" s="17">
        <f>MIN(O172:O202)</f>
        <v>0</v>
      </c>
      <c r="P203" s="17">
        <f t="shared" ref="P203:X203" si="78">MIN(P172:P202)</f>
        <v>13.32</v>
      </c>
      <c r="Q203" s="17">
        <f t="shared" si="78"/>
        <v>22.65</v>
      </c>
      <c r="R203" s="17">
        <f t="shared" si="78"/>
        <v>37.409999999999997</v>
      </c>
      <c r="S203" s="17">
        <f t="shared" si="78"/>
        <v>0</v>
      </c>
      <c r="T203" s="17">
        <f t="shared" si="78"/>
        <v>236</v>
      </c>
      <c r="U203" s="17">
        <f t="shared" si="78"/>
        <v>9.32</v>
      </c>
      <c r="V203" s="17">
        <f t="shared" si="78"/>
        <v>0.5</v>
      </c>
      <c r="W203" s="17">
        <f t="shared" si="78"/>
        <v>1.71</v>
      </c>
      <c r="X203" s="30">
        <f t="shared" si="78"/>
        <v>2.4300000000000002</v>
      </c>
      <c r="Z203" s="40">
        <f t="shared" ref="Z203:AH203" si="79">MIN(Z172:Z202)</f>
        <v>13.31</v>
      </c>
      <c r="AA203" s="17">
        <f t="shared" si="79"/>
        <v>23.74</v>
      </c>
      <c r="AB203" s="17">
        <f t="shared" si="79"/>
        <v>39.58</v>
      </c>
      <c r="AC203" s="17">
        <f t="shared" si="79"/>
        <v>0</v>
      </c>
      <c r="AD203" s="17">
        <f t="shared" si="79"/>
        <v>236</v>
      </c>
      <c r="AE203" s="17">
        <f t="shared" si="79"/>
        <v>10.52</v>
      </c>
      <c r="AF203" s="17">
        <f t="shared" si="79"/>
        <v>0.5</v>
      </c>
      <c r="AG203" s="17">
        <f t="shared" si="79"/>
        <v>2</v>
      </c>
      <c r="AH203" s="30">
        <f t="shared" si="79"/>
        <v>2.86</v>
      </c>
    </row>
    <row r="204" spans="1:34">
      <c r="A204" s="18" t="s">
        <v>33</v>
      </c>
      <c r="B204" s="19">
        <f>MAX(B172:B202)</f>
        <v>0</v>
      </c>
      <c r="C204" s="19">
        <f>MAX(C172:C202)</f>
        <v>0</v>
      </c>
      <c r="D204" s="19">
        <f t="shared" ref="D204:L204" si="80">MAX(D172:D202)</f>
        <v>0</v>
      </c>
      <c r="E204" s="19">
        <f t="shared" si="80"/>
        <v>0</v>
      </c>
      <c r="F204" s="19">
        <f t="shared" si="80"/>
        <v>0</v>
      </c>
      <c r="G204" s="19">
        <f t="shared" si="80"/>
        <v>0</v>
      </c>
      <c r="H204" s="19">
        <f t="shared" si="80"/>
        <v>0</v>
      </c>
      <c r="I204" s="19">
        <f t="shared" si="80"/>
        <v>0</v>
      </c>
      <c r="J204" s="19">
        <f t="shared" si="80"/>
        <v>0</v>
      </c>
      <c r="K204" s="19">
        <f t="shared" si="80"/>
        <v>0</v>
      </c>
      <c r="L204" s="31">
        <f t="shared" si="80"/>
        <v>0</v>
      </c>
      <c r="M204" s="22"/>
      <c r="N204" s="19">
        <f>MAX(N172:N202)</f>
        <v>0</v>
      </c>
      <c r="O204" s="19">
        <f>MAX(O172:O202)</f>
        <v>0</v>
      </c>
      <c r="P204" s="19">
        <f t="shared" ref="P204:X204" si="81">MAX(P172:P202)</f>
        <v>14.29</v>
      </c>
      <c r="Q204" s="19">
        <f t="shared" si="81"/>
        <v>25.25</v>
      </c>
      <c r="R204" s="19">
        <f t="shared" si="81"/>
        <v>41.2</v>
      </c>
      <c r="S204" s="19">
        <f t="shared" si="81"/>
        <v>0</v>
      </c>
      <c r="T204" s="19">
        <f t="shared" si="81"/>
        <v>319</v>
      </c>
      <c r="U204" s="19">
        <f t="shared" si="81"/>
        <v>12.92</v>
      </c>
      <c r="V204" s="19">
        <f t="shared" si="81"/>
        <v>1</v>
      </c>
      <c r="W204" s="19">
        <f t="shared" si="81"/>
        <v>2.5299999999999998</v>
      </c>
      <c r="X204" s="31">
        <f t="shared" si="81"/>
        <v>4.4000000000000004</v>
      </c>
      <c r="Z204" s="41">
        <f t="shared" ref="Z204:AH204" si="82">MAX(Z172:Z202)</f>
        <v>15.59</v>
      </c>
      <c r="AA204" s="19">
        <f t="shared" si="82"/>
        <v>25.05</v>
      </c>
      <c r="AB204" s="19">
        <f t="shared" si="82"/>
        <v>40.840000000000003</v>
      </c>
      <c r="AC204" s="19">
        <f t="shared" si="82"/>
        <v>0</v>
      </c>
      <c r="AD204" s="19">
        <f t="shared" si="82"/>
        <v>323</v>
      </c>
      <c r="AE204" s="19">
        <f t="shared" si="82"/>
        <v>12.96</v>
      </c>
      <c r="AF204" s="19">
        <f t="shared" si="82"/>
        <v>3.5</v>
      </c>
      <c r="AG204" s="19">
        <f t="shared" si="82"/>
        <v>2.4300000000000002</v>
      </c>
      <c r="AH204" s="31">
        <f t="shared" si="82"/>
        <v>3.72</v>
      </c>
    </row>
    <row r="205" spans="1:34">
      <c r="A205" s="18" t="s">
        <v>36</v>
      </c>
      <c r="B205" s="19" t="e">
        <f t="shared" ref="B205:L205" si="83">AVERAGE(B172:B202)</f>
        <v>#DIV/0!</v>
      </c>
      <c r="C205" s="19" t="e">
        <f t="shared" si="83"/>
        <v>#DIV/0!</v>
      </c>
      <c r="D205" s="19" t="e">
        <f t="shared" si="83"/>
        <v>#DIV/0!</v>
      </c>
      <c r="E205" s="19" t="e">
        <f t="shared" si="83"/>
        <v>#DIV/0!</v>
      </c>
      <c r="F205" s="19" t="e">
        <f t="shared" si="83"/>
        <v>#DIV/0!</v>
      </c>
      <c r="G205" s="19" t="e">
        <f t="shared" si="83"/>
        <v>#DIV/0!</v>
      </c>
      <c r="H205" s="19" t="e">
        <f t="shared" si="83"/>
        <v>#DIV/0!</v>
      </c>
      <c r="I205" s="19" t="e">
        <f t="shared" si="83"/>
        <v>#DIV/0!</v>
      </c>
      <c r="J205" s="19" t="e">
        <f t="shared" si="83"/>
        <v>#DIV/0!</v>
      </c>
      <c r="K205" s="19" t="e">
        <f t="shared" si="83"/>
        <v>#DIV/0!</v>
      </c>
      <c r="L205" s="31" t="e">
        <f t="shared" si="83"/>
        <v>#DIV/0!</v>
      </c>
      <c r="M205" s="22"/>
      <c r="N205" s="19" t="e">
        <f t="shared" ref="N205:X205" si="84">AVERAGE(N172:N202)</f>
        <v>#DIV/0!</v>
      </c>
      <c r="O205" s="19" t="e">
        <f t="shared" si="84"/>
        <v>#DIV/0!</v>
      </c>
      <c r="P205" s="19">
        <f t="shared" si="84"/>
        <v>13.7325</v>
      </c>
      <c r="Q205" s="19">
        <f t="shared" si="84"/>
        <v>24.005000000000003</v>
      </c>
      <c r="R205" s="19">
        <f t="shared" si="84"/>
        <v>39.403333333333336</v>
      </c>
      <c r="S205" s="19" t="e">
        <f t="shared" si="84"/>
        <v>#DIV/0!</v>
      </c>
      <c r="T205" s="19">
        <f t="shared" si="84"/>
        <v>288</v>
      </c>
      <c r="U205" s="19">
        <f t="shared" si="84"/>
        <v>11.84</v>
      </c>
      <c r="V205" s="19">
        <f t="shared" si="84"/>
        <v>0.75</v>
      </c>
      <c r="W205" s="19">
        <f t="shared" si="84"/>
        <v>2.2000000000000002</v>
      </c>
      <c r="X205" s="31">
        <f t="shared" si="84"/>
        <v>3.4024999999999999</v>
      </c>
      <c r="Z205" s="41">
        <f>AVERAGE(Z172:Z202)</f>
        <v>14.455000000000002</v>
      </c>
      <c r="AA205" s="19">
        <f t="shared" ref="AA205:AH205" si="85">AVERAGE(AA172:AA202)</f>
        <v>24.28</v>
      </c>
      <c r="AB205" s="19">
        <f t="shared" si="85"/>
        <v>40.21</v>
      </c>
      <c r="AC205" s="19" t="e">
        <f t="shared" si="85"/>
        <v>#DIV/0!</v>
      </c>
      <c r="AD205" s="19">
        <f t="shared" si="85"/>
        <v>295.5</v>
      </c>
      <c r="AE205" s="19">
        <f t="shared" si="85"/>
        <v>11.600000000000001</v>
      </c>
      <c r="AF205" s="19">
        <f t="shared" si="85"/>
        <v>2</v>
      </c>
      <c r="AG205" s="19">
        <f t="shared" si="85"/>
        <v>2.2725</v>
      </c>
      <c r="AH205" s="31">
        <f t="shared" si="85"/>
        <v>3.1924999999999999</v>
      </c>
    </row>
    <row r="206" spans="1:34" ht="15.75" thickBot="1">
      <c r="A206" s="20" t="s">
        <v>130</v>
      </c>
      <c r="B206" s="21" t="e">
        <f>STDEV(B172:B202)</f>
        <v>#DIV/0!</v>
      </c>
      <c r="C206" s="21" t="e">
        <f t="shared" ref="C206:L206" si="86">STDEV(C172:C202)</f>
        <v>#DIV/0!</v>
      </c>
      <c r="D206" s="21" t="e">
        <f t="shared" si="86"/>
        <v>#DIV/0!</v>
      </c>
      <c r="E206" s="21" t="e">
        <f t="shared" si="86"/>
        <v>#DIV/0!</v>
      </c>
      <c r="F206" s="21" t="e">
        <f t="shared" si="86"/>
        <v>#DIV/0!</v>
      </c>
      <c r="G206" s="21" t="e">
        <f t="shared" si="86"/>
        <v>#DIV/0!</v>
      </c>
      <c r="H206" s="21" t="e">
        <f t="shared" si="86"/>
        <v>#DIV/0!</v>
      </c>
      <c r="I206" s="21" t="e">
        <f t="shared" si="86"/>
        <v>#DIV/0!</v>
      </c>
      <c r="J206" s="21" t="e">
        <f t="shared" si="86"/>
        <v>#DIV/0!</v>
      </c>
      <c r="K206" s="21" t="e">
        <f t="shared" si="86"/>
        <v>#DIV/0!</v>
      </c>
      <c r="L206" s="32" t="e">
        <f t="shared" si="86"/>
        <v>#DIV/0!</v>
      </c>
      <c r="M206" s="22"/>
      <c r="N206" s="21" t="e">
        <f>STDEV(N172:N202)</f>
        <v>#DIV/0!</v>
      </c>
      <c r="O206" s="21" t="e">
        <f t="shared" ref="O206:X206" si="87">STDEV(O172:O202)</f>
        <v>#DIV/0!</v>
      </c>
      <c r="P206" s="21">
        <f t="shared" si="87"/>
        <v>0.43645351031543561</v>
      </c>
      <c r="Q206" s="21">
        <f t="shared" si="87"/>
        <v>1.2522379965485801</v>
      </c>
      <c r="R206" s="21">
        <f t="shared" si="87"/>
        <v>1.9026385188294033</v>
      </c>
      <c r="S206" s="21" t="e">
        <f t="shared" si="87"/>
        <v>#DIV/0!</v>
      </c>
      <c r="T206" s="21">
        <f t="shared" si="87"/>
        <v>36.814852075396601</v>
      </c>
      <c r="U206" s="21">
        <f t="shared" si="87"/>
        <v>1.7039561809702393</v>
      </c>
      <c r="V206" s="21">
        <f t="shared" si="87"/>
        <v>0.28867513459481287</v>
      </c>
      <c r="W206" s="21">
        <f t="shared" si="87"/>
        <v>0.368239052790438</v>
      </c>
      <c r="X206" s="32">
        <f t="shared" si="87"/>
        <v>0.91339567913728803</v>
      </c>
      <c r="Z206" s="42">
        <f>STDEV(Z172:Z202)</f>
        <v>0.95294281045611529</v>
      </c>
      <c r="AA206" s="21">
        <f t="shared" ref="AA206:AH206" si="88">STDEV(AA172:AA202)</f>
        <v>0.68461668107051055</v>
      </c>
      <c r="AB206" s="21">
        <f t="shared" si="88"/>
        <v>0.8909545442950535</v>
      </c>
      <c r="AC206" s="21" t="e">
        <f t="shared" si="88"/>
        <v>#DIV/0!</v>
      </c>
      <c r="AD206" s="21">
        <f t="shared" si="88"/>
        <v>40.779897008207364</v>
      </c>
      <c r="AE206" s="21">
        <f t="shared" si="88"/>
        <v>1.0103464752252076</v>
      </c>
      <c r="AF206" s="21">
        <f t="shared" si="88"/>
        <v>1.4719601443879744</v>
      </c>
      <c r="AG206" s="21">
        <f t="shared" si="88"/>
        <v>0.18839232114570564</v>
      </c>
      <c r="AH206" s="32">
        <f t="shared" si="88"/>
        <v>0.37250279641008777</v>
      </c>
    </row>
    <row r="207" spans="1:34" ht="15.75" thickBot="1"/>
    <row r="208" spans="1:34" ht="15.75" thickBot="1">
      <c r="A208" s="1"/>
      <c r="B208" s="338" t="s">
        <v>0</v>
      </c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339"/>
      <c r="N208" s="339"/>
      <c r="O208" s="339"/>
      <c r="P208" s="339"/>
      <c r="Q208" s="339"/>
      <c r="R208" s="339"/>
      <c r="S208" s="339"/>
      <c r="T208" s="339"/>
      <c r="U208" s="339"/>
      <c r="V208" s="339"/>
      <c r="W208" s="339"/>
      <c r="X208" s="339"/>
      <c r="Y208" s="339"/>
      <c r="Z208" s="339"/>
      <c r="AA208" s="339"/>
      <c r="AB208" s="339"/>
      <c r="AC208" s="339"/>
      <c r="AD208" s="339"/>
      <c r="AE208" s="339"/>
      <c r="AF208" s="339"/>
      <c r="AG208" s="339"/>
      <c r="AH208" s="363"/>
    </row>
    <row r="209" spans="1:34" ht="15.75" thickBot="1">
      <c r="A209" s="1"/>
      <c r="B209" s="338" t="s">
        <v>172</v>
      </c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  <c r="AA209" s="339"/>
      <c r="AB209" s="339"/>
      <c r="AC209" s="339"/>
      <c r="AD209" s="4"/>
      <c r="AE209" s="43" t="s">
        <v>107</v>
      </c>
      <c r="AF209" s="341">
        <v>46143</v>
      </c>
      <c r="AG209" s="342"/>
      <c r="AH209" s="343"/>
    </row>
    <row r="210" spans="1:34">
      <c r="A210" s="344"/>
      <c r="B210" s="346" t="s">
        <v>132</v>
      </c>
      <c r="C210" s="347"/>
      <c r="D210" s="347"/>
      <c r="E210" s="347"/>
      <c r="F210" s="347"/>
      <c r="G210" s="347"/>
      <c r="H210" s="347"/>
      <c r="I210" s="347"/>
      <c r="J210" s="347"/>
      <c r="K210" s="348"/>
      <c r="L210" s="349"/>
      <c r="M210" s="22"/>
      <c r="N210" s="350" t="s">
        <v>133</v>
      </c>
      <c r="O210" s="347"/>
      <c r="P210" s="347"/>
      <c r="Q210" s="347"/>
      <c r="R210" s="347"/>
      <c r="S210" s="347"/>
      <c r="T210" s="347"/>
      <c r="U210" s="347"/>
      <c r="V210" s="347"/>
      <c r="W210" s="348"/>
      <c r="X210" s="349"/>
      <c r="Y210" s="22"/>
      <c r="Z210" s="346" t="s">
        <v>134</v>
      </c>
      <c r="AA210" s="347"/>
      <c r="AB210" s="347"/>
      <c r="AC210" s="347"/>
      <c r="AD210" s="347"/>
      <c r="AE210" s="347"/>
      <c r="AF210" s="347"/>
      <c r="AG210" s="348"/>
      <c r="AH210" s="349"/>
    </row>
    <row r="211" spans="1:34" ht="25.5">
      <c r="A211" s="345"/>
      <c r="B211" s="359" t="s">
        <v>135</v>
      </c>
      <c r="C211" s="361" t="s">
        <v>136</v>
      </c>
      <c r="D211" s="5" t="s">
        <v>137</v>
      </c>
      <c r="E211" s="5" t="s">
        <v>138</v>
      </c>
      <c r="F211" s="5" t="s">
        <v>139</v>
      </c>
      <c r="G211" s="5" t="s">
        <v>140</v>
      </c>
      <c r="H211" s="5" t="s">
        <v>141</v>
      </c>
      <c r="I211" s="5" t="s">
        <v>142</v>
      </c>
      <c r="J211" s="5" t="s">
        <v>143</v>
      </c>
      <c r="K211" s="181" t="s">
        <v>81</v>
      </c>
      <c r="L211" s="23" t="s">
        <v>144</v>
      </c>
      <c r="M211" s="22"/>
      <c r="N211" s="355" t="s">
        <v>135</v>
      </c>
      <c r="O211" s="357" t="s">
        <v>136</v>
      </c>
      <c r="P211" s="5" t="s">
        <v>137</v>
      </c>
      <c r="Q211" s="5" t="s">
        <v>138</v>
      </c>
      <c r="R211" s="5" t="s">
        <v>139</v>
      </c>
      <c r="S211" s="5" t="s">
        <v>140</v>
      </c>
      <c r="T211" s="5" t="s">
        <v>141</v>
      </c>
      <c r="U211" s="5" t="s">
        <v>142</v>
      </c>
      <c r="V211" s="5" t="s">
        <v>143</v>
      </c>
      <c r="W211" s="181" t="s">
        <v>81</v>
      </c>
      <c r="X211" s="23" t="s">
        <v>144</v>
      </c>
      <c r="Y211" s="22"/>
      <c r="Z211" s="33" t="s">
        <v>137</v>
      </c>
      <c r="AA211" s="5" t="s">
        <v>138</v>
      </c>
      <c r="AB211" s="5" t="s">
        <v>139</v>
      </c>
      <c r="AC211" s="5" t="s">
        <v>140</v>
      </c>
      <c r="AD211" s="5" t="s">
        <v>141</v>
      </c>
      <c r="AE211" s="5" t="s">
        <v>142</v>
      </c>
      <c r="AF211" s="5" t="s">
        <v>143</v>
      </c>
      <c r="AG211" s="181" t="s">
        <v>81</v>
      </c>
      <c r="AH211" s="23" t="s">
        <v>144</v>
      </c>
    </row>
    <row r="212" spans="1:34" ht="25.5">
      <c r="A212" s="6" t="s">
        <v>145</v>
      </c>
      <c r="B212" s="360"/>
      <c r="C212" s="362"/>
      <c r="D212" s="5" t="s">
        <v>128</v>
      </c>
      <c r="E212" s="5" t="s">
        <v>128</v>
      </c>
      <c r="F212" s="5" t="s">
        <v>128</v>
      </c>
      <c r="G212" s="5" t="s">
        <v>128</v>
      </c>
      <c r="H212" s="5" t="s">
        <v>125</v>
      </c>
      <c r="I212" s="5" t="s">
        <v>146</v>
      </c>
      <c r="J212" s="5" t="s">
        <v>127</v>
      </c>
      <c r="K212" s="181" t="s">
        <v>53</v>
      </c>
      <c r="L212" s="23" t="s">
        <v>53</v>
      </c>
      <c r="M212" s="22"/>
      <c r="N212" s="356"/>
      <c r="O212" s="358"/>
      <c r="P212" s="5" t="s">
        <v>128</v>
      </c>
      <c r="Q212" s="5" t="s">
        <v>128</v>
      </c>
      <c r="R212" s="5" t="s">
        <v>128</v>
      </c>
      <c r="S212" s="5" t="s">
        <v>128</v>
      </c>
      <c r="T212" s="5" t="s">
        <v>125</v>
      </c>
      <c r="U212" s="5" t="s">
        <v>146</v>
      </c>
      <c r="V212" s="5" t="s">
        <v>127</v>
      </c>
      <c r="W212" s="181" t="s">
        <v>53</v>
      </c>
      <c r="X212" s="23" t="s">
        <v>53</v>
      </c>
      <c r="Y212" s="22"/>
      <c r="Z212" s="33" t="s">
        <v>128</v>
      </c>
      <c r="AA212" s="5" t="s">
        <v>128</v>
      </c>
      <c r="AB212" s="5" t="s">
        <v>128</v>
      </c>
      <c r="AC212" s="5" t="s">
        <v>128</v>
      </c>
      <c r="AD212" s="5" t="s">
        <v>125</v>
      </c>
      <c r="AE212" s="5" t="s">
        <v>146</v>
      </c>
      <c r="AF212" s="5" t="s">
        <v>127</v>
      </c>
      <c r="AG212" s="181" t="s">
        <v>53</v>
      </c>
      <c r="AH212" s="23" t="s">
        <v>53</v>
      </c>
    </row>
    <row r="213" spans="1:34" ht="39" thickBot="1">
      <c r="A213" s="7" t="s">
        <v>147</v>
      </c>
      <c r="B213" s="8" t="s">
        <v>173</v>
      </c>
      <c r="C213" s="9" t="s">
        <v>174</v>
      </c>
      <c r="D213" s="9" t="s">
        <v>181</v>
      </c>
      <c r="E213" s="9" t="s">
        <v>182</v>
      </c>
      <c r="F213" s="9" t="s">
        <v>183</v>
      </c>
      <c r="G213" s="9" t="s">
        <v>175</v>
      </c>
      <c r="H213" s="9" t="s">
        <v>176</v>
      </c>
      <c r="I213" s="24" t="s">
        <v>155</v>
      </c>
      <c r="J213" s="24" t="s">
        <v>156</v>
      </c>
      <c r="K213" s="24" t="s">
        <v>179</v>
      </c>
      <c r="L213" s="25" t="s">
        <v>177</v>
      </c>
      <c r="M213" s="22"/>
      <c r="N213" s="8" t="s">
        <v>173</v>
      </c>
      <c r="O213" s="9" t="s">
        <v>174</v>
      </c>
      <c r="P213" s="9" t="s">
        <v>181</v>
      </c>
      <c r="Q213" s="9" t="s">
        <v>182</v>
      </c>
      <c r="R213" s="9" t="s">
        <v>183</v>
      </c>
      <c r="S213" s="9" t="s">
        <v>175</v>
      </c>
      <c r="T213" s="9" t="s">
        <v>176</v>
      </c>
      <c r="U213" s="24" t="s">
        <v>155</v>
      </c>
      <c r="V213" s="24" t="s">
        <v>156</v>
      </c>
      <c r="W213" s="24" t="s">
        <v>179</v>
      </c>
      <c r="X213" s="25" t="s">
        <v>177</v>
      </c>
      <c r="Y213" s="22"/>
      <c r="Z213" s="9" t="s">
        <v>181</v>
      </c>
      <c r="AA213" s="9" t="s">
        <v>182</v>
      </c>
      <c r="AB213" s="9" t="s">
        <v>183</v>
      </c>
      <c r="AC213" s="9" t="s">
        <v>175</v>
      </c>
      <c r="AD213" s="9" t="s">
        <v>176</v>
      </c>
      <c r="AE213" s="24" t="s">
        <v>155</v>
      </c>
      <c r="AF213" s="24" t="s">
        <v>156</v>
      </c>
      <c r="AG213" s="24" t="s">
        <v>179</v>
      </c>
      <c r="AH213" s="25" t="s">
        <v>177</v>
      </c>
    </row>
    <row r="214" spans="1:34">
      <c r="A214" s="10">
        <f>AF209+0</f>
        <v>46143</v>
      </c>
      <c r="B214" s="11"/>
      <c r="C214" s="12"/>
      <c r="D214" s="12"/>
      <c r="E214" s="13"/>
      <c r="F214" s="12"/>
      <c r="G214" s="12"/>
      <c r="H214" s="12"/>
      <c r="I214" s="12"/>
      <c r="J214" s="13"/>
      <c r="K214" s="184"/>
      <c r="L214" s="26"/>
      <c r="M214" s="22"/>
      <c r="N214" s="29"/>
      <c r="O214" s="13"/>
      <c r="P214" s="28"/>
      <c r="Q214" s="28"/>
      <c r="R214" s="28"/>
      <c r="S214" s="28"/>
      <c r="T214" s="62"/>
      <c r="U214" s="28"/>
      <c r="V214" s="28"/>
      <c r="W214" s="184"/>
      <c r="X214" s="34"/>
      <c r="Y214" s="22"/>
      <c r="Z214" s="38"/>
      <c r="AA214" s="13"/>
      <c r="AB214" s="13"/>
      <c r="AC214" s="13"/>
      <c r="AD214" s="36"/>
      <c r="AE214" s="13"/>
      <c r="AF214" s="13"/>
      <c r="AG214" s="184"/>
      <c r="AH214" s="37"/>
    </row>
    <row r="215" spans="1:34">
      <c r="A215" s="14">
        <f t="shared" ref="A215:A244" si="89">A214+1</f>
        <v>46144</v>
      </c>
      <c r="B215" s="11"/>
      <c r="C215" s="12"/>
      <c r="D215" s="12"/>
      <c r="E215" s="13"/>
      <c r="F215" s="12"/>
      <c r="G215" s="12"/>
      <c r="H215" s="12"/>
      <c r="I215" s="12"/>
      <c r="J215" s="13"/>
      <c r="K215" s="184"/>
      <c r="L215" s="26"/>
      <c r="M215" s="22"/>
      <c r="N215" s="29"/>
      <c r="O215" s="13"/>
      <c r="P215" s="13"/>
      <c r="Q215" s="13"/>
      <c r="R215" s="13"/>
      <c r="S215" s="13"/>
      <c r="T215" s="36"/>
      <c r="U215" s="13"/>
      <c r="V215" s="13"/>
      <c r="W215" s="184"/>
      <c r="X215" s="37"/>
      <c r="Y215" s="22"/>
      <c r="Z215" s="38"/>
      <c r="AA215" s="13"/>
      <c r="AB215" s="13"/>
      <c r="AC215" s="13"/>
      <c r="AD215" s="36"/>
      <c r="AE215" s="13"/>
      <c r="AF215" s="13"/>
      <c r="AG215" s="184"/>
      <c r="AH215" s="37"/>
    </row>
    <row r="216" spans="1:34">
      <c r="A216" s="14">
        <f t="shared" si="89"/>
        <v>46145</v>
      </c>
      <c r="B216" s="11"/>
      <c r="C216" s="12"/>
      <c r="D216" s="12"/>
      <c r="E216" s="13"/>
      <c r="F216" s="12"/>
      <c r="G216" s="12"/>
      <c r="H216" s="12"/>
      <c r="I216" s="12"/>
      <c r="J216" s="13"/>
      <c r="K216" s="184"/>
      <c r="L216" s="26"/>
      <c r="M216" s="22"/>
      <c r="N216" s="29"/>
      <c r="O216" s="13"/>
      <c r="P216" s="13"/>
      <c r="Q216" s="13"/>
      <c r="R216" s="13"/>
      <c r="S216" s="13"/>
      <c r="T216" s="36"/>
      <c r="U216" s="13"/>
      <c r="V216" s="13"/>
      <c r="W216" s="184"/>
      <c r="X216" s="37"/>
      <c r="Y216" s="22"/>
      <c r="Z216" s="38"/>
      <c r="AA216" s="13"/>
      <c r="AB216" s="13"/>
      <c r="AC216" s="13"/>
      <c r="AD216" s="36"/>
      <c r="AE216" s="13"/>
      <c r="AF216" s="13"/>
      <c r="AG216" s="184"/>
      <c r="AH216" s="37"/>
    </row>
    <row r="217" spans="1:34">
      <c r="A217" s="14">
        <f t="shared" si="89"/>
        <v>46146</v>
      </c>
      <c r="B217" s="11"/>
      <c r="C217" s="12"/>
      <c r="D217" s="12"/>
      <c r="E217" s="13"/>
      <c r="F217" s="12"/>
      <c r="G217" s="12"/>
      <c r="H217" s="12"/>
      <c r="I217" s="12"/>
      <c r="J217" s="13"/>
      <c r="K217" s="184"/>
      <c r="L217" s="26"/>
      <c r="M217" s="22"/>
      <c r="N217" s="29"/>
      <c r="O217" s="13"/>
      <c r="P217" s="13"/>
      <c r="Q217" s="13"/>
      <c r="R217" s="13"/>
      <c r="S217" s="13"/>
      <c r="T217" s="36"/>
      <c r="U217" s="13"/>
      <c r="V217" s="13"/>
      <c r="W217" s="184"/>
      <c r="X217" s="37"/>
      <c r="Y217" s="22"/>
      <c r="Z217" s="38"/>
      <c r="AA217" s="13"/>
      <c r="AB217" s="13"/>
      <c r="AC217" s="13"/>
      <c r="AD217" s="36"/>
      <c r="AE217" s="13"/>
      <c r="AF217" s="13"/>
      <c r="AG217" s="184"/>
      <c r="AH217" s="37"/>
    </row>
    <row r="218" spans="1:34">
      <c r="A218" s="14">
        <f t="shared" si="89"/>
        <v>46147</v>
      </c>
      <c r="B218" s="11"/>
      <c r="C218" s="12"/>
      <c r="D218" s="12"/>
      <c r="E218" s="13"/>
      <c r="F218" s="12"/>
      <c r="G218" s="12"/>
      <c r="H218" s="12"/>
      <c r="I218" s="12"/>
      <c r="J218" s="13"/>
      <c r="K218" s="184"/>
      <c r="L218" s="26"/>
      <c r="M218" s="22"/>
      <c r="N218" s="29"/>
      <c r="O218" s="13"/>
      <c r="P218" s="13"/>
      <c r="Q218" s="13"/>
      <c r="R218" s="13"/>
      <c r="S218" s="13"/>
      <c r="T218" s="36"/>
      <c r="U218" s="13"/>
      <c r="V218" s="13"/>
      <c r="W218" s="184"/>
      <c r="X218" s="51"/>
      <c r="Y218" s="22"/>
      <c r="Z218" s="38"/>
      <c r="AA218" s="13"/>
      <c r="AB218" s="13"/>
      <c r="AC218" s="13"/>
      <c r="AD218" s="36"/>
      <c r="AE218" s="13"/>
      <c r="AF218" s="13"/>
      <c r="AG218" s="184"/>
      <c r="AH218" s="37"/>
    </row>
    <row r="219" spans="1:34">
      <c r="A219" s="14">
        <f t="shared" si="89"/>
        <v>46148</v>
      </c>
      <c r="B219" s="11"/>
      <c r="C219" s="12"/>
      <c r="D219" s="12"/>
      <c r="E219" s="13"/>
      <c r="F219" s="12"/>
      <c r="G219" s="12"/>
      <c r="H219" s="12"/>
      <c r="I219" s="12"/>
      <c r="J219" s="13"/>
      <c r="K219" s="184"/>
      <c r="L219" s="26"/>
      <c r="M219" s="22"/>
      <c r="N219" s="29"/>
      <c r="O219" s="13"/>
      <c r="P219" s="13"/>
      <c r="Q219" s="13"/>
      <c r="R219" s="13"/>
      <c r="S219" s="13"/>
      <c r="T219" s="36"/>
      <c r="U219" s="13"/>
      <c r="V219" s="13"/>
      <c r="W219" s="184"/>
      <c r="X219" s="51"/>
      <c r="Y219" s="22"/>
      <c r="Z219" s="38"/>
      <c r="AA219" s="13"/>
      <c r="AB219" s="13"/>
      <c r="AC219" s="13"/>
      <c r="AD219" s="36"/>
      <c r="AE219" s="13"/>
      <c r="AF219" s="13"/>
      <c r="AG219" s="184"/>
      <c r="AH219" s="37"/>
    </row>
    <row r="220" spans="1:34">
      <c r="A220" s="14">
        <f t="shared" si="89"/>
        <v>46149</v>
      </c>
      <c r="B220" s="11"/>
      <c r="C220" s="12"/>
      <c r="D220" s="12"/>
      <c r="E220" s="13"/>
      <c r="F220" s="12"/>
      <c r="G220" s="12"/>
      <c r="H220" s="12"/>
      <c r="I220" s="12"/>
      <c r="J220" s="13"/>
      <c r="K220" s="184"/>
      <c r="L220" s="26"/>
      <c r="M220" s="22"/>
      <c r="N220" s="29"/>
      <c r="O220" s="50"/>
      <c r="P220" s="13"/>
      <c r="Q220" s="13"/>
      <c r="R220" s="13"/>
      <c r="S220" s="13"/>
      <c r="T220" s="36"/>
      <c r="U220" s="13"/>
      <c r="V220" s="13"/>
      <c r="W220" s="184"/>
      <c r="X220" s="51"/>
      <c r="Y220" s="22"/>
      <c r="Z220" s="38"/>
      <c r="AA220" s="13"/>
      <c r="AB220" s="13"/>
      <c r="AC220" s="13"/>
      <c r="AD220" s="36"/>
      <c r="AE220" s="13"/>
      <c r="AF220" s="13"/>
      <c r="AG220" s="184"/>
      <c r="AH220" s="37"/>
    </row>
    <row r="221" spans="1:34">
      <c r="A221" s="14">
        <f t="shared" si="89"/>
        <v>46150</v>
      </c>
      <c r="B221" s="11"/>
      <c r="C221" s="12"/>
      <c r="D221" s="12"/>
      <c r="E221" s="13"/>
      <c r="F221" s="12"/>
      <c r="G221" s="12"/>
      <c r="H221" s="12"/>
      <c r="I221" s="12"/>
      <c r="J221" s="13"/>
      <c r="K221" s="184"/>
      <c r="L221" s="26"/>
      <c r="M221" s="22"/>
      <c r="N221" s="29"/>
      <c r="O221" s="50"/>
      <c r="P221" s="13"/>
      <c r="Q221" s="13"/>
      <c r="R221" s="13"/>
      <c r="S221" s="13"/>
      <c r="T221" s="36"/>
      <c r="U221" s="13"/>
      <c r="V221" s="13"/>
      <c r="W221" s="184"/>
      <c r="X221" s="37"/>
      <c r="Y221" s="22"/>
      <c r="Z221" s="38"/>
      <c r="AA221" s="13"/>
      <c r="AB221" s="13"/>
      <c r="AC221" s="13"/>
      <c r="AD221" s="36"/>
      <c r="AE221" s="13"/>
      <c r="AF221" s="13"/>
      <c r="AG221" s="184"/>
      <c r="AH221" s="37"/>
    </row>
    <row r="222" spans="1:34">
      <c r="A222" s="14">
        <f t="shared" si="89"/>
        <v>46151</v>
      </c>
      <c r="B222" s="11"/>
      <c r="C222" s="12"/>
      <c r="D222" s="12"/>
      <c r="E222" s="13"/>
      <c r="F222" s="12"/>
      <c r="G222" s="12"/>
      <c r="H222" s="12"/>
      <c r="I222" s="12"/>
      <c r="J222" s="13"/>
      <c r="K222" s="184"/>
      <c r="L222" s="26"/>
      <c r="M222" s="22"/>
      <c r="N222" s="29"/>
      <c r="O222" s="50"/>
      <c r="P222" s="13"/>
      <c r="Q222" s="13"/>
      <c r="R222" s="13"/>
      <c r="S222" s="13"/>
      <c r="T222" s="36"/>
      <c r="U222" s="13"/>
      <c r="V222" s="13"/>
      <c r="W222" s="184"/>
      <c r="X222" s="37"/>
      <c r="Y222" s="22"/>
      <c r="Z222" s="38"/>
      <c r="AA222" s="13"/>
      <c r="AB222" s="13"/>
      <c r="AC222" s="13"/>
      <c r="AD222" s="36"/>
      <c r="AE222" s="13"/>
      <c r="AF222" s="13"/>
      <c r="AG222" s="184"/>
      <c r="AH222" s="37"/>
    </row>
    <row r="223" spans="1:34">
      <c r="A223" s="14">
        <f t="shared" si="89"/>
        <v>46152</v>
      </c>
      <c r="B223" s="11"/>
      <c r="C223" s="12"/>
      <c r="D223" s="12"/>
      <c r="E223" s="13"/>
      <c r="F223" s="12"/>
      <c r="G223" s="12"/>
      <c r="H223" s="12"/>
      <c r="I223" s="12"/>
      <c r="J223" s="13"/>
      <c r="K223" s="184"/>
      <c r="L223" s="26"/>
      <c r="M223" s="22"/>
      <c r="N223" s="29"/>
      <c r="O223" s="50"/>
      <c r="P223" s="13"/>
      <c r="Q223" s="13"/>
      <c r="R223" s="13"/>
      <c r="S223" s="13"/>
      <c r="T223" s="36"/>
      <c r="U223" s="13"/>
      <c r="V223" s="13"/>
      <c r="W223" s="184"/>
      <c r="X223" s="51"/>
      <c r="Y223" s="22"/>
      <c r="Z223" s="38"/>
      <c r="AA223" s="13"/>
      <c r="AB223" s="13"/>
      <c r="AC223" s="13"/>
      <c r="AD223" s="36"/>
      <c r="AE223" s="13"/>
      <c r="AF223" s="13"/>
      <c r="AG223" s="184"/>
      <c r="AH223" s="37"/>
    </row>
    <row r="224" spans="1:34">
      <c r="A224" s="14">
        <f t="shared" si="89"/>
        <v>46153</v>
      </c>
      <c r="B224" s="11"/>
      <c r="C224" s="12"/>
      <c r="D224" s="12"/>
      <c r="E224" s="13"/>
      <c r="F224" s="12"/>
      <c r="G224" s="12"/>
      <c r="H224" s="12"/>
      <c r="I224" s="12"/>
      <c r="J224" s="13"/>
      <c r="K224" s="184"/>
      <c r="L224" s="26"/>
      <c r="M224" s="22"/>
      <c r="N224" s="29"/>
      <c r="O224" s="50"/>
      <c r="P224" s="13"/>
      <c r="Q224" s="13"/>
      <c r="R224" s="13"/>
      <c r="S224" s="13"/>
      <c r="T224" s="36"/>
      <c r="U224" s="13"/>
      <c r="V224" s="13"/>
      <c r="W224" s="184"/>
      <c r="X224" s="51"/>
      <c r="Y224" s="22"/>
      <c r="Z224" s="38"/>
      <c r="AA224" s="13"/>
      <c r="AB224" s="13"/>
      <c r="AC224" s="13"/>
      <c r="AD224" s="36"/>
      <c r="AE224" s="13"/>
      <c r="AF224" s="13"/>
      <c r="AG224" s="184"/>
      <c r="AH224" s="37"/>
    </row>
    <row r="225" spans="1:34">
      <c r="A225" s="14">
        <f t="shared" si="89"/>
        <v>46154</v>
      </c>
      <c r="B225" s="11"/>
      <c r="C225" s="12"/>
      <c r="D225" s="12"/>
      <c r="E225" s="13"/>
      <c r="F225" s="12"/>
      <c r="G225" s="12"/>
      <c r="H225" s="12"/>
      <c r="I225" s="12"/>
      <c r="J225" s="13"/>
      <c r="K225" s="184"/>
      <c r="L225" s="26"/>
      <c r="M225" s="22"/>
      <c r="N225" s="29"/>
      <c r="O225" s="50"/>
      <c r="P225" s="13"/>
      <c r="Q225" s="13"/>
      <c r="R225" s="13"/>
      <c r="S225" s="13"/>
      <c r="T225" s="36"/>
      <c r="U225" s="13"/>
      <c r="V225" s="13"/>
      <c r="W225" s="184"/>
      <c r="X225" s="51"/>
      <c r="Y225" s="22"/>
      <c r="Z225" s="38"/>
      <c r="AA225" s="13"/>
      <c r="AB225" s="13"/>
      <c r="AC225" s="13"/>
      <c r="AD225" s="36"/>
      <c r="AE225" s="13"/>
      <c r="AF225" s="13"/>
      <c r="AG225" s="184"/>
      <c r="AH225" s="37"/>
    </row>
    <row r="226" spans="1:34">
      <c r="A226" s="14">
        <f t="shared" si="89"/>
        <v>46155</v>
      </c>
      <c r="B226" s="11"/>
      <c r="C226" s="12"/>
      <c r="D226" s="12"/>
      <c r="E226" s="13"/>
      <c r="F226" s="12"/>
      <c r="G226" s="12"/>
      <c r="H226" s="12"/>
      <c r="I226" s="12"/>
      <c r="J226" s="13"/>
      <c r="K226" s="184"/>
      <c r="L226" s="26"/>
      <c r="M226" s="22"/>
      <c r="N226" s="29"/>
      <c r="O226" s="50"/>
      <c r="P226" s="13"/>
      <c r="Q226" s="13"/>
      <c r="R226" s="13"/>
      <c r="S226" s="13"/>
      <c r="T226" s="36"/>
      <c r="U226" s="13"/>
      <c r="V226" s="13"/>
      <c r="W226" s="184"/>
      <c r="X226" s="51"/>
      <c r="Y226" s="22"/>
      <c r="Z226" s="38"/>
      <c r="AA226" s="13"/>
      <c r="AB226" s="13"/>
      <c r="AC226" s="13"/>
      <c r="AD226" s="36"/>
      <c r="AE226" s="13"/>
      <c r="AF226" s="13"/>
      <c r="AG226" s="184"/>
      <c r="AH226" s="37"/>
    </row>
    <row r="227" spans="1:34">
      <c r="A227" s="14">
        <f t="shared" si="89"/>
        <v>46156</v>
      </c>
      <c r="B227" s="11"/>
      <c r="C227" s="12"/>
      <c r="D227" s="12"/>
      <c r="E227" s="13"/>
      <c r="F227" s="12"/>
      <c r="G227" s="12"/>
      <c r="H227" s="12"/>
      <c r="I227" s="12"/>
      <c r="J227" s="13"/>
      <c r="K227" s="184"/>
      <c r="L227" s="26"/>
      <c r="M227" s="22"/>
      <c r="N227" s="29"/>
      <c r="O227" s="50"/>
      <c r="P227" s="13"/>
      <c r="Q227" s="13"/>
      <c r="R227" s="13"/>
      <c r="S227" s="13"/>
      <c r="T227" s="36"/>
      <c r="U227" s="13"/>
      <c r="V227" s="13"/>
      <c r="W227" s="184"/>
      <c r="X227" s="51"/>
      <c r="Y227" s="22"/>
      <c r="Z227" s="38"/>
      <c r="AA227" s="13"/>
      <c r="AB227" s="13"/>
      <c r="AC227" s="13"/>
      <c r="AD227" s="36"/>
      <c r="AE227" s="13"/>
      <c r="AF227" s="13"/>
      <c r="AG227" s="184"/>
      <c r="AH227" s="37"/>
    </row>
    <row r="228" spans="1:34">
      <c r="A228" s="14">
        <f t="shared" si="89"/>
        <v>46157</v>
      </c>
      <c r="B228" s="11"/>
      <c r="C228" s="12"/>
      <c r="D228" s="12"/>
      <c r="E228" s="13"/>
      <c r="F228" s="12"/>
      <c r="G228" s="12"/>
      <c r="H228" s="12"/>
      <c r="I228" s="12"/>
      <c r="J228" s="13"/>
      <c r="K228" s="184"/>
      <c r="L228" s="26"/>
      <c r="M228" s="22"/>
      <c r="N228" s="29"/>
      <c r="O228" s="50"/>
      <c r="P228" s="13"/>
      <c r="Q228" s="13"/>
      <c r="R228" s="13"/>
      <c r="S228" s="13"/>
      <c r="T228" s="36"/>
      <c r="U228" s="13"/>
      <c r="V228" s="13"/>
      <c r="W228" s="184"/>
      <c r="X228" s="37"/>
      <c r="Y228" s="22"/>
      <c r="Z228" s="38"/>
      <c r="AA228" s="13"/>
      <c r="AB228" s="13"/>
      <c r="AC228" s="13"/>
      <c r="AD228" s="13"/>
      <c r="AE228" s="13"/>
      <c r="AF228" s="13"/>
      <c r="AG228" s="184"/>
      <c r="AH228" s="37"/>
    </row>
    <row r="229" spans="1:34">
      <c r="A229" s="14">
        <f t="shared" si="89"/>
        <v>46158</v>
      </c>
      <c r="B229" s="11"/>
      <c r="C229" s="12"/>
      <c r="D229" s="12"/>
      <c r="E229" s="13"/>
      <c r="F229" s="12"/>
      <c r="G229" s="12"/>
      <c r="H229" s="12"/>
      <c r="I229" s="12"/>
      <c r="J229" s="13"/>
      <c r="K229" s="184"/>
      <c r="L229" s="26"/>
      <c r="M229" s="22"/>
      <c r="N229" s="29"/>
      <c r="O229" s="50"/>
      <c r="P229" s="13"/>
      <c r="Q229" s="13"/>
      <c r="R229" s="13"/>
      <c r="S229" s="13"/>
      <c r="T229" s="36"/>
      <c r="U229" s="13"/>
      <c r="V229" s="13"/>
      <c r="W229" s="184"/>
      <c r="X229" s="51"/>
      <c r="Y229" s="22"/>
      <c r="Z229" s="38"/>
      <c r="AA229" s="13"/>
      <c r="AB229" s="13"/>
      <c r="AC229" s="13"/>
      <c r="AD229" s="13"/>
      <c r="AE229" s="13"/>
      <c r="AF229" s="13"/>
      <c r="AG229" s="184"/>
      <c r="AH229" s="37"/>
    </row>
    <row r="230" spans="1:34">
      <c r="A230" s="14">
        <f t="shared" si="89"/>
        <v>46159</v>
      </c>
      <c r="B230" s="11"/>
      <c r="C230" s="12"/>
      <c r="D230" s="12"/>
      <c r="E230" s="13"/>
      <c r="F230" s="12"/>
      <c r="G230" s="12"/>
      <c r="H230" s="12"/>
      <c r="I230" s="12"/>
      <c r="J230" s="13"/>
      <c r="K230" s="184"/>
      <c r="L230" s="26"/>
      <c r="M230" s="22"/>
      <c r="N230" s="29"/>
      <c r="O230" s="50"/>
      <c r="P230" s="13"/>
      <c r="Q230" s="13"/>
      <c r="R230" s="13"/>
      <c r="S230" s="13"/>
      <c r="T230" s="36"/>
      <c r="U230" s="13"/>
      <c r="V230" s="13"/>
      <c r="W230" s="184"/>
      <c r="X230" s="37"/>
      <c r="Y230" s="22"/>
      <c r="Z230" s="38"/>
      <c r="AA230" s="13"/>
      <c r="AB230" s="13"/>
      <c r="AC230" s="13"/>
      <c r="AD230" s="13"/>
      <c r="AE230" s="13"/>
      <c r="AF230" s="13"/>
      <c r="AG230" s="184"/>
      <c r="AH230" s="37"/>
    </row>
    <row r="231" spans="1:34">
      <c r="A231" s="14">
        <f t="shared" si="89"/>
        <v>46160</v>
      </c>
      <c r="B231" s="11"/>
      <c r="C231" s="12"/>
      <c r="D231" s="12"/>
      <c r="E231" s="13"/>
      <c r="F231" s="12"/>
      <c r="G231" s="12"/>
      <c r="H231" s="12"/>
      <c r="I231" s="12"/>
      <c r="J231" s="13"/>
      <c r="K231" s="184"/>
      <c r="L231" s="26"/>
      <c r="M231" s="22"/>
      <c r="N231" s="29"/>
      <c r="O231" s="13"/>
      <c r="P231" s="13"/>
      <c r="Q231" s="13"/>
      <c r="R231" s="13"/>
      <c r="S231" s="13"/>
      <c r="T231" s="36"/>
      <c r="U231" s="13"/>
      <c r="V231" s="13"/>
      <c r="W231" s="184"/>
      <c r="X231" s="37"/>
      <c r="Y231" s="22"/>
      <c r="Z231" s="38"/>
      <c r="AA231" s="13"/>
      <c r="AB231" s="13"/>
      <c r="AC231" s="13"/>
      <c r="AD231" s="13"/>
      <c r="AE231" s="13"/>
      <c r="AF231" s="13"/>
      <c r="AG231" s="184"/>
      <c r="AH231" s="37"/>
    </row>
    <row r="232" spans="1:34">
      <c r="A232" s="14">
        <f t="shared" si="89"/>
        <v>46161</v>
      </c>
      <c r="B232" s="11"/>
      <c r="C232" s="12"/>
      <c r="D232" s="12"/>
      <c r="E232" s="13"/>
      <c r="F232" s="12"/>
      <c r="G232" s="12"/>
      <c r="H232" s="12"/>
      <c r="I232" s="12"/>
      <c r="J232" s="13"/>
      <c r="K232" s="184"/>
      <c r="L232" s="26"/>
      <c r="M232" s="22"/>
      <c r="N232" s="29"/>
      <c r="O232" s="13"/>
      <c r="P232" s="13"/>
      <c r="Q232" s="13"/>
      <c r="R232" s="13"/>
      <c r="S232" s="13"/>
      <c r="T232" s="36"/>
      <c r="U232" s="13"/>
      <c r="V232" s="13"/>
      <c r="W232" s="184"/>
      <c r="X232" s="37"/>
      <c r="Y232" s="22"/>
      <c r="Z232" s="38"/>
      <c r="AA232" s="13"/>
      <c r="AB232" s="13"/>
      <c r="AC232" s="13"/>
      <c r="AD232" s="13"/>
      <c r="AE232" s="13"/>
      <c r="AF232" s="13"/>
      <c r="AG232" s="184"/>
      <c r="AH232" s="37"/>
    </row>
    <row r="233" spans="1:34">
      <c r="A233" s="14">
        <f t="shared" si="89"/>
        <v>46162</v>
      </c>
      <c r="B233" s="11"/>
      <c r="C233" s="12"/>
      <c r="D233" s="12"/>
      <c r="E233" s="13"/>
      <c r="F233" s="12"/>
      <c r="G233" s="12"/>
      <c r="H233" s="12"/>
      <c r="I233" s="12"/>
      <c r="J233" s="13"/>
      <c r="K233" s="184"/>
      <c r="L233" s="26"/>
      <c r="M233" s="22"/>
      <c r="N233" s="29"/>
      <c r="O233" s="13"/>
      <c r="P233" s="13"/>
      <c r="Q233" s="13"/>
      <c r="R233" s="13"/>
      <c r="S233" s="13"/>
      <c r="T233" s="36"/>
      <c r="U233" s="13"/>
      <c r="V233" s="13"/>
      <c r="W233" s="184"/>
      <c r="X233" s="37"/>
      <c r="Y233" s="22"/>
      <c r="Z233" s="38"/>
      <c r="AA233" s="13"/>
      <c r="AB233" s="13"/>
      <c r="AC233" s="13"/>
      <c r="AD233" s="36"/>
      <c r="AE233" s="13"/>
      <c r="AF233" s="13"/>
      <c r="AG233" s="184"/>
      <c r="AH233" s="37"/>
    </row>
    <row r="234" spans="1:34">
      <c r="A234" s="14">
        <f t="shared" si="89"/>
        <v>46163</v>
      </c>
      <c r="B234" s="11"/>
      <c r="C234" s="12"/>
      <c r="D234" s="12"/>
      <c r="E234" s="13"/>
      <c r="F234" s="12"/>
      <c r="G234" s="12"/>
      <c r="H234" s="12"/>
      <c r="I234" s="12"/>
      <c r="J234" s="13"/>
      <c r="K234" s="184"/>
      <c r="L234" s="26"/>
      <c r="M234" s="22"/>
      <c r="N234" s="29"/>
      <c r="O234" s="13"/>
      <c r="P234" s="13"/>
      <c r="Q234" s="13"/>
      <c r="R234" s="13"/>
      <c r="S234" s="13"/>
      <c r="T234" s="36"/>
      <c r="U234" s="13"/>
      <c r="V234" s="13"/>
      <c r="W234" s="184"/>
      <c r="X234" s="37"/>
      <c r="Y234" s="22"/>
      <c r="Z234" s="38"/>
      <c r="AA234" s="13"/>
      <c r="AB234" s="13"/>
      <c r="AC234" s="13"/>
      <c r="AD234" s="36"/>
      <c r="AE234" s="13"/>
      <c r="AF234" s="13"/>
      <c r="AG234" s="184"/>
      <c r="AH234" s="37"/>
    </row>
    <row r="235" spans="1:34">
      <c r="A235" s="14">
        <f t="shared" si="89"/>
        <v>46164</v>
      </c>
      <c r="B235" s="11"/>
      <c r="C235" s="12"/>
      <c r="D235" s="12"/>
      <c r="E235" s="13"/>
      <c r="F235" s="12"/>
      <c r="G235" s="12"/>
      <c r="H235" s="12"/>
      <c r="I235" s="12"/>
      <c r="J235" s="13"/>
      <c r="K235" s="184"/>
      <c r="L235" s="26"/>
      <c r="M235" s="22"/>
      <c r="N235" s="29"/>
      <c r="O235" s="13"/>
      <c r="P235" s="13"/>
      <c r="Q235" s="13"/>
      <c r="R235" s="13"/>
      <c r="S235" s="13"/>
      <c r="T235" s="36"/>
      <c r="U235" s="13"/>
      <c r="V235" s="13"/>
      <c r="W235" s="184"/>
      <c r="X235" s="37"/>
      <c r="Y235" s="22"/>
      <c r="Z235" s="38"/>
      <c r="AA235" s="13"/>
      <c r="AB235" s="13"/>
      <c r="AC235" s="13"/>
      <c r="AD235" s="13"/>
      <c r="AE235" s="13"/>
      <c r="AF235" s="13"/>
      <c r="AG235" s="184"/>
      <c r="AH235" s="37"/>
    </row>
    <row r="236" spans="1:34">
      <c r="A236" s="14">
        <f t="shared" si="89"/>
        <v>46165</v>
      </c>
      <c r="B236" s="11"/>
      <c r="C236" s="12"/>
      <c r="D236" s="12"/>
      <c r="E236" s="13"/>
      <c r="F236" s="12"/>
      <c r="G236" s="12"/>
      <c r="H236" s="12"/>
      <c r="I236" s="12"/>
      <c r="J236" s="13"/>
      <c r="K236" s="184"/>
      <c r="L236" s="26"/>
      <c r="M236" s="22"/>
      <c r="N236" s="29"/>
      <c r="O236" s="13"/>
      <c r="P236" s="13"/>
      <c r="Q236" s="13"/>
      <c r="R236" s="13"/>
      <c r="S236" s="13"/>
      <c r="T236" s="36"/>
      <c r="U236" s="13"/>
      <c r="V236" s="13"/>
      <c r="W236" s="184"/>
      <c r="X236" s="37"/>
      <c r="Y236" s="22"/>
      <c r="Z236" s="38"/>
      <c r="AA236" s="13"/>
      <c r="AB236" s="13"/>
      <c r="AC236" s="13"/>
      <c r="AD236" s="13"/>
      <c r="AE236" s="13"/>
      <c r="AF236" s="13"/>
      <c r="AG236" s="184"/>
      <c r="AH236" s="37"/>
    </row>
    <row r="237" spans="1:34">
      <c r="A237" s="14">
        <f t="shared" si="89"/>
        <v>46166</v>
      </c>
      <c r="B237" s="11"/>
      <c r="C237" s="12"/>
      <c r="D237" s="12"/>
      <c r="E237" s="13"/>
      <c r="F237" s="12"/>
      <c r="G237" s="12"/>
      <c r="H237" s="12"/>
      <c r="I237" s="12"/>
      <c r="J237" s="13"/>
      <c r="K237" s="184"/>
      <c r="L237" s="26"/>
      <c r="M237" s="22"/>
      <c r="N237" s="29"/>
      <c r="O237" s="13"/>
      <c r="P237" s="13"/>
      <c r="Q237" s="13"/>
      <c r="R237" s="13"/>
      <c r="S237" s="13"/>
      <c r="T237" s="36"/>
      <c r="U237" s="13"/>
      <c r="V237" s="13"/>
      <c r="W237" s="184"/>
      <c r="X237" s="37"/>
      <c r="Y237" s="22"/>
      <c r="Z237" s="38"/>
      <c r="AA237" s="13"/>
      <c r="AB237" s="13"/>
      <c r="AC237" s="13"/>
      <c r="AD237" s="36"/>
      <c r="AE237" s="13"/>
      <c r="AF237" s="13"/>
      <c r="AG237" s="184"/>
      <c r="AH237" s="37"/>
    </row>
    <row r="238" spans="1:34">
      <c r="A238" s="14">
        <f t="shared" si="89"/>
        <v>46167</v>
      </c>
      <c r="B238" s="11"/>
      <c r="C238" s="12"/>
      <c r="D238" s="12"/>
      <c r="E238" s="13"/>
      <c r="F238" s="12"/>
      <c r="G238" s="12"/>
      <c r="H238" s="12"/>
      <c r="I238" s="12"/>
      <c r="J238" s="13"/>
      <c r="K238" s="184"/>
      <c r="L238" s="26"/>
      <c r="M238" s="22"/>
      <c r="N238" s="29"/>
      <c r="O238" s="13"/>
      <c r="P238" s="13"/>
      <c r="Q238" s="13"/>
      <c r="R238" s="13"/>
      <c r="S238" s="13"/>
      <c r="T238" s="36"/>
      <c r="U238" s="13"/>
      <c r="V238" s="13"/>
      <c r="W238" s="184"/>
      <c r="X238" s="37"/>
      <c r="Y238" s="22"/>
      <c r="Z238" s="38"/>
      <c r="AA238" s="13"/>
      <c r="AB238" s="13"/>
      <c r="AC238" s="13"/>
      <c r="AD238" s="13"/>
      <c r="AE238" s="13"/>
      <c r="AF238" s="13"/>
      <c r="AG238" s="184"/>
      <c r="AH238" s="37"/>
    </row>
    <row r="239" spans="1:34">
      <c r="A239" s="14">
        <f t="shared" si="89"/>
        <v>46168</v>
      </c>
      <c r="B239" s="11"/>
      <c r="C239" s="12"/>
      <c r="D239" s="12"/>
      <c r="E239" s="13"/>
      <c r="F239" s="12"/>
      <c r="G239" s="12"/>
      <c r="H239" s="12"/>
      <c r="I239" s="12"/>
      <c r="J239" s="13"/>
      <c r="K239" s="184"/>
      <c r="L239" s="26"/>
      <c r="M239" s="22"/>
      <c r="N239" s="29"/>
      <c r="O239" s="13"/>
      <c r="P239" s="13"/>
      <c r="Q239" s="13"/>
      <c r="R239" s="13"/>
      <c r="S239" s="13"/>
      <c r="T239" s="36"/>
      <c r="U239" s="13"/>
      <c r="V239" s="13"/>
      <c r="W239" s="184"/>
      <c r="X239" s="51"/>
      <c r="Y239" s="22"/>
      <c r="Z239" s="38"/>
      <c r="AA239" s="13"/>
      <c r="AB239" s="13"/>
      <c r="AC239" s="13"/>
      <c r="AD239" s="13"/>
      <c r="AE239" s="13"/>
      <c r="AF239" s="13"/>
      <c r="AG239" s="184"/>
      <c r="AH239" s="37"/>
    </row>
    <row r="240" spans="1:34">
      <c r="A240" s="14">
        <f t="shared" si="89"/>
        <v>46169</v>
      </c>
      <c r="B240" s="11"/>
      <c r="C240" s="12"/>
      <c r="D240" s="12"/>
      <c r="E240" s="13"/>
      <c r="F240" s="12"/>
      <c r="G240" s="12"/>
      <c r="H240" s="12"/>
      <c r="I240" s="12"/>
      <c r="J240" s="13"/>
      <c r="K240" s="184"/>
      <c r="L240" s="26"/>
      <c r="M240" s="22"/>
      <c r="N240" s="29"/>
      <c r="O240" s="13"/>
      <c r="P240" s="13"/>
      <c r="Q240" s="13"/>
      <c r="R240" s="13"/>
      <c r="S240" s="13"/>
      <c r="T240" s="36"/>
      <c r="U240" s="13"/>
      <c r="V240" s="13"/>
      <c r="W240" s="184"/>
      <c r="X240" s="37"/>
      <c r="Y240" s="22"/>
      <c r="Z240" s="38"/>
      <c r="AA240" s="13"/>
      <c r="AB240" s="13"/>
      <c r="AC240" s="13"/>
      <c r="AD240" s="36"/>
      <c r="AE240" s="13"/>
      <c r="AF240" s="13"/>
      <c r="AG240" s="184"/>
      <c r="AH240" s="37"/>
    </row>
    <row r="241" spans="1:34">
      <c r="A241" s="14">
        <f t="shared" si="89"/>
        <v>46170</v>
      </c>
      <c r="B241" s="11"/>
      <c r="C241" s="12"/>
      <c r="D241" s="12"/>
      <c r="E241" s="13"/>
      <c r="F241" s="12"/>
      <c r="G241" s="12"/>
      <c r="H241" s="12"/>
      <c r="I241" s="12"/>
      <c r="J241" s="13"/>
      <c r="K241" s="184"/>
      <c r="L241" s="26"/>
      <c r="M241" s="22"/>
      <c r="N241" s="29"/>
      <c r="O241" s="13"/>
      <c r="P241" s="13"/>
      <c r="Q241" s="13"/>
      <c r="R241" s="13"/>
      <c r="S241" s="13"/>
      <c r="T241" s="36"/>
      <c r="U241" s="13"/>
      <c r="V241" s="13"/>
      <c r="W241" s="184"/>
      <c r="X241" s="37"/>
      <c r="Y241" s="22"/>
      <c r="Z241" s="38"/>
      <c r="AA241" s="13"/>
      <c r="AB241" s="13"/>
      <c r="AC241" s="13"/>
      <c r="AD241" s="36"/>
      <c r="AE241" s="13"/>
      <c r="AF241" s="13"/>
      <c r="AG241" s="184"/>
      <c r="AH241" s="37"/>
    </row>
    <row r="242" spans="1:34">
      <c r="A242" s="14">
        <f t="shared" si="89"/>
        <v>46171</v>
      </c>
      <c r="B242" s="11"/>
      <c r="C242" s="12"/>
      <c r="D242" s="12"/>
      <c r="E242" s="13"/>
      <c r="F242" s="12"/>
      <c r="G242" s="12"/>
      <c r="H242" s="12"/>
      <c r="I242" s="12"/>
      <c r="J242" s="13"/>
      <c r="K242" s="184"/>
      <c r="L242" s="26"/>
      <c r="M242" s="22"/>
      <c r="N242" s="29"/>
      <c r="O242" s="13"/>
      <c r="P242" s="13"/>
      <c r="Q242" s="13"/>
      <c r="R242" s="13"/>
      <c r="S242" s="13"/>
      <c r="T242" s="36"/>
      <c r="U242" s="13"/>
      <c r="V242" s="13"/>
      <c r="W242" s="184"/>
      <c r="X242" s="37"/>
      <c r="Y242" s="22"/>
      <c r="Z242" s="38"/>
      <c r="AA242" s="13"/>
      <c r="AB242" s="13"/>
      <c r="AC242" s="13"/>
      <c r="AD242" s="36"/>
      <c r="AE242" s="13"/>
      <c r="AF242" s="13"/>
      <c r="AG242" s="184"/>
      <c r="AH242" s="37"/>
    </row>
    <row r="243" spans="1:34">
      <c r="A243" s="14">
        <f t="shared" si="89"/>
        <v>46172</v>
      </c>
      <c r="B243" s="11"/>
      <c r="C243" s="12"/>
      <c r="D243" s="12"/>
      <c r="E243" s="13"/>
      <c r="F243" s="12"/>
      <c r="G243" s="12"/>
      <c r="H243" s="12"/>
      <c r="I243" s="12"/>
      <c r="J243" s="13"/>
      <c r="K243" s="184"/>
      <c r="L243" s="26"/>
      <c r="M243" s="22"/>
      <c r="N243" s="29"/>
      <c r="O243" s="13"/>
      <c r="P243" s="13"/>
      <c r="Q243" s="13"/>
      <c r="R243" s="13"/>
      <c r="S243" s="13"/>
      <c r="T243" s="36"/>
      <c r="U243" s="13"/>
      <c r="V243" s="13"/>
      <c r="W243" s="184"/>
      <c r="X243" s="37"/>
      <c r="Y243" s="22"/>
      <c r="Z243" s="38"/>
      <c r="AA243" s="13"/>
      <c r="AB243" s="13"/>
      <c r="AC243" s="13"/>
      <c r="AD243" s="13"/>
      <c r="AE243" s="13"/>
      <c r="AF243" s="13"/>
      <c r="AG243" s="184"/>
      <c r="AH243" s="37"/>
    </row>
    <row r="244" spans="1:34" ht="15.75" thickBot="1">
      <c r="A244" s="15">
        <f t="shared" si="89"/>
        <v>46173</v>
      </c>
      <c r="B244" s="11"/>
      <c r="C244" s="12"/>
      <c r="D244" s="12"/>
      <c r="E244" s="13"/>
      <c r="F244" s="12"/>
      <c r="G244" s="12"/>
      <c r="H244" s="12"/>
      <c r="I244" s="12"/>
      <c r="J244" s="13"/>
      <c r="K244" s="184"/>
      <c r="L244" s="26"/>
      <c r="M244" s="22"/>
      <c r="N244" s="29"/>
      <c r="O244" s="13"/>
      <c r="P244" s="47"/>
      <c r="Q244" s="47"/>
      <c r="R244" s="47"/>
      <c r="S244" s="47"/>
      <c r="T244" s="52"/>
      <c r="U244" s="47"/>
      <c r="V244" s="47"/>
      <c r="W244" s="184"/>
      <c r="X244" s="48"/>
      <c r="Y244" s="22"/>
      <c r="Z244" s="38"/>
      <c r="AA244" s="13"/>
      <c r="AB244" s="13"/>
      <c r="AC244" s="13"/>
      <c r="AD244" s="13"/>
      <c r="AE244" s="13"/>
      <c r="AF244" s="13"/>
      <c r="AG244" s="184"/>
      <c r="AH244" s="37"/>
    </row>
    <row r="245" spans="1:34">
      <c r="A245" s="16" t="s">
        <v>31</v>
      </c>
      <c r="B245" s="17">
        <f>MIN(B214:B244)</f>
        <v>0</v>
      </c>
      <c r="C245" s="17">
        <f>MIN(C214:C244)</f>
        <v>0</v>
      </c>
      <c r="D245" s="17">
        <f t="shared" ref="D245:L245" si="90">MIN(D214:D244)</f>
        <v>0</v>
      </c>
      <c r="E245" s="17">
        <f t="shared" si="90"/>
        <v>0</v>
      </c>
      <c r="F245" s="17">
        <f t="shared" si="90"/>
        <v>0</v>
      </c>
      <c r="G245" s="17">
        <f t="shared" si="90"/>
        <v>0</v>
      </c>
      <c r="H245" s="17">
        <f t="shared" si="90"/>
        <v>0</v>
      </c>
      <c r="I245" s="17">
        <f t="shared" si="90"/>
        <v>0</v>
      </c>
      <c r="J245" s="17">
        <f t="shared" si="90"/>
        <v>0</v>
      </c>
      <c r="K245" s="17">
        <f t="shared" si="90"/>
        <v>0</v>
      </c>
      <c r="L245" s="30">
        <f t="shared" si="90"/>
        <v>0</v>
      </c>
      <c r="M245" s="22"/>
      <c r="N245" s="17">
        <f>MIN(N214:N244)</f>
        <v>0</v>
      </c>
      <c r="O245" s="17">
        <f>MIN(O214:O244)</f>
        <v>0</v>
      </c>
      <c r="P245" s="17">
        <f t="shared" ref="P245:X245" si="91">MIN(P214:P244)</f>
        <v>0</v>
      </c>
      <c r="Q245" s="17">
        <f t="shared" si="91"/>
        <v>0</v>
      </c>
      <c r="R245" s="17">
        <f t="shared" si="91"/>
        <v>0</v>
      </c>
      <c r="S245" s="17">
        <f t="shared" si="91"/>
        <v>0</v>
      </c>
      <c r="T245" s="17">
        <f t="shared" si="91"/>
        <v>0</v>
      </c>
      <c r="U245" s="17">
        <f t="shared" si="91"/>
        <v>0</v>
      </c>
      <c r="V245" s="17">
        <f t="shared" si="91"/>
        <v>0</v>
      </c>
      <c r="W245" s="17">
        <f t="shared" si="91"/>
        <v>0</v>
      </c>
      <c r="X245" s="30">
        <f t="shared" si="91"/>
        <v>0</v>
      </c>
      <c r="Z245" s="40">
        <f t="shared" ref="Z245:AH245" si="92">MIN(Z214:Z244)</f>
        <v>0</v>
      </c>
      <c r="AA245" s="17">
        <f t="shared" si="92"/>
        <v>0</v>
      </c>
      <c r="AB245" s="17">
        <f t="shared" si="92"/>
        <v>0</v>
      </c>
      <c r="AC245" s="17">
        <f t="shared" si="92"/>
        <v>0</v>
      </c>
      <c r="AD245" s="17">
        <f t="shared" si="92"/>
        <v>0</v>
      </c>
      <c r="AE245" s="17">
        <f t="shared" si="92"/>
        <v>0</v>
      </c>
      <c r="AF245" s="17">
        <f t="shared" si="92"/>
        <v>0</v>
      </c>
      <c r="AG245" s="17">
        <f t="shared" si="92"/>
        <v>0</v>
      </c>
      <c r="AH245" s="30">
        <f t="shared" si="92"/>
        <v>0</v>
      </c>
    </row>
    <row r="246" spans="1:34">
      <c r="A246" s="18" t="s">
        <v>33</v>
      </c>
      <c r="B246" s="19">
        <f>MAX(B214:B244)</f>
        <v>0</v>
      </c>
      <c r="C246" s="19">
        <f>MAX(C214:C244)</f>
        <v>0</v>
      </c>
      <c r="D246" s="19">
        <f t="shared" ref="D246:L246" si="93">MAX(D214:D244)</f>
        <v>0</v>
      </c>
      <c r="E246" s="19">
        <f t="shared" si="93"/>
        <v>0</v>
      </c>
      <c r="F246" s="19">
        <f t="shared" si="93"/>
        <v>0</v>
      </c>
      <c r="G246" s="19">
        <f t="shared" si="93"/>
        <v>0</v>
      </c>
      <c r="H246" s="19">
        <f t="shared" si="93"/>
        <v>0</v>
      </c>
      <c r="I246" s="19">
        <f t="shared" si="93"/>
        <v>0</v>
      </c>
      <c r="J246" s="19">
        <f t="shared" si="93"/>
        <v>0</v>
      </c>
      <c r="K246" s="19">
        <f t="shared" si="93"/>
        <v>0</v>
      </c>
      <c r="L246" s="31">
        <f t="shared" si="93"/>
        <v>0</v>
      </c>
      <c r="M246" s="22"/>
      <c r="N246" s="19">
        <f>MAX(N214:N244)</f>
        <v>0</v>
      </c>
      <c r="O246" s="19">
        <f>MAX(O214:O244)</f>
        <v>0</v>
      </c>
      <c r="P246" s="19">
        <f t="shared" ref="P246:X246" si="94">MAX(P214:P244)</f>
        <v>0</v>
      </c>
      <c r="Q246" s="19">
        <f t="shared" si="94"/>
        <v>0</v>
      </c>
      <c r="R246" s="19">
        <f t="shared" si="94"/>
        <v>0</v>
      </c>
      <c r="S246" s="19">
        <f t="shared" si="94"/>
        <v>0</v>
      </c>
      <c r="T246" s="19">
        <f t="shared" si="94"/>
        <v>0</v>
      </c>
      <c r="U246" s="19">
        <f t="shared" si="94"/>
        <v>0</v>
      </c>
      <c r="V246" s="19">
        <f t="shared" si="94"/>
        <v>0</v>
      </c>
      <c r="W246" s="19">
        <f t="shared" si="94"/>
        <v>0</v>
      </c>
      <c r="X246" s="31">
        <f t="shared" si="94"/>
        <v>0</v>
      </c>
      <c r="Z246" s="41">
        <f t="shared" ref="Z246:AH246" si="95">MAX(Z214:Z244)</f>
        <v>0</v>
      </c>
      <c r="AA246" s="19">
        <f t="shared" si="95"/>
        <v>0</v>
      </c>
      <c r="AB246" s="19">
        <f t="shared" si="95"/>
        <v>0</v>
      </c>
      <c r="AC246" s="19">
        <f t="shared" si="95"/>
        <v>0</v>
      </c>
      <c r="AD246" s="19">
        <f t="shared" si="95"/>
        <v>0</v>
      </c>
      <c r="AE246" s="19">
        <f t="shared" si="95"/>
        <v>0</v>
      </c>
      <c r="AF246" s="19">
        <f t="shared" si="95"/>
        <v>0</v>
      </c>
      <c r="AG246" s="19">
        <f t="shared" si="95"/>
        <v>0</v>
      </c>
      <c r="AH246" s="31">
        <f t="shared" si="95"/>
        <v>0</v>
      </c>
    </row>
    <row r="247" spans="1:34">
      <c r="A247" s="18" t="s">
        <v>36</v>
      </c>
      <c r="B247" s="19" t="e">
        <f t="shared" ref="B247:L247" si="96">AVERAGE(B214:B244)</f>
        <v>#DIV/0!</v>
      </c>
      <c r="C247" s="19" t="e">
        <f t="shared" si="96"/>
        <v>#DIV/0!</v>
      </c>
      <c r="D247" s="19" t="e">
        <f t="shared" si="96"/>
        <v>#DIV/0!</v>
      </c>
      <c r="E247" s="19" t="e">
        <f t="shared" si="96"/>
        <v>#DIV/0!</v>
      </c>
      <c r="F247" s="19" t="e">
        <f t="shared" si="96"/>
        <v>#DIV/0!</v>
      </c>
      <c r="G247" s="19" t="e">
        <f t="shared" si="96"/>
        <v>#DIV/0!</v>
      </c>
      <c r="H247" s="19" t="e">
        <f t="shared" si="96"/>
        <v>#DIV/0!</v>
      </c>
      <c r="I247" s="19" t="e">
        <f t="shared" si="96"/>
        <v>#DIV/0!</v>
      </c>
      <c r="J247" s="19" t="e">
        <f t="shared" si="96"/>
        <v>#DIV/0!</v>
      </c>
      <c r="K247" s="19" t="e">
        <f t="shared" si="96"/>
        <v>#DIV/0!</v>
      </c>
      <c r="L247" s="31" t="e">
        <f t="shared" si="96"/>
        <v>#DIV/0!</v>
      </c>
      <c r="M247" s="22"/>
      <c r="N247" s="19" t="e">
        <f t="shared" ref="N247:X247" si="97">AVERAGE(N214:N244)</f>
        <v>#DIV/0!</v>
      </c>
      <c r="O247" s="19" t="e">
        <f t="shared" si="97"/>
        <v>#DIV/0!</v>
      </c>
      <c r="P247" s="19" t="e">
        <f t="shared" si="97"/>
        <v>#DIV/0!</v>
      </c>
      <c r="Q247" s="19" t="e">
        <f t="shared" si="97"/>
        <v>#DIV/0!</v>
      </c>
      <c r="R247" s="19" t="e">
        <f t="shared" si="97"/>
        <v>#DIV/0!</v>
      </c>
      <c r="S247" s="19" t="e">
        <f t="shared" si="97"/>
        <v>#DIV/0!</v>
      </c>
      <c r="T247" s="19" t="e">
        <f t="shared" si="97"/>
        <v>#DIV/0!</v>
      </c>
      <c r="U247" s="19" t="e">
        <f t="shared" si="97"/>
        <v>#DIV/0!</v>
      </c>
      <c r="V247" s="19" t="e">
        <f t="shared" si="97"/>
        <v>#DIV/0!</v>
      </c>
      <c r="W247" s="19" t="e">
        <f t="shared" si="97"/>
        <v>#DIV/0!</v>
      </c>
      <c r="X247" s="31" t="e">
        <f t="shared" si="97"/>
        <v>#DIV/0!</v>
      </c>
      <c r="Z247" s="41" t="e">
        <f>AVERAGE(Z214:Z244)</f>
        <v>#DIV/0!</v>
      </c>
      <c r="AA247" s="19" t="e">
        <f t="shared" ref="AA247:AH247" si="98">AVERAGE(AA214:AA244)</f>
        <v>#DIV/0!</v>
      </c>
      <c r="AB247" s="19" t="e">
        <f t="shared" si="98"/>
        <v>#DIV/0!</v>
      </c>
      <c r="AC247" s="19" t="e">
        <f t="shared" si="98"/>
        <v>#DIV/0!</v>
      </c>
      <c r="AD247" s="19" t="e">
        <f t="shared" si="98"/>
        <v>#DIV/0!</v>
      </c>
      <c r="AE247" s="19" t="e">
        <f t="shared" si="98"/>
        <v>#DIV/0!</v>
      </c>
      <c r="AF247" s="19" t="e">
        <f t="shared" si="98"/>
        <v>#DIV/0!</v>
      </c>
      <c r="AG247" s="19" t="e">
        <f t="shared" si="98"/>
        <v>#DIV/0!</v>
      </c>
      <c r="AH247" s="31" t="e">
        <f t="shared" si="98"/>
        <v>#DIV/0!</v>
      </c>
    </row>
    <row r="248" spans="1:34" ht="15.75" thickBot="1">
      <c r="A248" s="20" t="s">
        <v>130</v>
      </c>
      <c r="B248" s="21" t="e">
        <f>STDEV(B214:B244)</f>
        <v>#DIV/0!</v>
      </c>
      <c r="C248" s="21" t="e">
        <f t="shared" ref="C248:L248" si="99">STDEV(C214:C244)</f>
        <v>#DIV/0!</v>
      </c>
      <c r="D248" s="21" t="e">
        <f t="shared" si="99"/>
        <v>#DIV/0!</v>
      </c>
      <c r="E248" s="21" t="e">
        <f t="shared" si="99"/>
        <v>#DIV/0!</v>
      </c>
      <c r="F248" s="21" t="e">
        <f t="shared" si="99"/>
        <v>#DIV/0!</v>
      </c>
      <c r="G248" s="21" t="e">
        <f t="shared" si="99"/>
        <v>#DIV/0!</v>
      </c>
      <c r="H248" s="21" t="e">
        <f t="shared" si="99"/>
        <v>#DIV/0!</v>
      </c>
      <c r="I248" s="21" t="e">
        <f t="shared" si="99"/>
        <v>#DIV/0!</v>
      </c>
      <c r="J248" s="21" t="e">
        <f t="shared" si="99"/>
        <v>#DIV/0!</v>
      </c>
      <c r="K248" s="21" t="e">
        <f t="shared" si="99"/>
        <v>#DIV/0!</v>
      </c>
      <c r="L248" s="32" t="e">
        <f t="shared" si="99"/>
        <v>#DIV/0!</v>
      </c>
      <c r="M248" s="22"/>
      <c r="N248" s="21" t="e">
        <f>STDEV(N214:N244)</f>
        <v>#DIV/0!</v>
      </c>
      <c r="O248" s="21" t="e">
        <f t="shared" ref="O248:X248" si="100">STDEV(O214:O244)</f>
        <v>#DIV/0!</v>
      </c>
      <c r="P248" s="21" t="e">
        <f t="shared" si="100"/>
        <v>#DIV/0!</v>
      </c>
      <c r="Q248" s="21" t="e">
        <f t="shared" si="100"/>
        <v>#DIV/0!</v>
      </c>
      <c r="R248" s="21" t="e">
        <f t="shared" si="100"/>
        <v>#DIV/0!</v>
      </c>
      <c r="S248" s="21" t="e">
        <f t="shared" si="100"/>
        <v>#DIV/0!</v>
      </c>
      <c r="T248" s="21" t="e">
        <f t="shared" si="100"/>
        <v>#DIV/0!</v>
      </c>
      <c r="U248" s="21" t="e">
        <f t="shared" si="100"/>
        <v>#DIV/0!</v>
      </c>
      <c r="V248" s="21" t="e">
        <f t="shared" si="100"/>
        <v>#DIV/0!</v>
      </c>
      <c r="W248" s="21" t="e">
        <f t="shared" si="100"/>
        <v>#DIV/0!</v>
      </c>
      <c r="X248" s="32" t="e">
        <f t="shared" si="100"/>
        <v>#DIV/0!</v>
      </c>
      <c r="Z248" s="42" t="e">
        <f>STDEV(Z214:Z244)</f>
        <v>#DIV/0!</v>
      </c>
      <c r="AA248" s="21" t="e">
        <f t="shared" ref="AA248:AH248" si="101">STDEV(AA214:AA244)</f>
        <v>#DIV/0!</v>
      </c>
      <c r="AB248" s="21" t="e">
        <f t="shared" si="101"/>
        <v>#DIV/0!</v>
      </c>
      <c r="AC248" s="21" t="e">
        <f t="shared" si="101"/>
        <v>#DIV/0!</v>
      </c>
      <c r="AD248" s="21" t="e">
        <f t="shared" si="101"/>
        <v>#DIV/0!</v>
      </c>
      <c r="AE248" s="21" t="e">
        <f t="shared" si="101"/>
        <v>#DIV/0!</v>
      </c>
      <c r="AF248" s="21" t="e">
        <f t="shared" si="101"/>
        <v>#DIV/0!</v>
      </c>
      <c r="AG248" s="21" t="e">
        <f t="shared" si="101"/>
        <v>#DIV/0!</v>
      </c>
      <c r="AH248" s="32" t="e">
        <f t="shared" si="101"/>
        <v>#DIV/0!</v>
      </c>
    </row>
    <row r="249" spans="1:34" ht="15.75" thickBot="1"/>
    <row r="250" spans="1:34" ht="15.75" thickBot="1">
      <c r="A250" s="1"/>
      <c r="B250" s="338" t="s">
        <v>0</v>
      </c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  <c r="AA250" s="339"/>
      <c r="AB250" s="339"/>
      <c r="AC250" s="339"/>
      <c r="AD250" s="339"/>
      <c r="AE250" s="339"/>
      <c r="AF250" s="339"/>
      <c r="AG250" s="339"/>
      <c r="AH250" s="363"/>
    </row>
    <row r="251" spans="1:34" ht="15.75" thickBot="1">
      <c r="A251" s="1"/>
      <c r="B251" s="338" t="s">
        <v>172</v>
      </c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  <c r="AA251" s="339"/>
      <c r="AB251" s="339"/>
      <c r="AC251" s="339"/>
      <c r="AD251" s="4"/>
      <c r="AE251" s="43" t="s">
        <v>107</v>
      </c>
      <c r="AF251" s="341">
        <v>46174</v>
      </c>
      <c r="AG251" s="342"/>
      <c r="AH251" s="343"/>
    </row>
    <row r="252" spans="1:34">
      <c r="A252" s="344"/>
      <c r="B252" s="346" t="s">
        <v>132</v>
      </c>
      <c r="C252" s="347"/>
      <c r="D252" s="347"/>
      <c r="E252" s="347"/>
      <c r="F252" s="347"/>
      <c r="G252" s="347"/>
      <c r="H252" s="347"/>
      <c r="I252" s="347"/>
      <c r="J252" s="347"/>
      <c r="K252" s="348"/>
      <c r="L252" s="349"/>
      <c r="M252" s="22"/>
      <c r="N252" s="350" t="s">
        <v>133</v>
      </c>
      <c r="O252" s="347"/>
      <c r="P252" s="347"/>
      <c r="Q252" s="347"/>
      <c r="R252" s="347"/>
      <c r="S252" s="347"/>
      <c r="T252" s="347"/>
      <c r="U252" s="347"/>
      <c r="V252" s="347"/>
      <c r="W252" s="348"/>
      <c r="X252" s="349"/>
      <c r="Y252" s="22"/>
      <c r="Z252" s="346" t="s">
        <v>134</v>
      </c>
      <c r="AA252" s="347"/>
      <c r="AB252" s="347"/>
      <c r="AC252" s="347"/>
      <c r="AD252" s="347"/>
      <c r="AE252" s="347"/>
      <c r="AF252" s="347"/>
      <c r="AG252" s="348"/>
      <c r="AH252" s="349"/>
    </row>
    <row r="253" spans="1:34" ht="25.5">
      <c r="A253" s="345"/>
      <c r="B253" s="359" t="s">
        <v>135</v>
      </c>
      <c r="C253" s="361" t="s">
        <v>136</v>
      </c>
      <c r="D253" s="5" t="s">
        <v>137</v>
      </c>
      <c r="E253" s="5" t="s">
        <v>138</v>
      </c>
      <c r="F253" s="5" t="s">
        <v>139</v>
      </c>
      <c r="G253" s="5" t="s">
        <v>140</v>
      </c>
      <c r="H253" s="5" t="s">
        <v>141</v>
      </c>
      <c r="I253" s="5" t="s">
        <v>142</v>
      </c>
      <c r="J253" s="5" t="s">
        <v>143</v>
      </c>
      <c r="K253" s="181" t="s">
        <v>81</v>
      </c>
      <c r="L253" s="23" t="s">
        <v>144</v>
      </c>
      <c r="M253" s="22"/>
      <c r="N253" s="355" t="s">
        <v>135</v>
      </c>
      <c r="O253" s="357" t="s">
        <v>136</v>
      </c>
      <c r="P253" s="5" t="s">
        <v>137</v>
      </c>
      <c r="Q253" s="5" t="s">
        <v>138</v>
      </c>
      <c r="R253" s="5" t="s">
        <v>139</v>
      </c>
      <c r="S253" s="5" t="s">
        <v>140</v>
      </c>
      <c r="T253" s="5" t="s">
        <v>141</v>
      </c>
      <c r="U253" s="5" t="s">
        <v>142</v>
      </c>
      <c r="V253" s="5" t="s">
        <v>143</v>
      </c>
      <c r="W253" s="181" t="s">
        <v>81</v>
      </c>
      <c r="X253" s="23" t="s">
        <v>144</v>
      </c>
      <c r="Y253" s="22"/>
      <c r="Z253" s="33" t="s">
        <v>137</v>
      </c>
      <c r="AA253" s="5" t="s">
        <v>138</v>
      </c>
      <c r="AB253" s="5" t="s">
        <v>139</v>
      </c>
      <c r="AC253" s="5" t="s">
        <v>140</v>
      </c>
      <c r="AD253" s="5" t="s">
        <v>141</v>
      </c>
      <c r="AE253" s="5" t="s">
        <v>142</v>
      </c>
      <c r="AF253" s="5" t="s">
        <v>143</v>
      </c>
      <c r="AG253" s="181" t="s">
        <v>81</v>
      </c>
      <c r="AH253" s="23" t="s">
        <v>144</v>
      </c>
    </row>
    <row r="254" spans="1:34" ht="25.5">
      <c r="A254" s="6" t="s">
        <v>145</v>
      </c>
      <c r="B254" s="360"/>
      <c r="C254" s="362"/>
      <c r="D254" s="5" t="s">
        <v>128</v>
      </c>
      <c r="E254" s="5" t="s">
        <v>128</v>
      </c>
      <c r="F254" s="5" t="s">
        <v>128</v>
      </c>
      <c r="G254" s="5" t="s">
        <v>128</v>
      </c>
      <c r="H254" s="5" t="s">
        <v>125</v>
      </c>
      <c r="I254" s="5" t="s">
        <v>146</v>
      </c>
      <c r="J254" s="5" t="s">
        <v>127</v>
      </c>
      <c r="K254" s="181" t="s">
        <v>53</v>
      </c>
      <c r="L254" s="23" t="s">
        <v>53</v>
      </c>
      <c r="M254" s="22"/>
      <c r="N254" s="356"/>
      <c r="O254" s="358"/>
      <c r="P254" s="5" t="s">
        <v>128</v>
      </c>
      <c r="Q254" s="5" t="s">
        <v>128</v>
      </c>
      <c r="R254" s="5" t="s">
        <v>128</v>
      </c>
      <c r="S254" s="5" t="s">
        <v>128</v>
      </c>
      <c r="T254" s="5" t="s">
        <v>125</v>
      </c>
      <c r="U254" s="5" t="s">
        <v>146</v>
      </c>
      <c r="V254" s="5" t="s">
        <v>127</v>
      </c>
      <c r="W254" s="181" t="s">
        <v>53</v>
      </c>
      <c r="X254" s="23" t="s">
        <v>53</v>
      </c>
      <c r="Y254" s="22"/>
      <c r="Z254" s="33" t="s">
        <v>128</v>
      </c>
      <c r="AA254" s="5" t="s">
        <v>128</v>
      </c>
      <c r="AB254" s="5" t="s">
        <v>128</v>
      </c>
      <c r="AC254" s="5" t="s">
        <v>128</v>
      </c>
      <c r="AD254" s="5" t="s">
        <v>125</v>
      </c>
      <c r="AE254" s="5" t="s">
        <v>146</v>
      </c>
      <c r="AF254" s="5" t="s">
        <v>127</v>
      </c>
      <c r="AG254" s="181" t="s">
        <v>53</v>
      </c>
      <c r="AH254" s="23" t="s">
        <v>53</v>
      </c>
    </row>
    <row r="255" spans="1:34" ht="39" thickBot="1">
      <c r="A255" s="7" t="s">
        <v>147</v>
      </c>
      <c r="B255" s="8" t="s">
        <v>173</v>
      </c>
      <c r="C255" s="9" t="s">
        <v>174</v>
      </c>
      <c r="D255" s="9" t="s">
        <v>181</v>
      </c>
      <c r="E255" s="9" t="s">
        <v>182</v>
      </c>
      <c r="F255" s="9" t="s">
        <v>183</v>
      </c>
      <c r="G255" s="9" t="s">
        <v>175</v>
      </c>
      <c r="H255" s="9" t="s">
        <v>176</v>
      </c>
      <c r="I255" s="24" t="s">
        <v>155</v>
      </c>
      <c r="J255" s="24" t="s">
        <v>156</v>
      </c>
      <c r="K255" s="24" t="s">
        <v>179</v>
      </c>
      <c r="L255" s="25" t="s">
        <v>177</v>
      </c>
      <c r="M255" s="22"/>
      <c r="N255" s="8" t="s">
        <v>173</v>
      </c>
      <c r="O255" s="9" t="s">
        <v>174</v>
      </c>
      <c r="P255" s="9" t="s">
        <v>181</v>
      </c>
      <c r="Q255" s="9" t="s">
        <v>182</v>
      </c>
      <c r="R255" s="9" t="s">
        <v>183</v>
      </c>
      <c r="S255" s="9" t="s">
        <v>175</v>
      </c>
      <c r="T255" s="9" t="s">
        <v>176</v>
      </c>
      <c r="U255" s="24" t="s">
        <v>155</v>
      </c>
      <c r="V255" s="24" t="s">
        <v>156</v>
      </c>
      <c r="W255" s="24" t="s">
        <v>179</v>
      </c>
      <c r="X255" s="25" t="s">
        <v>177</v>
      </c>
      <c r="Y255" s="22"/>
      <c r="Z255" s="9" t="s">
        <v>181</v>
      </c>
      <c r="AA255" s="9" t="s">
        <v>182</v>
      </c>
      <c r="AB255" s="9" t="s">
        <v>183</v>
      </c>
      <c r="AC255" s="9" t="s">
        <v>175</v>
      </c>
      <c r="AD255" s="9" t="s">
        <v>176</v>
      </c>
      <c r="AE255" s="24" t="s">
        <v>155</v>
      </c>
      <c r="AF255" s="24" t="s">
        <v>156</v>
      </c>
      <c r="AG255" s="24" t="s">
        <v>179</v>
      </c>
      <c r="AH255" s="25" t="s">
        <v>177</v>
      </c>
    </row>
    <row r="256" spans="1:34">
      <c r="A256" s="10">
        <f>AF251+0</f>
        <v>46174</v>
      </c>
      <c r="B256" s="11"/>
      <c r="C256" s="12"/>
      <c r="D256" s="12"/>
      <c r="E256" s="13"/>
      <c r="F256" s="12"/>
      <c r="G256" s="12"/>
      <c r="H256" s="12"/>
      <c r="I256" s="12"/>
      <c r="J256" s="13"/>
      <c r="K256" s="184"/>
      <c r="L256" s="26"/>
      <c r="M256" s="22"/>
      <c r="N256" s="29"/>
      <c r="O256" s="13"/>
      <c r="P256" s="28"/>
      <c r="Q256" s="28"/>
      <c r="R256" s="28"/>
      <c r="S256" s="28"/>
      <c r="T256" s="62"/>
      <c r="U256" s="28"/>
      <c r="V256" s="28"/>
      <c r="W256" s="184"/>
      <c r="X256" s="34"/>
      <c r="Y256" s="22"/>
      <c r="Z256" s="38"/>
      <c r="AA256" s="13"/>
      <c r="AB256" s="13"/>
      <c r="AC256" s="13"/>
      <c r="AD256" s="36"/>
      <c r="AE256" s="13"/>
      <c r="AF256" s="13"/>
      <c r="AG256" s="184"/>
      <c r="AH256" s="37"/>
    </row>
    <row r="257" spans="1:34">
      <c r="A257" s="14">
        <f t="shared" ref="A257:A286" si="102">A256+1</f>
        <v>46175</v>
      </c>
      <c r="B257" s="11"/>
      <c r="C257" s="12"/>
      <c r="D257" s="12"/>
      <c r="E257" s="13"/>
      <c r="F257" s="12"/>
      <c r="G257" s="12"/>
      <c r="H257" s="12"/>
      <c r="I257" s="12"/>
      <c r="J257" s="13"/>
      <c r="K257" s="184"/>
      <c r="L257" s="26"/>
      <c r="M257" s="22"/>
      <c r="N257" s="29"/>
      <c r="O257" s="13"/>
      <c r="P257" s="13"/>
      <c r="Q257" s="13"/>
      <c r="R257" s="13"/>
      <c r="S257" s="13"/>
      <c r="T257" s="36"/>
      <c r="U257" s="13"/>
      <c r="V257" s="13"/>
      <c r="W257" s="184"/>
      <c r="X257" s="37"/>
      <c r="Y257" s="22"/>
      <c r="Z257" s="38"/>
      <c r="AA257" s="13"/>
      <c r="AB257" s="13"/>
      <c r="AC257" s="13"/>
      <c r="AD257" s="36"/>
      <c r="AE257" s="13"/>
      <c r="AF257" s="13"/>
      <c r="AG257" s="184"/>
      <c r="AH257" s="37"/>
    </row>
    <row r="258" spans="1:34">
      <c r="A258" s="14">
        <f t="shared" si="102"/>
        <v>46176</v>
      </c>
      <c r="B258" s="11"/>
      <c r="C258" s="12"/>
      <c r="D258" s="12"/>
      <c r="E258" s="13"/>
      <c r="F258" s="12"/>
      <c r="G258" s="12"/>
      <c r="H258" s="12"/>
      <c r="I258" s="12"/>
      <c r="J258" s="13"/>
      <c r="K258" s="184"/>
      <c r="L258" s="26"/>
      <c r="M258" s="22"/>
      <c r="N258" s="29"/>
      <c r="O258" s="13"/>
      <c r="P258" s="13"/>
      <c r="Q258" s="13"/>
      <c r="R258" s="13"/>
      <c r="S258" s="13"/>
      <c r="T258" s="36"/>
      <c r="U258" s="13"/>
      <c r="V258" s="13"/>
      <c r="W258" s="184"/>
      <c r="X258" s="37"/>
      <c r="Y258" s="22"/>
      <c r="Z258" s="38"/>
      <c r="AA258" s="13"/>
      <c r="AB258" s="13"/>
      <c r="AC258" s="13"/>
      <c r="AD258" s="36"/>
      <c r="AE258" s="13"/>
      <c r="AF258" s="13"/>
      <c r="AG258" s="184"/>
      <c r="AH258" s="37"/>
    </row>
    <row r="259" spans="1:34">
      <c r="A259" s="14">
        <f t="shared" si="102"/>
        <v>46177</v>
      </c>
      <c r="B259" s="11"/>
      <c r="C259" s="12"/>
      <c r="D259" s="12"/>
      <c r="E259" s="13"/>
      <c r="F259" s="12"/>
      <c r="G259" s="12"/>
      <c r="H259" s="12"/>
      <c r="I259" s="12"/>
      <c r="J259" s="13"/>
      <c r="K259" s="184"/>
      <c r="L259" s="26"/>
      <c r="M259" s="22"/>
      <c r="N259" s="29"/>
      <c r="O259" s="13"/>
      <c r="P259" s="13"/>
      <c r="Q259" s="13"/>
      <c r="R259" s="13"/>
      <c r="S259" s="13"/>
      <c r="T259" s="36"/>
      <c r="U259" s="13"/>
      <c r="V259" s="13"/>
      <c r="W259" s="184"/>
      <c r="X259" s="37"/>
      <c r="Y259" s="22"/>
      <c r="Z259" s="38"/>
      <c r="AA259" s="13"/>
      <c r="AB259" s="13"/>
      <c r="AC259" s="13"/>
      <c r="AD259" s="36"/>
      <c r="AE259" s="13"/>
      <c r="AF259" s="13"/>
      <c r="AG259" s="184"/>
      <c r="AH259" s="37"/>
    </row>
    <row r="260" spans="1:34">
      <c r="A260" s="14">
        <f t="shared" si="102"/>
        <v>46178</v>
      </c>
      <c r="B260" s="11"/>
      <c r="C260" s="12"/>
      <c r="D260" s="12"/>
      <c r="E260" s="13"/>
      <c r="F260" s="12"/>
      <c r="G260" s="12"/>
      <c r="H260" s="12"/>
      <c r="I260" s="12"/>
      <c r="J260" s="13"/>
      <c r="K260" s="184"/>
      <c r="L260" s="26"/>
      <c r="M260" s="22"/>
      <c r="N260" s="29"/>
      <c r="O260" s="13"/>
      <c r="P260" s="13"/>
      <c r="Q260" s="13"/>
      <c r="R260" s="13"/>
      <c r="S260" s="13"/>
      <c r="T260" s="36"/>
      <c r="U260" s="13"/>
      <c r="V260" s="13"/>
      <c r="W260" s="184"/>
      <c r="X260" s="51"/>
      <c r="Y260" s="22"/>
      <c r="Z260" s="38"/>
      <c r="AA260" s="13"/>
      <c r="AB260" s="13"/>
      <c r="AC260" s="13"/>
      <c r="AD260" s="36"/>
      <c r="AE260" s="13"/>
      <c r="AF260" s="13"/>
      <c r="AG260" s="184"/>
      <c r="AH260" s="37"/>
    </row>
    <row r="261" spans="1:34">
      <c r="A261" s="14">
        <f t="shared" si="102"/>
        <v>46179</v>
      </c>
      <c r="B261" s="11"/>
      <c r="C261" s="12"/>
      <c r="D261" s="12"/>
      <c r="E261" s="13"/>
      <c r="F261" s="12"/>
      <c r="G261" s="12"/>
      <c r="H261" s="12"/>
      <c r="I261" s="12"/>
      <c r="J261" s="13"/>
      <c r="K261" s="184"/>
      <c r="L261" s="26"/>
      <c r="M261" s="22"/>
      <c r="N261" s="29"/>
      <c r="O261" s="13"/>
      <c r="P261" s="13"/>
      <c r="Q261" s="13"/>
      <c r="R261" s="13"/>
      <c r="S261" s="13"/>
      <c r="T261" s="36"/>
      <c r="U261" s="13"/>
      <c r="V261" s="13"/>
      <c r="W261" s="184"/>
      <c r="X261" s="51"/>
      <c r="Y261" s="22"/>
      <c r="Z261" s="38"/>
      <c r="AA261" s="13"/>
      <c r="AB261" s="13"/>
      <c r="AC261" s="13"/>
      <c r="AD261" s="36"/>
      <c r="AE261" s="13"/>
      <c r="AF261" s="13"/>
      <c r="AG261" s="184"/>
      <c r="AH261" s="37"/>
    </row>
    <row r="262" spans="1:34">
      <c r="A262" s="14">
        <f t="shared" si="102"/>
        <v>46180</v>
      </c>
      <c r="B262" s="11"/>
      <c r="C262" s="12"/>
      <c r="D262" s="12"/>
      <c r="E262" s="13"/>
      <c r="F262" s="12"/>
      <c r="G262" s="12"/>
      <c r="H262" s="12"/>
      <c r="I262" s="12"/>
      <c r="J262" s="13"/>
      <c r="K262" s="184"/>
      <c r="L262" s="26"/>
      <c r="M262" s="22"/>
      <c r="N262" s="29"/>
      <c r="O262" s="50"/>
      <c r="P262" s="13"/>
      <c r="Q262" s="13"/>
      <c r="R262" s="13"/>
      <c r="S262" s="13"/>
      <c r="T262" s="36"/>
      <c r="U262" s="13"/>
      <c r="V262" s="13"/>
      <c r="W262" s="184"/>
      <c r="X262" s="51"/>
      <c r="Y262" s="22"/>
      <c r="Z262" s="38"/>
      <c r="AA262" s="13"/>
      <c r="AB262" s="13"/>
      <c r="AC262" s="13"/>
      <c r="AD262" s="36"/>
      <c r="AE262" s="13"/>
      <c r="AF262" s="13"/>
      <c r="AG262" s="184"/>
      <c r="AH262" s="37"/>
    </row>
    <row r="263" spans="1:34">
      <c r="A263" s="14">
        <f t="shared" si="102"/>
        <v>46181</v>
      </c>
      <c r="B263" s="11"/>
      <c r="C263" s="12"/>
      <c r="D263" s="12"/>
      <c r="E263" s="13"/>
      <c r="F263" s="12"/>
      <c r="G263" s="12"/>
      <c r="H263" s="12"/>
      <c r="I263" s="12"/>
      <c r="J263" s="13"/>
      <c r="K263" s="184"/>
      <c r="L263" s="26"/>
      <c r="M263" s="22"/>
      <c r="N263" s="29"/>
      <c r="O263" s="50"/>
      <c r="P263" s="13"/>
      <c r="Q263" s="13"/>
      <c r="R263" s="13"/>
      <c r="S263" s="13"/>
      <c r="T263" s="36"/>
      <c r="U263" s="13"/>
      <c r="V263" s="13"/>
      <c r="W263" s="184"/>
      <c r="X263" s="37"/>
      <c r="Y263" s="22"/>
      <c r="Z263" s="38"/>
      <c r="AA263" s="13"/>
      <c r="AB263" s="13"/>
      <c r="AC263" s="13"/>
      <c r="AD263" s="36"/>
      <c r="AE263" s="13"/>
      <c r="AF263" s="13"/>
      <c r="AG263" s="184"/>
      <c r="AH263" s="37"/>
    </row>
    <row r="264" spans="1:34">
      <c r="A264" s="14">
        <f t="shared" si="102"/>
        <v>46182</v>
      </c>
      <c r="B264" s="11"/>
      <c r="C264" s="12"/>
      <c r="D264" s="12"/>
      <c r="E264" s="13"/>
      <c r="F264" s="12"/>
      <c r="G264" s="12"/>
      <c r="H264" s="12"/>
      <c r="I264" s="12"/>
      <c r="J264" s="13"/>
      <c r="K264" s="184"/>
      <c r="L264" s="26"/>
      <c r="M264" s="22"/>
      <c r="N264" s="29"/>
      <c r="O264" s="50"/>
      <c r="P264" s="13"/>
      <c r="Q264" s="13"/>
      <c r="R264" s="13"/>
      <c r="S264" s="13"/>
      <c r="T264" s="36"/>
      <c r="U264" s="13"/>
      <c r="V264" s="13"/>
      <c r="W264" s="184"/>
      <c r="X264" s="37"/>
      <c r="Y264" s="22"/>
      <c r="Z264" s="38"/>
      <c r="AA264" s="13"/>
      <c r="AB264" s="13"/>
      <c r="AC264" s="13"/>
      <c r="AD264" s="36"/>
      <c r="AE264" s="13"/>
      <c r="AF264" s="13"/>
      <c r="AG264" s="184"/>
      <c r="AH264" s="37"/>
    </row>
    <row r="265" spans="1:34">
      <c r="A265" s="14">
        <f t="shared" si="102"/>
        <v>46183</v>
      </c>
      <c r="B265" s="11"/>
      <c r="C265" s="12"/>
      <c r="D265" s="12"/>
      <c r="E265" s="13"/>
      <c r="F265" s="12"/>
      <c r="G265" s="12"/>
      <c r="H265" s="12"/>
      <c r="I265" s="12"/>
      <c r="J265" s="13"/>
      <c r="K265" s="184"/>
      <c r="L265" s="26"/>
      <c r="M265" s="22"/>
      <c r="N265" s="29"/>
      <c r="O265" s="50"/>
      <c r="P265" s="13"/>
      <c r="Q265" s="13"/>
      <c r="R265" s="13"/>
      <c r="S265" s="13"/>
      <c r="T265" s="36"/>
      <c r="U265" s="13"/>
      <c r="V265" s="13"/>
      <c r="W265" s="184"/>
      <c r="X265" s="51"/>
      <c r="Y265" s="22"/>
      <c r="Z265" s="38"/>
      <c r="AA265" s="13"/>
      <c r="AB265" s="13"/>
      <c r="AC265" s="13"/>
      <c r="AD265" s="36"/>
      <c r="AE265" s="13"/>
      <c r="AF265" s="13"/>
      <c r="AG265" s="184"/>
      <c r="AH265" s="37"/>
    </row>
    <row r="266" spans="1:34">
      <c r="A266" s="14">
        <f t="shared" si="102"/>
        <v>46184</v>
      </c>
      <c r="B266" s="11"/>
      <c r="C266" s="12"/>
      <c r="D266" s="12"/>
      <c r="E266" s="13"/>
      <c r="F266" s="12"/>
      <c r="G266" s="12"/>
      <c r="H266" s="12"/>
      <c r="I266" s="12"/>
      <c r="J266" s="13"/>
      <c r="K266" s="184"/>
      <c r="L266" s="26"/>
      <c r="M266" s="22"/>
      <c r="N266" s="29"/>
      <c r="O266" s="50"/>
      <c r="P266" s="13"/>
      <c r="Q266" s="13"/>
      <c r="R266" s="13"/>
      <c r="S266" s="13"/>
      <c r="T266" s="36"/>
      <c r="U266" s="13"/>
      <c r="V266" s="13"/>
      <c r="W266" s="184"/>
      <c r="X266" s="51"/>
      <c r="Y266" s="22"/>
      <c r="Z266" s="38"/>
      <c r="AA266" s="13"/>
      <c r="AB266" s="13"/>
      <c r="AC266" s="13"/>
      <c r="AD266" s="36"/>
      <c r="AE266" s="13"/>
      <c r="AF266" s="13"/>
      <c r="AG266" s="184"/>
      <c r="AH266" s="37"/>
    </row>
    <row r="267" spans="1:34">
      <c r="A267" s="14">
        <f t="shared" si="102"/>
        <v>46185</v>
      </c>
      <c r="B267" s="11"/>
      <c r="C267" s="12"/>
      <c r="D267" s="12"/>
      <c r="E267" s="13"/>
      <c r="F267" s="12"/>
      <c r="G267" s="12"/>
      <c r="H267" s="12"/>
      <c r="I267" s="12"/>
      <c r="J267" s="13"/>
      <c r="K267" s="184"/>
      <c r="L267" s="26"/>
      <c r="M267" s="22"/>
      <c r="N267" s="29"/>
      <c r="O267" s="50"/>
      <c r="P267" s="13"/>
      <c r="Q267" s="13"/>
      <c r="R267" s="13"/>
      <c r="S267" s="13"/>
      <c r="T267" s="36"/>
      <c r="U267" s="13"/>
      <c r="V267" s="13"/>
      <c r="W267" s="184"/>
      <c r="X267" s="51"/>
      <c r="Y267" s="22"/>
      <c r="Z267" s="38"/>
      <c r="AA267" s="13"/>
      <c r="AB267" s="13"/>
      <c r="AC267" s="13"/>
      <c r="AD267" s="36"/>
      <c r="AE267" s="13"/>
      <c r="AF267" s="13"/>
      <c r="AG267" s="184"/>
      <c r="AH267" s="37"/>
    </row>
    <row r="268" spans="1:34">
      <c r="A268" s="14">
        <f t="shared" si="102"/>
        <v>46186</v>
      </c>
      <c r="B268" s="11"/>
      <c r="C268" s="12"/>
      <c r="D268" s="12"/>
      <c r="E268" s="13"/>
      <c r="F268" s="12"/>
      <c r="G268" s="12"/>
      <c r="H268" s="12"/>
      <c r="I268" s="12"/>
      <c r="J268" s="13"/>
      <c r="K268" s="184"/>
      <c r="L268" s="26"/>
      <c r="M268" s="22"/>
      <c r="N268" s="29"/>
      <c r="O268" s="50"/>
      <c r="P268" s="13"/>
      <c r="Q268" s="13"/>
      <c r="R268" s="13"/>
      <c r="S268" s="13"/>
      <c r="T268" s="36"/>
      <c r="U268" s="13"/>
      <c r="V268" s="13"/>
      <c r="W268" s="184"/>
      <c r="X268" s="51"/>
      <c r="Y268" s="22"/>
      <c r="Z268" s="38"/>
      <c r="AA268" s="13"/>
      <c r="AB268" s="13"/>
      <c r="AC268" s="13"/>
      <c r="AD268" s="36"/>
      <c r="AE268" s="13"/>
      <c r="AF268" s="13"/>
      <c r="AG268" s="184"/>
      <c r="AH268" s="37"/>
    </row>
    <row r="269" spans="1:34">
      <c r="A269" s="14">
        <f t="shared" si="102"/>
        <v>46187</v>
      </c>
      <c r="B269" s="11"/>
      <c r="C269" s="12"/>
      <c r="D269" s="12"/>
      <c r="E269" s="13"/>
      <c r="F269" s="12"/>
      <c r="G269" s="12"/>
      <c r="H269" s="12"/>
      <c r="I269" s="12"/>
      <c r="J269" s="13"/>
      <c r="K269" s="184"/>
      <c r="L269" s="26"/>
      <c r="M269" s="22"/>
      <c r="N269" s="29"/>
      <c r="O269" s="50"/>
      <c r="P269" s="13"/>
      <c r="Q269" s="13"/>
      <c r="R269" s="13"/>
      <c r="S269" s="13"/>
      <c r="T269" s="36"/>
      <c r="U269" s="13"/>
      <c r="V269" s="13"/>
      <c r="W269" s="184"/>
      <c r="X269" s="51"/>
      <c r="Y269" s="22"/>
      <c r="Z269" s="38"/>
      <c r="AA269" s="13"/>
      <c r="AB269" s="13"/>
      <c r="AC269" s="13"/>
      <c r="AD269" s="36"/>
      <c r="AE269" s="13"/>
      <c r="AF269" s="13"/>
      <c r="AG269" s="184"/>
      <c r="AH269" s="37"/>
    </row>
    <row r="270" spans="1:34">
      <c r="A270" s="14">
        <f t="shared" si="102"/>
        <v>46188</v>
      </c>
      <c r="B270" s="11"/>
      <c r="C270" s="12"/>
      <c r="D270" s="12"/>
      <c r="E270" s="13"/>
      <c r="F270" s="12"/>
      <c r="G270" s="12"/>
      <c r="H270" s="12"/>
      <c r="I270" s="12"/>
      <c r="J270" s="13"/>
      <c r="K270" s="184"/>
      <c r="L270" s="26"/>
      <c r="M270" s="22"/>
      <c r="N270" s="29"/>
      <c r="O270" s="50"/>
      <c r="P270" s="13"/>
      <c r="Q270" s="13"/>
      <c r="R270" s="13"/>
      <c r="S270" s="13"/>
      <c r="T270" s="36"/>
      <c r="U270" s="13"/>
      <c r="V270" s="13"/>
      <c r="W270" s="184"/>
      <c r="X270" s="37"/>
      <c r="Y270" s="22"/>
      <c r="Z270" s="38"/>
      <c r="AA270" s="13"/>
      <c r="AB270" s="13"/>
      <c r="AC270" s="13"/>
      <c r="AD270" s="13"/>
      <c r="AE270" s="13"/>
      <c r="AF270" s="13"/>
      <c r="AG270" s="184"/>
      <c r="AH270" s="37"/>
    </row>
    <row r="271" spans="1:34">
      <c r="A271" s="14">
        <f t="shared" si="102"/>
        <v>46189</v>
      </c>
      <c r="B271" s="11"/>
      <c r="C271" s="12"/>
      <c r="D271" s="12"/>
      <c r="E271" s="13"/>
      <c r="F271" s="12"/>
      <c r="G271" s="12"/>
      <c r="H271" s="12"/>
      <c r="I271" s="12"/>
      <c r="J271" s="13"/>
      <c r="K271" s="184"/>
      <c r="L271" s="26"/>
      <c r="M271" s="22"/>
      <c r="N271" s="29"/>
      <c r="O271" s="50"/>
      <c r="P271" s="13"/>
      <c r="Q271" s="13"/>
      <c r="R271" s="13"/>
      <c r="S271" s="13"/>
      <c r="T271" s="36"/>
      <c r="U271" s="13"/>
      <c r="V271" s="13"/>
      <c r="W271" s="184"/>
      <c r="X271" s="51"/>
      <c r="Y271" s="22"/>
      <c r="Z271" s="38"/>
      <c r="AA271" s="13"/>
      <c r="AB271" s="13"/>
      <c r="AC271" s="13"/>
      <c r="AD271" s="13"/>
      <c r="AE271" s="13"/>
      <c r="AF271" s="13"/>
      <c r="AG271" s="184"/>
      <c r="AH271" s="37"/>
    </row>
    <row r="272" spans="1:34">
      <c r="A272" s="14">
        <f t="shared" si="102"/>
        <v>46190</v>
      </c>
      <c r="B272" s="11"/>
      <c r="C272" s="12"/>
      <c r="D272" s="12"/>
      <c r="E272" s="13"/>
      <c r="F272" s="12"/>
      <c r="G272" s="12"/>
      <c r="H272" s="12"/>
      <c r="I272" s="12"/>
      <c r="J272" s="13"/>
      <c r="K272" s="184"/>
      <c r="L272" s="26"/>
      <c r="M272" s="22"/>
      <c r="N272" s="29"/>
      <c r="O272" s="50"/>
      <c r="P272" s="13"/>
      <c r="Q272" s="13"/>
      <c r="R272" s="13"/>
      <c r="S272" s="13"/>
      <c r="T272" s="36"/>
      <c r="U272" s="13"/>
      <c r="V272" s="13"/>
      <c r="W272" s="184"/>
      <c r="X272" s="37"/>
      <c r="Y272" s="22"/>
      <c r="Z272" s="38"/>
      <c r="AA272" s="13"/>
      <c r="AB272" s="13"/>
      <c r="AC272" s="13"/>
      <c r="AD272" s="13"/>
      <c r="AE272" s="13"/>
      <c r="AF272" s="13"/>
      <c r="AG272" s="184"/>
      <c r="AH272" s="37"/>
    </row>
    <row r="273" spans="1:34">
      <c r="A273" s="14">
        <f t="shared" si="102"/>
        <v>46191</v>
      </c>
      <c r="B273" s="11"/>
      <c r="C273" s="12"/>
      <c r="D273" s="12"/>
      <c r="E273" s="13"/>
      <c r="F273" s="12"/>
      <c r="G273" s="12"/>
      <c r="H273" s="12"/>
      <c r="I273" s="12"/>
      <c r="J273" s="13"/>
      <c r="K273" s="184"/>
      <c r="L273" s="26"/>
      <c r="M273" s="22"/>
      <c r="N273" s="29"/>
      <c r="O273" s="13"/>
      <c r="P273" s="13"/>
      <c r="Q273" s="13"/>
      <c r="R273" s="13"/>
      <c r="S273" s="13"/>
      <c r="T273" s="36"/>
      <c r="U273" s="13"/>
      <c r="V273" s="13"/>
      <c r="W273" s="184"/>
      <c r="X273" s="37"/>
      <c r="Y273" s="22"/>
      <c r="Z273" s="38"/>
      <c r="AA273" s="13"/>
      <c r="AB273" s="13"/>
      <c r="AC273" s="13"/>
      <c r="AD273" s="13"/>
      <c r="AE273" s="13"/>
      <c r="AF273" s="13"/>
      <c r="AG273" s="184"/>
      <c r="AH273" s="37"/>
    </row>
    <row r="274" spans="1:34">
      <c r="A274" s="14">
        <f t="shared" si="102"/>
        <v>46192</v>
      </c>
      <c r="B274" s="11"/>
      <c r="C274" s="12"/>
      <c r="D274" s="12"/>
      <c r="E274" s="13"/>
      <c r="F274" s="12"/>
      <c r="G274" s="12"/>
      <c r="H274" s="12"/>
      <c r="I274" s="12"/>
      <c r="J274" s="13"/>
      <c r="K274" s="184"/>
      <c r="L274" s="26"/>
      <c r="M274" s="22"/>
      <c r="N274" s="29"/>
      <c r="O274" s="13"/>
      <c r="P274" s="13"/>
      <c r="Q274" s="13"/>
      <c r="R274" s="13"/>
      <c r="S274" s="13"/>
      <c r="T274" s="36"/>
      <c r="U274" s="13"/>
      <c r="V274" s="13"/>
      <c r="W274" s="184"/>
      <c r="X274" s="37"/>
      <c r="Y274" s="22"/>
      <c r="Z274" s="38"/>
      <c r="AA274" s="13"/>
      <c r="AB274" s="13"/>
      <c r="AC274" s="13"/>
      <c r="AD274" s="13"/>
      <c r="AE274" s="13"/>
      <c r="AF274" s="13"/>
      <c r="AG274" s="184"/>
      <c r="AH274" s="37"/>
    </row>
    <row r="275" spans="1:34">
      <c r="A275" s="14">
        <f t="shared" si="102"/>
        <v>46193</v>
      </c>
      <c r="B275" s="11"/>
      <c r="C275" s="12"/>
      <c r="D275" s="12"/>
      <c r="E275" s="13"/>
      <c r="F275" s="12"/>
      <c r="G275" s="12"/>
      <c r="H275" s="12"/>
      <c r="I275" s="12"/>
      <c r="J275" s="13"/>
      <c r="K275" s="184"/>
      <c r="L275" s="26"/>
      <c r="M275" s="22"/>
      <c r="N275" s="29"/>
      <c r="O275" s="13"/>
      <c r="P275" s="13"/>
      <c r="Q275" s="13"/>
      <c r="R275" s="13"/>
      <c r="S275" s="13"/>
      <c r="T275" s="36"/>
      <c r="U275" s="13"/>
      <c r="V275" s="13"/>
      <c r="W275" s="184"/>
      <c r="X275" s="37"/>
      <c r="Y275" s="22"/>
      <c r="Z275" s="38"/>
      <c r="AA275" s="13"/>
      <c r="AB275" s="13"/>
      <c r="AC275" s="13"/>
      <c r="AD275" s="36"/>
      <c r="AE275" s="13"/>
      <c r="AF275" s="13"/>
      <c r="AG275" s="184"/>
      <c r="AH275" s="37"/>
    </row>
    <row r="276" spans="1:34">
      <c r="A276" s="14">
        <f t="shared" si="102"/>
        <v>46194</v>
      </c>
      <c r="B276" s="11"/>
      <c r="C276" s="12"/>
      <c r="D276" s="12"/>
      <c r="E276" s="13"/>
      <c r="F276" s="12"/>
      <c r="G276" s="12"/>
      <c r="H276" s="12"/>
      <c r="I276" s="12"/>
      <c r="J276" s="13"/>
      <c r="K276" s="184"/>
      <c r="L276" s="26"/>
      <c r="M276" s="22"/>
      <c r="N276" s="29"/>
      <c r="O276" s="13"/>
      <c r="P276" s="13"/>
      <c r="Q276" s="13"/>
      <c r="R276" s="13"/>
      <c r="S276" s="13"/>
      <c r="T276" s="36"/>
      <c r="U276" s="13"/>
      <c r="V276" s="13"/>
      <c r="W276" s="184"/>
      <c r="X276" s="37"/>
      <c r="Y276" s="22"/>
      <c r="Z276" s="38"/>
      <c r="AA276" s="13"/>
      <c r="AB276" s="13"/>
      <c r="AC276" s="13"/>
      <c r="AD276" s="36"/>
      <c r="AE276" s="13"/>
      <c r="AF276" s="13"/>
      <c r="AG276" s="184"/>
      <c r="AH276" s="37"/>
    </row>
    <row r="277" spans="1:34">
      <c r="A277" s="14">
        <f t="shared" si="102"/>
        <v>46195</v>
      </c>
      <c r="B277" s="11"/>
      <c r="C277" s="12"/>
      <c r="D277" s="12"/>
      <c r="E277" s="13"/>
      <c r="F277" s="12"/>
      <c r="G277" s="12"/>
      <c r="H277" s="12"/>
      <c r="I277" s="12"/>
      <c r="J277" s="13"/>
      <c r="K277" s="184"/>
      <c r="L277" s="26"/>
      <c r="M277" s="22"/>
      <c r="N277" s="29"/>
      <c r="O277" s="13"/>
      <c r="P277" s="13"/>
      <c r="Q277" s="13"/>
      <c r="R277" s="13"/>
      <c r="S277" s="13"/>
      <c r="T277" s="36"/>
      <c r="U277" s="13"/>
      <c r="V277" s="13"/>
      <c r="W277" s="184"/>
      <c r="X277" s="37"/>
      <c r="Y277" s="22"/>
      <c r="Z277" s="38"/>
      <c r="AA277" s="13"/>
      <c r="AB277" s="13"/>
      <c r="AC277" s="13"/>
      <c r="AD277" s="13"/>
      <c r="AE277" s="13"/>
      <c r="AF277" s="13"/>
      <c r="AG277" s="184"/>
      <c r="AH277" s="37"/>
    </row>
    <row r="278" spans="1:34">
      <c r="A278" s="14">
        <f t="shared" si="102"/>
        <v>46196</v>
      </c>
      <c r="B278" s="11"/>
      <c r="C278" s="12"/>
      <c r="D278" s="12"/>
      <c r="E278" s="13"/>
      <c r="F278" s="12"/>
      <c r="G278" s="12"/>
      <c r="H278" s="12"/>
      <c r="I278" s="12"/>
      <c r="J278" s="13"/>
      <c r="K278" s="184"/>
      <c r="L278" s="26"/>
      <c r="M278" s="22"/>
      <c r="N278" s="29"/>
      <c r="O278" s="13"/>
      <c r="P278" s="13"/>
      <c r="Q278" s="13"/>
      <c r="R278" s="13"/>
      <c r="S278" s="13"/>
      <c r="T278" s="36"/>
      <c r="U278" s="13"/>
      <c r="V278" s="13"/>
      <c r="W278" s="184"/>
      <c r="X278" s="37"/>
      <c r="Y278" s="22"/>
      <c r="Z278" s="38"/>
      <c r="AA278" s="13"/>
      <c r="AB278" s="13"/>
      <c r="AC278" s="13"/>
      <c r="AD278" s="13"/>
      <c r="AE278" s="13"/>
      <c r="AF278" s="13"/>
      <c r="AG278" s="184"/>
      <c r="AH278" s="37"/>
    </row>
    <row r="279" spans="1:34">
      <c r="A279" s="14">
        <f t="shared" si="102"/>
        <v>46197</v>
      </c>
      <c r="B279" s="11"/>
      <c r="C279" s="12"/>
      <c r="D279" s="12"/>
      <c r="E279" s="13"/>
      <c r="F279" s="12"/>
      <c r="G279" s="12"/>
      <c r="H279" s="12"/>
      <c r="I279" s="12"/>
      <c r="J279" s="13"/>
      <c r="K279" s="184"/>
      <c r="L279" s="26"/>
      <c r="M279" s="22"/>
      <c r="N279" s="29"/>
      <c r="O279" s="13"/>
      <c r="P279" s="13"/>
      <c r="Q279" s="13"/>
      <c r="R279" s="13"/>
      <c r="S279" s="13"/>
      <c r="T279" s="36"/>
      <c r="U279" s="13"/>
      <c r="V279" s="13"/>
      <c r="W279" s="184"/>
      <c r="X279" s="37"/>
      <c r="Y279" s="22"/>
      <c r="Z279" s="38"/>
      <c r="AA279" s="13"/>
      <c r="AB279" s="13"/>
      <c r="AC279" s="13"/>
      <c r="AD279" s="36"/>
      <c r="AE279" s="13"/>
      <c r="AF279" s="13"/>
      <c r="AG279" s="184"/>
      <c r="AH279" s="37"/>
    </row>
    <row r="280" spans="1:34">
      <c r="A280" s="14">
        <f t="shared" si="102"/>
        <v>46198</v>
      </c>
      <c r="B280" s="11"/>
      <c r="C280" s="12"/>
      <c r="D280" s="12"/>
      <c r="E280" s="13"/>
      <c r="F280" s="12"/>
      <c r="G280" s="12"/>
      <c r="H280" s="12"/>
      <c r="I280" s="12"/>
      <c r="J280" s="13"/>
      <c r="K280" s="184"/>
      <c r="L280" s="26"/>
      <c r="M280" s="22"/>
      <c r="N280" s="29"/>
      <c r="O280" s="13"/>
      <c r="P280" s="13"/>
      <c r="Q280" s="13"/>
      <c r="R280" s="13"/>
      <c r="S280" s="13"/>
      <c r="T280" s="36"/>
      <c r="U280" s="13"/>
      <c r="V280" s="13"/>
      <c r="W280" s="184"/>
      <c r="X280" s="37"/>
      <c r="Y280" s="22"/>
      <c r="Z280" s="38"/>
      <c r="AA280" s="13"/>
      <c r="AB280" s="13"/>
      <c r="AC280" s="13"/>
      <c r="AD280" s="13"/>
      <c r="AE280" s="13"/>
      <c r="AF280" s="13"/>
      <c r="AG280" s="184"/>
      <c r="AH280" s="37"/>
    </row>
    <row r="281" spans="1:34">
      <c r="A281" s="14">
        <f t="shared" si="102"/>
        <v>46199</v>
      </c>
      <c r="B281" s="11"/>
      <c r="C281" s="12"/>
      <c r="D281" s="12"/>
      <c r="E281" s="13"/>
      <c r="F281" s="12"/>
      <c r="G281" s="12"/>
      <c r="H281" s="12"/>
      <c r="I281" s="12"/>
      <c r="J281" s="13"/>
      <c r="K281" s="184"/>
      <c r="L281" s="26"/>
      <c r="M281" s="22"/>
      <c r="N281" s="29"/>
      <c r="O281" s="13"/>
      <c r="P281" s="13"/>
      <c r="Q281" s="13"/>
      <c r="R281" s="13"/>
      <c r="S281" s="13"/>
      <c r="T281" s="36"/>
      <c r="U281" s="13"/>
      <c r="V281" s="13"/>
      <c r="W281" s="184"/>
      <c r="X281" s="51"/>
      <c r="Y281" s="22"/>
      <c r="Z281" s="38"/>
      <c r="AA281" s="13"/>
      <c r="AB281" s="13"/>
      <c r="AC281" s="13"/>
      <c r="AD281" s="13"/>
      <c r="AE281" s="13"/>
      <c r="AF281" s="13"/>
      <c r="AG281" s="184"/>
      <c r="AH281" s="37"/>
    </row>
    <row r="282" spans="1:34">
      <c r="A282" s="14">
        <f t="shared" si="102"/>
        <v>46200</v>
      </c>
      <c r="B282" s="11"/>
      <c r="C282" s="12"/>
      <c r="D282" s="12"/>
      <c r="E282" s="13"/>
      <c r="F282" s="12"/>
      <c r="G282" s="12"/>
      <c r="H282" s="12"/>
      <c r="I282" s="12"/>
      <c r="J282" s="13"/>
      <c r="K282" s="184"/>
      <c r="L282" s="26"/>
      <c r="M282" s="22"/>
      <c r="N282" s="29"/>
      <c r="O282" s="13"/>
      <c r="P282" s="13"/>
      <c r="Q282" s="13"/>
      <c r="R282" s="13"/>
      <c r="S282" s="13"/>
      <c r="T282" s="36"/>
      <c r="U282" s="13"/>
      <c r="V282" s="13"/>
      <c r="W282" s="184"/>
      <c r="X282" s="37"/>
      <c r="Y282" s="22"/>
      <c r="Z282" s="38"/>
      <c r="AA282" s="13"/>
      <c r="AB282" s="13"/>
      <c r="AC282" s="13"/>
      <c r="AD282" s="36"/>
      <c r="AE282" s="13"/>
      <c r="AF282" s="13"/>
      <c r="AG282" s="184"/>
      <c r="AH282" s="37"/>
    </row>
    <row r="283" spans="1:34">
      <c r="A283" s="14">
        <f t="shared" si="102"/>
        <v>46201</v>
      </c>
      <c r="B283" s="11"/>
      <c r="C283" s="12"/>
      <c r="D283" s="12"/>
      <c r="E283" s="13"/>
      <c r="F283" s="12"/>
      <c r="G283" s="12"/>
      <c r="H283" s="12"/>
      <c r="I283" s="12"/>
      <c r="J283" s="13"/>
      <c r="K283" s="184"/>
      <c r="L283" s="26"/>
      <c r="M283" s="22"/>
      <c r="N283" s="29"/>
      <c r="O283" s="13"/>
      <c r="P283" s="13"/>
      <c r="Q283" s="13"/>
      <c r="R283" s="13"/>
      <c r="S283" s="13"/>
      <c r="T283" s="36"/>
      <c r="U283" s="13"/>
      <c r="V283" s="13"/>
      <c r="W283" s="184"/>
      <c r="X283" s="37"/>
      <c r="Y283" s="22"/>
      <c r="Z283" s="38"/>
      <c r="AA283" s="13"/>
      <c r="AB283" s="13"/>
      <c r="AC283" s="13"/>
      <c r="AD283" s="36"/>
      <c r="AE283" s="13"/>
      <c r="AF283" s="13"/>
      <c r="AG283" s="184"/>
      <c r="AH283" s="37"/>
    </row>
    <row r="284" spans="1:34">
      <c r="A284" s="14">
        <f t="shared" si="102"/>
        <v>46202</v>
      </c>
      <c r="B284" s="11"/>
      <c r="C284" s="12"/>
      <c r="D284" s="12"/>
      <c r="E284" s="13"/>
      <c r="F284" s="12"/>
      <c r="G284" s="12"/>
      <c r="H284" s="12"/>
      <c r="I284" s="12"/>
      <c r="J284" s="13"/>
      <c r="K284" s="184"/>
      <c r="L284" s="26"/>
      <c r="M284" s="22"/>
      <c r="N284" s="29"/>
      <c r="O284" s="13"/>
      <c r="P284" s="13"/>
      <c r="Q284" s="13"/>
      <c r="R284" s="13"/>
      <c r="S284" s="13"/>
      <c r="T284" s="36"/>
      <c r="U284" s="13"/>
      <c r="V284" s="13"/>
      <c r="W284" s="184"/>
      <c r="X284" s="37"/>
      <c r="Y284" s="22"/>
      <c r="Z284" s="38"/>
      <c r="AA284" s="13"/>
      <c r="AB284" s="13"/>
      <c r="AC284" s="13"/>
      <c r="AD284" s="36"/>
      <c r="AE284" s="13"/>
      <c r="AF284" s="13"/>
      <c r="AG284" s="184"/>
      <c r="AH284" s="37"/>
    </row>
    <row r="285" spans="1:34">
      <c r="A285" s="14">
        <f t="shared" si="102"/>
        <v>46203</v>
      </c>
      <c r="B285" s="11"/>
      <c r="C285" s="12"/>
      <c r="D285" s="12"/>
      <c r="E285" s="13"/>
      <c r="F285" s="12"/>
      <c r="G285" s="12"/>
      <c r="H285" s="12"/>
      <c r="I285" s="12"/>
      <c r="J285" s="13"/>
      <c r="K285" s="184"/>
      <c r="L285" s="26"/>
      <c r="M285" s="22"/>
      <c r="N285" s="29"/>
      <c r="O285" s="13"/>
      <c r="P285" s="13"/>
      <c r="Q285" s="13"/>
      <c r="R285" s="13"/>
      <c r="S285" s="13"/>
      <c r="T285" s="36"/>
      <c r="U285" s="13"/>
      <c r="V285" s="13"/>
      <c r="W285" s="184"/>
      <c r="X285" s="37"/>
      <c r="Y285" s="22"/>
      <c r="Z285" s="38"/>
      <c r="AA285" s="13"/>
      <c r="AB285" s="13"/>
      <c r="AC285" s="13"/>
      <c r="AD285" s="13"/>
      <c r="AE285" s="13"/>
      <c r="AF285" s="13"/>
      <c r="AG285" s="184"/>
      <c r="AH285" s="37"/>
    </row>
    <row r="286" spans="1:34" ht="15.75" thickBot="1">
      <c r="A286" s="15">
        <f t="shared" si="102"/>
        <v>46204</v>
      </c>
      <c r="B286" s="11"/>
      <c r="C286" s="12"/>
      <c r="D286" s="12"/>
      <c r="E286" s="13"/>
      <c r="F286" s="12"/>
      <c r="G286" s="12"/>
      <c r="H286" s="12"/>
      <c r="I286" s="12"/>
      <c r="J286" s="13"/>
      <c r="K286" s="184"/>
      <c r="L286" s="26"/>
      <c r="M286" s="22"/>
      <c r="N286" s="29"/>
      <c r="O286" s="13"/>
      <c r="P286" s="47"/>
      <c r="Q286" s="47"/>
      <c r="R286" s="47"/>
      <c r="S286" s="47"/>
      <c r="T286" s="52"/>
      <c r="U286" s="47"/>
      <c r="V286" s="47"/>
      <c r="W286" s="184"/>
      <c r="X286" s="48"/>
      <c r="Y286" s="22"/>
      <c r="Z286" s="38"/>
      <c r="AA286" s="13"/>
      <c r="AB286" s="13"/>
      <c r="AC286" s="13"/>
      <c r="AD286" s="13"/>
      <c r="AE286" s="13"/>
      <c r="AF286" s="13"/>
      <c r="AG286" s="184"/>
      <c r="AH286" s="37"/>
    </row>
    <row r="287" spans="1:34">
      <c r="A287" s="16" t="s">
        <v>31</v>
      </c>
      <c r="B287" s="17">
        <f>MIN(B256:B286)</f>
        <v>0</v>
      </c>
      <c r="C287" s="17">
        <f>MIN(C256:C286)</f>
        <v>0</v>
      </c>
      <c r="D287" s="17">
        <f t="shared" ref="D287:L287" si="103">MIN(D256:D286)</f>
        <v>0</v>
      </c>
      <c r="E287" s="17">
        <f t="shared" si="103"/>
        <v>0</v>
      </c>
      <c r="F287" s="17">
        <f t="shared" si="103"/>
        <v>0</v>
      </c>
      <c r="G287" s="17">
        <f t="shared" si="103"/>
        <v>0</v>
      </c>
      <c r="H287" s="17">
        <f t="shared" si="103"/>
        <v>0</v>
      </c>
      <c r="I287" s="17">
        <f t="shared" si="103"/>
        <v>0</v>
      </c>
      <c r="J287" s="17">
        <f t="shared" si="103"/>
        <v>0</v>
      </c>
      <c r="K287" s="17">
        <f t="shared" si="103"/>
        <v>0</v>
      </c>
      <c r="L287" s="30">
        <f t="shared" si="103"/>
        <v>0</v>
      </c>
      <c r="M287" s="22"/>
      <c r="N287" s="17">
        <f>MIN(N256:N286)</f>
        <v>0</v>
      </c>
      <c r="O287" s="17">
        <f>MIN(O256:O286)</f>
        <v>0</v>
      </c>
      <c r="P287" s="17">
        <f t="shared" ref="P287:X287" si="104">MIN(P256:P286)</f>
        <v>0</v>
      </c>
      <c r="Q287" s="17">
        <f t="shared" si="104"/>
        <v>0</v>
      </c>
      <c r="R287" s="17">
        <f t="shared" si="104"/>
        <v>0</v>
      </c>
      <c r="S287" s="17">
        <f t="shared" si="104"/>
        <v>0</v>
      </c>
      <c r="T287" s="17">
        <f t="shared" si="104"/>
        <v>0</v>
      </c>
      <c r="U287" s="17">
        <f t="shared" si="104"/>
        <v>0</v>
      </c>
      <c r="V287" s="17">
        <f t="shared" si="104"/>
        <v>0</v>
      </c>
      <c r="W287" s="17">
        <f t="shared" si="104"/>
        <v>0</v>
      </c>
      <c r="X287" s="30">
        <f t="shared" si="104"/>
        <v>0</v>
      </c>
      <c r="Z287" s="40">
        <f t="shared" ref="Z287:AH287" si="105">MIN(Z256:Z286)</f>
        <v>0</v>
      </c>
      <c r="AA287" s="17">
        <f t="shared" si="105"/>
        <v>0</v>
      </c>
      <c r="AB287" s="17">
        <f t="shared" si="105"/>
        <v>0</v>
      </c>
      <c r="AC287" s="17">
        <f t="shared" si="105"/>
        <v>0</v>
      </c>
      <c r="AD287" s="17">
        <f t="shared" si="105"/>
        <v>0</v>
      </c>
      <c r="AE287" s="17">
        <f t="shared" si="105"/>
        <v>0</v>
      </c>
      <c r="AF287" s="17">
        <f t="shared" si="105"/>
        <v>0</v>
      </c>
      <c r="AG287" s="17">
        <f t="shared" si="105"/>
        <v>0</v>
      </c>
      <c r="AH287" s="30">
        <f t="shared" si="105"/>
        <v>0</v>
      </c>
    </row>
    <row r="288" spans="1:34">
      <c r="A288" s="18" t="s">
        <v>33</v>
      </c>
      <c r="B288" s="19">
        <f>MAX(B256:B286)</f>
        <v>0</v>
      </c>
      <c r="C288" s="19">
        <f>MAX(C256:C286)</f>
        <v>0</v>
      </c>
      <c r="D288" s="19">
        <f t="shared" ref="D288:L288" si="106">MAX(D256:D286)</f>
        <v>0</v>
      </c>
      <c r="E288" s="19">
        <f t="shared" si="106"/>
        <v>0</v>
      </c>
      <c r="F288" s="19">
        <f t="shared" si="106"/>
        <v>0</v>
      </c>
      <c r="G288" s="19">
        <f t="shared" si="106"/>
        <v>0</v>
      </c>
      <c r="H288" s="19">
        <f t="shared" si="106"/>
        <v>0</v>
      </c>
      <c r="I288" s="19">
        <f t="shared" si="106"/>
        <v>0</v>
      </c>
      <c r="J288" s="19">
        <f t="shared" si="106"/>
        <v>0</v>
      </c>
      <c r="K288" s="19">
        <f t="shared" si="106"/>
        <v>0</v>
      </c>
      <c r="L288" s="31">
        <f t="shared" si="106"/>
        <v>0</v>
      </c>
      <c r="M288" s="22"/>
      <c r="N288" s="19">
        <f>MAX(N256:N286)</f>
        <v>0</v>
      </c>
      <c r="O288" s="19">
        <f>MAX(O256:O286)</f>
        <v>0</v>
      </c>
      <c r="P288" s="19">
        <f t="shared" ref="P288:X288" si="107">MAX(P256:P286)</f>
        <v>0</v>
      </c>
      <c r="Q288" s="19">
        <f t="shared" si="107"/>
        <v>0</v>
      </c>
      <c r="R288" s="19">
        <f t="shared" si="107"/>
        <v>0</v>
      </c>
      <c r="S288" s="19">
        <f t="shared" si="107"/>
        <v>0</v>
      </c>
      <c r="T288" s="19">
        <f t="shared" si="107"/>
        <v>0</v>
      </c>
      <c r="U288" s="19">
        <f t="shared" si="107"/>
        <v>0</v>
      </c>
      <c r="V288" s="19">
        <f t="shared" si="107"/>
        <v>0</v>
      </c>
      <c r="W288" s="19">
        <f t="shared" si="107"/>
        <v>0</v>
      </c>
      <c r="X288" s="31">
        <f t="shared" si="107"/>
        <v>0</v>
      </c>
      <c r="Z288" s="41">
        <f t="shared" ref="Z288:AH288" si="108">MAX(Z256:Z286)</f>
        <v>0</v>
      </c>
      <c r="AA288" s="19">
        <f t="shared" si="108"/>
        <v>0</v>
      </c>
      <c r="AB288" s="19">
        <f t="shared" si="108"/>
        <v>0</v>
      </c>
      <c r="AC288" s="19">
        <f t="shared" si="108"/>
        <v>0</v>
      </c>
      <c r="AD288" s="19">
        <f t="shared" si="108"/>
        <v>0</v>
      </c>
      <c r="AE288" s="19">
        <f t="shared" si="108"/>
        <v>0</v>
      </c>
      <c r="AF288" s="19">
        <f t="shared" si="108"/>
        <v>0</v>
      </c>
      <c r="AG288" s="19">
        <f t="shared" si="108"/>
        <v>0</v>
      </c>
      <c r="AH288" s="31">
        <f t="shared" si="108"/>
        <v>0</v>
      </c>
    </row>
    <row r="289" spans="1:34">
      <c r="A289" s="18" t="s">
        <v>36</v>
      </c>
      <c r="B289" s="19" t="e">
        <f t="shared" ref="B289:L289" si="109">AVERAGE(B256:B286)</f>
        <v>#DIV/0!</v>
      </c>
      <c r="C289" s="19" t="e">
        <f t="shared" si="109"/>
        <v>#DIV/0!</v>
      </c>
      <c r="D289" s="19" t="e">
        <f t="shared" si="109"/>
        <v>#DIV/0!</v>
      </c>
      <c r="E289" s="19" t="e">
        <f t="shared" si="109"/>
        <v>#DIV/0!</v>
      </c>
      <c r="F289" s="19" t="e">
        <f t="shared" si="109"/>
        <v>#DIV/0!</v>
      </c>
      <c r="G289" s="19" t="e">
        <f t="shared" si="109"/>
        <v>#DIV/0!</v>
      </c>
      <c r="H289" s="19" t="e">
        <f t="shared" si="109"/>
        <v>#DIV/0!</v>
      </c>
      <c r="I289" s="19" t="e">
        <f t="shared" si="109"/>
        <v>#DIV/0!</v>
      </c>
      <c r="J289" s="19" t="e">
        <f t="shared" si="109"/>
        <v>#DIV/0!</v>
      </c>
      <c r="K289" s="19" t="e">
        <f t="shared" si="109"/>
        <v>#DIV/0!</v>
      </c>
      <c r="L289" s="31" t="e">
        <f t="shared" si="109"/>
        <v>#DIV/0!</v>
      </c>
      <c r="M289" s="22"/>
      <c r="N289" s="19" t="e">
        <f t="shared" ref="N289:X289" si="110">AVERAGE(N256:N286)</f>
        <v>#DIV/0!</v>
      </c>
      <c r="O289" s="19" t="e">
        <f t="shared" si="110"/>
        <v>#DIV/0!</v>
      </c>
      <c r="P289" s="19" t="e">
        <f t="shared" si="110"/>
        <v>#DIV/0!</v>
      </c>
      <c r="Q289" s="19" t="e">
        <f t="shared" si="110"/>
        <v>#DIV/0!</v>
      </c>
      <c r="R289" s="19" t="e">
        <f t="shared" si="110"/>
        <v>#DIV/0!</v>
      </c>
      <c r="S289" s="19" t="e">
        <f t="shared" si="110"/>
        <v>#DIV/0!</v>
      </c>
      <c r="T289" s="19" t="e">
        <f t="shared" si="110"/>
        <v>#DIV/0!</v>
      </c>
      <c r="U289" s="19" t="e">
        <f t="shared" si="110"/>
        <v>#DIV/0!</v>
      </c>
      <c r="V289" s="19" t="e">
        <f t="shared" si="110"/>
        <v>#DIV/0!</v>
      </c>
      <c r="W289" s="19" t="e">
        <f t="shared" si="110"/>
        <v>#DIV/0!</v>
      </c>
      <c r="X289" s="31" t="e">
        <f t="shared" si="110"/>
        <v>#DIV/0!</v>
      </c>
      <c r="Z289" s="41" t="e">
        <f>AVERAGE(Z256:Z286)</f>
        <v>#DIV/0!</v>
      </c>
      <c r="AA289" s="19" t="e">
        <f t="shared" ref="AA289:AH289" si="111">AVERAGE(AA256:AA286)</f>
        <v>#DIV/0!</v>
      </c>
      <c r="AB289" s="19" t="e">
        <f t="shared" si="111"/>
        <v>#DIV/0!</v>
      </c>
      <c r="AC289" s="19" t="e">
        <f t="shared" si="111"/>
        <v>#DIV/0!</v>
      </c>
      <c r="AD289" s="19" t="e">
        <f t="shared" si="111"/>
        <v>#DIV/0!</v>
      </c>
      <c r="AE289" s="19" t="e">
        <f t="shared" si="111"/>
        <v>#DIV/0!</v>
      </c>
      <c r="AF289" s="19" t="e">
        <f t="shared" si="111"/>
        <v>#DIV/0!</v>
      </c>
      <c r="AG289" s="19" t="e">
        <f t="shared" si="111"/>
        <v>#DIV/0!</v>
      </c>
      <c r="AH289" s="31" t="e">
        <f t="shared" si="111"/>
        <v>#DIV/0!</v>
      </c>
    </row>
    <row r="290" spans="1:34" ht="15.75" thickBot="1">
      <c r="A290" s="20" t="s">
        <v>130</v>
      </c>
      <c r="B290" s="21" t="e">
        <f>STDEV(B256:B286)</f>
        <v>#DIV/0!</v>
      </c>
      <c r="C290" s="21" t="e">
        <f t="shared" ref="C290:L290" si="112">STDEV(C256:C286)</f>
        <v>#DIV/0!</v>
      </c>
      <c r="D290" s="21" t="e">
        <f t="shared" si="112"/>
        <v>#DIV/0!</v>
      </c>
      <c r="E290" s="21" t="e">
        <f t="shared" si="112"/>
        <v>#DIV/0!</v>
      </c>
      <c r="F290" s="21" t="e">
        <f t="shared" si="112"/>
        <v>#DIV/0!</v>
      </c>
      <c r="G290" s="21" t="e">
        <f t="shared" si="112"/>
        <v>#DIV/0!</v>
      </c>
      <c r="H290" s="21" t="e">
        <f t="shared" si="112"/>
        <v>#DIV/0!</v>
      </c>
      <c r="I290" s="21" t="e">
        <f t="shared" si="112"/>
        <v>#DIV/0!</v>
      </c>
      <c r="J290" s="21" t="e">
        <f t="shared" si="112"/>
        <v>#DIV/0!</v>
      </c>
      <c r="K290" s="21" t="e">
        <f t="shared" si="112"/>
        <v>#DIV/0!</v>
      </c>
      <c r="L290" s="32" t="e">
        <f t="shared" si="112"/>
        <v>#DIV/0!</v>
      </c>
      <c r="M290" s="22"/>
      <c r="N290" s="21" t="e">
        <f>STDEV(N256:N286)</f>
        <v>#DIV/0!</v>
      </c>
      <c r="O290" s="21" t="e">
        <f t="shared" ref="O290:X290" si="113">STDEV(O256:O286)</f>
        <v>#DIV/0!</v>
      </c>
      <c r="P290" s="21" t="e">
        <f t="shared" si="113"/>
        <v>#DIV/0!</v>
      </c>
      <c r="Q290" s="21" t="e">
        <f t="shared" si="113"/>
        <v>#DIV/0!</v>
      </c>
      <c r="R290" s="21" t="e">
        <f t="shared" si="113"/>
        <v>#DIV/0!</v>
      </c>
      <c r="S290" s="21" t="e">
        <f t="shared" si="113"/>
        <v>#DIV/0!</v>
      </c>
      <c r="T290" s="21" t="e">
        <f t="shared" si="113"/>
        <v>#DIV/0!</v>
      </c>
      <c r="U290" s="21" t="e">
        <f t="shared" si="113"/>
        <v>#DIV/0!</v>
      </c>
      <c r="V290" s="21" t="e">
        <f t="shared" si="113"/>
        <v>#DIV/0!</v>
      </c>
      <c r="W290" s="21" t="e">
        <f t="shared" si="113"/>
        <v>#DIV/0!</v>
      </c>
      <c r="X290" s="32" t="e">
        <f t="shared" si="113"/>
        <v>#DIV/0!</v>
      </c>
      <c r="Z290" s="42" t="e">
        <f>STDEV(Z256:Z286)</f>
        <v>#DIV/0!</v>
      </c>
      <c r="AA290" s="21" t="e">
        <f t="shared" ref="AA290:AH290" si="114">STDEV(AA256:AA286)</f>
        <v>#DIV/0!</v>
      </c>
      <c r="AB290" s="21" t="e">
        <f t="shared" si="114"/>
        <v>#DIV/0!</v>
      </c>
      <c r="AC290" s="21" t="e">
        <f t="shared" si="114"/>
        <v>#DIV/0!</v>
      </c>
      <c r="AD290" s="21" t="e">
        <f t="shared" si="114"/>
        <v>#DIV/0!</v>
      </c>
      <c r="AE290" s="21" t="e">
        <f t="shared" si="114"/>
        <v>#DIV/0!</v>
      </c>
      <c r="AF290" s="21" t="e">
        <f t="shared" si="114"/>
        <v>#DIV/0!</v>
      </c>
      <c r="AG290" s="21" t="e">
        <f t="shared" si="114"/>
        <v>#DIV/0!</v>
      </c>
      <c r="AH290" s="32" t="e">
        <f t="shared" si="114"/>
        <v>#DIV/0!</v>
      </c>
    </row>
    <row r="291" spans="1:34" ht="15.75" thickBot="1"/>
    <row r="292" spans="1:34" ht="15.75" thickBot="1">
      <c r="A292" s="1"/>
      <c r="B292" s="338" t="s">
        <v>0</v>
      </c>
      <c r="C292" s="339"/>
      <c r="D292" s="339"/>
      <c r="E292" s="339"/>
      <c r="F292" s="339"/>
      <c r="G292" s="339"/>
      <c r="H292" s="339"/>
      <c r="I292" s="339"/>
      <c r="J292" s="339"/>
      <c r="K292" s="339"/>
      <c r="L292" s="339"/>
      <c r="M292" s="339"/>
      <c r="N292" s="339"/>
      <c r="O292" s="339"/>
      <c r="P292" s="339"/>
      <c r="Q292" s="339"/>
      <c r="R292" s="339"/>
      <c r="S292" s="339"/>
      <c r="T292" s="339"/>
      <c r="U292" s="339"/>
      <c r="V292" s="339"/>
      <c r="W292" s="339"/>
      <c r="X292" s="339"/>
      <c r="Y292" s="339"/>
      <c r="Z292" s="339"/>
      <c r="AA292" s="339"/>
      <c r="AB292" s="339"/>
      <c r="AC292" s="339"/>
      <c r="AD292" s="339"/>
      <c r="AE292" s="339"/>
      <c r="AF292" s="339"/>
      <c r="AG292" s="339"/>
      <c r="AH292" s="363"/>
    </row>
    <row r="293" spans="1:34" ht="15.75" thickBot="1">
      <c r="A293" s="1"/>
      <c r="B293" s="338" t="s">
        <v>172</v>
      </c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39"/>
      <c r="N293" s="339"/>
      <c r="O293" s="339"/>
      <c r="P293" s="339"/>
      <c r="Q293" s="339"/>
      <c r="R293" s="339"/>
      <c r="S293" s="339"/>
      <c r="T293" s="339"/>
      <c r="U293" s="339"/>
      <c r="V293" s="339"/>
      <c r="W293" s="339"/>
      <c r="X293" s="339"/>
      <c r="Y293" s="339"/>
      <c r="Z293" s="339"/>
      <c r="AA293" s="339"/>
      <c r="AB293" s="339"/>
      <c r="AC293" s="339"/>
      <c r="AD293" s="4"/>
      <c r="AE293" s="43" t="s">
        <v>107</v>
      </c>
      <c r="AF293" s="341">
        <v>46204</v>
      </c>
      <c r="AG293" s="342"/>
      <c r="AH293" s="343"/>
    </row>
    <row r="294" spans="1:34">
      <c r="A294" s="344"/>
      <c r="B294" s="346" t="s">
        <v>132</v>
      </c>
      <c r="C294" s="347"/>
      <c r="D294" s="347"/>
      <c r="E294" s="347"/>
      <c r="F294" s="347"/>
      <c r="G294" s="347"/>
      <c r="H294" s="347"/>
      <c r="I294" s="347"/>
      <c r="J294" s="347"/>
      <c r="K294" s="348"/>
      <c r="L294" s="349"/>
      <c r="M294" s="22"/>
      <c r="N294" s="350" t="s">
        <v>133</v>
      </c>
      <c r="O294" s="347"/>
      <c r="P294" s="347"/>
      <c r="Q294" s="347"/>
      <c r="R294" s="347"/>
      <c r="S294" s="347"/>
      <c r="T294" s="347"/>
      <c r="U294" s="347"/>
      <c r="V294" s="347"/>
      <c r="W294" s="348"/>
      <c r="X294" s="349"/>
      <c r="Y294" s="22"/>
      <c r="Z294" s="346" t="s">
        <v>134</v>
      </c>
      <c r="AA294" s="347"/>
      <c r="AB294" s="347"/>
      <c r="AC294" s="347"/>
      <c r="AD294" s="347"/>
      <c r="AE294" s="347"/>
      <c r="AF294" s="347"/>
      <c r="AG294" s="348"/>
      <c r="AH294" s="349"/>
    </row>
    <row r="295" spans="1:34" ht="25.5">
      <c r="A295" s="345"/>
      <c r="B295" s="359" t="s">
        <v>135</v>
      </c>
      <c r="C295" s="361" t="s">
        <v>136</v>
      </c>
      <c r="D295" s="5" t="s">
        <v>137</v>
      </c>
      <c r="E295" s="5" t="s">
        <v>138</v>
      </c>
      <c r="F295" s="5" t="s">
        <v>139</v>
      </c>
      <c r="G295" s="5" t="s">
        <v>140</v>
      </c>
      <c r="H295" s="5" t="s">
        <v>141</v>
      </c>
      <c r="I295" s="5" t="s">
        <v>142</v>
      </c>
      <c r="J295" s="5" t="s">
        <v>143</v>
      </c>
      <c r="K295" s="181" t="s">
        <v>81</v>
      </c>
      <c r="L295" s="23" t="s">
        <v>144</v>
      </c>
      <c r="M295" s="22"/>
      <c r="N295" s="355" t="s">
        <v>135</v>
      </c>
      <c r="O295" s="357" t="s">
        <v>136</v>
      </c>
      <c r="P295" s="5" t="s">
        <v>137</v>
      </c>
      <c r="Q295" s="5" t="s">
        <v>138</v>
      </c>
      <c r="R295" s="5" t="s">
        <v>139</v>
      </c>
      <c r="S295" s="5" t="s">
        <v>140</v>
      </c>
      <c r="T295" s="5" t="s">
        <v>141</v>
      </c>
      <c r="U295" s="5" t="s">
        <v>142</v>
      </c>
      <c r="V295" s="5" t="s">
        <v>143</v>
      </c>
      <c r="W295" s="181" t="s">
        <v>81</v>
      </c>
      <c r="X295" s="23" t="s">
        <v>144</v>
      </c>
      <c r="Y295" s="22"/>
      <c r="Z295" s="33" t="s">
        <v>137</v>
      </c>
      <c r="AA295" s="5" t="s">
        <v>138</v>
      </c>
      <c r="AB295" s="5" t="s">
        <v>139</v>
      </c>
      <c r="AC295" s="5" t="s">
        <v>140</v>
      </c>
      <c r="AD295" s="5" t="s">
        <v>141</v>
      </c>
      <c r="AE295" s="5" t="s">
        <v>142</v>
      </c>
      <c r="AF295" s="5" t="s">
        <v>143</v>
      </c>
      <c r="AG295" s="181" t="s">
        <v>81</v>
      </c>
      <c r="AH295" s="23" t="s">
        <v>144</v>
      </c>
    </row>
    <row r="296" spans="1:34" ht="25.5">
      <c r="A296" s="6" t="s">
        <v>145</v>
      </c>
      <c r="B296" s="360"/>
      <c r="C296" s="362"/>
      <c r="D296" s="5" t="s">
        <v>128</v>
      </c>
      <c r="E296" s="5" t="s">
        <v>128</v>
      </c>
      <c r="F296" s="5" t="s">
        <v>128</v>
      </c>
      <c r="G296" s="5" t="s">
        <v>128</v>
      </c>
      <c r="H296" s="5" t="s">
        <v>125</v>
      </c>
      <c r="I296" s="5" t="s">
        <v>146</v>
      </c>
      <c r="J296" s="5" t="s">
        <v>127</v>
      </c>
      <c r="K296" s="181" t="s">
        <v>53</v>
      </c>
      <c r="L296" s="23" t="s">
        <v>53</v>
      </c>
      <c r="M296" s="22"/>
      <c r="N296" s="356"/>
      <c r="O296" s="358"/>
      <c r="P296" s="5" t="s">
        <v>128</v>
      </c>
      <c r="Q296" s="5" t="s">
        <v>128</v>
      </c>
      <c r="R296" s="5" t="s">
        <v>128</v>
      </c>
      <c r="S296" s="5" t="s">
        <v>128</v>
      </c>
      <c r="T296" s="5" t="s">
        <v>125</v>
      </c>
      <c r="U296" s="5" t="s">
        <v>146</v>
      </c>
      <c r="V296" s="5" t="s">
        <v>127</v>
      </c>
      <c r="W296" s="181" t="s">
        <v>53</v>
      </c>
      <c r="X296" s="23" t="s">
        <v>53</v>
      </c>
      <c r="Y296" s="22"/>
      <c r="Z296" s="33" t="s">
        <v>128</v>
      </c>
      <c r="AA296" s="5" t="s">
        <v>128</v>
      </c>
      <c r="AB296" s="5" t="s">
        <v>128</v>
      </c>
      <c r="AC296" s="5" t="s">
        <v>128</v>
      </c>
      <c r="AD296" s="5" t="s">
        <v>125</v>
      </c>
      <c r="AE296" s="5" t="s">
        <v>146</v>
      </c>
      <c r="AF296" s="5" t="s">
        <v>127</v>
      </c>
      <c r="AG296" s="181" t="s">
        <v>53</v>
      </c>
      <c r="AH296" s="23" t="s">
        <v>53</v>
      </c>
    </row>
    <row r="297" spans="1:34" ht="39" thickBot="1">
      <c r="A297" s="7" t="s">
        <v>147</v>
      </c>
      <c r="B297" s="8" t="s">
        <v>173</v>
      </c>
      <c r="C297" s="9" t="s">
        <v>174</v>
      </c>
      <c r="D297" s="9" t="s">
        <v>181</v>
      </c>
      <c r="E297" s="9" t="s">
        <v>182</v>
      </c>
      <c r="F297" s="9" t="s">
        <v>183</v>
      </c>
      <c r="G297" s="9" t="s">
        <v>175</v>
      </c>
      <c r="H297" s="9" t="s">
        <v>176</v>
      </c>
      <c r="I297" s="24" t="s">
        <v>155</v>
      </c>
      <c r="J297" s="24" t="s">
        <v>156</v>
      </c>
      <c r="K297" s="24" t="s">
        <v>179</v>
      </c>
      <c r="L297" s="25" t="s">
        <v>177</v>
      </c>
      <c r="M297" s="22"/>
      <c r="N297" s="8" t="s">
        <v>173</v>
      </c>
      <c r="O297" s="9" t="s">
        <v>174</v>
      </c>
      <c r="P297" s="9" t="s">
        <v>181</v>
      </c>
      <c r="Q297" s="9" t="s">
        <v>182</v>
      </c>
      <c r="R297" s="9" t="s">
        <v>183</v>
      </c>
      <c r="S297" s="9" t="s">
        <v>175</v>
      </c>
      <c r="T297" s="9" t="s">
        <v>176</v>
      </c>
      <c r="U297" s="24" t="s">
        <v>155</v>
      </c>
      <c r="V297" s="24" t="s">
        <v>156</v>
      </c>
      <c r="W297" s="24" t="s">
        <v>179</v>
      </c>
      <c r="X297" s="25" t="s">
        <v>177</v>
      </c>
      <c r="Y297" s="22"/>
      <c r="Z297" s="9" t="s">
        <v>181</v>
      </c>
      <c r="AA297" s="9" t="s">
        <v>182</v>
      </c>
      <c r="AB297" s="9" t="s">
        <v>183</v>
      </c>
      <c r="AC297" s="9" t="s">
        <v>175</v>
      </c>
      <c r="AD297" s="9" t="s">
        <v>176</v>
      </c>
      <c r="AE297" s="24" t="s">
        <v>155</v>
      </c>
      <c r="AF297" s="24" t="s">
        <v>156</v>
      </c>
      <c r="AG297" s="24" t="s">
        <v>179</v>
      </c>
      <c r="AH297" s="25" t="s">
        <v>177</v>
      </c>
    </row>
    <row r="298" spans="1:34">
      <c r="A298" s="10">
        <f>AF293+0</f>
        <v>46204</v>
      </c>
      <c r="B298" s="11"/>
      <c r="C298" s="12"/>
      <c r="D298" s="12"/>
      <c r="E298" s="13"/>
      <c r="F298" s="12"/>
      <c r="G298" s="12"/>
      <c r="H298" s="12"/>
      <c r="I298" s="12"/>
      <c r="J298" s="13"/>
      <c r="K298" s="184"/>
      <c r="L298" s="26"/>
      <c r="M298" s="22"/>
      <c r="N298" s="29"/>
      <c r="O298" s="13"/>
      <c r="P298" s="28"/>
      <c r="Q298" s="28"/>
      <c r="R298" s="28"/>
      <c r="S298" s="28"/>
      <c r="T298" s="62"/>
      <c r="U298" s="28"/>
      <c r="V298" s="28"/>
      <c r="W298" s="184"/>
      <c r="X298" s="34"/>
      <c r="Y298" s="22"/>
      <c r="Z298" s="38"/>
      <c r="AA298" s="13"/>
      <c r="AB298" s="13"/>
      <c r="AC298" s="13"/>
      <c r="AD298" s="36"/>
      <c r="AE298" s="13"/>
      <c r="AF298" s="13"/>
      <c r="AG298" s="184"/>
      <c r="AH298" s="37"/>
    </row>
    <row r="299" spans="1:34">
      <c r="A299" s="14">
        <f t="shared" ref="A299:A328" si="115">A298+1</f>
        <v>46205</v>
      </c>
      <c r="B299" s="11"/>
      <c r="C299" s="12"/>
      <c r="D299" s="12"/>
      <c r="E299" s="13"/>
      <c r="F299" s="12"/>
      <c r="G299" s="12"/>
      <c r="H299" s="12"/>
      <c r="I299" s="12"/>
      <c r="J299" s="13"/>
      <c r="K299" s="184"/>
      <c r="L299" s="26"/>
      <c r="M299" s="22"/>
      <c r="N299" s="29"/>
      <c r="O299" s="13"/>
      <c r="P299" s="13"/>
      <c r="Q299" s="13"/>
      <c r="R299" s="13"/>
      <c r="S299" s="13"/>
      <c r="T299" s="36"/>
      <c r="U299" s="13"/>
      <c r="V299" s="13"/>
      <c r="W299" s="184"/>
      <c r="X299" s="37"/>
      <c r="Y299" s="22"/>
      <c r="Z299" s="38"/>
      <c r="AA299" s="13"/>
      <c r="AB299" s="13"/>
      <c r="AC299" s="13"/>
      <c r="AD299" s="36"/>
      <c r="AE299" s="13"/>
      <c r="AF299" s="13"/>
      <c r="AG299" s="184"/>
      <c r="AH299" s="37"/>
    </row>
    <row r="300" spans="1:34">
      <c r="A300" s="14">
        <f t="shared" si="115"/>
        <v>46206</v>
      </c>
      <c r="B300" s="11"/>
      <c r="C300" s="12"/>
      <c r="D300" s="12"/>
      <c r="E300" s="13"/>
      <c r="F300" s="12"/>
      <c r="G300" s="12"/>
      <c r="H300" s="12"/>
      <c r="I300" s="12"/>
      <c r="J300" s="13"/>
      <c r="K300" s="184"/>
      <c r="L300" s="26"/>
      <c r="M300" s="22"/>
      <c r="N300" s="29"/>
      <c r="O300" s="13"/>
      <c r="P300" s="13"/>
      <c r="Q300" s="13"/>
      <c r="R300" s="13"/>
      <c r="S300" s="13"/>
      <c r="T300" s="36"/>
      <c r="U300" s="13"/>
      <c r="V300" s="13"/>
      <c r="W300" s="184"/>
      <c r="X300" s="37"/>
      <c r="Y300" s="22"/>
      <c r="Z300" s="38"/>
      <c r="AA300" s="13"/>
      <c r="AB300" s="13"/>
      <c r="AC300" s="13"/>
      <c r="AD300" s="36"/>
      <c r="AE300" s="13"/>
      <c r="AF300" s="13"/>
      <c r="AG300" s="184"/>
      <c r="AH300" s="37"/>
    </row>
    <row r="301" spans="1:34">
      <c r="A301" s="14">
        <f t="shared" si="115"/>
        <v>46207</v>
      </c>
      <c r="B301" s="11"/>
      <c r="C301" s="12"/>
      <c r="D301" s="12"/>
      <c r="E301" s="13"/>
      <c r="F301" s="12"/>
      <c r="G301" s="12"/>
      <c r="H301" s="12"/>
      <c r="I301" s="12"/>
      <c r="J301" s="13"/>
      <c r="K301" s="184"/>
      <c r="L301" s="26"/>
      <c r="M301" s="22"/>
      <c r="N301" s="29"/>
      <c r="O301" s="13"/>
      <c r="P301" s="13"/>
      <c r="Q301" s="13"/>
      <c r="R301" s="13"/>
      <c r="S301" s="13"/>
      <c r="T301" s="36"/>
      <c r="U301" s="13"/>
      <c r="V301" s="13"/>
      <c r="W301" s="184"/>
      <c r="X301" s="37"/>
      <c r="Y301" s="22"/>
      <c r="Z301" s="38"/>
      <c r="AA301" s="13"/>
      <c r="AB301" s="13"/>
      <c r="AC301" s="13"/>
      <c r="AD301" s="36"/>
      <c r="AE301" s="13"/>
      <c r="AF301" s="13"/>
      <c r="AG301" s="184"/>
      <c r="AH301" s="37"/>
    </row>
    <row r="302" spans="1:34">
      <c r="A302" s="14">
        <f t="shared" si="115"/>
        <v>46208</v>
      </c>
      <c r="B302" s="11"/>
      <c r="C302" s="12"/>
      <c r="D302" s="12"/>
      <c r="E302" s="13"/>
      <c r="F302" s="12"/>
      <c r="G302" s="12"/>
      <c r="H302" s="12"/>
      <c r="I302" s="12"/>
      <c r="J302" s="13"/>
      <c r="K302" s="184"/>
      <c r="L302" s="26"/>
      <c r="M302" s="22"/>
      <c r="N302" s="29"/>
      <c r="O302" s="13"/>
      <c r="P302" s="13"/>
      <c r="Q302" s="13"/>
      <c r="R302" s="13"/>
      <c r="S302" s="13"/>
      <c r="T302" s="36"/>
      <c r="U302" s="13"/>
      <c r="V302" s="13"/>
      <c r="W302" s="184"/>
      <c r="X302" s="51"/>
      <c r="Y302" s="22"/>
      <c r="Z302" s="38"/>
      <c r="AA302" s="13"/>
      <c r="AB302" s="13"/>
      <c r="AC302" s="13"/>
      <c r="AD302" s="36"/>
      <c r="AE302" s="13"/>
      <c r="AF302" s="13"/>
      <c r="AG302" s="184"/>
      <c r="AH302" s="37"/>
    </row>
    <row r="303" spans="1:34">
      <c r="A303" s="14">
        <f t="shared" si="115"/>
        <v>46209</v>
      </c>
      <c r="B303" s="11"/>
      <c r="C303" s="12"/>
      <c r="D303" s="12"/>
      <c r="E303" s="13"/>
      <c r="F303" s="12"/>
      <c r="G303" s="12"/>
      <c r="H303" s="12"/>
      <c r="I303" s="12"/>
      <c r="J303" s="13"/>
      <c r="K303" s="184"/>
      <c r="L303" s="26"/>
      <c r="M303" s="22"/>
      <c r="N303" s="29"/>
      <c r="O303" s="13"/>
      <c r="P303" s="13"/>
      <c r="Q303" s="13"/>
      <c r="R303" s="13"/>
      <c r="S303" s="13"/>
      <c r="T303" s="36"/>
      <c r="U303" s="13"/>
      <c r="V303" s="13"/>
      <c r="W303" s="184"/>
      <c r="X303" s="51"/>
      <c r="Y303" s="22"/>
      <c r="Z303" s="38"/>
      <c r="AA303" s="13"/>
      <c r="AB303" s="13"/>
      <c r="AC303" s="13"/>
      <c r="AD303" s="36"/>
      <c r="AE303" s="13"/>
      <c r="AF303" s="13"/>
      <c r="AG303" s="184"/>
      <c r="AH303" s="37"/>
    </row>
    <row r="304" spans="1:34">
      <c r="A304" s="14">
        <f t="shared" si="115"/>
        <v>46210</v>
      </c>
      <c r="B304" s="11"/>
      <c r="C304" s="12"/>
      <c r="D304" s="12"/>
      <c r="E304" s="13"/>
      <c r="F304" s="12"/>
      <c r="G304" s="12"/>
      <c r="H304" s="12"/>
      <c r="I304" s="12"/>
      <c r="J304" s="13"/>
      <c r="K304" s="184"/>
      <c r="L304" s="26"/>
      <c r="M304" s="22"/>
      <c r="N304" s="29"/>
      <c r="O304" s="50"/>
      <c r="P304" s="13"/>
      <c r="Q304" s="13"/>
      <c r="R304" s="13"/>
      <c r="S304" s="13"/>
      <c r="T304" s="36"/>
      <c r="U304" s="13"/>
      <c r="V304" s="13"/>
      <c r="W304" s="184"/>
      <c r="X304" s="51"/>
      <c r="Y304" s="22"/>
      <c r="Z304" s="38"/>
      <c r="AA304" s="13"/>
      <c r="AB304" s="13"/>
      <c r="AC304" s="13"/>
      <c r="AD304" s="36"/>
      <c r="AE304" s="13"/>
      <c r="AF304" s="13"/>
      <c r="AG304" s="184"/>
      <c r="AH304" s="37"/>
    </row>
    <row r="305" spans="1:34">
      <c r="A305" s="14">
        <f t="shared" si="115"/>
        <v>46211</v>
      </c>
      <c r="B305" s="11"/>
      <c r="C305" s="12"/>
      <c r="D305" s="12"/>
      <c r="E305" s="13"/>
      <c r="F305" s="12"/>
      <c r="G305" s="12"/>
      <c r="H305" s="12"/>
      <c r="I305" s="12"/>
      <c r="J305" s="13"/>
      <c r="K305" s="184"/>
      <c r="L305" s="26"/>
      <c r="M305" s="22"/>
      <c r="N305" s="29"/>
      <c r="O305" s="50"/>
      <c r="P305" s="13"/>
      <c r="Q305" s="13"/>
      <c r="R305" s="13"/>
      <c r="S305" s="13"/>
      <c r="T305" s="36"/>
      <c r="U305" s="13"/>
      <c r="V305" s="13"/>
      <c r="W305" s="184"/>
      <c r="X305" s="37"/>
      <c r="Y305" s="22"/>
      <c r="Z305" s="38"/>
      <c r="AA305" s="13"/>
      <c r="AB305" s="13"/>
      <c r="AC305" s="13"/>
      <c r="AD305" s="36"/>
      <c r="AE305" s="13"/>
      <c r="AF305" s="13"/>
      <c r="AG305" s="184"/>
      <c r="AH305" s="37"/>
    </row>
    <row r="306" spans="1:34">
      <c r="A306" s="14">
        <f t="shared" si="115"/>
        <v>46212</v>
      </c>
      <c r="B306" s="11"/>
      <c r="C306" s="12"/>
      <c r="D306" s="12"/>
      <c r="E306" s="13"/>
      <c r="F306" s="12"/>
      <c r="G306" s="12"/>
      <c r="H306" s="12"/>
      <c r="I306" s="12"/>
      <c r="J306" s="13"/>
      <c r="K306" s="184"/>
      <c r="L306" s="26"/>
      <c r="M306" s="22"/>
      <c r="N306" s="29"/>
      <c r="O306" s="50"/>
      <c r="P306" s="13"/>
      <c r="Q306" s="13"/>
      <c r="R306" s="13"/>
      <c r="S306" s="13"/>
      <c r="T306" s="36"/>
      <c r="U306" s="13"/>
      <c r="V306" s="13"/>
      <c r="W306" s="184"/>
      <c r="X306" s="37"/>
      <c r="Y306" s="22"/>
      <c r="Z306" s="38"/>
      <c r="AA306" s="13"/>
      <c r="AB306" s="13"/>
      <c r="AC306" s="13"/>
      <c r="AD306" s="36"/>
      <c r="AE306" s="13"/>
      <c r="AF306" s="13"/>
      <c r="AG306" s="184"/>
      <c r="AH306" s="37"/>
    </row>
    <row r="307" spans="1:34">
      <c r="A307" s="14">
        <f t="shared" si="115"/>
        <v>46213</v>
      </c>
      <c r="B307" s="11"/>
      <c r="C307" s="12"/>
      <c r="D307" s="12"/>
      <c r="E307" s="13"/>
      <c r="F307" s="12"/>
      <c r="G307" s="12"/>
      <c r="H307" s="12"/>
      <c r="I307" s="12"/>
      <c r="J307" s="13"/>
      <c r="K307" s="184"/>
      <c r="L307" s="26"/>
      <c r="M307" s="22"/>
      <c r="N307" s="29"/>
      <c r="O307" s="50"/>
      <c r="P307" s="13"/>
      <c r="Q307" s="13"/>
      <c r="R307" s="13"/>
      <c r="S307" s="13"/>
      <c r="T307" s="36"/>
      <c r="U307" s="13"/>
      <c r="V307" s="13"/>
      <c r="W307" s="184"/>
      <c r="X307" s="51"/>
      <c r="Y307" s="22"/>
      <c r="Z307" s="38"/>
      <c r="AA307" s="13"/>
      <c r="AB307" s="13"/>
      <c r="AC307" s="13"/>
      <c r="AD307" s="36"/>
      <c r="AE307" s="13"/>
      <c r="AF307" s="13"/>
      <c r="AG307" s="184"/>
      <c r="AH307" s="37"/>
    </row>
    <row r="308" spans="1:34">
      <c r="A308" s="14">
        <f t="shared" si="115"/>
        <v>46214</v>
      </c>
      <c r="B308" s="11"/>
      <c r="C308" s="12"/>
      <c r="D308" s="12"/>
      <c r="E308" s="13"/>
      <c r="F308" s="12"/>
      <c r="G308" s="12"/>
      <c r="H308" s="12"/>
      <c r="I308" s="12"/>
      <c r="J308" s="13"/>
      <c r="K308" s="184"/>
      <c r="L308" s="26"/>
      <c r="M308" s="22"/>
      <c r="N308" s="29"/>
      <c r="O308" s="50"/>
      <c r="P308" s="13"/>
      <c r="Q308" s="13"/>
      <c r="R308" s="13"/>
      <c r="S308" s="13"/>
      <c r="T308" s="36"/>
      <c r="U308" s="13"/>
      <c r="V308" s="13"/>
      <c r="W308" s="184"/>
      <c r="X308" s="51"/>
      <c r="Y308" s="22"/>
      <c r="Z308" s="38"/>
      <c r="AA308" s="13"/>
      <c r="AB308" s="13"/>
      <c r="AC308" s="13"/>
      <c r="AD308" s="36"/>
      <c r="AE308" s="13"/>
      <c r="AF308" s="13"/>
      <c r="AG308" s="184"/>
      <c r="AH308" s="37"/>
    </row>
    <row r="309" spans="1:34">
      <c r="A309" s="14">
        <f t="shared" si="115"/>
        <v>46215</v>
      </c>
      <c r="B309" s="11"/>
      <c r="C309" s="12"/>
      <c r="D309" s="12"/>
      <c r="E309" s="13"/>
      <c r="F309" s="12"/>
      <c r="G309" s="12"/>
      <c r="H309" s="12"/>
      <c r="I309" s="12"/>
      <c r="J309" s="13"/>
      <c r="K309" s="184"/>
      <c r="L309" s="26"/>
      <c r="M309" s="22"/>
      <c r="N309" s="29"/>
      <c r="O309" s="50"/>
      <c r="P309" s="13"/>
      <c r="Q309" s="13"/>
      <c r="R309" s="13"/>
      <c r="S309" s="13"/>
      <c r="T309" s="36"/>
      <c r="U309" s="13"/>
      <c r="V309" s="13"/>
      <c r="W309" s="184"/>
      <c r="X309" s="51"/>
      <c r="Y309" s="22"/>
      <c r="Z309" s="38"/>
      <c r="AA309" s="13"/>
      <c r="AB309" s="13"/>
      <c r="AC309" s="13"/>
      <c r="AD309" s="36"/>
      <c r="AE309" s="13"/>
      <c r="AF309" s="13"/>
      <c r="AG309" s="184"/>
      <c r="AH309" s="37"/>
    </row>
    <row r="310" spans="1:34">
      <c r="A310" s="14">
        <f t="shared" si="115"/>
        <v>46216</v>
      </c>
      <c r="B310" s="11"/>
      <c r="C310" s="12"/>
      <c r="D310" s="12"/>
      <c r="E310" s="13"/>
      <c r="F310" s="12"/>
      <c r="G310" s="12"/>
      <c r="H310" s="12"/>
      <c r="I310" s="12"/>
      <c r="J310" s="13"/>
      <c r="K310" s="184"/>
      <c r="L310" s="26"/>
      <c r="M310" s="22"/>
      <c r="N310" s="29"/>
      <c r="O310" s="50"/>
      <c r="P310" s="13"/>
      <c r="Q310" s="13"/>
      <c r="R310" s="13"/>
      <c r="S310" s="13"/>
      <c r="T310" s="36"/>
      <c r="U310" s="13"/>
      <c r="V310" s="13"/>
      <c r="W310" s="184"/>
      <c r="X310" s="51"/>
      <c r="Y310" s="22"/>
      <c r="Z310" s="38"/>
      <c r="AA310" s="13"/>
      <c r="AB310" s="13"/>
      <c r="AC310" s="13"/>
      <c r="AD310" s="36"/>
      <c r="AE310" s="13"/>
      <c r="AF310" s="13"/>
      <c r="AG310" s="184"/>
      <c r="AH310" s="37"/>
    </row>
    <row r="311" spans="1:34">
      <c r="A311" s="14">
        <f t="shared" si="115"/>
        <v>46217</v>
      </c>
      <c r="B311" s="11"/>
      <c r="C311" s="12"/>
      <c r="D311" s="12"/>
      <c r="E311" s="13"/>
      <c r="F311" s="12"/>
      <c r="G311" s="12"/>
      <c r="H311" s="12"/>
      <c r="I311" s="12"/>
      <c r="J311" s="13"/>
      <c r="K311" s="184"/>
      <c r="L311" s="26"/>
      <c r="M311" s="22"/>
      <c r="N311" s="29"/>
      <c r="O311" s="50"/>
      <c r="P311" s="13"/>
      <c r="Q311" s="13"/>
      <c r="R311" s="13"/>
      <c r="S311" s="13"/>
      <c r="T311" s="36"/>
      <c r="U311" s="13"/>
      <c r="V311" s="13"/>
      <c r="W311" s="184"/>
      <c r="X311" s="51"/>
      <c r="Y311" s="22"/>
      <c r="Z311" s="38"/>
      <c r="AA311" s="13"/>
      <c r="AB311" s="13"/>
      <c r="AC311" s="13"/>
      <c r="AD311" s="36"/>
      <c r="AE311" s="13"/>
      <c r="AF311" s="13"/>
      <c r="AG311" s="184"/>
      <c r="AH311" s="37"/>
    </row>
    <row r="312" spans="1:34">
      <c r="A312" s="14">
        <f t="shared" si="115"/>
        <v>46218</v>
      </c>
      <c r="B312" s="11"/>
      <c r="C312" s="12"/>
      <c r="D312" s="12"/>
      <c r="E312" s="13"/>
      <c r="F312" s="12"/>
      <c r="G312" s="12"/>
      <c r="H312" s="12"/>
      <c r="I312" s="12"/>
      <c r="J312" s="13"/>
      <c r="K312" s="184"/>
      <c r="L312" s="26"/>
      <c r="M312" s="22"/>
      <c r="N312" s="29"/>
      <c r="O312" s="50"/>
      <c r="P312" s="13"/>
      <c r="Q312" s="13"/>
      <c r="R312" s="13"/>
      <c r="S312" s="13"/>
      <c r="T312" s="36"/>
      <c r="U312" s="13"/>
      <c r="V312" s="13"/>
      <c r="W312" s="184"/>
      <c r="X312" s="37"/>
      <c r="Y312" s="22"/>
      <c r="Z312" s="38"/>
      <c r="AA312" s="13"/>
      <c r="AB312" s="13"/>
      <c r="AC312" s="13"/>
      <c r="AD312" s="13"/>
      <c r="AE312" s="13"/>
      <c r="AF312" s="13"/>
      <c r="AG312" s="184"/>
      <c r="AH312" s="37"/>
    </row>
    <row r="313" spans="1:34">
      <c r="A313" s="14">
        <f t="shared" si="115"/>
        <v>46219</v>
      </c>
      <c r="B313" s="11"/>
      <c r="C313" s="12"/>
      <c r="D313" s="12"/>
      <c r="E313" s="13"/>
      <c r="F313" s="12"/>
      <c r="G313" s="12"/>
      <c r="H313" s="12"/>
      <c r="I313" s="12"/>
      <c r="J313" s="13"/>
      <c r="K313" s="184"/>
      <c r="L313" s="26"/>
      <c r="M313" s="22"/>
      <c r="N313" s="29"/>
      <c r="O313" s="50"/>
      <c r="P313" s="13"/>
      <c r="Q313" s="13"/>
      <c r="R313" s="13"/>
      <c r="S313" s="13"/>
      <c r="T313" s="36"/>
      <c r="U313" s="13"/>
      <c r="V313" s="13"/>
      <c r="W313" s="184"/>
      <c r="X313" s="51"/>
      <c r="Y313" s="22"/>
      <c r="Z313" s="38"/>
      <c r="AA313" s="13"/>
      <c r="AB313" s="13"/>
      <c r="AC313" s="13"/>
      <c r="AD313" s="13"/>
      <c r="AE313" s="13"/>
      <c r="AF313" s="13"/>
      <c r="AG313" s="184"/>
      <c r="AH313" s="37"/>
    </row>
    <row r="314" spans="1:34">
      <c r="A314" s="14">
        <f t="shared" si="115"/>
        <v>46220</v>
      </c>
      <c r="B314" s="11"/>
      <c r="C314" s="12"/>
      <c r="D314" s="12"/>
      <c r="E314" s="13"/>
      <c r="F314" s="12"/>
      <c r="G314" s="12"/>
      <c r="H314" s="12"/>
      <c r="I314" s="12"/>
      <c r="J314" s="13"/>
      <c r="K314" s="184"/>
      <c r="L314" s="26"/>
      <c r="M314" s="22"/>
      <c r="N314" s="29"/>
      <c r="O314" s="50"/>
      <c r="P314" s="13"/>
      <c r="Q314" s="13"/>
      <c r="R314" s="13"/>
      <c r="S314" s="13"/>
      <c r="T314" s="36"/>
      <c r="U314" s="13"/>
      <c r="V314" s="13"/>
      <c r="W314" s="184"/>
      <c r="X314" s="37"/>
      <c r="Y314" s="22"/>
      <c r="Z314" s="38"/>
      <c r="AA314" s="13"/>
      <c r="AB314" s="13"/>
      <c r="AC314" s="13"/>
      <c r="AD314" s="13"/>
      <c r="AE314" s="13"/>
      <c r="AF314" s="13"/>
      <c r="AG314" s="184"/>
      <c r="AH314" s="37"/>
    </row>
    <row r="315" spans="1:34">
      <c r="A315" s="14">
        <f t="shared" si="115"/>
        <v>46221</v>
      </c>
      <c r="B315" s="11"/>
      <c r="C315" s="12"/>
      <c r="D315" s="12"/>
      <c r="E315" s="13"/>
      <c r="F315" s="12"/>
      <c r="G315" s="12"/>
      <c r="H315" s="12"/>
      <c r="I315" s="12"/>
      <c r="J315" s="13"/>
      <c r="K315" s="184"/>
      <c r="L315" s="26"/>
      <c r="M315" s="22"/>
      <c r="N315" s="29"/>
      <c r="O315" s="13"/>
      <c r="P315" s="13"/>
      <c r="Q315" s="13"/>
      <c r="R315" s="13"/>
      <c r="S315" s="13"/>
      <c r="T315" s="36"/>
      <c r="U315" s="13"/>
      <c r="V315" s="13"/>
      <c r="W315" s="184"/>
      <c r="X315" s="37"/>
      <c r="Y315" s="22"/>
      <c r="Z315" s="38"/>
      <c r="AA315" s="13"/>
      <c r="AB315" s="13"/>
      <c r="AC315" s="13"/>
      <c r="AD315" s="13"/>
      <c r="AE315" s="13"/>
      <c r="AF315" s="13"/>
      <c r="AG315" s="184"/>
      <c r="AH315" s="37"/>
    </row>
    <row r="316" spans="1:34">
      <c r="A316" s="14">
        <f t="shared" si="115"/>
        <v>46222</v>
      </c>
      <c r="B316" s="11"/>
      <c r="C316" s="12"/>
      <c r="D316" s="12"/>
      <c r="E316" s="13"/>
      <c r="F316" s="12"/>
      <c r="G316" s="12"/>
      <c r="H316" s="12"/>
      <c r="I316" s="12"/>
      <c r="J316" s="13"/>
      <c r="K316" s="184"/>
      <c r="L316" s="26"/>
      <c r="M316" s="22"/>
      <c r="N316" s="29"/>
      <c r="O316" s="13"/>
      <c r="P316" s="13"/>
      <c r="Q316" s="13"/>
      <c r="R316" s="13"/>
      <c r="S316" s="13"/>
      <c r="T316" s="36"/>
      <c r="U316" s="13"/>
      <c r="V316" s="13"/>
      <c r="W316" s="184"/>
      <c r="X316" s="37"/>
      <c r="Y316" s="22"/>
      <c r="Z316" s="38"/>
      <c r="AA316" s="13"/>
      <c r="AB316" s="13"/>
      <c r="AC316" s="13"/>
      <c r="AD316" s="13"/>
      <c r="AE316" s="13"/>
      <c r="AF316" s="13"/>
      <c r="AG316" s="184"/>
      <c r="AH316" s="37"/>
    </row>
    <row r="317" spans="1:34">
      <c r="A317" s="14">
        <f t="shared" si="115"/>
        <v>46223</v>
      </c>
      <c r="B317" s="11"/>
      <c r="C317" s="12"/>
      <c r="D317" s="12"/>
      <c r="E317" s="13"/>
      <c r="F317" s="12"/>
      <c r="G317" s="12"/>
      <c r="H317" s="12"/>
      <c r="I317" s="12"/>
      <c r="J317" s="13"/>
      <c r="K317" s="184"/>
      <c r="L317" s="26"/>
      <c r="M317" s="22"/>
      <c r="N317" s="29"/>
      <c r="O317" s="13"/>
      <c r="P317" s="13"/>
      <c r="Q317" s="13"/>
      <c r="R317" s="13"/>
      <c r="S317" s="13"/>
      <c r="T317" s="36"/>
      <c r="U317" s="13"/>
      <c r="V317" s="13"/>
      <c r="W317" s="184"/>
      <c r="X317" s="37"/>
      <c r="Y317" s="22"/>
      <c r="Z317" s="38"/>
      <c r="AA317" s="13"/>
      <c r="AB317" s="13"/>
      <c r="AC317" s="13"/>
      <c r="AD317" s="36"/>
      <c r="AE317" s="13"/>
      <c r="AF317" s="13"/>
      <c r="AG317" s="184"/>
      <c r="AH317" s="37"/>
    </row>
    <row r="318" spans="1:34">
      <c r="A318" s="14">
        <f t="shared" si="115"/>
        <v>46224</v>
      </c>
      <c r="B318" s="11"/>
      <c r="C318" s="12"/>
      <c r="D318" s="12"/>
      <c r="E318" s="13"/>
      <c r="F318" s="12"/>
      <c r="G318" s="12"/>
      <c r="H318" s="12"/>
      <c r="I318" s="12"/>
      <c r="J318" s="13"/>
      <c r="K318" s="184"/>
      <c r="L318" s="26"/>
      <c r="M318" s="22"/>
      <c r="N318" s="29"/>
      <c r="O318" s="13"/>
      <c r="P318" s="13"/>
      <c r="Q318" s="13"/>
      <c r="R318" s="13"/>
      <c r="S318" s="13"/>
      <c r="T318" s="36"/>
      <c r="U318" s="13"/>
      <c r="V318" s="13"/>
      <c r="W318" s="184"/>
      <c r="X318" s="37"/>
      <c r="Y318" s="22"/>
      <c r="Z318" s="38"/>
      <c r="AA318" s="13"/>
      <c r="AB318" s="13"/>
      <c r="AC318" s="13"/>
      <c r="AD318" s="36"/>
      <c r="AE318" s="13"/>
      <c r="AF318" s="13"/>
      <c r="AG318" s="184"/>
      <c r="AH318" s="37"/>
    </row>
    <row r="319" spans="1:34">
      <c r="A319" s="14">
        <f t="shared" si="115"/>
        <v>46225</v>
      </c>
      <c r="B319" s="11"/>
      <c r="C319" s="12"/>
      <c r="D319" s="12"/>
      <c r="E319" s="13"/>
      <c r="F319" s="12"/>
      <c r="G319" s="12"/>
      <c r="H319" s="12"/>
      <c r="I319" s="12"/>
      <c r="J319" s="13"/>
      <c r="K319" s="184"/>
      <c r="L319" s="26"/>
      <c r="M319" s="22"/>
      <c r="N319" s="29"/>
      <c r="O319" s="13"/>
      <c r="P319" s="13"/>
      <c r="Q319" s="13"/>
      <c r="R319" s="13"/>
      <c r="S319" s="13"/>
      <c r="T319" s="36"/>
      <c r="U319" s="13"/>
      <c r="V319" s="13"/>
      <c r="W319" s="184"/>
      <c r="X319" s="37"/>
      <c r="Y319" s="22"/>
      <c r="Z319" s="38"/>
      <c r="AA319" s="13"/>
      <c r="AB319" s="13"/>
      <c r="AC319" s="13"/>
      <c r="AD319" s="13"/>
      <c r="AE319" s="13"/>
      <c r="AF319" s="13"/>
      <c r="AG319" s="184"/>
      <c r="AH319" s="37"/>
    </row>
    <row r="320" spans="1:34">
      <c r="A320" s="14">
        <f t="shared" si="115"/>
        <v>46226</v>
      </c>
      <c r="B320" s="11"/>
      <c r="C320" s="12"/>
      <c r="D320" s="12"/>
      <c r="E320" s="13"/>
      <c r="F320" s="12"/>
      <c r="G320" s="12"/>
      <c r="H320" s="12"/>
      <c r="I320" s="12"/>
      <c r="J320" s="13"/>
      <c r="K320" s="184"/>
      <c r="L320" s="26"/>
      <c r="M320" s="22"/>
      <c r="N320" s="29"/>
      <c r="O320" s="13"/>
      <c r="P320" s="13"/>
      <c r="Q320" s="13"/>
      <c r="R320" s="13"/>
      <c r="S320" s="13"/>
      <c r="T320" s="36"/>
      <c r="U320" s="13"/>
      <c r="V320" s="13"/>
      <c r="W320" s="184"/>
      <c r="X320" s="37"/>
      <c r="Y320" s="22"/>
      <c r="Z320" s="38"/>
      <c r="AA320" s="13"/>
      <c r="AB320" s="13"/>
      <c r="AC320" s="13"/>
      <c r="AD320" s="13"/>
      <c r="AE320" s="13"/>
      <c r="AF320" s="13"/>
      <c r="AG320" s="184"/>
      <c r="AH320" s="37"/>
    </row>
    <row r="321" spans="1:34">
      <c r="A321" s="14">
        <f t="shared" si="115"/>
        <v>46227</v>
      </c>
      <c r="B321" s="11"/>
      <c r="C321" s="12"/>
      <c r="D321" s="12"/>
      <c r="E321" s="13"/>
      <c r="F321" s="12"/>
      <c r="G321" s="12"/>
      <c r="H321" s="12"/>
      <c r="I321" s="12"/>
      <c r="J321" s="13"/>
      <c r="K321" s="184"/>
      <c r="L321" s="26"/>
      <c r="M321" s="22"/>
      <c r="N321" s="29"/>
      <c r="O321" s="13"/>
      <c r="P321" s="13"/>
      <c r="Q321" s="13"/>
      <c r="R321" s="13"/>
      <c r="S321" s="13"/>
      <c r="T321" s="36"/>
      <c r="U321" s="13"/>
      <c r="V321" s="13"/>
      <c r="W321" s="184"/>
      <c r="X321" s="37"/>
      <c r="Y321" s="22"/>
      <c r="Z321" s="38"/>
      <c r="AA321" s="13"/>
      <c r="AB321" s="13"/>
      <c r="AC321" s="13"/>
      <c r="AD321" s="36"/>
      <c r="AE321" s="13"/>
      <c r="AF321" s="13"/>
      <c r="AG321" s="184"/>
      <c r="AH321" s="37"/>
    </row>
    <row r="322" spans="1:34">
      <c r="A322" s="14">
        <f t="shared" si="115"/>
        <v>46228</v>
      </c>
      <c r="B322" s="11"/>
      <c r="C322" s="12"/>
      <c r="D322" s="12"/>
      <c r="E322" s="13"/>
      <c r="F322" s="12"/>
      <c r="G322" s="12"/>
      <c r="H322" s="12"/>
      <c r="I322" s="12"/>
      <c r="J322" s="13"/>
      <c r="K322" s="184"/>
      <c r="L322" s="26"/>
      <c r="M322" s="22"/>
      <c r="N322" s="29"/>
      <c r="O322" s="13"/>
      <c r="P322" s="13"/>
      <c r="Q322" s="13"/>
      <c r="R322" s="13"/>
      <c r="S322" s="13"/>
      <c r="T322" s="36"/>
      <c r="U322" s="13"/>
      <c r="V322" s="13"/>
      <c r="W322" s="184"/>
      <c r="X322" s="37"/>
      <c r="Y322" s="22"/>
      <c r="Z322" s="38"/>
      <c r="AA322" s="13"/>
      <c r="AB322" s="13"/>
      <c r="AC322" s="13"/>
      <c r="AD322" s="13"/>
      <c r="AE322" s="13"/>
      <c r="AF322" s="13"/>
      <c r="AG322" s="184"/>
      <c r="AH322" s="37"/>
    </row>
    <row r="323" spans="1:34">
      <c r="A323" s="14">
        <f t="shared" si="115"/>
        <v>46229</v>
      </c>
      <c r="B323" s="11"/>
      <c r="C323" s="12"/>
      <c r="D323" s="12"/>
      <c r="E323" s="13"/>
      <c r="F323" s="12"/>
      <c r="G323" s="12"/>
      <c r="H323" s="12"/>
      <c r="I323" s="12"/>
      <c r="J323" s="13"/>
      <c r="K323" s="184"/>
      <c r="L323" s="26"/>
      <c r="M323" s="22"/>
      <c r="N323" s="29"/>
      <c r="O323" s="13"/>
      <c r="P323" s="13"/>
      <c r="Q323" s="13"/>
      <c r="R323" s="13"/>
      <c r="S323" s="13"/>
      <c r="T323" s="36"/>
      <c r="U323" s="13"/>
      <c r="V323" s="13"/>
      <c r="W323" s="184"/>
      <c r="X323" s="51"/>
      <c r="Y323" s="22"/>
      <c r="Z323" s="38"/>
      <c r="AA323" s="13"/>
      <c r="AB323" s="13"/>
      <c r="AC323" s="13"/>
      <c r="AD323" s="13"/>
      <c r="AE323" s="13"/>
      <c r="AF323" s="13"/>
      <c r="AG323" s="184"/>
      <c r="AH323" s="37"/>
    </row>
    <row r="324" spans="1:34">
      <c r="A324" s="14">
        <f t="shared" si="115"/>
        <v>46230</v>
      </c>
      <c r="B324" s="11"/>
      <c r="C324" s="12"/>
      <c r="D324" s="12"/>
      <c r="E324" s="13"/>
      <c r="F324" s="12"/>
      <c r="G324" s="12"/>
      <c r="H324" s="12"/>
      <c r="I324" s="12"/>
      <c r="J324" s="13"/>
      <c r="K324" s="184"/>
      <c r="L324" s="26"/>
      <c r="M324" s="22"/>
      <c r="N324" s="29"/>
      <c r="O324" s="13"/>
      <c r="P324" s="13"/>
      <c r="Q324" s="13"/>
      <c r="R324" s="13"/>
      <c r="S324" s="13"/>
      <c r="T324" s="36"/>
      <c r="U324" s="13"/>
      <c r="V324" s="13"/>
      <c r="W324" s="184"/>
      <c r="X324" s="37"/>
      <c r="Y324" s="22"/>
      <c r="Z324" s="38"/>
      <c r="AA324" s="13"/>
      <c r="AB324" s="13"/>
      <c r="AC324" s="13"/>
      <c r="AD324" s="36"/>
      <c r="AE324" s="13"/>
      <c r="AF324" s="13"/>
      <c r="AG324" s="184"/>
      <c r="AH324" s="37"/>
    </row>
    <row r="325" spans="1:34">
      <c r="A325" s="14">
        <f t="shared" si="115"/>
        <v>46231</v>
      </c>
      <c r="B325" s="11"/>
      <c r="C325" s="12"/>
      <c r="D325" s="12"/>
      <c r="E325" s="13"/>
      <c r="F325" s="12"/>
      <c r="G325" s="12"/>
      <c r="H325" s="12"/>
      <c r="I325" s="12"/>
      <c r="J325" s="13"/>
      <c r="K325" s="184"/>
      <c r="L325" s="26"/>
      <c r="M325" s="22"/>
      <c r="N325" s="29"/>
      <c r="O325" s="13"/>
      <c r="P325" s="13"/>
      <c r="Q325" s="13"/>
      <c r="R325" s="13"/>
      <c r="S325" s="13"/>
      <c r="T325" s="36"/>
      <c r="U325" s="13"/>
      <c r="V325" s="13"/>
      <c r="W325" s="184"/>
      <c r="X325" s="37"/>
      <c r="Y325" s="22"/>
      <c r="Z325" s="38"/>
      <c r="AA325" s="13"/>
      <c r="AB325" s="13"/>
      <c r="AC325" s="13"/>
      <c r="AD325" s="36"/>
      <c r="AE325" s="13"/>
      <c r="AF325" s="13"/>
      <c r="AG325" s="184"/>
      <c r="AH325" s="37"/>
    </row>
    <row r="326" spans="1:34">
      <c r="A326" s="14">
        <f t="shared" si="115"/>
        <v>46232</v>
      </c>
      <c r="B326" s="11"/>
      <c r="C326" s="12"/>
      <c r="D326" s="12"/>
      <c r="E326" s="13"/>
      <c r="F326" s="12"/>
      <c r="G326" s="12"/>
      <c r="H326" s="12"/>
      <c r="I326" s="12"/>
      <c r="J326" s="13"/>
      <c r="K326" s="184"/>
      <c r="L326" s="26"/>
      <c r="M326" s="22"/>
      <c r="N326" s="29"/>
      <c r="O326" s="13"/>
      <c r="P326" s="13"/>
      <c r="Q326" s="13"/>
      <c r="R326" s="13"/>
      <c r="S326" s="13"/>
      <c r="T326" s="36"/>
      <c r="U326" s="13"/>
      <c r="V326" s="13"/>
      <c r="W326" s="184"/>
      <c r="X326" s="37"/>
      <c r="Y326" s="22"/>
      <c r="Z326" s="38"/>
      <c r="AA326" s="13"/>
      <c r="AB326" s="13"/>
      <c r="AC326" s="13"/>
      <c r="AD326" s="36"/>
      <c r="AE326" s="13"/>
      <c r="AF326" s="13"/>
      <c r="AG326" s="184"/>
      <c r="AH326" s="37"/>
    </row>
    <row r="327" spans="1:34">
      <c r="A327" s="14">
        <f t="shared" si="115"/>
        <v>46233</v>
      </c>
      <c r="B327" s="11"/>
      <c r="C327" s="12"/>
      <c r="D327" s="12"/>
      <c r="E327" s="13"/>
      <c r="F327" s="12"/>
      <c r="G327" s="12"/>
      <c r="H327" s="12"/>
      <c r="I327" s="12"/>
      <c r="J327" s="13"/>
      <c r="K327" s="184"/>
      <c r="L327" s="26"/>
      <c r="M327" s="22"/>
      <c r="N327" s="29"/>
      <c r="O327" s="13"/>
      <c r="P327" s="13"/>
      <c r="Q327" s="13"/>
      <c r="R327" s="13"/>
      <c r="S327" s="13"/>
      <c r="T327" s="36"/>
      <c r="U327" s="13"/>
      <c r="V327" s="13"/>
      <c r="W327" s="184"/>
      <c r="X327" s="37"/>
      <c r="Y327" s="22"/>
      <c r="Z327" s="38"/>
      <c r="AA327" s="13"/>
      <c r="AB327" s="13"/>
      <c r="AC327" s="13"/>
      <c r="AD327" s="13"/>
      <c r="AE327" s="13"/>
      <c r="AF327" s="13"/>
      <c r="AG327" s="184"/>
      <c r="AH327" s="37"/>
    </row>
    <row r="328" spans="1:34" ht="15.75" thickBot="1">
      <c r="A328" s="15">
        <f t="shared" si="115"/>
        <v>46234</v>
      </c>
      <c r="B328" s="11"/>
      <c r="C328" s="12"/>
      <c r="D328" s="12"/>
      <c r="E328" s="13"/>
      <c r="F328" s="12"/>
      <c r="G328" s="12"/>
      <c r="H328" s="12"/>
      <c r="I328" s="12"/>
      <c r="J328" s="13"/>
      <c r="K328" s="184"/>
      <c r="L328" s="26"/>
      <c r="M328" s="22"/>
      <c r="N328" s="29"/>
      <c r="O328" s="13"/>
      <c r="P328" s="47"/>
      <c r="Q328" s="47"/>
      <c r="R328" s="47"/>
      <c r="S328" s="47"/>
      <c r="T328" s="52"/>
      <c r="U328" s="47"/>
      <c r="V328" s="47"/>
      <c r="W328" s="184"/>
      <c r="X328" s="48"/>
      <c r="Y328" s="22"/>
      <c r="Z328" s="38"/>
      <c r="AA328" s="13"/>
      <c r="AB328" s="13"/>
      <c r="AC328" s="13"/>
      <c r="AD328" s="13"/>
      <c r="AE328" s="13"/>
      <c r="AF328" s="13"/>
      <c r="AG328" s="184"/>
      <c r="AH328" s="37"/>
    </row>
    <row r="329" spans="1:34">
      <c r="A329" s="16" t="s">
        <v>31</v>
      </c>
      <c r="B329" s="17">
        <f>MIN(B298:B328)</f>
        <v>0</v>
      </c>
      <c r="C329" s="17">
        <f>MIN(C298:C328)</f>
        <v>0</v>
      </c>
      <c r="D329" s="17">
        <f t="shared" ref="D329:L329" si="116">MIN(D298:D328)</f>
        <v>0</v>
      </c>
      <c r="E329" s="17">
        <f t="shared" si="116"/>
        <v>0</v>
      </c>
      <c r="F329" s="17">
        <f t="shared" si="116"/>
        <v>0</v>
      </c>
      <c r="G329" s="17">
        <f t="shared" si="116"/>
        <v>0</v>
      </c>
      <c r="H329" s="17">
        <f t="shared" si="116"/>
        <v>0</v>
      </c>
      <c r="I329" s="17">
        <f t="shared" si="116"/>
        <v>0</v>
      </c>
      <c r="J329" s="17">
        <f t="shared" si="116"/>
        <v>0</v>
      </c>
      <c r="K329" s="17">
        <f t="shared" si="116"/>
        <v>0</v>
      </c>
      <c r="L329" s="30">
        <f t="shared" si="116"/>
        <v>0</v>
      </c>
      <c r="M329" s="22"/>
      <c r="N329" s="17">
        <f>MIN(N298:N328)</f>
        <v>0</v>
      </c>
      <c r="O329" s="17">
        <f>MIN(O298:O328)</f>
        <v>0</v>
      </c>
      <c r="P329" s="17">
        <f t="shared" ref="P329:X329" si="117">MIN(P298:P328)</f>
        <v>0</v>
      </c>
      <c r="Q329" s="17">
        <f t="shared" si="117"/>
        <v>0</v>
      </c>
      <c r="R329" s="17">
        <f t="shared" si="117"/>
        <v>0</v>
      </c>
      <c r="S329" s="17">
        <f t="shared" si="117"/>
        <v>0</v>
      </c>
      <c r="T329" s="17">
        <f t="shared" si="117"/>
        <v>0</v>
      </c>
      <c r="U329" s="17">
        <f t="shared" si="117"/>
        <v>0</v>
      </c>
      <c r="V329" s="17">
        <f t="shared" si="117"/>
        <v>0</v>
      </c>
      <c r="W329" s="17">
        <f t="shared" si="117"/>
        <v>0</v>
      </c>
      <c r="X329" s="30">
        <f t="shared" si="117"/>
        <v>0</v>
      </c>
      <c r="Z329" s="40">
        <f t="shared" ref="Z329:AH329" si="118">MIN(Z298:Z328)</f>
        <v>0</v>
      </c>
      <c r="AA329" s="17">
        <f t="shared" si="118"/>
        <v>0</v>
      </c>
      <c r="AB329" s="17">
        <f t="shared" si="118"/>
        <v>0</v>
      </c>
      <c r="AC329" s="17">
        <f t="shared" si="118"/>
        <v>0</v>
      </c>
      <c r="AD329" s="17">
        <f t="shared" si="118"/>
        <v>0</v>
      </c>
      <c r="AE329" s="17">
        <f t="shared" si="118"/>
        <v>0</v>
      </c>
      <c r="AF329" s="17">
        <f t="shared" si="118"/>
        <v>0</v>
      </c>
      <c r="AG329" s="17">
        <f t="shared" si="118"/>
        <v>0</v>
      </c>
      <c r="AH329" s="30">
        <f t="shared" si="118"/>
        <v>0</v>
      </c>
    </row>
    <row r="330" spans="1:34">
      <c r="A330" s="18" t="s">
        <v>33</v>
      </c>
      <c r="B330" s="19">
        <f>MAX(B298:B328)</f>
        <v>0</v>
      </c>
      <c r="C330" s="19">
        <f>MAX(C298:C328)</f>
        <v>0</v>
      </c>
      <c r="D330" s="19">
        <f t="shared" ref="D330:L330" si="119">MAX(D298:D328)</f>
        <v>0</v>
      </c>
      <c r="E330" s="19">
        <f t="shared" si="119"/>
        <v>0</v>
      </c>
      <c r="F330" s="19">
        <f t="shared" si="119"/>
        <v>0</v>
      </c>
      <c r="G330" s="19">
        <f t="shared" si="119"/>
        <v>0</v>
      </c>
      <c r="H330" s="19">
        <f t="shared" si="119"/>
        <v>0</v>
      </c>
      <c r="I330" s="19">
        <f t="shared" si="119"/>
        <v>0</v>
      </c>
      <c r="J330" s="19">
        <f t="shared" si="119"/>
        <v>0</v>
      </c>
      <c r="K330" s="19">
        <f t="shared" si="119"/>
        <v>0</v>
      </c>
      <c r="L330" s="31">
        <f t="shared" si="119"/>
        <v>0</v>
      </c>
      <c r="M330" s="22"/>
      <c r="N330" s="19">
        <f>MAX(N298:N328)</f>
        <v>0</v>
      </c>
      <c r="O330" s="19">
        <f>MAX(O298:O328)</f>
        <v>0</v>
      </c>
      <c r="P330" s="19">
        <f t="shared" ref="P330:X330" si="120">MAX(P298:P328)</f>
        <v>0</v>
      </c>
      <c r="Q330" s="19">
        <f t="shared" si="120"/>
        <v>0</v>
      </c>
      <c r="R330" s="19">
        <f t="shared" si="120"/>
        <v>0</v>
      </c>
      <c r="S330" s="19">
        <f t="shared" si="120"/>
        <v>0</v>
      </c>
      <c r="T330" s="19">
        <f t="shared" si="120"/>
        <v>0</v>
      </c>
      <c r="U330" s="19">
        <f t="shared" si="120"/>
        <v>0</v>
      </c>
      <c r="V330" s="19">
        <f t="shared" si="120"/>
        <v>0</v>
      </c>
      <c r="W330" s="19">
        <f t="shared" si="120"/>
        <v>0</v>
      </c>
      <c r="X330" s="31">
        <f t="shared" si="120"/>
        <v>0</v>
      </c>
      <c r="Z330" s="41">
        <f t="shared" ref="Z330:AH330" si="121">MAX(Z298:Z328)</f>
        <v>0</v>
      </c>
      <c r="AA330" s="19">
        <f t="shared" si="121"/>
        <v>0</v>
      </c>
      <c r="AB330" s="19">
        <f t="shared" si="121"/>
        <v>0</v>
      </c>
      <c r="AC330" s="19">
        <f t="shared" si="121"/>
        <v>0</v>
      </c>
      <c r="AD330" s="19">
        <f t="shared" si="121"/>
        <v>0</v>
      </c>
      <c r="AE330" s="19">
        <f t="shared" si="121"/>
        <v>0</v>
      </c>
      <c r="AF330" s="19">
        <f t="shared" si="121"/>
        <v>0</v>
      </c>
      <c r="AG330" s="19">
        <f t="shared" si="121"/>
        <v>0</v>
      </c>
      <c r="AH330" s="31">
        <f t="shared" si="121"/>
        <v>0</v>
      </c>
    </row>
    <row r="331" spans="1:34">
      <c r="A331" s="18" t="s">
        <v>36</v>
      </c>
      <c r="B331" s="19" t="e">
        <f t="shared" ref="B331:L331" si="122">AVERAGE(B298:B328)</f>
        <v>#DIV/0!</v>
      </c>
      <c r="C331" s="19" t="e">
        <f t="shared" si="122"/>
        <v>#DIV/0!</v>
      </c>
      <c r="D331" s="19" t="e">
        <f t="shared" si="122"/>
        <v>#DIV/0!</v>
      </c>
      <c r="E331" s="19" t="e">
        <f t="shared" si="122"/>
        <v>#DIV/0!</v>
      </c>
      <c r="F331" s="19" t="e">
        <f t="shared" si="122"/>
        <v>#DIV/0!</v>
      </c>
      <c r="G331" s="19" t="e">
        <f t="shared" si="122"/>
        <v>#DIV/0!</v>
      </c>
      <c r="H331" s="19" t="e">
        <f t="shared" si="122"/>
        <v>#DIV/0!</v>
      </c>
      <c r="I331" s="19" t="e">
        <f t="shared" si="122"/>
        <v>#DIV/0!</v>
      </c>
      <c r="J331" s="19" t="e">
        <f t="shared" si="122"/>
        <v>#DIV/0!</v>
      </c>
      <c r="K331" s="19" t="e">
        <f t="shared" si="122"/>
        <v>#DIV/0!</v>
      </c>
      <c r="L331" s="31" t="e">
        <f t="shared" si="122"/>
        <v>#DIV/0!</v>
      </c>
      <c r="M331" s="22"/>
      <c r="N331" s="19" t="e">
        <f t="shared" ref="N331:X331" si="123">AVERAGE(N298:N328)</f>
        <v>#DIV/0!</v>
      </c>
      <c r="O331" s="19" t="e">
        <f t="shared" si="123"/>
        <v>#DIV/0!</v>
      </c>
      <c r="P331" s="19" t="e">
        <f t="shared" si="123"/>
        <v>#DIV/0!</v>
      </c>
      <c r="Q331" s="19" t="e">
        <f t="shared" si="123"/>
        <v>#DIV/0!</v>
      </c>
      <c r="R331" s="19" t="e">
        <f t="shared" si="123"/>
        <v>#DIV/0!</v>
      </c>
      <c r="S331" s="19" t="e">
        <f t="shared" si="123"/>
        <v>#DIV/0!</v>
      </c>
      <c r="T331" s="19" t="e">
        <f t="shared" si="123"/>
        <v>#DIV/0!</v>
      </c>
      <c r="U331" s="19" t="e">
        <f t="shared" si="123"/>
        <v>#DIV/0!</v>
      </c>
      <c r="V331" s="19" t="e">
        <f t="shared" si="123"/>
        <v>#DIV/0!</v>
      </c>
      <c r="W331" s="19" t="e">
        <f t="shared" si="123"/>
        <v>#DIV/0!</v>
      </c>
      <c r="X331" s="31" t="e">
        <f t="shared" si="123"/>
        <v>#DIV/0!</v>
      </c>
      <c r="Z331" s="41" t="e">
        <f>AVERAGE(Z298:Z328)</f>
        <v>#DIV/0!</v>
      </c>
      <c r="AA331" s="19" t="e">
        <f t="shared" ref="AA331:AH331" si="124">AVERAGE(AA298:AA328)</f>
        <v>#DIV/0!</v>
      </c>
      <c r="AB331" s="19" t="e">
        <f t="shared" si="124"/>
        <v>#DIV/0!</v>
      </c>
      <c r="AC331" s="19" t="e">
        <f t="shared" si="124"/>
        <v>#DIV/0!</v>
      </c>
      <c r="AD331" s="19" t="e">
        <f t="shared" si="124"/>
        <v>#DIV/0!</v>
      </c>
      <c r="AE331" s="19" t="e">
        <f t="shared" si="124"/>
        <v>#DIV/0!</v>
      </c>
      <c r="AF331" s="19" t="e">
        <f t="shared" si="124"/>
        <v>#DIV/0!</v>
      </c>
      <c r="AG331" s="19" t="e">
        <f t="shared" si="124"/>
        <v>#DIV/0!</v>
      </c>
      <c r="AH331" s="31" t="e">
        <f t="shared" si="124"/>
        <v>#DIV/0!</v>
      </c>
    </row>
    <row r="332" spans="1:34" ht="15.75" thickBot="1">
      <c r="A332" s="20" t="s">
        <v>130</v>
      </c>
      <c r="B332" s="21" t="e">
        <f>STDEV(B298:B328)</f>
        <v>#DIV/0!</v>
      </c>
      <c r="C332" s="21" t="e">
        <f t="shared" ref="C332:L332" si="125">STDEV(C298:C328)</f>
        <v>#DIV/0!</v>
      </c>
      <c r="D332" s="21" t="e">
        <f t="shared" si="125"/>
        <v>#DIV/0!</v>
      </c>
      <c r="E332" s="21" t="e">
        <f t="shared" si="125"/>
        <v>#DIV/0!</v>
      </c>
      <c r="F332" s="21" t="e">
        <f t="shared" si="125"/>
        <v>#DIV/0!</v>
      </c>
      <c r="G332" s="21" t="e">
        <f t="shared" si="125"/>
        <v>#DIV/0!</v>
      </c>
      <c r="H332" s="21" t="e">
        <f t="shared" si="125"/>
        <v>#DIV/0!</v>
      </c>
      <c r="I332" s="21" t="e">
        <f t="shared" si="125"/>
        <v>#DIV/0!</v>
      </c>
      <c r="J332" s="21" t="e">
        <f t="shared" si="125"/>
        <v>#DIV/0!</v>
      </c>
      <c r="K332" s="21" t="e">
        <f t="shared" si="125"/>
        <v>#DIV/0!</v>
      </c>
      <c r="L332" s="32" t="e">
        <f t="shared" si="125"/>
        <v>#DIV/0!</v>
      </c>
      <c r="M332" s="22"/>
      <c r="N332" s="21" t="e">
        <f>STDEV(N298:N328)</f>
        <v>#DIV/0!</v>
      </c>
      <c r="O332" s="21" t="e">
        <f t="shared" ref="O332:X332" si="126">STDEV(O298:O328)</f>
        <v>#DIV/0!</v>
      </c>
      <c r="P332" s="21" t="e">
        <f t="shared" si="126"/>
        <v>#DIV/0!</v>
      </c>
      <c r="Q332" s="21" t="e">
        <f t="shared" si="126"/>
        <v>#DIV/0!</v>
      </c>
      <c r="R332" s="21" t="e">
        <f t="shared" si="126"/>
        <v>#DIV/0!</v>
      </c>
      <c r="S332" s="21" t="e">
        <f t="shared" si="126"/>
        <v>#DIV/0!</v>
      </c>
      <c r="T332" s="21" t="e">
        <f t="shared" si="126"/>
        <v>#DIV/0!</v>
      </c>
      <c r="U332" s="21" t="e">
        <f t="shared" si="126"/>
        <v>#DIV/0!</v>
      </c>
      <c r="V332" s="21" t="e">
        <f t="shared" si="126"/>
        <v>#DIV/0!</v>
      </c>
      <c r="W332" s="21" t="e">
        <f t="shared" si="126"/>
        <v>#DIV/0!</v>
      </c>
      <c r="X332" s="32" t="e">
        <f t="shared" si="126"/>
        <v>#DIV/0!</v>
      </c>
      <c r="Z332" s="42" t="e">
        <f>STDEV(Z298:Z328)</f>
        <v>#DIV/0!</v>
      </c>
      <c r="AA332" s="21" t="e">
        <f t="shared" ref="AA332:AH332" si="127">STDEV(AA298:AA328)</f>
        <v>#DIV/0!</v>
      </c>
      <c r="AB332" s="21" t="e">
        <f t="shared" si="127"/>
        <v>#DIV/0!</v>
      </c>
      <c r="AC332" s="21" t="e">
        <f t="shared" si="127"/>
        <v>#DIV/0!</v>
      </c>
      <c r="AD332" s="21" t="e">
        <f t="shared" si="127"/>
        <v>#DIV/0!</v>
      </c>
      <c r="AE332" s="21" t="e">
        <f t="shared" si="127"/>
        <v>#DIV/0!</v>
      </c>
      <c r="AF332" s="21" t="e">
        <f t="shared" si="127"/>
        <v>#DIV/0!</v>
      </c>
      <c r="AG332" s="21" t="e">
        <f t="shared" si="127"/>
        <v>#DIV/0!</v>
      </c>
      <c r="AH332" s="32" t="e">
        <f t="shared" si="127"/>
        <v>#DIV/0!</v>
      </c>
    </row>
    <row r="333" spans="1:34" ht="15.75" thickBot="1"/>
    <row r="334" spans="1:34" ht="15.75" thickBot="1">
      <c r="A334" s="1"/>
      <c r="B334" s="338" t="s">
        <v>0</v>
      </c>
      <c r="C334" s="339"/>
      <c r="D334" s="339"/>
      <c r="E334" s="339"/>
      <c r="F334" s="339"/>
      <c r="G334" s="339"/>
      <c r="H334" s="339"/>
      <c r="I334" s="339"/>
      <c r="J334" s="339"/>
      <c r="K334" s="339"/>
      <c r="L334" s="339"/>
      <c r="M334" s="339"/>
      <c r="N334" s="339"/>
      <c r="O334" s="339"/>
      <c r="P334" s="339"/>
      <c r="Q334" s="339"/>
      <c r="R334" s="339"/>
      <c r="S334" s="339"/>
      <c r="T334" s="339"/>
      <c r="U334" s="339"/>
      <c r="V334" s="339"/>
      <c r="W334" s="339"/>
      <c r="X334" s="339"/>
      <c r="Y334" s="339"/>
      <c r="Z334" s="339"/>
      <c r="AA334" s="339"/>
      <c r="AB334" s="339"/>
      <c r="AC334" s="339"/>
      <c r="AD334" s="339"/>
      <c r="AE334" s="339"/>
      <c r="AF334" s="339"/>
      <c r="AG334" s="339"/>
      <c r="AH334" s="363"/>
    </row>
    <row r="335" spans="1:34" ht="15.75" thickBot="1">
      <c r="A335" s="1"/>
      <c r="B335" s="338" t="s">
        <v>172</v>
      </c>
      <c r="C335" s="339"/>
      <c r="D335" s="339"/>
      <c r="E335" s="339"/>
      <c r="F335" s="339"/>
      <c r="G335" s="339"/>
      <c r="H335" s="339"/>
      <c r="I335" s="339"/>
      <c r="J335" s="339"/>
      <c r="K335" s="339"/>
      <c r="L335" s="339"/>
      <c r="M335" s="339"/>
      <c r="N335" s="339"/>
      <c r="O335" s="339"/>
      <c r="P335" s="339"/>
      <c r="Q335" s="339"/>
      <c r="R335" s="339"/>
      <c r="S335" s="339"/>
      <c r="T335" s="339"/>
      <c r="U335" s="339"/>
      <c r="V335" s="339"/>
      <c r="W335" s="339"/>
      <c r="X335" s="339"/>
      <c r="Y335" s="339"/>
      <c r="Z335" s="339"/>
      <c r="AA335" s="339"/>
      <c r="AB335" s="339"/>
      <c r="AC335" s="339"/>
      <c r="AD335" s="4"/>
      <c r="AE335" s="43" t="s">
        <v>107</v>
      </c>
      <c r="AF335" s="341">
        <v>46235</v>
      </c>
      <c r="AG335" s="342"/>
      <c r="AH335" s="343"/>
    </row>
    <row r="336" spans="1:34">
      <c r="A336" s="344"/>
      <c r="B336" s="346" t="s">
        <v>132</v>
      </c>
      <c r="C336" s="347"/>
      <c r="D336" s="347"/>
      <c r="E336" s="347"/>
      <c r="F336" s="347"/>
      <c r="G336" s="347"/>
      <c r="H336" s="347"/>
      <c r="I336" s="347"/>
      <c r="J336" s="347"/>
      <c r="K336" s="348"/>
      <c r="L336" s="349"/>
      <c r="M336" s="22"/>
      <c r="N336" s="350" t="s">
        <v>133</v>
      </c>
      <c r="O336" s="347"/>
      <c r="P336" s="347"/>
      <c r="Q336" s="347"/>
      <c r="R336" s="347"/>
      <c r="S336" s="347"/>
      <c r="T336" s="347"/>
      <c r="U336" s="347"/>
      <c r="V336" s="347"/>
      <c r="W336" s="348"/>
      <c r="X336" s="349"/>
      <c r="Y336" s="22"/>
      <c r="Z336" s="346" t="s">
        <v>134</v>
      </c>
      <c r="AA336" s="347"/>
      <c r="AB336" s="347"/>
      <c r="AC336" s="347"/>
      <c r="AD336" s="347"/>
      <c r="AE336" s="347"/>
      <c r="AF336" s="347"/>
      <c r="AG336" s="348"/>
      <c r="AH336" s="349"/>
    </row>
    <row r="337" spans="1:34" ht="25.5">
      <c r="A337" s="345"/>
      <c r="B337" s="359" t="s">
        <v>135</v>
      </c>
      <c r="C337" s="361" t="s">
        <v>136</v>
      </c>
      <c r="D337" s="5" t="s">
        <v>137</v>
      </c>
      <c r="E337" s="5" t="s">
        <v>138</v>
      </c>
      <c r="F337" s="5" t="s">
        <v>139</v>
      </c>
      <c r="G337" s="5" t="s">
        <v>140</v>
      </c>
      <c r="H337" s="5" t="s">
        <v>141</v>
      </c>
      <c r="I337" s="5" t="s">
        <v>142</v>
      </c>
      <c r="J337" s="5" t="s">
        <v>143</v>
      </c>
      <c r="K337" s="181" t="s">
        <v>81</v>
      </c>
      <c r="L337" s="23" t="s">
        <v>144</v>
      </c>
      <c r="M337" s="22"/>
      <c r="N337" s="355" t="s">
        <v>135</v>
      </c>
      <c r="O337" s="357" t="s">
        <v>136</v>
      </c>
      <c r="P337" s="5" t="s">
        <v>137</v>
      </c>
      <c r="Q337" s="5" t="s">
        <v>138</v>
      </c>
      <c r="R337" s="5" t="s">
        <v>139</v>
      </c>
      <c r="S337" s="5" t="s">
        <v>140</v>
      </c>
      <c r="T337" s="5" t="s">
        <v>141</v>
      </c>
      <c r="U337" s="5" t="s">
        <v>142</v>
      </c>
      <c r="V337" s="5" t="s">
        <v>143</v>
      </c>
      <c r="W337" s="181" t="s">
        <v>81</v>
      </c>
      <c r="X337" s="23" t="s">
        <v>144</v>
      </c>
      <c r="Y337" s="22"/>
      <c r="Z337" s="33" t="s">
        <v>137</v>
      </c>
      <c r="AA337" s="5" t="s">
        <v>138</v>
      </c>
      <c r="AB337" s="5" t="s">
        <v>139</v>
      </c>
      <c r="AC337" s="5" t="s">
        <v>140</v>
      </c>
      <c r="AD337" s="5" t="s">
        <v>141</v>
      </c>
      <c r="AE337" s="5" t="s">
        <v>142</v>
      </c>
      <c r="AF337" s="5" t="s">
        <v>143</v>
      </c>
      <c r="AG337" s="181" t="s">
        <v>81</v>
      </c>
      <c r="AH337" s="23" t="s">
        <v>144</v>
      </c>
    </row>
    <row r="338" spans="1:34" ht="25.5">
      <c r="A338" s="6" t="s">
        <v>145</v>
      </c>
      <c r="B338" s="360"/>
      <c r="C338" s="362"/>
      <c r="D338" s="5" t="s">
        <v>128</v>
      </c>
      <c r="E338" s="5" t="s">
        <v>128</v>
      </c>
      <c r="F338" s="5" t="s">
        <v>128</v>
      </c>
      <c r="G338" s="5" t="s">
        <v>128</v>
      </c>
      <c r="H338" s="5" t="s">
        <v>125</v>
      </c>
      <c r="I338" s="5" t="s">
        <v>146</v>
      </c>
      <c r="J338" s="5" t="s">
        <v>127</v>
      </c>
      <c r="K338" s="181" t="s">
        <v>53</v>
      </c>
      <c r="L338" s="23" t="s">
        <v>53</v>
      </c>
      <c r="M338" s="22"/>
      <c r="N338" s="356"/>
      <c r="O338" s="358"/>
      <c r="P338" s="5" t="s">
        <v>128</v>
      </c>
      <c r="Q338" s="5" t="s">
        <v>128</v>
      </c>
      <c r="R338" s="5" t="s">
        <v>128</v>
      </c>
      <c r="S338" s="5" t="s">
        <v>128</v>
      </c>
      <c r="T338" s="5" t="s">
        <v>125</v>
      </c>
      <c r="U338" s="5" t="s">
        <v>146</v>
      </c>
      <c r="V338" s="5" t="s">
        <v>127</v>
      </c>
      <c r="W338" s="181" t="s">
        <v>53</v>
      </c>
      <c r="X338" s="23" t="s">
        <v>53</v>
      </c>
      <c r="Y338" s="22"/>
      <c r="Z338" s="33" t="s">
        <v>128</v>
      </c>
      <c r="AA338" s="5" t="s">
        <v>128</v>
      </c>
      <c r="AB338" s="5" t="s">
        <v>128</v>
      </c>
      <c r="AC338" s="5" t="s">
        <v>128</v>
      </c>
      <c r="AD338" s="5" t="s">
        <v>125</v>
      </c>
      <c r="AE338" s="5" t="s">
        <v>146</v>
      </c>
      <c r="AF338" s="5" t="s">
        <v>127</v>
      </c>
      <c r="AG338" s="181" t="s">
        <v>53</v>
      </c>
      <c r="AH338" s="23" t="s">
        <v>53</v>
      </c>
    </row>
    <row r="339" spans="1:34" ht="39" thickBot="1">
      <c r="A339" s="7" t="s">
        <v>147</v>
      </c>
      <c r="B339" s="8" t="s">
        <v>173</v>
      </c>
      <c r="C339" s="9" t="s">
        <v>174</v>
      </c>
      <c r="D339" s="9" t="s">
        <v>181</v>
      </c>
      <c r="E339" s="9" t="s">
        <v>182</v>
      </c>
      <c r="F339" s="9" t="s">
        <v>183</v>
      </c>
      <c r="G339" s="9" t="s">
        <v>175</v>
      </c>
      <c r="H339" s="9" t="s">
        <v>176</v>
      </c>
      <c r="I339" s="24" t="s">
        <v>155</v>
      </c>
      <c r="J339" s="24" t="s">
        <v>156</v>
      </c>
      <c r="K339" s="24" t="s">
        <v>179</v>
      </c>
      <c r="L339" s="25" t="s">
        <v>177</v>
      </c>
      <c r="M339" s="22"/>
      <c r="N339" s="8" t="s">
        <v>173</v>
      </c>
      <c r="O339" s="9" t="s">
        <v>174</v>
      </c>
      <c r="P339" s="9" t="s">
        <v>181</v>
      </c>
      <c r="Q339" s="9" t="s">
        <v>182</v>
      </c>
      <c r="R339" s="9" t="s">
        <v>183</v>
      </c>
      <c r="S339" s="9" t="s">
        <v>175</v>
      </c>
      <c r="T339" s="9" t="s">
        <v>176</v>
      </c>
      <c r="U339" s="24" t="s">
        <v>155</v>
      </c>
      <c r="V339" s="24" t="s">
        <v>156</v>
      </c>
      <c r="W339" s="24" t="s">
        <v>179</v>
      </c>
      <c r="X339" s="25" t="s">
        <v>177</v>
      </c>
      <c r="Y339" s="22"/>
      <c r="Z339" s="9" t="s">
        <v>181</v>
      </c>
      <c r="AA339" s="9" t="s">
        <v>182</v>
      </c>
      <c r="AB339" s="9" t="s">
        <v>183</v>
      </c>
      <c r="AC339" s="9" t="s">
        <v>175</v>
      </c>
      <c r="AD339" s="9" t="s">
        <v>176</v>
      </c>
      <c r="AE339" s="24" t="s">
        <v>155</v>
      </c>
      <c r="AF339" s="24" t="s">
        <v>156</v>
      </c>
      <c r="AG339" s="24" t="s">
        <v>179</v>
      </c>
      <c r="AH339" s="25" t="s">
        <v>177</v>
      </c>
    </row>
    <row r="340" spans="1:34">
      <c r="A340" s="10">
        <f>AF335+0</f>
        <v>46235</v>
      </c>
      <c r="B340" s="11"/>
      <c r="C340" s="12"/>
      <c r="D340" s="12"/>
      <c r="E340" s="13"/>
      <c r="F340" s="12"/>
      <c r="G340" s="12"/>
      <c r="H340" s="12"/>
      <c r="I340" s="12"/>
      <c r="J340" s="13"/>
      <c r="K340" s="184"/>
      <c r="L340" s="26"/>
      <c r="M340" s="22"/>
      <c r="N340" s="29"/>
      <c r="O340" s="13"/>
      <c r="P340" s="28"/>
      <c r="Q340" s="28"/>
      <c r="R340" s="28"/>
      <c r="S340" s="28"/>
      <c r="T340" s="62"/>
      <c r="U340" s="28"/>
      <c r="V340" s="28"/>
      <c r="W340" s="184"/>
      <c r="X340" s="34"/>
      <c r="Y340" s="22"/>
      <c r="Z340" s="38"/>
      <c r="AA340" s="13"/>
      <c r="AB340" s="13"/>
      <c r="AC340" s="13"/>
      <c r="AD340" s="36"/>
      <c r="AE340" s="13"/>
      <c r="AF340" s="13"/>
      <c r="AG340" s="184"/>
      <c r="AH340" s="37"/>
    </row>
    <row r="341" spans="1:34">
      <c r="A341" s="14">
        <f t="shared" ref="A341:A370" si="128">A340+1</f>
        <v>46236</v>
      </c>
      <c r="B341" s="11"/>
      <c r="C341" s="12"/>
      <c r="D341" s="12"/>
      <c r="E341" s="13"/>
      <c r="F341" s="12"/>
      <c r="G341" s="12"/>
      <c r="H341" s="12"/>
      <c r="I341" s="12"/>
      <c r="J341" s="13"/>
      <c r="K341" s="184"/>
      <c r="L341" s="26"/>
      <c r="M341" s="22"/>
      <c r="N341" s="29"/>
      <c r="O341" s="13"/>
      <c r="P341" s="13"/>
      <c r="Q341" s="13"/>
      <c r="R341" s="13"/>
      <c r="S341" s="13"/>
      <c r="T341" s="36"/>
      <c r="U341" s="13"/>
      <c r="V341" s="13"/>
      <c r="W341" s="184"/>
      <c r="X341" s="37"/>
      <c r="Y341" s="22"/>
      <c r="Z341" s="38"/>
      <c r="AA341" s="13"/>
      <c r="AB341" s="13"/>
      <c r="AC341" s="13"/>
      <c r="AD341" s="36"/>
      <c r="AE341" s="13"/>
      <c r="AF341" s="13"/>
      <c r="AG341" s="184"/>
      <c r="AH341" s="37"/>
    </row>
    <row r="342" spans="1:34">
      <c r="A342" s="14">
        <f t="shared" si="128"/>
        <v>46237</v>
      </c>
      <c r="B342" s="11"/>
      <c r="C342" s="12"/>
      <c r="D342" s="12"/>
      <c r="E342" s="13"/>
      <c r="F342" s="12"/>
      <c r="G342" s="12"/>
      <c r="H342" s="12"/>
      <c r="I342" s="12"/>
      <c r="J342" s="13"/>
      <c r="K342" s="184"/>
      <c r="L342" s="26"/>
      <c r="M342" s="22"/>
      <c r="N342" s="29"/>
      <c r="O342" s="13"/>
      <c r="P342" s="13"/>
      <c r="Q342" s="13"/>
      <c r="R342" s="13"/>
      <c r="S342" s="13"/>
      <c r="T342" s="36"/>
      <c r="U342" s="13"/>
      <c r="V342" s="13"/>
      <c r="W342" s="184"/>
      <c r="X342" s="37"/>
      <c r="Y342" s="22"/>
      <c r="Z342" s="38"/>
      <c r="AA342" s="13"/>
      <c r="AB342" s="13"/>
      <c r="AC342" s="13"/>
      <c r="AD342" s="36"/>
      <c r="AE342" s="13"/>
      <c r="AF342" s="13"/>
      <c r="AG342" s="184"/>
      <c r="AH342" s="37"/>
    </row>
    <row r="343" spans="1:34">
      <c r="A343" s="14">
        <f t="shared" si="128"/>
        <v>46238</v>
      </c>
      <c r="B343" s="11"/>
      <c r="C343" s="12"/>
      <c r="D343" s="12"/>
      <c r="E343" s="13"/>
      <c r="F343" s="12"/>
      <c r="G343" s="12"/>
      <c r="H343" s="12"/>
      <c r="I343" s="12"/>
      <c r="J343" s="13"/>
      <c r="K343" s="184"/>
      <c r="L343" s="26"/>
      <c r="M343" s="22"/>
      <c r="N343" s="29"/>
      <c r="O343" s="13"/>
      <c r="P343" s="13"/>
      <c r="Q343" s="13"/>
      <c r="R343" s="13"/>
      <c r="S343" s="13"/>
      <c r="T343" s="36"/>
      <c r="U343" s="13"/>
      <c r="V343" s="13"/>
      <c r="W343" s="184"/>
      <c r="X343" s="37"/>
      <c r="Y343" s="22"/>
      <c r="Z343" s="38"/>
      <c r="AA343" s="13"/>
      <c r="AB343" s="13"/>
      <c r="AC343" s="13"/>
      <c r="AD343" s="36"/>
      <c r="AE343" s="13"/>
      <c r="AF343" s="13"/>
      <c r="AG343" s="184"/>
      <c r="AH343" s="37"/>
    </row>
    <row r="344" spans="1:34">
      <c r="A344" s="14">
        <f t="shared" si="128"/>
        <v>46239</v>
      </c>
      <c r="B344" s="11"/>
      <c r="C344" s="12"/>
      <c r="D344" s="12"/>
      <c r="E344" s="13"/>
      <c r="F344" s="12"/>
      <c r="G344" s="12"/>
      <c r="H344" s="12"/>
      <c r="I344" s="12"/>
      <c r="J344" s="13"/>
      <c r="K344" s="184"/>
      <c r="L344" s="26"/>
      <c r="M344" s="22"/>
      <c r="N344" s="29"/>
      <c r="O344" s="13"/>
      <c r="P344" s="13"/>
      <c r="Q344" s="13"/>
      <c r="R344" s="13"/>
      <c r="S344" s="13"/>
      <c r="T344" s="36"/>
      <c r="U344" s="13"/>
      <c r="V344" s="13"/>
      <c r="W344" s="184"/>
      <c r="X344" s="51"/>
      <c r="Y344" s="22"/>
      <c r="Z344" s="38"/>
      <c r="AA344" s="13"/>
      <c r="AB344" s="13"/>
      <c r="AC344" s="13"/>
      <c r="AD344" s="36"/>
      <c r="AE344" s="13"/>
      <c r="AF344" s="13"/>
      <c r="AG344" s="184"/>
      <c r="AH344" s="37"/>
    </row>
    <row r="345" spans="1:34">
      <c r="A345" s="14">
        <f t="shared" si="128"/>
        <v>46240</v>
      </c>
      <c r="B345" s="11"/>
      <c r="C345" s="12"/>
      <c r="D345" s="12"/>
      <c r="E345" s="13"/>
      <c r="F345" s="12"/>
      <c r="G345" s="12"/>
      <c r="H345" s="12"/>
      <c r="I345" s="12"/>
      <c r="J345" s="13"/>
      <c r="K345" s="184"/>
      <c r="L345" s="26"/>
      <c r="M345" s="22"/>
      <c r="N345" s="29"/>
      <c r="O345" s="13"/>
      <c r="P345" s="13"/>
      <c r="Q345" s="13"/>
      <c r="R345" s="13"/>
      <c r="S345" s="13"/>
      <c r="T345" s="36"/>
      <c r="U345" s="13"/>
      <c r="V345" s="13"/>
      <c r="W345" s="184"/>
      <c r="X345" s="51"/>
      <c r="Y345" s="22"/>
      <c r="Z345" s="38"/>
      <c r="AA345" s="13"/>
      <c r="AB345" s="13"/>
      <c r="AC345" s="13"/>
      <c r="AD345" s="36"/>
      <c r="AE345" s="13"/>
      <c r="AF345" s="13"/>
      <c r="AG345" s="184"/>
      <c r="AH345" s="37"/>
    </row>
    <row r="346" spans="1:34">
      <c r="A346" s="14">
        <f t="shared" si="128"/>
        <v>46241</v>
      </c>
      <c r="B346" s="11"/>
      <c r="C346" s="12"/>
      <c r="D346" s="12"/>
      <c r="E346" s="13"/>
      <c r="F346" s="12"/>
      <c r="G346" s="12"/>
      <c r="H346" s="12"/>
      <c r="I346" s="12"/>
      <c r="J346" s="13"/>
      <c r="K346" s="184"/>
      <c r="L346" s="26"/>
      <c r="M346" s="22"/>
      <c r="N346" s="29"/>
      <c r="O346" s="50"/>
      <c r="P346" s="13"/>
      <c r="Q346" s="13"/>
      <c r="R346" s="13"/>
      <c r="S346" s="13"/>
      <c r="T346" s="36"/>
      <c r="U346" s="13"/>
      <c r="V346" s="13"/>
      <c r="W346" s="184"/>
      <c r="X346" s="51"/>
      <c r="Y346" s="22"/>
      <c r="Z346" s="38"/>
      <c r="AA346" s="13"/>
      <c r="AB346" s="13"/>
      <c r="AC346" s="13"/>
      <c r="AD346" s="36"/>
      <c r="AE346" s="13"/>
      <c r="AF346" s="13"/>
      <c r="AG346" s="184"/>
      <c r="AH346" s="37"/>
    </row>
    <row r="347" spans="1:34">
      <c r="A347" s="14">
        <f t="shared" si="128"/>
        <v>46242</v>
      </c>
      <c r="B347" s="11"/>
      <c r="C347" s="12"/>
      <c r="D347" s="12"/>
      <c r="E347" s="13"/>
      <c r="F347" s="12"/>
      <c r="G347" s="12"/>
      <c r="H347" s="12"/>
      <c r="I347" s="12"/>
      <c r="J347" s="13"/>
      <c r="K347" s="184"/>
      <c r="L347" s="26"/>
      <c r="M347" s="22"/>
      <c r="N347" s="29"/>
      <c r="O347" s="50"/>
      <c r="P347" s="13"/>
      <c r="Q347" s="13"/>
      <c r="R347" s="13"/>
      <c r="S347" s="13"/>
      <c r="T347" s="36"/>
      <c r="U347" s="13"/>
      <c r="V347" s="13"/>
      <c r="W347" s="184"/>
      <c r="X347" s="37"/>
      <c r="Y347" s="22"/>
      <c r="Z347" s="38"/>
      <c r="AA347" s="13"/>
      <c r="AB347" s="13"/>
      <c r="AC347" s="13"/>
      <c r="AD347" s="36"/>
      <c r="AE347" s="13"/>
      <c r="AF347" s="13"/>
      <c r="AG347" s="184"/>
      <c r="AH347" s="37"/>
    </row>
    <row r="348" spans="1:34">
      <c r="A348" s="14">
        <f t="shared" si="128"/>
        <v>46243</v>
      </c>
      <c r="B348" s="11"/>
      <c r="C348" s="12"/>
      <c r="D348" s="12"/>
      <c r="E348" s="13"/>
      <c r="F348" s="12"/>
      <c r="G348" s="12"/>
      <c r="H348" s="12"/>
      <c r="I348" s="12"/>
      <c r="J348" s="13"/>
      <c r="K348" s="184"/>
      <c r="L348" s="26"/>
      <c r="M348" s="22"/>
      <c r="N348" s="29"/>
      <c r="O348" s="50"/>
      <c r="P348" s="13"/>
      <c r="Q348" s="13"/>
      <c r="R348" s="13"/>
      <c r="S348" s="13"/>
      <c r="T348" s="36"/>
      <c r="U348" s="13"/>
      <c r="V348" s="13"/>
      <c r="W348" s="184"/>
      <c r="X348" s="37"/>
      <c r="Y348" s="22"/>
      <c r="Z348" s="38"/>
      <c r="AA348" s="13"/>
      <c r="AB348" s="13"/>
      <c r="AC348" s="13"/>
      <c r="AD348" s="36"/>
      <c r="AE348" s="13"/>
      <c r="AF348" s="13"/>
      <c r="AG348" s="184"/>
      <c r="AH348" s="37"/>
    </row>
    <row r="349" spans="1:34">
      <c r="A349" s="14">
        <f t="shared" si="128"/>
        <v>46244</v>
      </c>
      <c r="B349" s="11"/>
      <c r="C349" s="12"/>
      <c r="D349" s="12"/>
      <c r="E349" s="13"/>
      <c r="F349" s="12"/>
      <c r="G349" s="12"/>
      <c r="H349" s="12"/>
      <c r="I349" s="12"/>
      <c r="J349" s="13"/>
      <c r="K349" s="184"/>
      <c r="L349" s="26"/>
      <c r="M349" s="22"/>
      <c r="N349" s="29"/>
      <c r="O349" s="50"/>
      <c r="P349" s="13"/>
      <c r="Q349" s="13"/>
      <c r="R349" s="13"/>
      <c r="S349" s="13"/>
      <c r="T349" s="36"/>
      <c r="U349" s="13"/>
      <c r="V349" s="13"/>
      <c r="W349" s="184"/>
      <c r="X349" s="51"/>
      <c r="Y349" s="22"/>
      <c r="Z349" s="38"/>
      <c r="AA349" s="13"/>
      <c r="AB349" s="13"/>
      <c r="AC349" s="13"/>
      <c r="AD349" s="36"/>
      <c r="AE349" s="13"/>
      <c r="AF349" s="13"/>
      <c r="AG349" s="184"/>
      <c r="AH349" s="37"/>
    </row>
    <row r="350" spans="1:34">
      <c r="A350" s="14">
        <f t="shared" si="128"/>
        <v>46245</v>
      </c>
      <c r="B350" s="11"/>
      <c r="C350" s="12"/>
      <c r="D350" s="12"/>
      <c r="E350" s="13"/>
      <c r="F350" s="12"/>
      <c r="G350" s="12"/>
      <c r="H350" s="12"/>
      <c r="I350" s="12"/>
      <c r="J350" s="13"/>
      <c r="K350" s="184"/>
      <c r="L350" s="26"/>
      <c r="M350" s="22"/>
      <c r="N350" s="29"/>
      <c r="O350" s="50"/>
      <c r="P350" s="13"/>
      <c r="Q350" s="13"/>
      <c r="R350" s="13"/>
      <c r="S350" s="13"/>
      <c r="T350" s="36"/>
      <c r="U350" s="13"/>
      <c r="V350" s="13"/>
      <c r="W350" s="184"/>
      <c r="X350" s="51"/>
      <c r="Y350" s="22"/>
      <c r="Z350" s="38"/>
      <c r="AA350" s="13"/>
      <c r="AB350" s="13"/>
      <c r="AC350" s="13"/>
      <c r="AD350" s="36"/>
      <c r="AE350" s="13"/>
      <c r="AF350" s="13"/>
      <c r="AG350" s="184"/>
      <c r="AH350" s="37"/>
    </row>
    <row r="351" spans="1:34">
      <c r="A351" s="14">
        <f t="shared" si="128"/>
        <v>46246</v>
      </c>
      <c r="B351" s="11"/>
      <c r="C351" s="12"/>
      <c r="D351" s="12"/>
      <c r="E351" s="13"/>
      <c r="F351" s="12"/>
      <c r="G351" s="12"/>
      <c r="H351" s="12"/>
      <c r="I351" s="12"/>
      <c r="J351" s="13"/>
      <c r="K351" s="184"/>
      <c r="L351" s="26"/>
      <c r="M351" s="22"/>
      <c r="N351" s="29"/>
      <c r="O351" s="50"/>
      <c r="P351" s="13"/>
      <c r="Q351" s="13"/>
      <c r="R351" s="13"/>
      <c r="S351" s="13"/>
      <c r="T351" s="36"/>
      <c r="U351" s="13"/>
      <c r="V351" s="13"/>
      <c r="W351" s="184"/>
      <c r="X351" s="51"/>
      <c r="Y351" s="22"/>
      <c r="Z351" s="38"/>
      <c r="AA351" s="13"/>
      <c r="AB351" s="13"/>
      <c r="AC351" s="13"/>
      <c r="AD351" s="36"/>
      <c r="AE351" s="13"/>
      <c r="AF351" s="13"/>
      <c r="AG351" s="184"/>
      <c r="AH351" s="37"/>
    </row>
    <row r="352" spans="1:34">
      <c r="A352" s="14">
        <f t="shared" si="128"/>
        <v>46247</v>
      </c>
      <c r="B352" s="11"/>
      <c r="C352" s="12"/>
      <c r="D352" s="12"/>
      <c r="E352" s="13"/>
      <c r="F352" s="12"/>
      <c r="G352" s="12"/>
      <c r="H352" s="12"/>
      <c r="I352" s="12"/>
      <c r="J352" s="13"/>
      <c r="K352" s="184"/>
      <c r="L352" s="26"/>
      <c r="M352" s="22"/>
      <c r="N352" s="29"/>
      <c r="O352" s="50"/>
      <c r="P352" s="13"/>
      <c r="Q352" s="13"/>
      <c r="R352" s="13"/>
      <c r="S352" s="13"/>
      <c r="T352" s="36"/>
      <c r="U352" s="13"/>
      <c r="V352" s="13"/>
      <c r="W352" s="184"/>
      <c r="X352" s="51"/>
      <c r="Y352" s="22"/>
      <c r="Z352" s="38"/>
      <c r="AA352" s="13"/>
      <c r="AB352" s="13"/>
      <c r="AC352" s="13"/>
      <c r="AD352" s="36"/>
      <c r="AE352" s="13"/>
      <c r="AF352" s="13"/>
      <c r="AG352" s="184"/>
      <c r="AH352" s="37"/>
    </row>
    <row r="353" spans="1:34">
      <c r="A353" s="14">
        <f t="shared" si="128"/>
        <v>46248</v>
      </c>
      <c r="B353" s="11"/>
      <c r="C353" s="12"/>
      <c r="D353" s="12"/>
      <c r="E353" s="13"/>
      <c r="F353" s="12"/>
      <c r="G353" s="12"/>
      <c r="H353" s="12"/>
      <c r="I353" s="12"/>
      <c r="J353" s="13"/>
      <c r="K353" s="184"/>
      <c r="L353" s="26"/>
      <c r="M353" s="22"/>
      <c r="N353" s="29"/>
      <c r="O353" s="50"/>
      <c r="P353" s="13"/>
      <c r="Q353" s="13"/>
      <c r="R353" s="13"/>
      <c r="S353" s="13"/>
      <c r="T353" s="36"/>
      <c r="U353" s="13"/>
      <c r="V353" s="13"/>
      <c r="W353" s="184"/>
      <c r="X353" s="51"/>
      <c r="Y353" s="22"/>
      <c r="Z353" s="38"/>
      <c r="AA353" s="13"/>
      <c r="AB353" s="13"/>
      <c r="AC353" s="13"/>
      <c r="AD353" s="36"/>
      <c r="AE353" s="13"/>
      <c r="AF353" s="13"/>
      <c r="AG353" s="184"/>
      <c r="AH353" s="37"/>
    </row>
    <row r="354" spans="1:34">
      <c r="A354" s="14">
        <f t="shared" si="128"/>
        <v>46249</v>
      </c>
      <c r="B354" s="11"/>
      <c r="C354" s="12"/>
      <c r="D354" s="12"/>
      <c r="E354" s="13"/>
      <c r="F354" s="12"/>
      <c r="G354" s="12"/>
      <c r="H354" s="12"/>
      <c r="I354" s="12"/>
      <c r="J354" s="13"/>
      <c r="K354" s="184"/>
      <c r="L354" s="26"/>
      <c r="M354" s="22"/>
      <c r="N354" s="29"/>
      <c r="O354" s="50"/>
      <c r="P354" s="13"/>
      <c r="Q354" s="13"/>
      <c r="R354" s="13"/>
      <c r="S354" s="13"/>
      <c r="T354" s="36"/>
      <c r="U354" s="13"/>
      <c r="V354" s="13"/>
      <c r="W354" s="184"/>
      <c r="X354" s="37"/>
      <c r="Y354" s="22"/>
      <c r="Z354" s="38"/>
      <c r="AA354" s="13"/>
      <c r="AB354" s="13"/>
      <c r="AC354" s="13"/>
      <c r="AD354" s="13"/>
      <c r="AE354" s="13"/>
      <c r="AF354" s="13"/>
      <c r="AG354" s="184"/>
      <c r="AH354" s="37"/>
    </row>
    <row r="355" spans="1:34">
      <c r="A355" s="14">
        <f t="shared" si="128"/>
        <v>46250</v>
      </c>
      <c r="B355" s="11"/>
      <c r="C355" s="12"/>
      <c r="D355" s="12"/>
      <c r="E355" s="13"/>
      <c r="F355" s="12"/>
      <c r="G355" s="12"/>
      <c r="H355" s="12"/>
      <c r="I355" s="12"/>
      <c r="J355" s="13"/>
      <c r="K355" s="184"/>
      <c r="L355" s="26"/>
      <c r="M355" s="22"/>
      <c r="N355" s="29"/>
      <c r="O355" s="50"/>
      <c r="P355" s="13"/>
      <c r="Q355" s="13"/>
      <c r="R355" s="13"/>
      <c r="S355" s="13"/>
      <c r="T355" s="36"/>
      <c r="U355" s="13"/>
      <c r="V355" s="13"/>
      <c r="W355" s="184"/>
      <c r="X355" s="51"/>
      <c r="Y355" s="22"/>
      <c r="Z355" s="38"/>
      <c r="AA355" s="13"/>
      <c r="AB355" s="13"/>
      <c r="AC355" s="13"/>
      <c r="AD355" s="13"/>
      <c r="AE355" s="13"/>
      <c r="AF355" s="13"/>
      <c r="AG355" s="184"/>
      <c r="AH355" s="37"/>
    </row>
    <row r="356" spans="1:34">
      <c r="A356" s="14">
        <f t="shared" si="128"/>
        <v>46251</v>
      </c>
      <c r="B356" s="11"/>
      <c r="C356" s="12"/>
      <c r="D356" s="12"/>
      <c r="E356" s="13"/>
      <c r="F356" s="12"/>
      <c r="G356" s="12"/>
      <c r="H356" s="12"/>
      <c r="I356" s="12"/>
      <c r="J356" s="13"/>
      <c r="K356" s="184"/>
      <c r="L356" s="26"/>
      <c r="M356" s="22"/>
      <c r="N356" s="29"/>
      <c r="O356" s="50"/>
      <c r="P356" s="13"/>
      <c r="Q356" s="13"/>
      <c r="R356" s="13"/>
      <c r="S356" s="13"/>
      <c r="T356" s="36"/>
      <c r="U356" s="13"/>
      <c r="V356" s="13"/>
      <c r="W356" s="184"/>
      <c r="X356" s="37"/>
      <c r="Y356" s="22"/>
      <c r="Z356" s="38"/>
      <c r="AA356" s="13"/>
      <c r="AB356" s="13"/>
      <c r="AC356" s="13"/>
      <c r="AD356" s="13"/>
      <c r="AE356" s="13"/>
      <c r="AF356" s="13"/>
      <c r="AG356" s="184"/>
      <c r="AH356" s="37"/>
    </row>
    <row r="357" spans="1:34">
      <c r="A357" s="14">
        <f t="shared" si="128"/>
        <v>46252</v>
      </c>
      <c r="B357" s="11"/>
      <c r="C357" s="12"/>
      <c r="D357" s="12"/>
      <c r="E357" s="13"/>
      <c r="F357" s="12"/>
      <c r="G357" s="12"/>
      <c r="H357" s="12"/>
      <c r="I357" s="12"/>
      <c r="J357" s="13"/>
      <c r="K357" s="184"/>
      <c r="L357" s="26"/>
      <c r="M357" s="22"/>
      <c r="N357" s="29"/>
      <c r="O357" s="13"/>
      <c r="P357" s="13"/>
      <c r="Q357" s="13"/>
      <c r="R357" s="13"/>
      <c r="S357" s="13"/>
      <c r="T357" s="36"/>
      <c r="U357" s="13"/>
      <c r="V357" s="13"/>
      <c r="W357" s="184"/>
      <c r="X357" s="37"/>
      <c r="Y357" s="22"/>
      <c r="Z357" s="38"/>
      <c r="AA357" s="13"/>
      <c r="AB357" s="13"/>
      <c r="AC357" s="13"/>
      <c r="AD357" s="13"/>
      <c r="AE357" s="13"/>
      <c r="AF357" s="13"/>
      <c r="AG357" s="184"/>
      <c r="AH357" s="37"/>
    </row>
    <row r="358" spans="1:34">
      <c r="A358" s="14">
        <f t="shared" si="128"/>
        <v>46253</v>
      </c>
      <c r="B358" s="11"/>
      <c r="C358" s="12"/>
      <c r="D358" s="12"/>
      <c r="E358" s="13"/>
      <c r="F358" s="12"/>
      <c r="G358" s="12"/>
      <c r="H358" s="12"/>
      <c r="I358" s="12"/>
      <c r="J358" s="13"/>
      <c r="K358" s="184"/>
      <c r="L358" s="26"/>
      <c r="M358" s="22"/>
      <c r="N358" s="29"/>
      <c r="O358" s="13"/>
      <c r="P358" s="13"/>
      <c r="Q358" s="13"/>
      <c r="R358" s="13"/>
      <c r="S358" s="13"/>
      <c r="T358" s="36"/>
      <c r="U358" s="13"/>
      <c r="V358" s="13"/>
      <c r="W358" s="184"/>
      <c r="X358" s="37"/>
      <c r="Y358" s="22"/>
      <c r="Z358" s="38"/>
      <c r="AA358" s="13"/>
      <c r="AB358" s="13"/>
      <c r="AC358" s="13"/>
      <c r="AD358" s="13"/>
      <c r="AE358" s="13"/>
      <c r="AF358" s="13"/>
      <c r="AG358" s="184"/>
      <c r="AH358" s="37"/>
    </row>
    <row r="359" spans="1:34">
      <c r="A359" s="14">
        <f t="shared" si="128"/>
        <v>46254</v>
      </c>
      <c r="B359" s="11"/>
      <c r="C359" s="12"/>
      <c r="D359" s="12"/>
      <c r="E359" s="13"/>
      <c r="F359" s="12"/>
      <c r="G359" s="12"/>
      <c r="H359" s="12"/>
      <c r="I359" s="12"/>
      <c r="J359" s="13"/>
      <c r="K359" s="184"/>
      <c r="L359" s="26"/>
      <c r="M359" s="22"/>
      <c r="N359" s="29"/>
      <c r="O359" s="13"/>
      <c r="P359" s="13"/>
      <c r="Q359" s="13"/>
      <c r="R359" s="13"/>
      <c r="S359" s="13"/>
      <c r="T359" s="36"/>
      <c r="U359" s="13"/>
      <c r="V359" s="13"/>
      <c r="W359" s="184"/>
      <c r="X359" s="37"/>
      <c r="Y359" s="22"/>
      <c r="Z359" s="38"/>
      <c r="AA359" s="13"/>
      <c r="AB359" s="13"/>
      <c r="AC359" s="13"/>
      <c r="AD359" s="36"/>
      <c r="AE359" s="13"/>
      <c r="AF359" s="13"/>
      <c r="AG359" s="184"/>
      <c r="AH359" s="37"/>
    </row>
    <row r="360" spans="1:34">
      <c r="A360" s="14">
        <f t="shared" si="128"/>
        <v>46255</v>
      </c>
      <c r="B360" s="11"/>
      <c r="C360" s="12"/>
      <c r="D360" s="12"/>
      <c r="E360" s="13"/>
      <c r="F360" s="12"/>
      <c r="G360" s="12"/>
      <c r="H360" s="12"/>
      <c r="I360" s="12"/>
      <c r="J360" s="13"/>
      <c r="K360" s="184"/>
      <c r="L360" s="26"/>
      <c r="M360" s="22"/>
      <c r="N360" s="29"/>
      <c r="O360" s="13"/>
      <c r="P360" s="13"/>
      <c r="Q360" s="13"/>
      <c r="R360" s="13"/>
      <c r="S360" s="13"/>
      <c r="T360" s="36"/>
      <c r="U360" s="13"/>
      <c r="V360" s="13"/>
      <c r="W360" s="184"/>
      <c r="X360" s="37"/>
      <c r="Y360" s="22"/>
      <c r="Z360" s="38"/>
      <c r="AA360" s="13"/>
      <c r="AB360" s="13"/>
      <c r="AC360" s="13"/>
      <c r="AD360" s="36"/>
      <c r="AE360" s="13"/>
      <c r="AF360" s="13"/>
      <c r="AG360" s="184"/>
      <c r="AH360" s="37"/>
    </row>
    <row r="361" spans="1:34">
      <c r="A361" s="14">
        <f t="shared" si="128"/>
        <v>46256</v>
      </c>
      <c r="B361" s="11"/>
      <c r="C361" s="12"/>
      <c r="D361" s="12"/>
      <c r="E361" s="13"/>
      <c r="F361" s="12"/>
      <c r="G361" s="12"/>
      <c r="H361" s="12"/>
      <c r="I361" s="12"/>
      <c r="J361" s="13"/>
      <c r="K361" s="184"/>
      <c r="L361" s="26"/>
      <c r="M361" s="22"/>
      <c r="N361" s="29"/>
      <c r="O361" s="13"/>
      <c r="P361" s="13"/>
      <c r="Q361" s="13"/>
      <c r="R361" s="13"/>
      <c r="S361" s="13"/>
      <c r="T361" s="36"/>
      <c r="U361" s="13"/>
      <c r="V361" s="13"/>
      <c r="W361" s="184"/>
      <c r="X361" s="37"/>
      <c r="Y361" s="22"/>
      <c r="Z361" s="38"/>
      <c r="AA361" s="13"/>
      <c r="AB361" s="13"/>
      <c r="AC361" s="13"/>
      <c r="AD361" s="13"/>
      <c r="AE361" s="13"/>
      <c r="AF361" s="13"/>
      <c r="AG361" s="184"/>
      <c r="AH361" s="37"/>
    </row>
    <row r="362" spans="1:34">
      <c r="A362" s="14">
        <f t="shared" si="128"/>
        <v>46257</v>
      </c>
      <c r="B362" s="11"/>
      <c r="C362" s="12"/>
      <c r="D362" s="12"/>
      <c r="E362" s="13"/>
      <c r="F362" s="12"/>
      <c r="G362" s="12"/>
      <c r="H362" s="12"/>
      <c r="I362" s="12"/>
      <c r="J362" s="13"/>
      <c r="K362" s="184"/>
      <c r="L362" s="26"/>
      <c r="M362" s="22"/>
      <c r="N362" s="29"/>
      <c r="O362" s="13"/>
      <c r="P362" s="13"/>
      <c r="Q362" s="13"/>
      <c r="R362" s="13"/>
      <c r="S362" s="13"/>
      <c r="T362" s="36"/>
      <c r="U362" s="13"/>
      <c r="V362" s="13"/>
      <c r="W362" s="184"/>
      <c r="X362" s="37"/>
      <c r="Y362" s="22"/>
      <c r="Z362" s="38"/>
      <c r="AA362" s="13"/>
      <c r="AB362" s="13"/>
      <c r="AC362" s="13"/>
      <c r="AD362" s="13"/>
      <c r="AE362" s="13"/>
      <c r="AF362" s="13"/>
      <c r="AG362" s="184"/>
      <c r="AH362" s="37"/>
    </row>
    <row r="363" spans="1:34">
      <c r="A363" s="14">
        <f t="shared" si="128"/>
        <v>46258</v>
      </c>
      <c r="B363" s="11"/>
      <c r="C363" s="12"/>
      <c r="D363" s="12"/>
      <c r="E363" s="13"/>
      <c r="F363" s="12"/>
      <c r="G363" s="12"/>
      <c r="H363" s="12"/>
      <c r="I363" s="12"/>
      <c r="J363" s="13"/>
      <c r="K363" s="184"/>
      <c r="L363" s="26"/>
      <c r="M363" s="22"/>
      <c r="N363" s="29"/>
      <c r="O363" s="13"/>
      <c r="P363" s="13"/>
      <c r="Q363" s="13"/>
      <c r="R363" s="13"/>
      <c r="S363" s="13"/>
      <c r="T363" s="36"/>
      <c r="U363" s="13"/>
      <c r="V363" s="13"/>
      <c r="W363" s="184"/>
      <c r="X363" s="37"/>
      <c r="Y363" s="22"/>
      <c r="Z363" s="38"/>
      <c r="AA363" s="13"/>
      <c r="AB363" s="13"/>
      <c r="AC363" s="13"/>
      <c r="AD363" s="36"/>
      <c r="AE363" s="13"/>
      <c r="AF363" s="13"/>
      <c r="AG363" s="184"/>
      <c r="AH363" s="37"/>
    </row>
    <row r="364" spans="1:34">
      <c r="A364" s="14">
        <f t="shared" si="128"/>
        <v>46259</v>
      </c>
      <c r="B364" s="11"/>
      <c r="C364" s="12"/>
      <c r="D364" s="12"/>
      <c r="E364" s="13"/>
      <c r="F364" s="12"/>
      <c r="G364" s="12"/>
      <c r="H364" s="12"/>
      <c r="I364" s="12"/>
      <c r="J364" s="13"/>
      <c r="K364" s="184"/>
      <c r="L364" s="26"/>
      <c r="M364" s="22"/>
      <c r="N364" s="29"/>
      <c r="O364" s="13"/>
      <c r="P364" s="13"/>
      <c r="Q364" s="13"/>
      <c r="R364" s="13"/>
      <c r="S364" s="13"/>
      <c r="T364" s="36"/>
      <c r="U364" s="13"/>
      <c r="V364" s="13"/>
      <c r="W364" s="184"/>
      <c r="X364" s="37"/>
      <c r="Y364" s="22"/>
      <c r="Z364" s="38"/>
      <c r="AA364" s="13"/>
      <c r="AB364" s="13"/>
      <c r="AC364" s="13"/>
      <c r="AD364" s="13"/>
      <c r="AE364" s="13"/>
      <c r="AF364" s="13"/>
      <c r="AG364" s="184"/>
      <c r="AH364" s="37"/>
    </row>
    <row r="365" spans="1:34">
      <c r="A365" s="14">
        <f t="shared" si="128"/>
        <v>46260</v>
      </c>
      <c r="B365" s="11"/>
      <c r="C365" s="12"/>
      <c r="D365" s="12"/>
      <c r="E365" s="13"/>
      <c r="F365" s="12"/>
      <c r="G365" s="12"/>
      <c r="H365" s="12"/>
      <c r="I365" s="12"/>
      <c r="J365" s="13"/>
      <c r="K365" s="184"/>
      <c r="L365" s="26"/>
      <c r="M365" s="22"/>
      <c r="N365" s="29"/>
      <c r="O365" s="13"/>
      <c r="P365" s="13"/>
      <c r="Q365" s="13"/>
      <c r="R365" s="13"/>
      <c r="S365" s="13"/>
      <c r="T365" s="36"/>
      <c r="U365" s="13"/>
      <c r="V365" s="13"/>
      <c r="W365" s="184"/>
      <c r="X365" s="51"/>
      <c r="Y365" s="22"/>
      <c r="Z365" s="38"/>
      <c r="AA365" s="13"/>
      <c r="AB365" s="13"/>
      <c r="AC365" s="13"/>
      <c r="AD365" s="13"/>
      <c r="AE365" s="13"/>
      <c r="AF365" s="13"/>
      <c r="AG365" s="184"/>
      <c r="AH365" s="37"/>
    </row>
    <row r="366" spans="1:34">
      <c r="A366" s="14">
        <f t="shared" si="128"/>
        <v>46261</v>
      </c>
      <c r="B366" s="11"/>
      <c r="C366" s="12"/>
      <c r="D366" s="12"/>
      <c r="E366" s="13"/>
      <c r="F366" s="12"/>
      <c r="G366" s="12"/>
      <c r="H366" s="12"/>
      <c r="I366" s="12"/>
      <c r="J366" s="13"/>
      <c r="K366" s="184"/>
      <c r="L366" s="26"/>
      <c r="M366" s="22"/>
      <c r="N366" s="29"/>
      <c r="O366" s="13"/>
      <c r="P366" s="13"/>
      <c r="Q366" s="13"/>
      <c r="R366" s="13"/>
      <c r="S366" s="13"/>
      <c r="T366" s="36"/>
      <c r="U366" s="13"/>
      <c r="V366" s="13"/>
      <c r="W366" s="184"/>
      <c r="X366" s="37"/>
      <c r="Y366" s="22"/>
      <c r="Z366" s="38"/>
      <c r="AA366" s="13"/>
      <c r="AB366" s="13"/>
      <c r="AC366" s="13"/>
      <c r="AD366" s="36"/>
      <c r="AE366" s="13"/>
      <c r="AF366" s="13"/>
      <c r="AG366" s="184"/>
      <c r="AH366" s="37"/>
    </row>
    <row r="367" spans="1:34">
      <c r="A367" s="14">
        <f t="shared" si="128"/>
        <v>46262</v>
      </c>
      <c r="B367" s="11"/>
      <c r="C367" s="12"/>
      <c r="D367" s="12"/>
      <c r="E367" s="13"/>
      <c r="F367" s="12"/>
      <c r="G367" s="12"/>
      <c r="H367" s="12"/>
      <c r="I367" s="12"/>
      <c r="J367" s="13"/>
      <c r="K367" s="184"/>
      <c r="L367" s="26"/>
      <c r="M367" s="22"/>
      <c r="N367" s="29"/>
      <c r="O367" s="13"/>
      <c r="P367" s="13"/>
      <c r="Q367" s="13"/>
      <c r="R367" s="13"/>
      <c r="S367" s="13"/>
      <c r="T367" s="36"/>
      <c r="U367" s="13"/>
      <c r="V367" s="13"/>
      <c r="W367" s="184"/>
      <c r="X367" s="37"/>
      <c r="Y367" s="22"/>
      <c r="Z367" s="38"/>
      <c r="AA367" s="13"/>
      <c r="AB367" s="13"/>
      <c r="AC367" s="13"/>
      <c r="AD367" s="36"/>
      <c r="AE367" s="13"/>
      <c r="AF367" s="13"/>
      <c r="AG367" s="184"/>
      <c r="AH367" s="37"/>
    </row>
    <row r="368" spans="1:34">
      <c r="A368" s="14">
        <f t="shared" si="128"/>
        <v>46263</v>
      </c>
      <c r="B368" s="11"/>
      <c r="C368" s="12"/>
      <c r="D368" s="12"/>
      <c r="E368" s="13"/>
      <c r="F368" s="12"/>
      <c r="G368" s="12"/>
      <c r="H368" s="12"/>
      <c r="I368" s="12"/>
      <c r="J368" s="13"/>
      <c r="K368" s="184"/>
      <c r="L368" s="26"/>
      <c r="M368" s="22"/>
      <c r="N368" s="29"/>
      <c r="O368" s="13"/>
      <c r="P368" s="13"/>
      <c r="Q368" s="13"/>
      <c r="R368" s="13"/>
      <c r="S368" s="13"/>
      <c r="T368" s="36"/>
      <c r="U368" s="13"/>
      <c r="V368" s="13"/>
      <c r="W368" s="184"/>
      <c r="X368" s="37"/>
      <c r="Y368" s="22"/>
      <c r="Z368" s="38"/>
      <c r="AA368" s="13"/>
      <c r="AB368" s="13"/>
      <c r="AC368" s="13"/>
      <c r="AD368" s="36"/>
      <c r="AE368" s="13"/>
      <c r="AF368" s="13"/>
      <c r="AG368" s="184"/>
      <c r="AH368" s="37"/>
    </row>
    <row r="369" spans="1:34">
      <c r="A369" s="14">
        <f t="shared" si="128"/>
        <v>46264</v>
      </c>
      <c r="B369" s="11"/>
      <c r="C369" s="12"/>
      <c r="D369" s="12"/>
      <c r="E369" s="13"/>
      <c r="F369" s="12"/>
      <c r="G369" s="12"/>
      <c r="H369" s="12"/>
      <c r="I369" s="12"/>
      <c r="J369" s="13"/>
      <c r="K369" s="184"/>
      <c r="L369" s="26"/>
      <c r="M369" s="22"/>
      <c r="N369" s="29"/>
      <c r="O369" s="13"/>
      <c r="P369" s="13"/>
      <c r="Q369" s="13"/>
      <c r="R369" s="13"/>
      <c r="S369" s="13"/>
      <c r="T369" s="36"/>
      <c r="U369" s="13"/>
      <c r="V369" s="13"/>
      <c r="W369" s="184"/>
      <c r="X369" s="37"/>
      <c r="Y369" s="22"/>
      <c r="Z369" s="38"/>
      <c r="AA369" s="13"/>
      <c r="AB369" s="13"/>
      <c r="AC369" s="13"/>
      <c r="AD369" s="13"/>
      <c r="AE369" s="13"/>
      <c r="AF369" s="13"/>
      <c r="AG369" s="184"/>
      <c r="AH369" s="37"/>
    </row>
    <row r="370" spans="1:34" ht="15.75" thickBot="1">
      <c r="A370" s="15">
        <f t="shared" si="128"/>
        <v>46265</v>
      </c>
      <c r="B370" s="11"/>
      <c r="C370" s="12"/>
      <c r="D370" s="12"/>
      <c r="E370" s="13"/>
      <c r="F370" s="12"/>
      <c r="G370" s="12"/>
      <c r="H370" s="12"/>
      <c r="I370" s="12"/>
      <c r="J370" s="13"/>
      <c r="K370" s="184"/>
      <c r="L370" s="26"/>
      <c r="M370" s="22"/>
      <c r="N370" s="29"/>
      <c r="O370" s="13"/>
      <c r="P370" s="47"/>
      <c r="Q370" s="47"/>
      <c r="R370" s="47"/>
      <c r="S370" s="47"/>
      <c r="T370" s="52"/>
      <c r="U370" s="47"/>
      <c r="V370" s="47"/>
      <c r="W370" s="184"/>
      <c r="X370" s="48"/>
      <c r="Y370" s="22"/>
      <c r="Z370" s="38"/>
      <c r="AA370" s="13"/>
      <c r="AB370" s="13"/>
      <c r="AC370" s="13"/>
      <c r="AD370" s="13"/>
      <c r="AE370" s="13"/>
      <c r="AF370" s="13"/>
      <c r="AG370" s="184"/>
      <c r="AH370" s="37"/>
    </row>
    <row r="371" spans="1:34">
      <c r="A371" s="16" t="s">
        <v>31</v>
      </c>
      <c r="B371" s="17">
        <f>MIN(B340:B370)</f>
        <v>0</v>
      </c>
      <c r="C371" s="17">
        <f>MIN(C340:C370)</f>
        <v>0</v>
      </c>
      <c r="D371" s="17">
        <f t="shared" ref="D371:L371" si="129">MIN(D340:D370)</f>
        <v>0</v>
      </c>
      <c r="E371" s="17">
        <f t="shared" si="129"/>
        <v>0</v>
      </c>
      <c r="F371" s="17">
        <f t="shared" si="129"/>
        <v>0</v>
      </c>
      <c r="G371" s="17">
        <f t="shared" si="129"/>
        <v>0</v>
      </c>
      <c r="H371" s="17">
        <f t="shared" si="129"/>
        <v>0</v>
      </c>
      <c r="I371" s="17">
        <f t="shared" si="129"/>
        <v>0</v>
      </c>
      <c r="J371" s="17">
        <f t="shared" si="129"/>
        <v>0</v>
      </c>
      <c r="K371" s="17">
        <f t="shared" si="129"/>
        <v>0</v>
      </c>
      <c r="L371" s="30">
        <f t="shared" si="129"/>
        <v>0</v>
      </c>
      <c r="M371" s="22"/>
      <c r="N371" s="17">
        <f>MIN(N340:N370)</f>
        <v>0</v>
      </c>
      <c r="O371" s="17">
        <f>MIN(O340:O370)</f>
        <v>0</v>
      </c>
      <c r="P371" s="17">
        <f t="shared" ref="P371:X371" si="130">MIN(P340:P370)</f>
        <v>0</v>
      </c>
      <c r="Q371" s="17">
        <f t="shared" si="130"/>
        <v>0</v>
      </c>
      <c r="R371" s="17">
        <f t="shared" si="130"/>
        <v>0</v>
      </c>
      <c r="S371" s="17">
        <f t="shared" si="130"/>
        <v>0</v>
      </c>
      <c r="T371" s="17">
        <f t="shared" si="130"/>
        <v>0</v>
      </c>
      <c r="U371" s="17">
        <f t="shared" si="130"/>
        <v>0</v>
      </c>
      <c r="V371" s="17">
        <f t="shared" si="130"/>
        <v>0</v>
      </c>
      <c r="W371" s="17">
        <f t="shared" si="130"/>
        <v>0</v>
      </c>
      <c r="X371" s="30">
        <f t="shared" si="130"/>
        <v>0</v>
      </c>
      <c r="Z371" s="40">
        <f t="shared" ref="Z371:AH371" si="131">MIN(Z340:Z370)</f>
        <v>0</v>
      </c>
      <c r="AA371" s="17">
        <f t="shared" si="131"/>
        <v>0</v>
      </c>
      <c r="AB371" s="17">
        <f t="shared" si="131"/>
        <v>0</v>
      </c>
      <c r="AC371" s="17">
        <f t="shared" si="131"/>
        <v>0</v>
      </c>
      <c r="AD371" s="17">
        <f t="shared" si="131"/>
        <v>0</v>
      </c>
      <c r="AE371" s="17">
        <f t="shared" si="131"/>
        <v>0</v>
      </c>
      <c r="AF371" s="17">
        <f t="shared" si="131"/>
        <v>0</v>
      </c>
      <c r="AG371" s="17">
        <f t="shared" si="131"/>
        <v>0</v>
      </c>
      <c r="AH371" s="30">
        <f t="shared" si="131"/>
        <v>0</v>
      </c>
    </row>
    <row r="372" spans="1:34">
      <c r="A372" s="18" t="s">
        <v>33</v>
      </c>
      <c r="B372" s="19">
        <f>MAX(B340:B370)</f>
        <v>0</v>
      </c>
      <c r="C372" s="19">
        <f>MAX(C340:C370)</f>
        <v>0</v>
      </c>
      <c r="D372" s="19">
        <f t="shared" ref="D372:L372" si="132">MAX(D340:D370)</f>
        <v>0</v>
      </c>
      <c r="E372" s="19">
        <f t="shared" si="132"/>
        <v>0</v>
      </c>
      <c r="F372" s="19">
        <f t="shared" si="132"/>
        <v>0</v>
      </c>
      <c r="G372" s="19">
        <f t="shared" si="132"/>
        <v>0</v>
      </c>
      <c r="H372" s="19">
        <f t="shared" si="132"/>
        <v>0</v>
      </c>
      <c r="I372" s="19">
        <f t="shared" si="132"/>
        <v>0</v>
      </c>
      <c r="J372" s="19">
        <f t="shared" si="132"/>
        <v>0</v>
      </c>
      <c r="K372" s="19">
        <f t="shared" si="132"/>
        <v>0</v>
      </c>
      <c r="L372" s="31">
        <f t="shared" si="132"/>
        <v>0</v>
      </c>
      <c r="M372" s="22"/>
      <c r="N372" s="19">
        <f>MAX(N340:N370)</f>
        <v>0</v>
      </c>
      <c r="O372" s="19">
        <f>MAX(O340:O370)</f>
        <v>0</v>
      </c>
      <c r="P372" s="19">
        <f t="shared" ref="P372:X372" si="133">MAX(P340:P370)</f>
        <v>0</v>
      </c>
      <c r="Q372" s="19">
        <f t="shared" si="133"/>
        <v>0</v>
      </c>
      <c r="R372" s="19">
        <f t="shared" si="133"/>
        <v>0</v>
      </c>
      <c r="S372" s="19">
        <f t="shared" si="133"/>
        <v>0</v>
      </c>
      <c r="T372" s="19">
        <f t="shared" si="133"/>
        <v>0</v>
      </c>
      <c r="U372" s="19">
        <f t="shared" si="133"/>
        <v>0</v>
      </c>
      <c r="V372" s="19">
        <f t="shared" si="133"/>
        <v>0</v>
      </c>
      <c r="W372" s="19">
        <f t="shared" si="133"/>
        <v>0</v>
      </c>
      <c r="X372" s="31">
        <f t="shared" si="133"/>
        <v>0</v>
      </c>
      <c r="Z372" s="41">
        <f t="shared" ref="Z372:AH372" si="134">MAX(Z340:Z370)</f>
        <v>0</v>
      </c>
      <c r="AA372" s="19">
        <f t="shared" si="134"/>
        <v>0</v>
      </c>
      <c r="AB372" s="19">
        <f t="shared" si="134"/>
        <v>0</v>
      </c>
      <c r="AC372" s="19">
        <f t="shared" si="134"/>
        <v>0</v>
      </c>
      <c r="AD372" s="19">
        <f t="shared" si="134"/>
        <v>0</v>
      </c>
      <c r="AE372" s="19">
        <f t="shared" si="134"/>
        <v>0</v>
      </c>
      <c r="AF372" s="19">
        <f t="shared" si="134"/>
        <v>0</v>
      </c>
      <c r="AG372" s="19">
        <f t="shared" si="134"/>
        <v>0</v>
      </c>
      <c r="AH372" s="31">
        <f t="shared" si="134"/>
        <v>0</v>
      </c>
    </row>
    <row r="373" spans="1:34">
      <c r="A373" s="18" t="s">
        <v>36</v>
      </c>
      <c r="B373" s="19" t="e">
        <f t="shared" ref="B373:L373" si="135">AVERAGE(B340:B370)</f>
        <v>#DIV/0!</v>
      </c>
      <c r="C373" s="19" t="e">
        <f t="shared" si="135"/>
        <v>#DIV/0!</v>
      </c>
      <c r="D373" s="19" t="e">
        <f t="shared" si="135"/>
        <v>#DIV/0!</v>
      </c>
      <c r="E373" s="19" t="e">
        <f t="shared" si="135"/>
        <v>#DIV/0!</v>
      </c>
      <c r="F373" s="19" t="e">
        <f t="shared" si="135"/>
        <v>#DIV/0!</v>
      </c>
      <c r="G373" s="19" t="e">
        <f t="shared" si="135"/>
        <v>#DIV/0!</v>
      </c>
      <c r="H373" s="19" t="e">
        <f t="shared" si="135"/>
        <v>#DIV/0!</v>
      </c>
      <c r="I373" s="19" t="e">
        <f t="shared" si="135"/>
        <v>#DIV/0!</v>
      </c>
      <c r="J373" s="19" t="e">
        <f t="shared" si="135"/>
        <v>#DIV/0!</v>
      </c>
      <c r="K373" s="19" t="e">
        <f t="shared" si="135"/>
        <v>#DIV/0!</v>
      </c>
      <c r="L373" s="31" t="e">
        <f t="shared" si="135"/>
        <v>#DIV/0!</v>
      </c>
      <c r="M373" s="22"/>
      <c r="N373" s="19" t="e">
        <f t="shared" ref="N373:X373" si="136">AVERAGE(N340:N370)</f>
        <v>#DIV/0!</v>
      </c>
      <c r="O373" s="19" t="e">
        <f t="shared" si="136"/>
        <v>#DIV/0!</v>
      </c>
      <c r="P373" s="19" t="e">
        <f t="shared" si="136"/>
        <v>#DIV/0!</v>
      </c>
      <c r="Q373" s="19" t="e">
        <f t="shared" si="136"/>
        <v>#DIV/0!</v>
      </c>
      <c r="R373" s="19" t="e">
        <f t="shared" si="136"/>
        <v>#DIV/0!</v>
      </c>
      <c r="S373" s="19" t="e">
        <f t="shared" si="136"/>
        <v>#DIV/0!</v>
      </c>
      <c r="T373" s="19" t="e">
        <f t="shared" si="136"/>
        <v>#DIV/0!</v>
      </c>
      <c r="U373" s="19" t="e">
        <f t="shared" si="136"/>
        <v>#DIV/0!</v>
      </c>
      <c r="V373" s="19" t="e">
        <f t="shared" si="136"/>
        <v>#DIV/0!</v>
      </c>
      <c r="W373" s="19" t="e">
        <f t="shared" si="136"/>
        <v>#DIV/0!</v>
      </c>
      <c r="X373" s="31" t="e">
        <f t="shared" si="136"/>
        <v>#DIV/0!</v>
      </c>
      <c r="Z373" s="41" t="e">
        <f>AVERAGE(Z340:Z370)</f>
        <v>#DIV/0!</v>
      </c>
      <c r="AA373" s="19" t="e">
        <f t="shared" ref="AA373:AH373" si="137">AVERAGE(AA340:AA370)</f>
        <v>#DIV/0!</v>
      </c>
      <c r="AB373" s="19" t="e">
        <f t="shared" si="137"/>
        <v>#DIV/0!</v>
      </c>
      <c r="AC373" s="19" t="e">
        <f t="shared" si="137"/>
        <v>#DIV/0!</v>
      </c>
      <c r="AD373" s="19" t="e">
        <f t="shared" si="137"/>
        <v>#DIV/0!</v>
      </c>
      <c r="AE373" s="19" t="e">
        <f t="shared" si="137"/>
        <v>#DIV/0!</v>
      </c>
      <c r="AF373" s="19" t="e">
        <f t="shared" si="137"/>
        <v>#DIV/0!</v>
      </c>
      <c r="AG373" s="19" t="e">
        <f t="shared" si="137"/>
        <v>#DIV/0!</v>
      </c>
      <c r="AH373" s="31" t="e">
        <f t="shared" si="137"/>
        <v>#DIV/0!</v>
      </c>
    </row>
    <row r="374" spans="1:34" ht="15.75" thickBot="1">
      <c r="A374" s="20" t="s">
        <v>130</v>
      </c>
      <c r="B374" s="21" t="e">
        <f>STDEV(B340:B370)</f>
        <v>#DIV/0!</v>
      </c>
      <c r="C374" s="21" t="e">
        <f t="shared" ref="C374:L374" si="138">STDEV(C340:C370)</f>
        <v>#DIV/0!</v>
      </c>
      <c r="D374" s="21" t="e">
        <f t="shared" si="138"/>
        <v>#DIV/0!</v>
      </c>
      <c r="E374" s="21" t="e">
        <f t="shared" si="138"/>
        <v>#DIV/0!</v>
      </c>
      <c r="F374" s="21" t="e">
        <f t="shared" si="138"/>
        <v>#DIV/0!</v>
      </c>
      <c r="G374" s="21" t="e">
        <f t="shared" si="138"/>
        <v>#DIV/0!</v>
      </c>
      <c r="H374" s="21" t="e">
        <f t="shared" si="138"/>
        <v>#DIV/0!</v>
      </c>
      <c r="I374" s="21" t="e">
        <f t="shared" si="138"/>
        <v>#DIV/0!</v>
      </c>
      <c r="J374" s="21" t="e">
        <f t="shared" si="138"/>
        <v>#DIV/0!</v>
      </c>
      <c r="K374" s="21" t="e">
        <f t="shared" si="138"/>
        <v>#DIV/0!</v>
      </c>
      <c r="L374" s="32" t="e">
        <f t="shared" si="138"/>
        <v>#DIV/0!</v>
      </c>
      <c r="M374" s="22"/>
      <c r="N374" s="21" t="e">
        <f>STDEV(N340:N370)</f>
        <v>#DIV/0!</v>
      </c>
      <c r="O374" s="21" t="e">
        <f t="shared" ref="O374:X374" si="139">STDEV(O340:O370)</f>
        <v>#DIV/0!</v>
      </c>
      <c r="P374" s="21" t="e">
        <f t="shared" si="139"/>
        <v>#DIV/0!</v>
      </c>
      <c r="Q374" s="21" t="e">
        <f t="shared" si="139"/>
        <v>#DIV/0!</v>
      </c>
      <c r="R374" s="21" t="e">
        <f t="shared" si="139"/>
        <v>#DIV/0!</v>
      </c>
      <c r="S374" s="21" t="e">
        <f t="shared" si="139"/>
        <v>#DIV/0!</v>
      </c>
      <c r="T374" s="21" t="e">
        <f t="shared" si="139"/>
        <v>#DIV/0!</v>
      </c>
      <c r="U374" s="21" t="e">
        <f t="shared" si="139"/>
        <v>#DIV/0!</v>
      </c>
      <c r="V374" s="21" t="e">
        <f t="shared" si="139"/>
        <v>#DIV/0!</v>
      </c>
      <c r="W374" s="21" t="e">
        <f t="shared" si="139"/>
        <v>#DIV/0!</v>
      </c>
      <c r="X374" s="32" t="e">
        <f t="shared" si="139"/>
        <v>#DIV/0!</v>
      </c>
      <c r="Z374" s="42" t="e">
        <f>STDEV(Z340:Z370)</f>
        <v>#DIV/0!</v>
      </c>
      <c r="AA374" s="21" t="e">
        <f t="shared" ref="AA374:AH374" si="140">STDEV(AA340:AA370)</f>
        <v>#DIV/0!</v>
      </c>
      <c r="AB374" s="21" t="e">
        <f t="shared" si="140"/>
        <v>#DIV/0!</v>
      </c>
      <c r="AC374" s="21" t="e">
        <f t="shared" si="140"/>
        <v>#DIV/0!</v>
      </c>
      <c r="AD374" s="21" t="e">
        <f t="shared" si="140"/>
        <v>#DIV/0!</v>
      </c>
      <c r="AE374" s="21" t="e">
        <f t="shared" si="140"/>
        <v>#DIV/0!</v>
      </c>
      <c r="AF374" s="21" t="e">
        <f t="shared" si="140"/>
        <v>#DIV/0!</v>
      </c>
      <c r="AG374" s="21" t="e">
        <f t="shared" si="140"/>
        <v>#DIV/0!</v>
      </c>
      <c r="AH374" s="32" t="e">
        <f t="shared" si="140"/>
        <v>#DIV/0!</v>
      </c>
    </row>
    <row r="375" spans="1:34" ht="15.75" thickBot="1"/>
    <row r="376" spans="1:34" ht="15.75" thickBot="1">
      <c r="A376" s="1"/>
      <c r="B376" s="338" t="s">
        <v>0</v>
      </c>
      <c r="C376" s="339"/>
      <c r="D376" s="339"/>
      <c r="E376" s="339"/>
      <c r="F376" s="339"/>
      <c r="G376" s="339"/>
      <c r="H376" s="339"/>
      <c r="I376" s="339"/>
      <c r="J376" s="339"/>
      <c r="K376" s="339"/>
      <c r="L376" s="339"/>
      <c r="M376" s="339"/>
      <c r="N376" s="339"/>
      <c r="O376" s="339"/>
      <c r="P376" s="339"/>
      <c r="Q376" s="339"/>
      <c r="R376" s="339"/>
      <c r="S376" s="339"/>
      <c r="T376" s="339"/>
      <c r="U376" s="339"/>
      <c r="V376" s="339"/>
      <c r="W376" s="339"/>
      <c r="X376" s="339"/>
      <c r="Y376" s="339"/>
      <c r="Z376" s="339"/>
      <c r="AA376" s="339"/>
      <c r="AB376" s="339"/>
      <c r="AC376" s="339"/>
      <c r="AD376" s="339"/>
      <c r="AE376" s="339"/>
      <c r="AF376" s="339"/>
      <c r="AG376" s="339"/>
      <c r="AH376" s="363"/>
    </row>
    <row r="377" spans="1:34" ht="15.75" thickBot="1">
      <c r="A377" s="1"/>
      <c r="B377" s="338" t="s">
        <v>172</v>
      </c>
      <c r="C377" s="339"/>
      <c r="D377" s="339"/>
      <c r="E377" s="339"/>
      <c r="F377" s="339"/>
      <c r="G377" s="339"/>
      <c r="H377" s="339"/>
      <c r="I377" s="339"/>
      <c r="J377" s="339"/>
      <c r="K377" s="339"/>
      <c r="L377" s="339"/>
      <c r="M377" s="339"/>
      <c r="N377" s="339"/>
      <c r="O377" s="339"/>
      <c r="P377" s="339"/>
      <c r="Q377" s="339"/>
      <c r="R377" s="339"/>
      <c r="S377" s="339"/>
      <c r="T377" s="339"/>
      <c r="U377" s="339"/>
      <c r="V377" s="339"/>
      <c r="W377" s="339"/>
      <c r="X377" s="339"/>
      <c r="Y377" s="339"/>
      <c r="Z377" s="339"/>
      <c r="AA377" s="339"/>
      <c r="AB377" s="339"/>
      <c r="AC377" s="339"/>
      <c r="AD377" s="4"/>
      <c r="AE377" s="43" t="s">
        <v>107</v>
      </c>
      <c r="AF377" s="341">
        <v>46266</v>
      </c>
      <c r="AG377" s="342"/>
      <c r="AH377" s="343"/>
    </row>
    <row r="378" spans="1:34">
      <c r="A378" s="344"/>
      <c r="B378" s="346" t="s">
        <v>132</v>
      </c>
      <c r="C378" s="347"/>
      <c r="D378" s="347"/>
      <c r="E378" s="347"/>
      <c r="F378" s="347"/>
      <c r="G378" s="347"/>
      <c r="H378" s="347"/>
      <c r="I378" s="347"/>
      <c r="J378" s="347"/>
      <c r="K378" s="348"/>
      <c r="L378" s="349"/>
      <c r="M378" s="22"/>
      <c r="N378" s="350" t="s">
        <v>133</v>
      </c>
      <c r="O378" s="347"/>
      <c r="P378" s="347"/>
      <c r="Q378" s="347"/>
      <c r="R378" s="347"/>
      <c r="S378" s="347"/>
      <c r="T378" s="347"/>
      <c r="U378" s="347"/>
      <c r="V378" s="347"/>
      <c r="W378" s="348"/>
      <c r="X378" s="349"/>
      <c r="Y378" s="22"/>
      <c r="Z378" s="346" t="s">
        <v>134</v>
      </c>
      <c r="AA378" s="347"/>
      <c r="AB378" s="347"/>
      <c r="AC378" s="347"/>
      <c r="AD378" s="347"/>
      <c r="AE378" s="347"/>
      <c r="AF378" s="347"/>
      <c r="AG378" s="348"/>
      <c r="AH378" s="349"/>
    </row>
    <row r="379" spans="1:34" ht="25.5">
      <c r="A379" s="345"/>
      <c r="B379" s="359" t="s">
        <v>135</v>
      </c>
      <c r="C379" s="361" t="s">
        <v>136</v>
      </c>
      <c r="D379" s="5" t="s">
        <v>137</v>
      </c>
      <c r="E379" s="5" t="s">
        <v>138</v>
      </c>
      <c r="F379" s="5" t="s">
        <v>139</v>
      </c>
      <c r="G379" s="5" t="s">
        <v>140</v>
      </c>
      <c r="H379" s="5" t="s">
        <v>141</v>
      </c>
      <c r="I379" s="5" t="s">
        <v>142</v>
      </c>
      <c r="J379" s="5" t="s">
        <v>143</v>
      </c>
      <c r="K379" s="181" t="s">
        <v>81</v>
      </c>
      <c r="L379" s="23" t="s">
        <v>144</v>
      </c>
      <c r="M379" s="22"/>
      <c r="N379" s="355" t="s">
        <v>135</v>
      </c>
      <c r="O379" s="357" t="s">
        <v>136</v>
      </c>
      <c r="P379" s="5" t="s">
        <v>137</v>
      </c>
      <c r="Q379" s="5" t="s">
        <v>138</v>
      </c>
      <c r="R379" s="5" t="s">
        <v>139</v>
      </c>
      <c r="S379" s="5" t="s">
        <v>140</v>
      </c>
      <c r="T379" s="5" t="s">
        <v>141</v>
      </c>
      <c r="U379" s="5" t="s">
        <v>142</v>
      </c>
      <c r="V379" s="5" t="s">
        <v>143</v>
      </c>
      <c r="W379" s="181" t="s">
        <v>81</v>
      </c>
      <c r="X379" s="23" t="s">
        <v>144</v>
      </c>
      <c r="Y379" s="22"/>
      <c r="Z379" s="33" t="s">
        <v>137</v>
      </c>
      <c r="AA379" s="5" t="s">
        <v>138</v>
      </c>
      <c r="AB379" s="5" t="s">
        <v>139</v>
      </c>
      <c r="AC379" s="5" t="s">
        <v>140</v>
      </c>
      <c r="AD379" s="5" t="s">
        <v>141</v>
      </c>
      <c r="AE379" s="5" t="s">
        <v>142</v>
      </c>
      <c r="AF379" s="5" t="s">
        <v>143</v>
      </c>
      <c r="AG379" s="181" t="s">
        <v>81</v>
      </c>
      <c r="AH379" s="23" t="s">
        <v>144</v>
      </c>
    </row>
    <row r="380" spans="1:34" ht="25.5">
      <c r="A380" s="6" t="s">
        <v>145</v>
      </c>
      <c r="B380" s="360"/>
      <c r="C380" s="362"/>
      <c r="D380" s="5" t="s">
        <v>128</v>
      </c>
      <c r="E380" s="5" t="s">
        <v>128</v>
      </c>
      <c r="F380" s="5" t="s">
        <v>128</v>
      </c>
      <c r="G380" s="5" t="s">
        <v>128</v>
      </c>
      <c r="H380" s="5" t="s">
        <v>125</v>
      </c>
      <c r="I380" s="5" t="s">
        <v>146</v>
      </c>
      <c r="J380" s="5" t="s">
        <v>127</v>
      </c>
      <c r="K380" s="181" t="s">
        <v>53</v>
      </c>
      <c r="L380" s="23" t="s">
        <v>53</v>
      </c>
      <c r="M380" s="22"/>
      <c r="N380" s="356"/>
      <c r="O380" s="358"/>
      <c r="P380" s="5" t="s">
        <v>128</v>
      </c>
      <c r="Q380" s="5" t="s">
        <v>128</v>
      </c>
      <c r="R380" s="5" t="s">
        <v>128</v>
      </c>
      <c r="S380" s="5" t="s">
        <v>128</v>
      </c>
      <c r="T380" s="5" t="s">
        <v>125</v>
      </c>
      <c r="U380" s="5" t="s">
        <v>146</v>
      </c>
      <c r="V380" s="5" t="s">
        <v>127</v>
      </c>
      <c r="W380" s="181" t="s">
        <v>53</v>
      </c>
      <c r="X380" s="23" t="s">
        <v>53</v>
      </c>
      <c r="Y380" s="22"/>
      <c r="Z380" s="33" t="s">
        <v>128</v>
      </c>
      <c r="AA380" s="5" t="s">
        <v>128</v>
      </c>
      <c r="AB380" s="5" t="s">
        <v>128</v>
      </c>
      <c r="AC380" s="5" t="s">
        <v>128</v>
      </c>
      <c r="AD380" s="5" t="s">
        <v>125</v>
      </c>
      <c r="AE380" s="5" t="s">
        <v>146</v>
      </c>
      <c r="AF380" s="5" t="s">
        <v>127</v>
      </c>
      <c r="AG380" s="181" t="s">
        <v>53</v>
      </c>
      <c r="AH380" s="23" t="s">
        <v>53</v>
      </c>
    </row>
    <row r="381" spans="1:34" ht="39" thickBot="1">
      <c r="A381" s="7" t="s">
        <v>147</v>
      </c>
      <c r="B381" s="8" t="s">
        <v>173</v>
      </c>
      <c r="C381" s="9" t="s">
        <v>174</v>
      </c>
      <c r="D381" s="9" t="s">
        <v>181</v>
      </c>
      <c r="E381" s="9" t="s">
        <v>182</v>
      </c>
      <c r="F381" s="9" t="s">
        <v>183</v>
      </c>
      <c r="G381" s="9" t="s">
        <v>175</v>
      </c>
      <c r="H381" s="9" t="s">
        <v>176</v>
      </c>
      <c r="I381" s="24" t="s">
        <v>155</v>
      </c>
      <c r="J381" s="24" t="s">
        <v>156</v>
      </c>
      <c r="K381" s="24" t="s">
        <v>179</v>
      </c>
      <c r="L381" s="25" t="s">
        <v>177</v>
      </c>
      <c r="M381" s="22"/>
      <c r="N381" s="8" t="s">
        <v>173</v>
      </c>
      <c r="O381" s="9" t="s">
        <v>174</v>
      </c>
      <c r="P381" s="9" t="s">
        <v>181</v>
      </c>
      <c r="Q381" s="9" t="s">
        <v>182</v>
      </c>
      <c r="R381" s="9" t="s">
        <v>183</v>
      </c>
      <c r="S381" s="9" t="s">
        <v>175</v>
      </c>
      <c r="T381" s="9" t="s">
        <v>176</v>
      </c>
      <c r="U381" s="24" t="s">
        <v>155</v>
      </c>
      <c r="V381" s="24" t="s">
        <v>156</v>
      </c>
      <c r="W381" s="24" t="s">
        <v>179</v>
      </c>
      <c r="X381" s="25" t="s">
        <v>177</v>
      </c>
      <c r="Y381" s="22"/>
      <c r="Z381" s="9" t="s">
        <v>181</v>
      </c>
      <c r="AA381" s="9" t="s">
        <v>182</v>
      </c>
      <c r="AB381" s="9" t="s">
        <v>183</v>
      </c>
      <c r="AC381" s="9" t="s">
        <v>175</v>
      </c>
      <c r="AD381" s="9" t="s">
        <v>176</v>
      </c>
      <c r="AE381" s="24" t="s">
        <v>155</v>
      </c>
      <c r="AF381" s="24" t="s">
        <v>156</v>
      </c>
      <c r="AG381" s="24" t="s">
        <v>179</v>
      </c>
      <c r="AH381" s="25" t="s">
        <v>177</v>
      </c>
    </row>
    <row r="382" spans="1:34">
      <c r="A382" s="10">
        <f>AF377+0</f>
        <v>46266</v>
      </c>
      <c r="B382" s="11"/>
      <c r="C382" s="12"/>
      <c r="D382" s="12"/>
      <c r="E382" s="13"/>
      <c r="F382" s="12"/>
      <c r="G382" s="12"/>
      <c r="H382" s="12"/>
      <c r="I382" s="12"/>
      <c r="J382" s="13"/>
      <c r="K382" s="184"/>
      <c r="L382" s="26"/>
      <c r="M382" s="22"/>
      <c r="N382" s="29"/>
      <c r="O382" s="13"/>
      <c r="P382" s="28"/>
      <c r="Q382" s="28"/>
      <c r="R382" s="28"/>
      <c r="S382" s="28"/>
      <c r="T382" s="62"/>
      <c r="U382" s="28"/>
      <c r="V382" s="28"/>
      <c r="W382" s="184"/>
      <c r="X382" s="34"/>
      <c r="Y382" s="22"/>
      <c r="Z382" s="38"/>
      <c r="AA382" s="13"/>
      <c r="AB382" s="13"/>
      <c r="AC382" s="13"/>
      <c r="AD382" s="36"/>
      <c r="AE382" s="13"/>
      <c r="AF382" s="13"/>
      <c r="AG382" s="184"/>
      <c r="AH382" s="37"/>
    </row>
    <row r="383" spans="1:34">
      <c r="A383" s="14">
        <f t="shared" ref="A383:A412" si="141">A382+1</f>
        <v>46267</v>
      </c>
      <c r="B383" s="11"/>
      <c r="C383" s="12"/>
      <c r="D383" s="12"/>
      <c r="E383" s="13"/>
      <c r="F383" s="12"/>
      <c r="G383" s="12"/>
      <c r="H383" s="12"/>
      <c r="I383" s="12"/>
      <c r="J383" s="13"/>
      <c r="K383" s="184"/>
      <c r="L383" s="26"/>
      <c r="M383" s="22"/>
      <c r="N383" s="29"/>
      <c r="O383" s="13"/>
      <c r="P383" s="13"/>
      <c r="Q383" s="13"/>
      <c r="R383" s="13"/>
      <c r="S383" s="13"/>
      <c r="T383" s="36"/>
      <c r="U383" s="13"/>
      <c r="V383" s="13"/>
      <c r="W383" s="184"/>
      <c r="X383" s="37"/>
      <c r="Y383" s="22"/>
      <c r="Z383" s="38"/>
      <c r="AA383" s="13"/>
      <c r="AB383" s="13"/>
      <c r="AC383" s="13"/>
      <c r="AD383" s="36"/>
      <c r="AE383" s="13"/>
      <c r="AF383" s="13"/>
      <c r="AG383" s="184"/>
      <c r="AH383" s="37"/>
    </row>
    <row r="384" spans="1:34">
      <c r="A384" s="14">
        <f t="shared" si="141"/>
        <v>46268</v>
      </c>
      <c r="B384" s="11"/>
      <c r="C384" s="12"/>
      <c r="D384" s="12"/>
      <c r="E384" s="13"/>
      <c r="F384" s="12"/>
      <c r="G384" s="12"/>
      <c r="H384" s="12"/>
      <c r="I384" s="12"/>
      <c r="J384" s="13"/>
      <c r="K384" s="184"/>
      <c r="L384" s="26"/>
      <c r="M384" s="22"/>
      <c r="N384" s="29"/>
      <c r="O384" s="13"/>
      <c r="P384" s="13"/>
      <c r="Q384" s="13"/>
      <c r="R384" s="13"/>
      <c r="S384" s="13"/>
      <c r="T384" s="36"/>
      <c r="U384" s="13"/>
      <c r="V384" s="13"/>
      <c r="W384" s="184"/>
      <c r="X384" s="37"/>
      <c r="Y384" s="22"/>
      <c r="Z384" s="38"/>
      <c r="AA384" s="13"/>
      <c r="AB384" s="13"/>
      <c r="AC384" s="13"/>
      <c r="AD384" s="36"/>
      <c r="AE384" s="13"/>
      <c r="AF384" s="13"/>
      <c r="AG384" s="184"/>
      <c r="AH384" s="37"/>
    </row>
    <row r="385" spans="1:34">
      <c r="A385" s="14">
        <f t="shared" si="141"/>
        <v>46269</v>
      </c>
      <c r="B385" s="11"/>
      <c r="C385" s="12"/>
      <c r="D385" s="12"/>
      <c r="E385" s="13"/>
      <c r="F385" s="12"/>
      <c r="G385" s="12"/>
      <c r="H385" s="12"/>
      <c r="I385" s="12"/>
      <c r="J385" s="13"/>
      <c r="K385" s="184"/>
      <c r="L385" s="26"/>
      <c r="M385" s="22"/>
      <c r="N385" s="29"/>
      <c r="O385" s="13"/>
      <c r="P385" s="13"/>
      <c r="Q385" s="13"/>
      <c r="R385" s="13"/>
      <c r="S385" s="13"/>
      <c r="T385" s="36"/>
      <c r="U385" s="13"/>
      <c r="V385" s="13"/>
      <c r="W385" s="184"/>
      <c r="X385" s="37"/>
      <c r="Y385" s="22"/>
      <c r="Z385" s="38"/>
      <c r="AA385" s="13"/>
      <c r="AB385" s="13"/>
      <c r="AC385" s="13"/>
      <c r="AD385" s="36"/>
      <c r="AE385" s="13"/>
      <c r="AF385" s="13"/>
      <c r="AG385" s="184"/>
      <c r="AH385" s="37"/>
    </row>
    <row r="386" spans="1:34">
      <c r="A386" s="14">
        <f t="shared" si="141"/>
        <v>46270</v>
      </c>
      <c r="B386" s="11"/>
      <c r="C386" s="12"/>
      <c r="D386" s="12"/>
      <c r="E386" s="13"/>
      <c r="F386" s="12"/>
      <c r="G386" s="12"/>
      <c r="H386" s="12"/>
      <c r="I386" s="12"/>
      <c r="J386" s="13"/>
      <c r="K386" s="184"/>
      <c r="L386" s="26"/>
      <c r="M386" s="22"/>
      <c r="N386" s="29"/>
      <c r="O386" s="13"/>
      <c r="P386" s="13"/>
      <c r="Q386" s="13"/>
      <c r="R386" s="13"/>
      <c r="S386" s="13"/>
      <c r="T386" s="36"/>
      <c r="U386" s="13"/>
      <c r="V386" s="13"/>
      <c r="W386" s="184"/>
      <c r="X386" s="51"/>
      <c r="Y386" s="22"/>
      <c r="Z386" s="38"/>
      <c r="AA386" s="13"/>
      <c r="AB386" s="13"/>
      <c r="AC386" s="13"/>
      <c r="AD386" s="36"/>
      <c r="AE386" s="13"/>
      <c r="AF386" s="13"/>
      <c r="AG386" s="184"/>
      <c r="AH386" s="37"/>
    </row>
    <row r="387" spans="1:34">
      <c r="A387" s="14">
        <f t="shared" si="141"/>
        <v>46271</v>
      </c>
      <c r="B387" s="11"/>
      <c r="C387" s="12"/>
      <c r="D387" s="12"/>
      <c r="E387" s="13"/>
      <c r="F387" s="12"/>
      <c r="G387" s="12"/>
      <c r="H387" s="12"/>
      <c r="I387" s="12"/>
      <c r="J387" s="13"/>
      <c r="K387" s="184"/>
      <c r="L387" s="26"/>
      <c r="M387" s="22"/>
      <c r="N387" s="29"/>
      <c r="O387" s="13"/>
      <c r="P387" s="13"/>
      <c r="Q387" s="13"/>
      <c r="R387" s="13"/>
      <c r="S387" s="13"/>
      <c r="T387" s="36"/>
      <c r="U387" s="13"/>
      <c r="V387" s="13"/>
      <c r="W387" s="184"/>
      <c r="X387" s="51"/>
      <c r="Y387" s="22"/>
      <c r="Z387" s="38"/>
      <c r="AA387" s="13"/>
      <c r="AB387" s="13"/>
      <c r="AC387" s="13"/>
      <c r="AD387" s="36"/>
      <c r="AE387" s="13"/>
      <c r="AF387" s="13"/>
      <c r="AG387" s="184"/>
      <c r="AH387" s="37"/>
    </row>
    <row r="388" spans="1:34">
      <c r="A388" s="14">
        <f t="shared" si="141"/>
        <v>46272</v>
      </c>
      <c r="B388" s="11"/>
      <c r="C388" s="12"/>
      <c r="D388" s="12"/>
      <c r="E388" s="13"/>
      <c r="F388" s="12"/>
      <c r="G388" s="12"/>
      <c r="H388" s="12"/>
      <c r="I388" s="12"/>
      <c r="J388" s="13"/>
      <c r="K388" s="184"/>
      <c r="L388" s="26"/>
      <c r="M388" s="22"/>
      <c r="N388" s="29"/>
      <c r="O388" s="50"/>
      <c r="P388" s="13"/>
      <c r="Q388" s="13"/>
      <c r="R388" s="13"/>
      <c r="S388" s="13"/>
      <c r="T388" s="36"/>
      <c r="U388" s="13"/>
      <c r="V388" s="13"/>
      <c r="W388" s="184"/>
      <c r="X388" s="51"/>
      <c r="Y388" s="22"/>
      <c r="Z388" s="38"/>
      <c r="AA388" s="13"/>
      <c r="AB388" s="13"/>
      <c r="AC388" s="13"/>
      <c r="AD388" s="36"/>
      <c r="AE388" s="13"/>
      <c r="AF388" s="13"/>
      <c r="AG388" s="184"/>
      <c r="AH388" s="37"/>
    </row>
    <row r="389" spans="1:34">
      <c r="A389" s="14">
        <f t="shared" si="141"/>
        <v>46273</v>
      </c>
      <c r="B389" s="11"/>
      <c r="C389" s="12"/>
      <c r="D389" s="12"/>
      <c r="E389" s="13"/>
      <c r="F389" s="12"/>
      <c r="G389" s="12"/>
      <c r="H389" s="12"/>
      <c r="I389" s="12"/>
      <c r="J389" s="13"/>
      <c r="K389" s="184"/>
      <c r="L389" s="26"/>
      <c r="M389" s="22"/>
      <c r="N389" s="29"/>
      <c r="O389" s="50"/>
      <c r="P389" s="13"/>
      <c r="Q389" s="13"/>
      <c r="R389" s="13"/>
      <c r="S389" s="13"/>
      <c r="T389" s="36"/>
      <c r="U389" s="13"/>
      <c r="V389" s="13"/>
      <c r="W389" s="184"/>
      <c r="X389" s="37"/>
      <c r="Y389" s="22"/>
      <c r="Z389" s="38"/>
      <c r="AA389" s="13"/>
      <c r="AB389" s="13"/>
      <c r="AC389" s="13"/>
      <c r="AD389" s="36"/>
      <c r="AE389" s="13"/>
      <c r="AF389" s="13"/>
      <c r="AG389" s="184"/>
      <c r="AH389" s="37"/>
    </row>
    <row r="390" spans="1:34">
      <c r="A390" s="14">
        <f t="shared" si="141"/>
        <v>46274</v>
      </c>
      <c r="B390" s="11"/>
      <c r="C390" s="12"/>
      <c r="D390" s="12"/>
      <c r="E390" s="13"/>
      <c r="F390" s="12"/>
      <c r="G390" s="12"/>
      <c r="H390" s="12"/>
      <c r="I390" s="12"/>
      <c r="J390" s="13"/>
      <c r="K390" s="184"/>
      <c r="L390" s="26"/>
      <c r="M390" s="22"/>
      <c r="N390" s="29"/>
      <c r="O390" s="50"/>
      <c r="P390" s="13"/>
      <c r="Q390" s="13"/>
      <c r="R390" s="13"/>
      <c r="S390" s="13"/>
      <c r="T390" s="36"/>
      <c r="U390" s="13"/>
      <c r="V390" s="13"/>
      <c r="W390" s="184"/>
      <c r="X390" s="37"/>
      <c r="Y390" s="22"/>
      <c r="Z390" s="38"/>
      <c r="AA390" s="13"/>
      <c r="AB390" s="13"/>
      <c r="AC390" s="13"/>
      <c r="AD390" s="36"/>
      <c r="AE390" s="13"/>
      <c r="AF390" s="13"/>
      <c r="AG390" s="184"/>
      <c r="AH390" s="37"/>
    </row>
    <row r="391" spans="1:34">
      <c r="A391" s="14">
        <f t="shared" si="141"/>
        <v>46275</v>
      </c>
      <c r="B391" s="11"/>
      <c r="C391" s="12"/>
      <c r="D391" s="12"/>
      <c r="E391" s="13"/>
      <c r="F391" s="12"/>
      <c r="G391" s="12"/>
      <c r="H391" s="12"/>
      <c r="I391" s="12"/>
      <c r="J391" s="13"/>
      <c r="K391" s="184"/>
      <c r="L391" s="26"/>
      <c r="M391" s="22"/>
      <c r="N391" s="29"/>
      <c r="O391" s="50"/>
      <c r="P391" s="13"/>
      <c r="Q391" s="13"/>
      <c r="R391" s="13"/>
      <c r="S391" s="13"/>
      <c r="T391" s="36"/>
      <c r="U391" s="13"/>
      <c r="V391" s="13"/>
      <c r="W391" s="184"/>
      <c r="X391" s="51"/>
      <c r="Y391" s="22"/>
      <c r="Z391" s="38"/>
      <c r="AA391" s="13"/>
      <c r="AB391" s="13"/>
      <c r="AC391" s="13"/>
      <c r="AD391" s="36"/>
      <c r="AE391" s="13"/>
      <c r="AF391" s="13"/>
      <c r="AG391" s="184"/>
      <c r="AH391" s="37"/>
    </row>
    <row r="392" spans="1:34">
      <c r="A392" s="14">
        <f t="shared" si="141"/>
        <v>46276</v>
      </c>
      <c r="B392" s="11"/>
      <c r="C392" s="12"/>
      <c r="D392" s="12"/>
      <c r="E392" s="13"/>
      <c r="F392" s="12"/>
      <c r="G392" s="12"/>
      <c r="H392" s="12"/>
      <c r="I392" s="12"/>
      <c r="J392" s="13"/>
      <c r="K392" s="184"/>
      <c r="L392" s="26"/>
      <c r="M392" s="22"/>
      <c r="N392" s="29"/>
      <c r="O392" s="50"/>
      <c r="P392" s="13"/>
      <c r="Q392" s="13"/>
      <c r="R392" s="13"/>
      <c r="S392" s="13"/>
      <c r="T392" s="36"/>
      <c r="U392" s="13"/>
      <c r="V392" s="13"/>
      <c r="W392" s="184"/>
      <c r="X392" s="51"/>
      <c r="Y392" s="22"/>
      <c r="Z392" s="38"/>
      <c r="AA392" s="13"/>
      <c r="AB392" s="13"/>
      <c r="AC392" s="13"/>
      <c r="AD392" s="36"/>
      <c r="AE392" s="13"/>
      <c r="AF392" s="13"/>
      <c r="AG392" s="184"/>
      <c r="AH392" s="37"/>
    </row>
    <row r="393" spans="1:34">
      <c r="A393" s="14">
        <f t="shared" si="141"/>
        <v>46277</v>
      </c>
      <c r="B393" s="11"/>
      <c r="C393" s="12"/>
      <c r="D393" s="12"/>
      <c r="E393" s="13"/>
      <c r="F393" s="12"/>
      <c r="G393" s="12"/>
      <c r="H393" s="12"/>
      <c r="I393" s="12"/>
      <c r="J393" s="13"/>
      <c r="K393" s="184"/>
      <c r="L393" s="26"/>
      <c r="M393" s="22"/>
      <c r="N393" s="29"/>
      <c r="O393" s="50"/>
      <c r="P393" s="13"/>
      <c r="Q393" s="13"/>
      <c r="R393" s="13"/>
      <c r="S393" s="13"/>
      <c r="T393" s="36"/>
      <c r="U393" s="13"/>
      <c r="V393" s="13"/>
      <c r="W393" s="184"/>
      <c r="X393" s="51"/>
      <c r="Y393" s="22"/>
      <c r="Z393" s="38"/>
      <c r="AA393" s="13"/>
      <c r="AB393" s="13"/>
      <c r="AC393" s="13"/>
      <c r="AD393" s="36"/>
      <c r="AE393" s="13"/>
      <c r="AF393" s="13"/>
      <c r="AG393" s="184"/>
      <c r="AH393" s="37"/>
    </row>
    <row r="394" spans="1:34">
      <c r="A394" s="14">
        <f t="shared" si="141"/>
        <v>46278</v>
      </c>
      <c r="B394" s="11"/>
      <c r="C394" s="12"/>
      <c r="D394" s="12"/>
      <c r="E394" s="13"/>
      <c r="F394" s="12"/>
      <c r="G394" s="12"/>
      <c r="H394" s="12"/>
      <c r="I394" s="12"/>
      <c r="J394" s="13"/>
      <c r="K394" s="184"/>
      <c r="L394" s="26"/>
      <c r="M394" s="22"/>
      <c r="N394" s="29"/>
      <c r="O394" s="50"/>
      <c r="P394" s="13"/>
      <c r="Q394" s="13"/>
      <c r="R394" s="13"/>
      <c r="S394" s="13"/>
      <c r="T394" s="36"/>
      <c r="U394" s="13"/>
      <c r="V394" s="13"/>
      <c r="W394" s="184"/>
      <c r="X394" s="51"/>
      <c r="Y394" s="22"/>
      <c r="Z394" s="38"/>
      <c r="AA394" s="13"/>
      <c r="AB394" s="13"/>
      <c r="AC394" s="13"/>
      <c r="AD394" s="36"/>
      <c r="AE394" s="13"/>
      <c r="AF394" s="13"/>
      <c r="AG394" s="184"/>
      <c r="AH394" s="37"/>
    </row>
    <row r="395" spans="1:34">
      <c r="A395" s="14">
        <f t="shared" si="141"/>
        <v>46279</v>
      </c>
      <c r="B395" s="11"/>
      <c r="C395" s="12"/>
      <c r="D395" s="12"/>
      <c r="E395" s="13"/>
      <c r="F395" s="12"/>
      <c r="G395" s="12"/>
      <c r="H395" s="12"/>
      <c r="I395" s="12"/>
      <c r="J395" s="13"/>
      <c r="K395" s="184"/>
      <c r="L395" s="26"/>
      <c r="M395" s="22"/>
      <c r="N395" s="29"/>
      <c r="O395" s="50"/>
      <c r="P395" s="13"/>
      <c r="Q395" s="13"/>
      <c r="R395" s="13"/>
      <c r="S395" s="13"/>
      <c r="T395" s="36"/>
      <c r="U395" s="13"/>
      <c r="V395" s="13"/>
      <c r="W395" s="184"/>
      <c r="X395" s="51"/>
      <c r="Y395" s="22"/>
      <c r="Z395" s="38"/>
      <c r="AA395" s="13"/>
      <c r="AB395" s="13"/>
      <c r="AC395" s="13"/>
      <c r="AD395" s="36"/>
      <c r="AE395" s="13"/>
      <c r="AF395" s="13"/>
      <c r="AG395" s="184"/>
      <c r="AH395" s="37"/>
    </row>
    <row r="396" spans="1:34">
      <c r="A396" s="14">
        <f t="shared" si="141"/>
        <v>46280</v>
      </c>
      <c r="B396" s="11"/>
      <c r="C396" s="12"/>
      <c r="D396" s="12"/>
      <c r="E396" s="13"/>
      <c r="F396" s="12"/>
      <c r="G396" s="12"/>
      <c r="H396" s="12"/>
      <c r="I396" s="12"/>
      <c r="J396" s="13"/>
      <c r="K396" s="184"/>
      <c r="L396" s="26"/>
      <c r="M396" s="22"/>
      <c r="N396" s="29"/>
      <c r="O396" s="50"/>
      <c r="P396" s="13"/>
      <c r="Q396" s="13"/>
      <c r="R396" s="13"/>
      <c r="S396" s="13"/>
      <c r="T396" s="36"/>
      <c r="U396" s="13"/>
      <c r="V396" s="13"/>
      <c r="W396" s="184"/>
      <c r="X396" s="37"/>
      <c r="Y396" s="22"/>
      <c r="Z396" s="38"/>
      <c r="AA396" s="13"/>
      <c r="AB396" s="13"/>
      <c r="AC396" s="13"/>
      <c r="AD396" s="13"/>
      <c r="AE396" s="13"/>
      <c r="AF396" s="13"/>
      <c r="AG396" s="184"/>
      <c r="AH396" s="37"/>
    </row>
    <row r="397" spans="1:34">
      <c r="A397" s="14">
        <f t="shared" si="141"/>
        <v>46281</v>
      </c>
      <c r="B397" s="11"/>
      <c r="C397" s="12"/>
      <c r="D397" s="12"/>
      <c r="E397" s="13"/>
      <c r="F397" s="12"/>
      <c r="G397" s="12"/>
      <c r="H397" s="12"/>
      <c r="I397" s="12"/>
      <c r="J397" s="13"/>
      <c r="K397" s="184"/>
      <c r="L397" s="26"/>
      <c r="M397" s="22"/>
      <c r="N397" s="29"/>
      <c r="O397" s="50"/>
      <c r="P397" s="13"/>
      <c r="Q397" s="13"/>
      <c r="R397" s="13"/>
      <c r="S397" s="13"/>
      <c r="T397" s="36"/>
      <c r="U397" s="13"/>
      <c r="V397" s="13"/>
      <c r="W397" s="184"/>
      <c r="X397" s="51"/>
      <c r="Y397" s="22"/>
      <c r="Z397" s="38"/>
      <c r="AA397" s="13"/>
      <c r="AB397" s="13"/>
      <c r="AC397" s="13"/>
      <c r="AD397" s="13"/>
      <c r="AE397" s="13"/>
      <c r="AF397" s="13"/>
      <c r="AG397" s="184"/>
      <c r="AH397" s="37"/>
    </row>
    <row r="398" spans="1:34">
      <c r="A398" s="14">
        <f t="shared" si="141"/>
        <v>46282</v>
      </c>
      <c r="B398" s="11"/>
      <c r="C398" s="12"/>
      <c r="D398" s="12"/>
      <c r="E398" s="13"/>
      <c r="F398" s="12"/>
      <c r="G398" s="12"/>
      <c r="H398" s="12"/>
      <c r="I398" s="12"/>
      <c r="J398" s="13"/>
      <c r="K398" s="184"/>
      <c r="L398" s="26"/>
      <c r="M398" s="22"/>
      <c r="N398" s="29"/>
      <c r="O398" s="50"/>
      <c r="P398" s="13"/>
      <c r="Q398" s="13"/>
      <c r="R398" s="13"/>
      <c r="S398" s="13"/>
      <c r="T398" s="36"/>
      <c r="U398" s="13"/>
      <c r="V398" s="13"/>
      <c r="W398" s="184"/>
      <c r="X398" s="37"/>
      <c r="Y398" s="22"/>
      <c r="Z398" s="38"/>
      <c r="AA398" s="13"/>
      <c r="AB398" s="13"/>
      <c r="AC398" s="13"/>
      <c r="AD398" s="13"/>
      <c r="AE398" s="13"/>
      <c r="AF398" s="13"/>
      <c r="AG398" s="184"/>
      <c r="AH398" s="37"/>
    </row>
    <row r="399" spans="1:34">
      <c r="A399" s="14">
        <f t="shared" si="141"/>
        <v>46283</v>
      </c>
      <c r="B399" s="11"/>
      <c r="C399" s="12"/>
      <c r="D399" s="12"/>
      <c r="E399" s="13"/>
      <c r="F399" s="12"/>
      <c r="G399" s="12"/>
      <c r="H399" s="12"/>
      <c r="I399" s="12"/>
      <c r="J399" s="13"/>
      <c r="K399" s="184"/>
      <c r="L399" s="26"/>
      <c r="M399" s="22"/>
      <c r="N399" s="29"/>
      <c r="O399" s="13"/>
      <c r="P399" s="13"/>
      <c r="Q399" s="13"/>
      <c r="R399" s="13"/>
      <c r="S399" s="13"/>
      <c r="T399" s="36"/>
      <c r="U399" s="13"/>
      <c r="V399" s="13"/>
      <c r="W399" s="184"/>
      <c r="X399" s="37"/>
      <c r="Y399" s="22"/>
      <c r="Z399" s="38"/>
      <c r="AA399" s="13"/>
      <c r="AB399" s="13"/>
      <c r="AC399" s="13"/>
      <c r="AD399" s="13"/>
      <c r="AE399" s="13"/>
      <c r="AF399" s="13"/>
      <c r="AG399" s="184"/>
      <c r="AH399" s="37"/>
    </row>
    <row r="400" spans="1:34">
      <c r="A400" s="14">
        <f t="shared" si="141"/>
        <v>46284</v>
      </c>
      <c r="B400" s="11"/>
      <c r="C400" s="12"/>
      <c r="D400" s="12"/>
      <c r="E400" s="13"/>
      <c r="F400" s="12"/>
      <c r="G400" s="12"/>
      <c r="H400" s="12"/>
      <c r="I400" s="12"/>
      <c r="J400" s="13"/>
      <c r="K400" s="184"/>
      <c r="L400" s="26"/>
      <c r="M400" s="22"/>
      <c r="N400" s="29"/>
      <c r="O400" s="13"/>
      <c r="P400" s="13"/>
      <c r="Q400" s="13"/>
      <c r="R400" s="13"/>
      <c r="S400" s="13"/>
      <c r="T400" s="36"/>
      <c r="U400" s="13"/>
      <c r="V400" s="13"/>
      <c r="W400" s="184"/>
      <c r="X400" s="37"/>
      <c r="Y400" s="22"/>
      <c r="Z400" s="38"/>
      <c r="AA400" s="13"/>
      <c r="AB400" s="13"/>
      <c r="AC400" s="13"/>
      <c r="AD400" s="13"/>
      <c r="AE400" s="13"/>
      <c r="AF400" s="13"/>
      <c r="AG400" s="184"/>
      <c r="AH400" s="37"/>
    </row>
    <row r="401" spans="1:34">
      <c r="A401" s="14">
        <f t="shared" si="141"/>
        <v>46285</v>
      </c>
      <c r="B401" s="11"/>
      <c r="C401" s="12"/>
      <c r="D401" s="12"/>
      <c r="E401" s="13"/>
      <c r="F401" s="12"/>
      <c r="G401" s="12"/>
      <c r="H401" s="12"/>
      <c r="I401" s="12"/>
      <c r="J401" s="13"/>
      <c r="K401" s="184"/>
      <c r="L401" s="26"/>
      <c r="M401" s="22"/>
      <c r="N401" s="29"/>
      <c r="O401" s="13"/>
      <c r="P401" s="13"/>
      <c r="Q401" s="13"/>
      <c r="R401" s="13"/>
      <c r="S401" s="13"/>
      <c r="T401" s="36"/>
      <c r="U401" s="13"/>
      <c r="V401" s="13"/>
      <c r="W401" s="184"/>
      <c r="X401" s="37"/>
      <c r="Y401" s="22"/>
      <c r="Z401" s="38"/>
      <c r="AA401" s="13"/>
      <c r="AB401" s="13"/>
      <c r="AC401" s="13"/>
      <c r="AD401" s="36"/>
      <c r="AE401" s="13"/>
      <c r="AF401" s="13"/>
      <c r="AG401" s="184"/>
      <c r="AH401" s="37"/>
    </row>
    <row r="402" spans="1:34">
      <c r="A402" s="14">
        <f t="shared" si="141"/>
        <v>46286</v>
      </c>
      <c r="B402" s="11"/>
      <c r="C402" s="12"/>
      <c r="D402" s="12"/>
      <c r="E402" s="13"/>
      <c r="F402" s="12"/>
      <c r="G402" s="12"/>
      <c r="H402" s="12"/>
      <c r="I402" s="12"/>
      <c r="J402" s="13"/>
      <c r="K402" s="184"/>
      <c r="L402" s="26"/>
      <c r="M402" s="22"/>
      <c r="N402" s="29"/>
      <c r="O402" s="13"/>
      <c r="P402" s="13"/>
      <c r="Q402" s="13"/>
      <c r="R402" s="13"/>
      <c r="S402" s="13"/>
      <c r="T402" s="36"/>
      <c r="U402" s="13"/>
      <c r="V402" s="13"/>
      <c r="W402" s="184"/>
      <c r="X402" s="37"/>
      <c r="Y402" s="22"/>
      <c r="Z402" s="38"/>
      <c r="AA402" s="13"/>
      <c r="AB402" s="13"/>
      <c r="AC402" s="13"/>
      <c r="AD402" s="36"/>
      <c r="AE402" s="13"/>
      <c r="AF402" s="13"/>
      <c r="AG402" s="184"/>
      <c r="AH402" s="37"/>
    </row>
    <row r="403" spans="1:34">
      <c r="A403" s="14">
        <f t="shared" si="141"/>
        <v>46287</v>
      </c>
      <c r="B403" s="11"/>
      <c r="C403" s="12"/>
      <c r="D403" s="12"/>
      <c r="E403" s="13"/>
      <c r="F403" s="12"/>
      <c r="G403" s="12"/>
      <c r="H403" s="12"/>
      <c r="I403" s="12"/>
      <c r="J403" s="13"/>
      <c r="K403" s="184"/>
      <c r="L403" s="26"/>
      <c r="M403" s="22"/>
      <c r="N403" s="29"/>
      <c r="O403" s="13"/>
      <c r="P403" s="13"/>
      <c r="Q403" s="13"/>
      <c r="R403" s="13"/>
      <c r="S403" s="13"/>
      <c r="T403" s="36"/>
      <c r="U403" s="13"/>
      <c r="V403" s="13"/>
      <c r="W403" s="184"/>
      <c r="X403" s="37"/>
      <c r="Y403" s="22"/>
      <c r="Z403" s="38"/>
      <c r="AA403" s="13"/>
      <c r="AB403" s="13"/>
      <c r="AC403" s="13"/>
      <c r="AD403" s="13"/>
      <c r="AE403" s="13"/>
      <c r="AF403" s="13"/>
      <c r="AG403" s="184"/>
      <c r="AH403" s="37"/>
    </row>
    <row r="404" spans="1:34">
      <c r="A404" s="14">
        <f t="shared" si="141"/>
        <v>46288</v>
      </c>
      <c r="B404" s="11"/>
      <c r="C404" s="12"/>
      <c r="D404" s="12"/>
      <c r="E404" s="13"/>
      <c r="F404" s="12"/>
      <c r="G404" s="12"/>
      <c r="H404" s="12"/>
      <c r="I404" s="12"/>
      <c r="J404" s="13"/>
      <c r="K404" s="184"/>
      <c r="L404" s="26"/>
      <c r="M404" s="22"/>
      <c r="N404" s="29"/>
      <c r="O404" s="13"/>
      <c r="P404" s="13"/>
      <c r="Q404" s="13"/>
      <c r="R404" s="13"/>
      <c r="S404" s="13"/>
      <c r="T404" s="36"/>
      <c r="U404" s="13"/>
      <c r="V404" s="13"/>
      <c r="W404" s="184"/>
      <c r="X404" s="37"/>
      <c r="Y404" s="22"/>
      <c r="Z404" s="38"/>
      <c r="AA404" s="13"/>
      <c r="AB404" s="13"/>
      <c r="AC404" s="13"/>
      <c r="AD404" s="13"/>
      <c r="AE404" s="13"/>
      <c r="AF404" s="13"/>
      <c r="AG404" s="184"/>
      <c r="AH404" s="37"/>
    </row>
    <row r="405" spans="1:34">
      <c r="A405" s="14">
        <f t="shared" si="141"/>
        <v>46289</v>
      </c>
      <c r="B405" s="11"/>
      <c r="C405" s="12"/>
      <c r="D405" s="12"/>
      <c r="E405" s="13"/>
      <c r="F405" s="12"/>
      <c r="G405" s="12"/>
      <c r="H405" s="12"/>
      <c r="I405" s="12"/>
      <c r="J405" s="13"/>
      <c r="K405" s="184"/>
      <c r="L405" s="26"/>
      <c r="M405" s="22"/>
      <c r="N405" s="29"/>
      <c r="O405" s="13"/>
      <c r="P405" s="13"/>
      <c r="Q405" s="13"/>
      <c r="R405" s="13"/>
      <c r="S405" s="13"/>
      <c r="T405" s="36"/>
      <c r="U405" s="13"/>
      <c r="V405" s="13"/>
      <c r="W405" s="184"/>
      <c r="X405" s="37"/>
      <c r="Y405" s="22"/>
      <c r="Z405" s="38"/>
      <c r="AA405" s="13"/>
      <c r="AB405" s="13"/>
      <c r="AC405" s="13"/>
      <c r="AD405" s="36"/>
      <c r="AE405" s="13"/>
      <c r="AF405" s="13"/>
      <c r="AG405" s="184"/>
      <c r="AH405" s="37"/>
    </row>
    <row r="406" spans="1:34">
      <c r="A406" s="14">
        <f t="shared" si="141"/>
        <v>46290</v>
      </c>
      <c r="B406" s="11"/>
      <c r="C406" s="12"/>
      <c r="D406" s="12"/>
      <c r="E406" s="13"/>
      <c r="F406" s="12"/>
      <c r="G406" s="12"/>
      <c r="H406" s="12"/>
      <c r="I406" s="12"/>
      <c r="J406" s="13"/>
      <c r="K406" s="184"/>
      <c r="L406" s="26"/>
      <c r="M406" s="22"/>
      <c r="N406" s="29"/>
      <c r="O406" s="13"/>
      <c r="P406" s="13"/>
      <c r="Q406" s="13"/>
      <c r="R406" s="13"/>
      <c r="S406" s="13"/>
      <c r="T406" s="36"/>
      <c r="U406" s="13"/>
      <c r="V406" s="13"/>
      <c r="W406" s="184"/>
      <c r="X406" s="37"/>
      <c r="Y406" s="22"/>
      <c r="Z406" s="38"/>
      <c r="AA406" s="13"/>
      <c r="AB406" s="13"/>
      <c r="AC406" s="13"/>
      <c r="AD406" s="13"/>
      <c r="AE406" s="13"/>
      <c r="AF406" s="13"/>
      <c r="AG406" s="184"/>
      <c r="AH406" s="37"/>
    </row>
    <row r="407" spans="1:34">
      <c r="A407" s="14">
        <f t="shared" si="141"/>
        <v>46291</v>
      </c>
      <c r="B407" s="11"/>
      <c r="C407" s="12"/>
      <c r="D407" s="12"/>
      <c r="E407" s="13"/>
      <c r="F407" s="12"/>
      <c r="G407" s="12"/>
      <c r="H407" s="12"/>
      <c r="I407" s="12"/>
      <c r="J407" s="13"/>
      <c r="K407" s="184"/>
      <c r="L407" s="26"/>
      <c r="M407" s="22"/>
      <c r="N407" s="29"/>
      <c r="O407" s="13"/>
      <c r="P407" s="13"/>
      <c r="Q407" s="13"/>
      <c r="R407" s="13"/>
      <c r="S407" s="13"/>
      <c r="T407" s="36"/>
      <c r="U407" s="13"/>
      <c r="V407" s="13"/>
      <c r="W407" s="184"/>
      <c r="X407" s="51"/>
      <c r="Y407" s="22"/>
      <c r="Z407" s="38"/>
      <c r="AA407" s="13"/>
      <c r="AB407" s="13"/>
      <c r="AC407" s="13"/>
      <c r="AD407" s="13"/>
      <c r="AE407" s="13"/>
      <c r="AF407" s="13"/>
      <c r="AG407" s="184"/>
      <c r="AH407" s="37"/>
    </row>
    <row r="408" spans="1:34">
      <c r="A408" s="14">
        <f t="shared" si="141"/>
        <v>46292</v>
      </c>
      <c r="B408" s="11"/>
      <c r="C408" s="12"/>
      <c r="D408" s="12"/>
      <c r="E408" s="13"/>
      <c r="F408" s="12"/>
      <c r="G408" s="12"/>
      <c r="H408" s="12"/>
      <c r="I408" s="12"/>
      <c r="J408" s="13"/>
      <c r="K408" s="184"/>
      <c r="L408" s="26"/>
      <c r="M408" s="22"/>
      <c r="N408" s="29"/>
      <c r="O408" s="13"/>
      <c r="P408" s="13"/>
      <c r="Q408" s="13"/>
      <c r="R408" s="13"/>
      <c r="S408" s="13"/>
      <c r="T408" s="36"/>
      <c r="U408" s="13"/>
      <c r="V408" s="13"/>
      <c r="W408" s="184"/>
      <c r="X408" s="37"/>
      <c r="Y408" s="22"/>
      <c r="Z408" s="38"/>
      <c r="AA408" s="13"/>
      <c r="AB408" s="13"/>
      <c r="AC408" s="13"/>
      <c r="AD408" s="36"/>
      <c r="AE408" s="13"/>
      <c r="AF408" s="13"/>
      <c r="AG408" s="184"/>
      <c r="AH408" s="37"/>
    </row>
    <row r="409" spans="1:34">
      <c r="A409" s="14">
        <f t="shared" si="141"/>
        <v>46293</v>
      </c>
      <c r="B409" s="11"/>
      <c r="C409" s="12"/>
      <c r="D409" s="12"/>
      <c r="E409" s="13"/>
      <c r="F409" s="12"/>
      <c r="G409" s="12"/>
      <c r="H409" s="12"/>
      <c r="I409" s="12"/>
      <c r="J409" s="13"/>
      <c r="K409" s="184"/>
      <c r="L409" s="26"/>
      <c r="M409" s="22"/>
      <c r="N409" s="29"/>
      <c r="O409" s="13"/>
      <c r="P409" s="13"/>
      <c r="Q409" s="13"/>
      <c r="R409" s="13"/>
      <c r="S409" s="13"/>
      <c r="T409" s="36"/>
      <c r="U409" s="13"/>
      <c r="V409" s="13"/>
      <c r="W409" s="184"/>
      <c r="X409" s="37"/>
      <c r="Y409" s="22"/>
      <c r="Z409" s="38"/>
      <c r="AA409" s="13"/>
      <c r="AB409" s="13"/>
      <c r="AC409" s="13"/>
      <c r="AD409" s="36"/>
      <c r="AE409" s="13"/>
      <c r="AF409" s="13"/>
      <c r="AG409" s="184"/>
      <c r="AH409" s="37"/>
    </row>
    <row r="410" spans="1:34">
      <c r="A410" s="14">
        <f t="shared" si="141"/>
        <v>46294</v>
      </c>
      <c r="B410" s="11"/>
      <c r="C410" s="12"/>
      <c r="D410" s="12"/>
      <c r="E410" s="13"/>
      <c r="F410" s="12"/>
      <c r="G410" s="12"/>
      <c r="H410" s="12"/>
      <c r="I410" s="12"/>
      <c r="J410" s="13"/>
      <c r="K410" s="184"/>
      <c r="L410" s="26"/>
      <c r="M410" s="22"/>
      <c r="N410" s="29"/>
      <c r="O410" s="13"/>
      <c r="P410" s="13"/>
      <c r="Q410" s="13"/>
      <c r="R410" s="13"/>
      <c r="S410" s="13"/>
      <c r="T410" s="36"/>
      <c r="U410" s="13"/>
      <c r="V410" s="13"/>
      <c r="W410" s="184"/>
      <c r="X410" s="37"/>
      <c r="Y410" s="22"/>
      <c r="Z410" s="38"/>
      <c r="AA410" s="13"/>
      <c r="AB410" s="13"/>
      <c r="AC410" s="13"/>
      <c r="AD410" s="36"/>
      <c r="AE410" s="13"/>
      <c r="AF410" s="13"/>
      <c r="AG410" s="184"/>
      <c r="AH410" s="37"/>
    </row>
    <row r="411" spans="1:34">
      <c r="A411" s="14">
        <f t="shared" si="141"/>
        <v>46295</v>
      </c>
      <c r="B411" s="11"/>
      <c r="C411" s="12"/>
      <c r="D411" s="12"/>
      <c r="E411" s="13"/>
      <c r="F411" s="12"/>
      <c r="G411" s="12"/>
      <c r="H411" s="12"/>
      <c r="I411" s="12"/>
      <c r="J411" s="13"/>
      <c r="K411" s="184"/>
      <c r="L411" s="26"/>
      <c r="M411" s="22"/>
      <c r="N411" s="29"/>
      <c r="O411" s="13"/>
      <c r="P411" s="13"/>
      <c r="Q411" s="13"/>
      <c r="R411" s="13"/>
      <c r="S411" s="13"/>
      <c r="T411" s="36"/>
      <c r="U411" s="13"/>
      <c r="V411" s="13"/>
      <c r="W411" s="184"/>
      <c r="X411" s="37"/>
      <c r="Y411" s="22"/>
      <c r="Z411" s="38"/>
      <c r="AA411" s="13"/>
      <c r="AB411" s="13"/>
      <c r="AC411" s="13"/>
      <c r="AD411" s="13"/>
      <c r="AE411" s="13"/>
      <c r="AF411" s="13"/>
      <c r="AG411" s="184"/>
      <c r="AH411" s="37"/>
    </row>
    <row r="412" spans="1:34" ht="15.75" thickBot="1">
      <c r="A412" s="15">
        <f t="shared" si="141"/>
        <v>46296</v>
      </c>
      <c r="B412" s="11"/>
      <c r="C412" s="12"/>
      <c r="D412" s="12"/>
      <c r="E412" s="13"/>
      <c r="F412" s="12"/>
      <c r="G412" s="12"/>
      <c r="H412" s="12"/>
      <c r="I412" s="12"/>
      <c r="J412" s="13"/>
      <c r="K412" s="184"/>
      <c r="L412" s="26"/>
      <c r="M412" s="22"/>
      <c r="N412" s="29"/>
      <c r="O412" s="13"/>
      <c r="P412" s="47"/>
      <c r="Q412" s="47"/>
      <c r="R412" s="47"/>
      <c r="S412" s="47"/>
      <c r="T412" s="52"/>
      <c r="U412" s="47"/>
      <c r="V412" s="47"/>
      <c r="W412" s="184"/>
      <c r="X412" s="48"/>
      <c r="Y412" s="22"/>
      <c r="Z412" s="38"/>
      <c r="AA412" s="13"/>
      <c r="AB412" s="13"/>
      <c r="AC412" s="13"/>
      <c r="AD412" s="13"/>
      <c r="AE412" s="13"/>
      <c r="AF412" s="13"/>
      <c r="AG412" s="184"/>
      <c r="AH412" s="37"/>
    </row>
    <row r="413" spans="1:34">
      <c r="A413" s="16" t="s">
        <v>31</v>
      </c>
      <c r="B413" s="17">
        <f>MIN(B382:B412)</f>
        <v>0</v>
      </c>
      <c r="C413" s="17">
        <f>MIN(C382:C412)</f>
        <v>0</v>
      </c>
      <c r="D413" s="17">
        <f t="shared" ref="D413:L413" si="142">MIN(D382:D412)</f>
        <v>0</v>
      </c>
      <c r="E413" s="17">
        <f t="shared" si="142"/>
        <v>0</v>
      </c>
      <c r="F413" s="17">
        <f t="shared" si="142"/>
        <v>0</v>
      </c>
      <c r="G413" s="17">
        <f t="shared" si="142"/>
        <v>0</v>
      </c>
      <c r="H413" s="17">
        <f t="shared" si="142"/>
        <v>0</v>
      </c>
      <c r="I413" s="17">
        <f t="shared" si="142"/>
        <v>0</v>
      </c>
      <c r="J413" s="17">
        <f t="shared" si="142"/>
        <v>0</v>
      </c>
      <c r="K413" s="17">
        <f t="shared" si="142"/>
        <v>0</v>
      </c>
      <c r="L413" s="30">
        <f t="shared" si="142"/>
        <v>0</v>
      </c>
      <c r="M413" s="22"/>
      <c r="N413" s="17">
        <f>MIN(N382:N412)</f>
        <v>0</v>
      </c>
      <c r="O413" s="17">
        <f>MIN(O382:O412)</f>
        <v>0</v>
      </c>
      <c r="P413" s="17">
        <f t="shared" ref="P413:X413" si="143">MIN(P382:P412)</f>
        <v>0</v>
      </c>
      <c r="Q413" s="17">
        <f t="shared" si="143"/>
        <v>0</v>
      </c>
      <c r="R413" s="17">
        <f t="shared" si="143"/>
        <v>0</v>
      </c>
      <c r="S413" s="17">
        <f t="shared" si="143"/>
        <v>0</v>
      </c>
      <c r="T413" s="17">
        <f t="shared" si="143"/>
        <v>0</v>
      </c>
      <c r="U413" s="17">
        <f t="shared" si="143"/>
        <v>0</v>
      </c>
      <c r="V413" s="17">
        <f t="shared" si="143"/>
        <v>0</v>
      </c>
      <c r="W413" s="17">
        <f t="shared" si="143"/>
        <v>0</v>
      </c>
      <c r="X413" s="30">
        <f t="shared" si="143"/>
        <v>0</v>
      </c>
      <c r="Z413" s="40">
        <f t="shared" ref="Z413:AH413" si="144">MIN(Z382:Z412)</f>
        <v>0</v>
      </c>
      <c r="AA413" s="17">
        <f t="shared" si="144"/>
        <v>0</v>
      </c>
      <c r="AB413" s="17">
        <f t="shared" si="144"/>
        <v>0</v>
      </c>
      <c r="AC413" s="17">
        <f t="shared" si="144"/>
        <v>0</v>
      </c>
      <c r="AD413" s="17">
        <f t="shared" si="144"/>
        <v>0</v>
      </c>
      <c r="AE413" s="17">
        <f t="shared" si="144"/>
        <v>0</v>
      </c>
      <c r="AF413" s="17">
        <f t="shared" si="144"/>
        <v>0</v>
      </c>
      <c r="AG413" s="17">
        <f t="shared" si="144"/>
        <v>0</v>
      </c>
      <c r="AH413" s="30">
        <f t="shared" si="144"/>
        <v>0</v>
      </c>
    </row>
    <row r="414" spans="1:34">
      <c r="A414" s="18" t="s">
        <v>33</v>
      </c>
      <c r="B414" s="19">
        <f>MAX(B382:B412)</f>
        <v>0</v>
      </c>
      <c r="C414" s="19">
        <f>MAX(C382:C412)</f>
        <v>0</v>
      </c>
      <c r="D414" s="19">
        <f t="shared" ref="D414:L414" si="145">MAX(D382:D412)</f>
        <v>0</v>
      </c>
      <c r="E414" s="19">
        <f t="shared" si="145"/>
        <v>0</v>
      </c>
      <c r="F414" s="19">
        <f t="shared" si="145"/>
        <v>0</v>
      </c>
      <c r="G414" s="19">
        <f t="shared" si="145"/>
        <v>0</v>
      </c>
      <c r="H414" s="19">
        <f t="shared" si="145"/>
        <v>0</v>
      </c>
      <c r="I414" s="19">
        <f t="shared" si="145"/>
        <v>0</v>
      </c>
      <c r="J414" s="19">
        <f t="shared" si="145"/>
        <v>0</v>
      </c>
      <c r="K414" s="19">
        <f t="shared" si="145"/>
        <v>0</v>
      </c>
      <c r="L414" s="31">
        <f t="shared" si="145"/>
        <v>0</v>
      </c>
      <c r="M414" s="22"/>
      <c r="N414" s="19">
        <f>MAX(N382:N412)</f>
        <v>0</v>
      </c>
      <c r="O414" s="19">
        <f>MAX(O382:O412)</f>
        <v>0</v>
      </c>
      <c r="P414" s="19">
        <f t="shared" ref="P414:X414" si="146">MAX(P382:P412)</f>
        <v>0</v>
      </c>
      <c r="Q414" s="19">
        <f t="shared" si="146"/>
        <v>0</v>
      </c>
      <c r="R414" s="19">
        <f t="shared" si="146"/>
        <v>0</v>
      </c>
      <c r="S414" s="19">
        <f t="shared" si="146"/>
        <v>0</v>
      </c>
      <c r="T414" s="19">
        <f t="shared" si="146"/>
        <v>0</v>
      </c>
      <c r="U414" s="19">
        <f t="shared" si="146"/>
        <v>0</v>
      </c>
      <c r="V414" s="19">
        <f t="shared" si="146"/>
        <v>0</v>
      </c>
      <c r="W414" s="19">
        <f t="shared" si="146"/>
        <v>0</v>
      </c>
      <c r="X414" s="31">
        <f t="shared" si="146"/>
        <v>0</v>
      </c>
      <c r="Z414" s="41">
        <f t="shared" ref="Z414:AH414" si="147">MAX(Z382:Z412)</f>
        <v>0</v>
      </c>
      <c r="AA414" s="19">
        <f t="shared" si="147"/>
        <v>0</v>
      </c>
      <c r="AB414" s="19">
        <f t="shared" si="147"/>
        <v>0</v>
      </c>
      <c r="AC414" s="19">
        <f t="shared" si="147"/>
        <v>0</v>
      </c>
      <c r="AD414" s="19">
        <f t="shared" si="147"/>
        <v>0</v>
      </c>
      <c r="AE414" s="19">
        <f t="shared" si="147"/>
        <v>0</v>
      </c>
      <c r="AF414" s="19">
        <f t="shared" si="147"/>
        <v>0</v>
      </c>
      <c r="AG414" s="19">
        <f t="shared" si="147"/>
        <v>0</v>
      </c>
      <c r="AH414" s="31">
        <f t="shared" si="147"/>
        <v>0</v>
      </c>
    </row>
    <row r="415" spans="1:34">
      <c r="A415" s="18" t="s">
        <v>36</v>
      </c>
      <c r="B415" s="19" t="e">
        <f t="shared" ref="B415:L415" si="148">AVERAGE(B382:B412)</f>
        <v>#DIV/0!</v>
      </c>
      <c r="C415" s="19" t="e">
        <f t="shared" si="148"/>
        <v>#DIV/0!</v>
      </c>
      <c r="D415" s="19" t="e">
        <f t="shared" si="148"/>
        <v>#DIV/0!</v>
      </c>
      <c r="E415" s="19" t="e">
        <f t="shared" si="148"/>
        <v>#DIV/0!</v>
      </c>
      <c r="F415" s="19" t="e">
        <f t="shared" si="148"/>
        <v>#DIV/0!</v>
      </c>
      <c r="G415" s="19" t="e">
        <f t="shared" si="148"/>
        <v>#DIV/0!</v>
      </c>
      <c r="H415" s="19" t="e">
        <f t="shared" si="148"/>
        <v>#DIV/0!</v>
      </c>
      <c r="I415" s="19" t="e">
        <f t="shared" si="148"/>
        <v>#DIV/0!</v>
      </c>
      <c r="J415" s="19" t="e">
        <f t="shared" si="148"/>
        <v>#DIV/0!</v>
      </c>
      <c r="K415" s="19" t="e">
        <f t="shared" si="148"/>
        <v>#DIV/0!</v>
      </c>
      <c r="L415" s="31" t="e">
        <f t="shared" si="148"/>
        <v>#DIV/0!</v>
      </c>
      <c r="M415" s="22"/>
      <c r="N415" s="19" t="e">
        <f t="shared" ref="N415:X415" si="149">AVERAGE(N382:N412)</f>
        <v>#DIV/0!</v>
      </c>
      <c r="O415" s="19" t="e">
        <f t="shared" si="149"/>
        <v>#DIV/0!</v>
      </c>
      <c r="P415" s="19" t="e">
        <f t="shared" si="149"/>
        <v>#DIV/0!</v>
      </c>
      <c r="Q415" s="19" t="e">
        <f t="shared" si="149"/>
        <v>#DIV/0!</v>
      </c>
      <c r="R415" s="19" t="e">
        <f t="shared" si="149"/>
        <v>#DIV/0!</v>
      </c>
      <c r="S415" s="19" t="e">
        <f t="shared" si="149"/>
        <v>#DIV/0!</v>
      </c>
      <c r="T415" s="19" t="e">
        <f t="shared" si="149"/>
        <v>#DIV/0!</v>
      </c>
      <c r="U415" s="19" t="e">
        <f t="shared" si="149"/>
        <v>#DIV/0!</v>
      </c>
      <c r="V415" s="19" t="e">
        <f t="shared" si="149"/>
        <v>#DIV/0!</v>
      </c>
      <c r="W415" s="19" t="e">
        <f t="shared" si="149"/>
        <v>#DIV/0!</v>
      </c>
      <c r="X415" s="31" t="e">
        <f t="shared" si="149"/>
        <v>#DIV/0!</v>
      </c>
      <c r="Z415" s="41" t="e">
        <f>AVERAGE(Z382:Z412)</f>
        <v>#DIV/0!</v>
      </c>
      <c r="AA415" s="19" t="e">
        <f t="shared" ref="AA415:AH415" si="150">AVERAGE(AA382:AA412)</f>
        <v>#DIV/0!</v>
      </c>
      <c r="AB415" s="19" t="e">
        <f t="shared" si="150"/>
        <v>#DIV/0!</v>
      </c>
      <c r="AC415" s="19" t="e">
        <f t="shared" si="150"/>
        <v>#DIV/0!</v>
      </c>
      <c r="AD415" s="19" t="e">
        <f t="shared" si="150"/>
        <v>#DIV/0!</v>
      </c>
      <c r="AE415" s="19" t="e">
        <f t="shared" si="150"/>
        <v>#DIV/0!</v>
      </c>
      <c r="AF415" s="19" t="e">
        <f t="shared" si="150"/>
        <v>#DIV/0!</v>
      </c>
      <c r="AG415" s="19" t="e">
        <f t="shared" si="150"/>
        <v>#DIV/0!</v>
      </c>
      <c r="AH415" s="31" t="e">
        <f t="shared" si="150"/>
        <v>#DIV/0!</v>
      </c>
    </row>
    <row r="416" spans="1:34" ht="15.75" thickBot="1">
      <c r="A416" s="20" t="s">
        <v>130</v>
      </c>
      <c r="B416" s="21" t="e">
        <f>STDEV(B382:B412)</f>
        <v>#DIV/0!</v>
      </c>
      <c r="C416" s="21" t="e">
        <f t="shared" ref="C416:L416" si="151">STDEV(C382:C412)</f>
        <v>#DIV/0!</v>
      </c>
      <c r="D416" s="21" t="e">
        <f t="shared" si="151"/>
        <v>#DIV/0!</v>
      </c>
      <c r="E416" s="21" t="e">
        <f t="shared" si="151"/>
        <v>#DIV/0!</v>
      </c>
      <c r="F416" s="21" t="e">
        <f t="shared" si="151"/>
        <v>#DIV/0!</v>
      </c>
      <c r="G416" s="21" t="e">
        <f t="shared" si="151"/>
        <v>#DIV/0!</v>
      </c>
      <c r="H416" s="21" t="e">
        <f t="shared" si="151"/>
        <v>#DIV/0!</v>
      </c>
      <c r="I416" s="21" t="e">
        <f t="shared" si="151"/>
        <v>#DIV/0!</v>
      </c>
      <c r="J416" s="21" t="e">
        <f t="shared" si="151"/>
        <v>#DIV/0!</v>
      </c>
      <c r="K416" s="21" t="e">
        <f t="shared" si="151"/>
        <v>#DIV/0!</v>
      </c>
      <c r="L416" s="32" t="e">
        <f t="shared" si="151"/>
        <v>#DIV/0!</v>
      </c>
      <c r="M416" s="22"/>
      <c r="N416" s="21" t="e">
        <f>STDEV(N382:N412)</f>
        <v>#DIV/0!</v>
      </c>
      <c r="O416" s="21" t="e">
        <f t="shared" ref="O416:X416" si="152">STDEV(O382:O412)</f>
        <v>#DIV/0!</v>
      </c>
      <c r="P416" s="21" t="e">
        <f t="shared" si="152"/>
        <v>#DIV/0!</v>
      </c>
      <c r="Q416" s="21" t="e">
        <f t="shared" si="152"/>
        <v>#DIV/0!</v>
      </c>
      <c r="R416" s="21" t="e">
        <f t="shared" si="152"/>
        <v>#DIV/0!</v>
      </c>
      <c r="S416" s="21" t="e">
        <f t="shared" si="152"/>
        <v>#DIV/0!</v>
      </c>
      <c r="T416" s="21" t="e">
        <f t="shared" si="152"/>
        <v>#DIV/0!</v>
      </c>
      <c r="U416" s="21" t="e">
        <f t="shared" si="152"/>
        <v>#DIV/0!</v>
      </c>
      <c r="V416" s="21" t="e">
        <f t="shared" si="152"/>
        <v>#DIV/0!</v>
      </c>
      <c r="W416" s="21" t="e">
        <f t="shared" si="152"/>
        <v>#DIV/0!</v>
      </c>
      <c r="X416" s="32" t="e">
        <f t="shared" si="152"/>
        <v>#DIV/0!</v>
      </c>
      <c r="Z416" s="42" t="e">
        <f>STDEV(Z382:Z412)</f>
        <v>#DIV/0!</v>
      </c>
      <c r="AA416" s="21" t="e">
        <f t="shared" ref="AA416:AH416" si="153">STDEV(AA382:AA412)</f>
        <v>#DIV/0!</v>
      </c>
      <c r="AB416" s="21" t="e">
        <f t="shared" si="153"/>
        <v>#DIV/0!</v>
      </c>
      <c r="AC416" s="21" t="e">
        <f t="shared" si="153"/>
        <v>#DIV/0!</v>
      </c>
      <c r="AD416" s="21" t="e">
        <f t="shared" si="153"/>
        <v>#DIV/0!</v>
      </c>
      <c r="AE416" s="21" t="e">
        <f t="shared" si="153"/>
        <v>#DIV/0!</v>
      </c>
      <c r="AF416" s="21" t="e">
        <f t="shared" si="153"/>
        <v>#DIV/0!</v>
      </c>
      <c r="AG416" s="21" t="e">
        <f t="shared" si="153"/>
        <v>#DIV/0!</v>
      </c>
      <c r="AH416" s="32" t="e">
        <f t="shared" si="153"/>
        <v>#DIV/0!</v>
      </c>
    </row>
    <row r="417" spans="1:34" ht="15.75" thickBot="1"/>
    <row r="418" spans="1:34" ht="15.75" thickBot="1">
      <c r="A418" s="1"/>
      <c r="B418" s="338" t="s">
        <v>0</v>
      </c>
      <c r="C418" s="339"/>
      <c r="D418" s="339"/>
      <c r="E418" s="339"/>
      <c r="F418" s="339"/>
      <c r="G418" s="339"/>
      <c r="H418" s="339"/>
      <c r="I418" s="339"/>
      <c r="J418" s="339"/>
      <c r="K418" s="339"/>
      <c r="L418" s="339"/>
      <c r="M418" s="339"/>
      <c r="N418" s="339"/>
      <c r="O418" s="339"/>
      <c r="P418" s="339"/>
      <c r="Q418" s="339"/>
      <c r="R418" s="339"/>
      <c r="S418" s="339"/>
      <c r="T418" s="339"/>
      <c r="U418" s="339"/>
      <c r="V418" s="339"/>
      <c r="W418" s="339"/>
      <c r="X418" s="339"/>
      <c r="Y418" s="339"/>
      <c r="Z418" s="339"/>
      <c r="AA418" s="339"/>
      <c r="AB418" s="339"/>
      <c r="AC418" s="339"/>
      <c r="AD418" s="339"/>
      <c r="AE418" s="339"/>
      <c r="AF418" s="339"/>
      <c r="AG418" s="339"/>
      <c r="AH418" s="363"/>
    </row>
    <row r="419" spans="1:34" ht="15.75" thickBot="1">
      <c r="A419" s="1"/>
      <c r="B419" s="338" t="s">
        <v>172</v>
      </c>
      <c r="C419" s="339"/>
      <c r="D419" s="339"/>
      <c r="E419" s="339"/>
      <c r="F419" s="339"/>
      <c r="G419" s="339"/>
      <c r="H419" s="339"/>
      <c r="I419" s="339"/>
      <c r="J419" s="339"/>
      <c r="K419" s="339"/>
      <c r="L419" s="339"/>
      <c r="M419" s="339"/>
      <c r="N419" s="339"/>
      <c r="O419" s="339"/>
      <c r="P419" s="339"/>
      <c r="Q419" s="339"/>
      <c r="R419" s="339"/>
      <c r="S419" s="339"/>
      <c r="T419" s="339"/>
      <c r="U419" s="339"/>
      <c r="V419" s="339"/>
      <c r="W419" s="339"/>
      <c r="X419" s="339"/>
      <c r="Y419" s="339"/>
      <c r="Z419" s="339"/>
      <c r="AA419" s="339"/>
      <c r="AB419" s="339"/>
      <c r="AC419" s="339"/>
      <c r="AD419" s="4"/>
      <c r="AE419" s="43" t="s">
        <v>107</v>
      </c>
      <c r="AF419" s="341">
        <v>46296</v>
      </c>
      <c r="AG419" s="342"/>
      <c r="AH419" s="343"/>
    </row>
    <row r="420" spans="1:34">
      <c r="A420" s="344"/>
      <c r="B420" s="346" t="s">
        <v>132</v>
      </c>
      <c r="C420" s="347"/>
      <c r="D420" s="347"/>
      <c r="E420" s="347"/>
      <c r="F420" s="347"/>
      <c r="G420" s="347"/>
      <c r="H420" s="347"/>
      <c r="I420" s="347"/>
      <c r="J420" s="347"/>
      <c r="K420" s="348"/>
      <c r="L420" s="349"/>
      <c r="M420" s="22"/>
      <c r="N420" s="350" t="s">
        <v>133</v>
      </c>
      <c r="O420" s="347"/>
      <c r="P420" s="347"/>
      <c r="Q420" s="347"/>
      <c r="R420" s="347"/>
      <c r="S420" s="347"/>
      <c r="T420" s="347"/>
      <c r="U420" s="347"/>
      <c r="V420" s="347"/>
      <c r="W420" s="348"/>
      <c r="X420" s="349"/>
      <c r="Y420" s="22"/>
      <c r="Z420" s="346" t="s">
        <v>134</v>
      </c>
      <c r="AA420" s="347"/>
      <c r="AB420" s="347"/>
      <c r="AC420" s="347"/>
      <c r="AD420" s="347"/>
      <c r="AE420" s="347"/>
      <c r="AF420" s="347"/>
      <c r="AG420" s="348"/>
      <c r="AH420" s="349"/>
    </row>
    <row r="421" spans="1:34" ht="25.5">
      <c r="A421" s="345"/>
      <c r="B421" s="359" t="s">
        <v>135</v>
      </c>
      <c r="C421" s="361" t="s">
        <v>136</v>
      </c>
      <c r="D421" s="5" t="s">
        <v>137</v>
      </c>
      <c r="E421" s="5" t="s">
        <v>138</v>
      </c>
      <c r="F421" s="5" t="s">
        <v>139</v>
      </c>
      <c r="G421" s="5" t="s">
        <v>140</v>
      </c>
      <c r="H421" s="5" t="s">
        <v>141</v>
      </c>
      <c r="I421" s="5" t="s">
        <v>142</v>
      </c>
      <c r="J421" s="5" t="s">
        <v>143</v>
      </c>
      <c r="K421" s="181" t="s">
        <v>81</v>
      </c>
      <c r="L421" s="23" t="s">
        <v>144</v>
      </c>
      <c r="M421" s="22"/>
      <c r="N421" s="355" t="s">
        <v>135</v>
      </c>
      <c r="O421" s="357" t="s">
        <v>136</v>
      </c>
      <c r="P421" s="5" t="s">
        <v>137</v>
      </c>
      <c r="Q421" s="5" t="s">
        <v>138</v>
      </c>
      <c r="R421" s="5" t="s">
        <v>139</v>
      </c>
      <c r="S421" s="5" t="s">
        <v>140</v>
      </c>
      <c r="T421" s="5" t="s">
        <v>141</v>
      </c>
      <c r="U421" s="5" t="s">
        <v>142</v>
      </c>
      <c r="V421" s="5" t="s">
        <v>143</v>
      </c>
      <c r="W421" s="181" t="s">
        <v>81</v>
      </c>
      <c r="X421" s="23" t="s">
        <v>144</v>
      </c>
      <c r="Y421" s="22"/>
      <c r="Z421" s="33" t="s">
        <v>137</v>
      </c>
      <c r="AA421" s="5" t="s">
        <v>138</v>
      </c>
      <c r="AB421" s="5" t="s">
        <v>139</v>
      </c>
      <c r="AC421" s="5" t="s">
        <v>140</v>
      </c>
      <c r="AD421" s="5" t="s">
        <v>141</v>
      </c>
      <c r="AE421" s="5" t="s">
        <v>142</v>
      </c>
      <c r="AF421" s="5" t="s">
        <v>143</v>
      </c>
      <c r="AG421" s="181" t="s">
        <v>81</v>
      </c>
      <c r="AH421" s="23" t="s">
        <v>144</v>
      </c>
    </row>
    <row r="422" spans="1:34" ht="25.5">
      <c r="A422" s="6" t="s">
        <v>145</v>
      </c>
      <c r="B422" s="360"/>
      <c r="C422" s="362"/>
      <c r="D422" s="5" t="s">
        <v>128</v>
      </c>
      <c r="E422" s="5" t="s">
        <v>128</v>
      </c>
      <c r="F422" s="5" t="s">
        <v>128</v>
      </c>
      <c r="G422" s="5" t="s">
        <v>128</v>
      </c>
      <c r="H422" s="5" t="s">
        <v>125</v>
      </c>
      <c r="I422" s="5" t="s">
        <v>146</v>
      </c>
      <c r="J422" s="5" t="s">
        <v>127</v>
      </c>
      <c r="K422" s="181" t="s">
        <v>53</v>
      </c>
      <c r="L422" s="23" t="s">
        <v>53</v>
      </c>
      <c r="M422" s="22"/>
      <c r="N422" s="356"/>
      <c r="O422" s="358"/>
      <c r="P422" s="5" t="s">
        <v>128</v>
      </c>
      <c r="Q422" s="5" t="s">
        <v>128</v>
      </c>
      <c r="R422" s="5" t="s">
        <v>128</v>
      </c>
      <c r="S422" s="5" t="s">
        <v>128</v>
      </c>
      <c r="T422" s="5" t="s">
        <v>125</v>
      </c>
      <c r="U422" s="5" t="s">
        <v>146</v>
      </c>
      <c r="V422" s="5" t="s">
        <v>127</v>
      </c>
      <c r="W422" s="181" t="s">
        <v>53</v>
      </c>
      <c r="X422" s="23" t="s">
        <v>53</v>
      </c>
      <c r="Y422" s="22"/>
      <c r="Z422" s="33" t="s">
        <v>128</v>
      </c>
      <c r="AA422" s="5" t="s">
        <v>128</v>
      </c>
      <c r="AB422" s="5" t="s">
        <v>128</v>
      </c>
      <c r="AC422" s="5" t="s">
        <v>128</v>
      </c>
      <c r="AD422" s="5" t="s">
        <v>125</v>
      </c>
      <c r="AE422" s="5" t="s">
        <v>146</v>
      </c>
      <c r="AF422" s="5" t="s">
        <v>127</v>
      </c>
      <c r="AG422" s="181" t="s">
        <v>53</v>
      </c>
      <c r="AH422" s="23" t="s">
        <v>53</v>
      </c>
    </row>
    <row r="423" spans="1:34" ht="39" thickBot="1">
      <c r="A423" s="7" t="s">
        <v>147</v>
      </c>
      <c r="B423" s="8" t="s">
        <v>173</v>
      </c>
      <c r="C423" s="9" t="s">
        <v>174</v>
      </c>
      <c r="D423" s="9" t="s">
        <v>181</v>
      </c>
      <c r="E423" s="9" t="s">
        <v>182</v>
      </c>
      <c r="F423" s="9" t="s">
        <v>183</v>
      </c>
      <c r="G423" s="9" t="s">
        <v>175</v>
      </c>
      <c r="H423" s="9" t="s">
        <v>176</v>
      </c>
      <c r="I423" s="24" t="s">
        <v>155</v>
      </c>
      <c r="J423" s="24" t="s">
        <v>156</v>
      </c>
      <c r="K423" s="24" t="s">
        <v>179</v>
      </c>
      <c r="L423" s="25" t="s">
        <v>177</v>
      </c>
      <c r="M423" s="22"/>
      <c r="N423" s="8" t="s">
        <v>173</v>
      </c>
      <c r="O423" s="9" t="s">
        <v>174</v>
      </c>
      <c r="P423" s="9" t="s">
        <v>181</v>
      </c>
      <c r="Q423" s="9" t="s">
        <v>182</v>
      </c>
      <c r="R423" s="9" t="s">
        <v>183</v>
      </c>
      <c r="S423" s="9" t="s">
        <v>175</v>
      </c>
      <c r="T423" s="9" t="s">
        <v>176</v>
      </c>
      <c r="U423" s="24" t="s">
        <v>155</v>
      </c>
      <c r="V423" s="24" t="s">
        <v>156</v>
      </c>
      <c r="W423" s="24" t="s">
        <v>179</v>
      </c>
      <c r="X423" s="25" t="s">
        <v>177</v>
      </c>
      <c r="Y423" s="22"/>
      <c r="Z423" s="9" t="s">
        <v>181</v>
      </c>
      <c r="AA423" s="9" t="s">
        <v>182</v>
      </c>
      <c r="AB423" s="9" t="s">
        <v>183</v>
      </c>
      <c r="AC423" s="9" t="s">
        <v>175</v>
      </c>
      <c r="AD423" s="9" t="s">
        <v>176</v>
      </c>
      <c r="AE423" s="24" t="s">
        <v>155</v>
      </c>
      <c r="AF423" s="24" t="s">
        <v>156</v>
      </c>
      <c r="AG423" s="24" t="s">
        <v>179</v>
      </c>
      <c r="AH423" s="25" t="s">
        <v>177</v>
      </c>
    </row>
    <row r="424" spans="1:34">
      <c r="A424" s="10">
        <f>AF419+0</f>
        <v>46296</v>
      </c>
      <c r="B424" s="11"/>
      <c r="C424" s="12"/>
      <c r="D424" s="12"/>
      <c r="E424" s="13"/>
      <c r="F424" s="12"/>
      <c r="G424" s="12"/>
      <c r="H424" s="12"/>
      <c r="I424" s="12"/>
      <c r="J424" s="13"/>
      <c r="K424" s="184"/>
      <c r="L424" s="26"/>
      <c r="M424" s="22"/>
      <c r="N424" s="29"/>
      <c r="O424" s="13"/>
      <c r="P424" s="28"/>
      <c r="Q424" s="28"/>
      <c r="R424" s="28"/>
      <c r="S424" s="28"/>
      <c r="T424" s="62"/>
      <c r="U424" s="28"/>
      <c r="V424" s="28"/>
      <c r="W424" s="184"/>
      <c r="X424" s="34"/>
      <c r="Y424" s="22"/>
      <c r="Z424" s="38"/>
      <c r="AA424" s="13"/>
      <c r="AB424" s="13"/>
      <c r="AC424" s="13"/>
      <c r="AD424" s="36"/>
      <c r="AE424" s="13"/>
      <c r="AF424" s="13"/>
      <c r="AG424" s="184"/>
      <c r="AH424" s="37"/>
    </row>
    <row r="425" spans="1:34">
      <c r="A425" s="14">
        <f t="shared" ref="A425:A454" si="154">A424+1</f>
        <v>46297</v>
      </c>
      <c r="B425" s="11"/>
      <c r="C425" s="12"/>
      <c r="D425" s="12"/>
      <c r="E425" s="13"/>
      <c r="F425" s="12"/>
      <c r="G425" s="12"/>
      <c r="H425" s="12"/>
      <c r="I425" s="12"/>
      <c r="J425" s="13"/>
      <c r="K425" s="184"/>
      <c r="L425" s="26"/>
      <c r="M425" s="22"/>
      <c r="N425" s="29"/>
      <c r="O425" s="13"/>
      <c r="P425" s="13"/>
      <c r="Q425" s="13"/>
      <c r="R425" s="13"/>
      <c r="S425" s="13"/>
      <c r="T425" s="36"/>
      <c r="U425" s="13"/>
      <c r="V425" s="13"/>
      <c r="W425" s="184"/>
      <c r="X425" s="37"/>
      <c r="Y425" s="22"/>
      <c r="Z425" s="38"/>
      <c r="AA425" s="13"/>
      <c r="AB425" s="13"/>
      <c r="AC425" s="13"/>
      <c r="AD425" s="36"/>
      <c r="AE425" s="13"/>
      <c r="AF425" s="13"/>
      <c r="AG425" s="184"/>
      <c r="AH425" s="37"/>
    </row>
    <row r="426" spans="1:34">
      <c r="A426" s="14">
        <f t="shared" si="154"/>
        <v>46298</v>
      </c>
      <c r="B426" s="11"/>
      <c r="C426" s="12"/>
      <c r="D426" s="12"/>
      <c r="E426" s="13"/>
      <c r="F426" s="12"/>
      <c r="G426" s="12"/>
      <c r="H426" s="12"/>
      <c r="I426" s="12"/>
      <c r="J426" s="13"/>
      <c r="K426" s="184"/>
      <c r="L426" s="26"/>
      <c r="M426" s="22"/>
      <c r="N426" s="29"/>
      <c r="O426" s="13"/>
      <c r="P426" s="13"/>
      <c r="Q426" s="13"/>
      <c r="R426" s="13"/>
      <c r="S426" s="13"/>
      <c r="T426" s="36"/>
      <c r="U426" s="13"/>
      <c r="V426" s="13"/>
      <c r="W426" s="184"/>
      <c r="X426" s="37"/>
      <c r="Y426" s="22"/>
      <c r="Z426" s="38"/>
      <c r="AA426" s="13"/>
      <c r="AB426" s="13"/>
      <c r="AC426" s="13"/>
      <c r="AD426" s="36"/>
      <c r="AE426" s="13"/>
      <c r="AF426" s="13"/>
      <c r="AG426" s="184"/>
      <c r="AH426" s="37"/>
    </row>
    <row r="427" spans="1:34">
      <c r="A427" s="14">
        <f t="shared" si="154"/>
        <v>46299</v>
      </c>
      <c r="B427" s="11"/>
      <c r="C427" s="12"/>
      <c r="D427" s="12"/>
      <c r="E427" s="13"/>
      <c r="F427" s="12"/>
      <c r="G427" s="12"/>
      <c r="H427" s="12"/>
      <c r="I427" s="12"/>
      <c r="J427" s="13"/>
      <c r="K427" s="184"/>
      <c r="L427" s="26"/>
      <c r="M427" s="22"/>
      <c r="N427" s="29"/>
      <c r="O427" s="13"/>
      <c r="P427" s="13"/>
      <c r="Q427" s="13"/>
      <c r="R427" s="13"/>
      <c r="S427" s="13"/>
      <c r="T427" s="36"/>
      <c r="U427" s="13"/>
      <c r="V427" s="13"/>
      <c r="W427" s="184"/>
      <c r="X427" s="37"/>
      <c r="Y427" s="22"/>
      <c r="Z427" s="38"/>
      <c r="AA427" s="13"/>
      <c r="AB427" s="13"/>
      <c r="AC427" s="13"/>
      <c r="AD427" s="36"/>
      <c r="AE427" s="13"/>
      <c r="AF427" s="13"/>
      <c r="AG427" s="184"/>
      <c r="AH427" s="37"/>
    </row>
    <row r="428" spans="1:34">
      <c r="A428" s="14">
        <f t="shared" si="154"/>
        <v>46300</v>
      </c>
      <c r="B428" s="11"/>
      <c r="C428" s="12"/>
      <c r="D428" s="12"/>
      <c r="E428" s="13"/>
      <c r="F428" s="12"/>
      <c r="G428" s="12"/>
      <c r="H428" s="12"/>
      <c r="I428" s="12"/>
      <c r="J428" s="13"/>
      <c r="K428" s="184"/>
      <c r="L428" s="26"/>
      <c r="M428" s="22"/>
      <c r="N428" s="29"/>
      <c r="O428" s="13"/>
      <c r="P428" s="13"/>
      <c r="Q428" s="13"/>
      <c r="R428" s="13"/>
      <c r="S428" s="13"/>
      <c r="T428" s="36"/>
      <c r="U428" s="13"/>
      <c r="V428" s="13"/>
      <c r="W428" s="184"/>
      <c r="X428" s="51"/>
      <c r="Y428" s="22"/>
      <c r="Z428" s="38"/>
      <c r="AA428" s="13"/>
      <c r="AB428" s="13"/>
      <c r="AC428" s="13"/>
      <c r="AD428" s="36"/>
      <c r="AE428" s="13"/>
      <c r="AF428" s="13"/>
      <c r="AG428" s="184"/>
      <c r="AH428" s="37"/>
    </row>
    <row r="429" spans="1:34">
      <c r="A429" s="14">
        <f t="shared" si="154"/>
        <v>46301</v>
      </c>
      <c r="B429" s="11"/>
      <c r="C429" s="12"/>
      <c r="D429" s="12"/>
      <c r="E429" s="13"/>
      <c r="F429" s="12"/>
      <c r="G429" s="12"/>
      <c r="H429" s="12"/>
      <c r="I429" s="12"/>
      <c r="J429" s="13"/>
      <c r="K429" s="184"/>
      <c r="L429" s="26"/>
      <c r="M429" s="22"/>
      <c r="N429" s="29"/>
      <c r="O429" s="13"/>
      <c r="P429" s="13"/>
      <c r="Q429" s="13"/>
      <c r="R429" s="13"/>
      <c r="S429" s="13"/>
      <c r="T429" s="36"/>
      <c r="U429" s="13"/>
      <c r="V429" s="13"/>
      <c r="W429" s="184"/>
      <c r="X429" s="51"/>
      <c r="Y429" s="22"/>
      <c r="Z429" s="38"/>
      <c r="AA429" s="13"/>
      <c r="AB429" s="13"/>
      <c r="AC429" s="13"/>
      <c r="AD429" s="36"/>
      <c r="AE429" s="13"/>
      <c r="AF429" s="13"/>
      <c r="AG429" s="184"/>
      <c r="AH429" s="37"/>
    </row>
    <row r="430" spans="1:34">
      <c r="A430" s="14">
        <f t="shared" si="154"/>
        <v>46302</v>
      </c>
      <c r="B430" s="11"/>
      <c r="C430" s="12"/>
      <c r="D430" s="12"/>
      <c r="E430" s="13"/>
      <c r="F430" s="12"/>
      <c r="G430" s="12"/>
      <c r="H430" s="12"/>
      <c r="I430" s="12"/>
      <c r="J430" s="13"/>
      <c r="K430" s="184"/>
      <c r="L430" s="26"/>
      <c r="M430" s="22"/>
      <c r="N430" s="29"/>
      <c r="O430" s="50"/>
      <c r="P430" s="13"/>
      <c r="Q430" s="13"/>
      <c r="R430" s="13"/>
      <c r="S430" s="13"/>
      <c r="T430" s="36"/>
      <c r="U430" s="13"/>
      <c r="V430" s="13"/>
      <c r="W430" s="184"/>
      <c r="X430" s="51"/>
      <c r="Y430" s="22"/>
      <c r="Z430" s="38"/>
      <c r="AA430" s="13"/>
      <c r="AB430" s="13"/>
      <c r="AC430" s="13"/>
      <c r="AD430" s="36"/>
      <c r="AE430" s="13"/>
      <c r="AF430" s="13"/>
      <c r="AG430" s="184"/>
      <c r="AH430" s="37"/>
    </row>
    <row r="431" spans="1:34">
      <c r="A431" s="14">
        <f t="shared" si="154"/>
        <v>46303</v>
      </c>
      <c r="B431" s="11"/>
      <c r="C431" s="12"/>
      <c r="D431" s="12"/>
      <c r="E431" s="13"/>
      <c r="F431" s="12"/>
      <c r="G431" s="12"/>
      <c r="H431" s="12"/>
      <c r="I431" s="12"/>
      <c r="J431" s="13"/>
      <c r="K431" s="184"/>
      <c r="L431" s="26"/>
      <c r="M431" s="22"/>
      <c r="N431" s="29"/>
      <c r="O431" s="50"/>
      <c r="P431" s="13"/>
      <c r="Q431" s="13"/>
      <c r="R431" s="13"/>
      <c r="S431" s="13"/>
      <c r="T431" s="36"/>
      <c r="U431" s="13"/>
      <c r="V431" s="13"/>
      <c r="W431" s="184"/>
      <c r="X431" s="37"/>
      <c r="Y431" s="22"/>
      <c r="Z431" s="38"/>
      <c r="AA431" s="13"/>
      <c r="AB431" s="13"/>
      <c r="AC431" s="13"/>
      <c r="AD431" s="36"/>
      <c r="AE431" s="13"/>
      <c r="AF431" s="13"/>
      <c r="AG431" s="184"/>
      <c r="AH431" s="37"/>
    </row>
    <row r="432" spans="1:34">
      <c r="A432" s="14">
        <f t="shared" si="154"/>
        <v>46304</v>
      </c>
      <c r="B432" s="11"/>
      <c r="C432" s="12"/>
      <c r="D432" s="12"/>
      <c r="E432" s="13"/>
      <c r="F432" s="12"/>
      <c r="G432" s="12"/>
      <c r="H432" s="12"/>
      <c r="I432" s="12"/>
      <c r="J432" s="13"/>
      <c r="K432" s="184"/>
      <c r="L432" s="26"/>
      <c r="M432" s="22"/>
      <c r="N432" s="29"/>
      <c r="O432" s="50"/>
      <c r="P432" s="13"/>
      <c r="Q432" s="13"/>
      <c r="R432" s="13"/>
      <c r="S432" s="13"/>
      <c r="T432" s="36"/>
      <c r="U432" s="13"/>
      <c r="V432" s="13"/>
      <c r="W432" s="184"/>
      <c r="X432" s="37"/>
      <c r="Y432" s="22"/>
      <c r="Z432" s="38"/>
      <c r="AA432" s="13"/>
      <c r="AB432" s="13"/>
      <c r="AC432" s="13"/>
      <c r="AD432" s="36"/>
      <c r="AE432" s="13"/>
      <c r="AF432" s="13"/>
      <c r="AG432" s="184"/>
      <c r="AH432" s="37"/>
    </row>
    <row r="433" spans="1:34">
      <c r="A433" s="14">
        <f t="shared" si="154"/>
        <v>46305</v>
      </c>
      <c r="B433" s="11"/>
      <c r="C433" s="12"/>
      <c r="D433" s="12"/>
      <c r="E433" s="13"/>
      <c r="F433" s="12"/>
      <c r="G433" s="12"/>
      <c r="H433" s="12"/>
      <c r="I433" s="12"/>
      <c r="J433" s="13"/>
      <c r="K433" s="184"/>
      <c r="L433" s="26"/>
      <c r="M433" s="22"/>
      <c r="N433" s="29"/>
      <c r="O433" s="50"/>
      <c r="P433" s="13"/>
      <c r="Q433" s="13"/>
      <c r="R433" s="13"/>
      <c r="S433" s="13"/>
      <c r="T433" s="36"/>
      <c r="U433" s="13"/>
      <c r="V433" s="13"/>
      <c r="W433" s="184"/>
      <c r="X433" s="51"/>
      <c r="Y433" s="22"/>
      <c r="Z433" s="38"/>
      <c r="AA433" s="13"/>
      <c r="AB433" s="13"/>
      <c r="AC433" s="13"/>
      <c r="AD433" s="36"/>
      <c r="AE433" s="13"/>
      <c r="AF433" s="13"/>
      <c r="AG433" s="184"/>
      <c r="AH433" s="37"/>
    </row>
    <row r="434" spans="1:34">
      <c r="A434" s="14">
        <f t="shared" si="154"/>
        <v>46306</v>
      </c>
      <c r="B434" s="11"/>
      <c r="C434" s="12"/>
      <c r="D434" s="12"/>
      <c r="E434" s="13"/>
      <c r="F434" s="12"/>
      <c r="G434" s="12"/>
      <c r="H434" s="12"/>
      <c r="I434" s="12"/>
      <c r="J434" s="13"/>
      <c r="K434" s="184"/>
      <c r="L434" s="26"/>
      <c r="M434" s="22"/>
      <c r="N434" s="29"/>
      <c r="O434" s="50"/>
      <c r="P434" s="13"/>
      <c r="Q434" s="13"/>
      <c r="R434" s="13"/>
      <c r="S434" s="13"/>
      <c r="T434" s="36"/>
      <c r="U434" s="13"/>
      <c r="V434" s="13"/>
      <c r="W434" s="184"/>
      <c r="X434" s="51"/>
      <c r="Y434" s="22"/>
      <c r="Z434" s="38"/>
      <c r="AA434" s="13"/>
      <c r="AB434" s="13"/>
      <c r="AC434" s="13"/>
      <c r="AD434" s="36"/>
      <c r="AE434" s="13"/>
      <c r="AF434" s="13"/>
      <c r="AG434" s="184"/>
      <c r="AH434" s="37"/>
    </row>
    <row r="435" spans="1:34">
      <c r="A435" s="14">
        <f t="shared" si="154"/>
        <v>46307</v>
      </c>
      <c r="B435" s="11"/>
      <c r="C435" s="12"/>
      <c r="D435" s="12"/>
      <c r="E435" s="13"/>
      <c r="F435" s="12"/>
      <c r="G435" s="12"/>
      <c r="H435" s="12"/>
      <c r="I435" s="12"/>
      <c r="J435" s="13"/>
      <c r="K435" s="184"/>
      <c r="L435" s="26"/>
      <c r="M435" s="22"/>
      <c r="N435" s="29"/>
      <c r="O435" s="50"/>
      <c r="P435" s="13"/>
      <c r="Q435" s="13"/>
      <c r="R435" s="13"/>
      <c r="S435" s="13"/>
      <c r="T435" s="36"/>
      <c r="U435" s="13"/>
      <c r="V435" s="13"/>
      <c r="W435" s="184"/>
      <c r="X435" s="51"/>
      <c r="Y435" s="22"/>
      <c r="Z435" s="38"/>
      <c r="AA435" s="13"/>
      <c r="AB435" s="13"/>
      <c r="AC435" s="13"/>
      <c r="AD435" s="36"/>
      <c r="AE435" s="13"/>
      <c r="AF435" s="13"/>
      <c r="AG435" s="184"/>
      <c r="AH435" s="37"/>
    </row>
    <row r="436" spans="1:34">
      <c r="A436" s="14">
        <f t="shared" si="154"/>
        <v>46308</v>
      </c>
      <c r="B436" s="11"/>
      <c r="C436" s="12"/>
      <c r="D436" s="12"/>
      <c r="E436" s="13"/>
      <c r="F436" s="12"/>
      <c r="G436" s="12"/>
      <c r="H436" s="12"/>
      <c r="I436" s="12"/>
      <c r="J436" s="13"/>
      <c r="K436" s="184"/>
      <c r="L436" s="26"/>
      <c r="M436" s="22"/>
      <c r="N436" s="29"/>
      <c r="O436" s="50"/>
      <c r="P436" s="13"/>
      <c r="Q436" s="13"/>
      <c r="R436" s="13"/>
      <c r="S436" s="13"/>
      <c r="T436" s="36"/>
      <c r="U436" s="13"/>
      <c r="V436" s="13"/>
      <c r="W436" s="184"/>
      <c r="X436" s="51"/>
      <c r="Y436" s="22"/>
      <c r="Z436" s="38"/>
      <c r="AA436" s="13"/>
      <c r="AB436" s="13"/>
      <c r="AC436" s="13"/>
      <c r="AD436" s="36"/>
      <c r="AE436" s="13"/>
      <c r="AF436" s="13"/>
      <c r="AG436" s="184"/>
      <c r="AH436" s="37"/>
    </row>
    <row r="437" spans="1:34">
      <c r="A437" s="14">
        <f t="shared" si="154"/>
        <v>46309</v>
      </c>
      <c r="B437" s="11"/>
      <c r="C437" s="12"/>
      <c r="D437" s="12"/>
      <c r="E437" s="13"/>
      <c r="F437" s="12"/>
      <c r="G437" s="12"/>
      <c r="H437" s="12"/>
      <c r="I437" s="12"/>
      <c r="J437" s="13"/>
      <c r="K437" s="184"/>
      <c r="L437" s="26"/>
      <c r="M437" s="22"/>
      <c r="N437" s="29"/>
      <c r="O437" s="50"/>
      <c r="P437" s="13"/>
      <c r="Q437" s="13"/>
      <c r="R437" s="13"/>
      <c r="S437" s="13"/>
      <c r="T437" s="36"/>
      <c r="U437" s="13"/>
      <c r="V437" s="13"/>
      <c r="W437" s="184"/>
      <c r="X437" s="51"/>
      <c r="Y437" s="22"/>
      <c r="Z437" s="38"/>
      <c r="AA437" s="13"/>
      <c r="AB437" s="13"/>
      <c r="AC437" s="13"/>
      <c r="AD437" s="36"/>
      <c r="AE437" s="13"/>
      <c r="AF437" s="13"/>
      <c r="AG437" s="184"/>
      <c r="AH437" s="37"/>
    </row>
    <row r="438" spans="1:34">
      <c r="A438" s="14">
        <f t="shared" si="154"/>
        <v>46310</v>
      </c>
      <c r="B438" s="11"/>
      <c r="C438" s="12"/>
      <c r="D438" s="12"/>
      <c r="E438" s="13"/>
      <c r="F438" s="12"/>
      <c r="G438" s="12"/>
      <c r="H438" s="12"/>
      <c r="I438" s="12"/>
      <c r="J438" s="13"/>
      <c r="K438" s="184"/>
      <c r="L438" s="26"/>
      <c r="M438" s="22"/>
      <c r="N438" s="29"/>
      <c r="O438" s="50"/>
      <c r="P438" s="13"/>
      <c r="Q438" s="13"/>
      <c r="R438" s="13"/>
      <c r="S438" s="13"/>
      <c r="T438" s="36"/>
      <c r="U438" s="13"/>
      <c r="V438" s="13"/>
      <c r="W438" s="184"/>
      <c r="X438" s="37"/>
      <c r="Y438" s="22"/>
      <c r="Z438" s="38"/>
      <c r="AA438" s="13"/>
      <c r="AB438" s="13"/>
      <c r="AC438" s="13"/>
      <c r="AD438" s="13"/>
      <c r="AE438" s="13"/>
      <c r="AF438" s="13"/>
      <c r="AG438" s="184"/>
      <c r="AH438" s="37"/>
    </row>
    <row r="439" spans="1:34">
      <c r="A439" s="14">
        <f t="shared" si="154"/>
        <v>46311</v>
      </c>
      <c r="B439" s="11"/>
      <c r="C439" s="12"/>
      <c r="D439" s="12"/>
      <c r="E439" s="13"/>
      <c r="F439" s="12"/>
      <c r="G439" s="12"/>
      <c r="H439" s="12"/>
      <c r="I439" s="12"/>
      <c r="J439" s="13"/>
      <c r="K439" s="184"/>
      <c r="L439" s="26"/>
      <c r="M439" s="22"/>
      <c r="N439" s="29"/>
      <c r="O439" s="50"/>
      <c r="P439" s="13"/>
      <c r="Q439" s="13"/>
      <c r="R439" s="13"/>
      <c r="S439" s="13"/>
      <c r="T439" s="36"/>
      <c r="U439" s="13"/>
      <c r="V439" s="13"/>
      <c r="W439" s="184"/>
      <c r="X439" s="51"/>
      <c r="Y439" s="22"/>
      <c r="Z439" s="38"/>
      <c r="AA439" s="13"/>
      <c r="AB439" s="13"/>
      <c r="AC439" s="13"/>
      <c r="AD439" s="13"/>
      <c r="AE439" s="13"/>
      <c r="AF439" s="13"/>
      <c r="AG439" s="184"/>
      <c r="AH439" s="37"/>
    </row>
    <row r="440" spans="1:34">
      <c r="A440" s="14">
        <f t="shared" si="154"/>
        <v>46312</v>
      </c>
      <c r="B440" s="11"/>
      <c r="C440" s="12"/>
      <c r="D440" s="12"/>
      <c r="E440" s="13"/>
      <c r="F440" s="12"/>
      <c r="G440" s="12"/>
      <c r="H440" s="12"/>
      <c r="I440" s="12"/>
      <c r="J440" s="13"/>
      <c r="K440" s="184"/>
      <c r="L440" s="26"/>
      <c r="M440" s="22"/>
      <c r="N440" s="29"/>
      <c r="O440" s="50"/>
      <c r="P440" s="13"/>
      <c r="Q440" s="13"/>
      <c r="R440" s="13"/>
      <c r="S440" s="13"/>
      <c r="T440" s="36"/>
      <c r="U440" s="13"/>
      <c r="V440" s="13"/>
      <c r="W440" s="184"/>
      <c r="X440" s="37"/>
      <c r="Y440" s="22"/>
      <c r="Z440" s="38"/>
      <c r="AA440" s="13"/>
      <c r="AB440" s="13"/>
      <c r="AC440" s="13"/>
      <c r="AD440" s="13"/>
      <c r="AE440" s="13"/>
      <c r="AF440" s="13"/>
      <c r="AG440" s="184"/>
      <c r="AH440" s="37"/>
    </row>
    <row r="441" spans="1:34">
      <c r="A441" s="14">
        <f t="shared" si="154"/>
        <v>46313</v>
      </c>
      <c r="B441" s="11"/>
      <c r="C441" s="12"/>
      <c r="D441" s="12"/>
      <c r="E441" s="13"/>
      <c r="F441" s="12"/>
      <c r="G441" s="12"/>
      <c r="H441" s="12"/>
      <c r="I441" s="12"/>
      <c r="J441" s="13"/>
      <c r="K441" s="184"/>
      <c r="L441" s="26"/>
      <c r="M441" s="22"/>
      <c r="N441" s="29"/>
      <c r="O441" s="13"/>
      <c r="P441" s="13"/>
      <c r="Q441" s="13"/>
      <c r="R441" s="13"/>
      <c r="S441" s="13"/>
      <c r="T441" s="36"/>
      <c r="U441" s="13"/>
      <c r="V441" s="13"/>
      <c r="W441" s="184"/>
      <c r="X441" s="37"/>
      <c r="Y441" s="22"/>
      <c r="Z441" s="38"/>
      <c r="AA441" s="13"/>
      <c r="AB441" s="13"/>
      <c r="AC441" s="13"/>
      <c r="AD441" s="13"/>
      <c r="AE441" s="13"/>
      <c r="AF441" s="13"/>
      <c r="AG441" s="184"/>
      <c r="AH441" s="37"/>
    </row>
    <row r="442" spans="1:34">
      <c r="A442" s="14">
        <f t="shared" si="154"/>
        <v>46314</v>
      </c>
      <c r="B442" s="11"/>
      <c r="C442" s="12"/>
      <c r="D442" s="12"/>
      <c r="E442" s="13"/>
      <c r="F442" s="12"/>
      <c r="G442" s="12"/>
      <c r="H442" s="12"/>
      <c r="I442" s="12"/>
      <c r="J442" s="13"/>
      <c r="K442" s="184"/>
      <c r="L442" s="26"/>
      <c r="M442" s="22"/>
      <c r="N442" s="29"/>
      <c r="O442" s="13"/>
      <c r="P442" s="13"/>
      <c r="Q442" s="13"/>
      <c r="R442" s="13"/>
      <c r="S442" s="13"/>
      <c r="T442" s="36"/>
      <c r="U442" s="13"/>
      <c r="V442" s="13"/>
      <c r="W442" s="184"/>
      <c r="X442" s="37"/>
      <c r="Y442" s="22"/>
      <c r="Z442" s="38"/>
      <c r="AA442" s="13"/>
      <c r="AB442" s="13"/>
      <c r="AC442" s="13"/>
      <c r="AD442" s="13"/>
      <c r="AE442" s="13"/>
      <c r="AF442" s="13"/>
      <c r="AG442" s="184"/>
      <c r="AH442" s="37"/>
    </row>
    <row r="443" spans="1:34">
      <c r="A443" s="14">
        <f t="shared" si="154"/>
        <v>46315</v>
      </c>
      <c r="B443" s="11"/>
      <c r="C443" s="12"/>
      <c r="D443" s="12"/>
      <c r="E443" s="13"/>
      <c r="F443" s="12"/>
      <c r="G443" s="12"/>
      <c r="H443" s="12"/>
      <c r="I443" s="12"/>
      <c r="J443" s="13"/>
      <c r="K443" s="184"/>
      <c r="L443" s="26"/>
      <c r="M443" s="22"/>
      <c r="N443" s="29"/>
      <c r="O443" s="13"/>
      <c r="P443" s="13"/>
      <c r="Q443" s="13"/>
      <c r="R443" s="13"/>
      <c r="S443" s="13"/>
      <c r="T443" s="36"/>
      <c r="U443" s="13"/>
      <c r="V443" s="13"/>
      <c r="W443" s="184"/>
      <c r="X443" s="37"/>
      <c r="Y443" s="22"/>
      <c r="Z443" s="38"/>
      <c r="AA443" s="13"/>
      <c r="AB443" s="13"/>
      <c r="AC443" s="13"/>
      <c r="AD443" s="36"/>
      <c r="AE443" s="13"/>
      <c r="AF443" s="13"/>
      <c r="AG443" s="184"/>
      <c r="AH443" s="37"/>
    </row>
    <row r="444" spans="1:34">
      <c r="A444" s="14">
        <f t="shared" si="154"/>
        <v>46316</v>
      </c>
      <c r="B444" s="11"/>
      <c r="C444" s="12"/>
      <c r="D444" s="12"/>
      <c r="E444" s="13"/>
      <c r="F444" s="12"/>
      <c r="G444" s="12"/>
      <c r="H444" s="12"/>
      <c r="I444" s="12"/>
      <c r="J444" s="13"/>
      <c r="K444" s="184"/>
      <c r="L444" s="26"/>
      <c r="M444" s="22"/>
      <c r="N444" s="29"/>
      <c r="O444" s="13"/>
      <c r="P444" s="13"/>
      <c r="Q444" s="13"/>
      <c r="R444" s="13"/>
      <c r="S444" s="13"/>
      <c r="T444" s="36"/>
      <c r="U444" s="13"/>
      <c r="V444" s="13"/>
      <c r="W444" s="184"/>
      <c r="X444" s="37"/>
      <c r="Y444" s="22"/>
      <c r="Z444" s="38"/>
      <c r="AA444" s="13"/>
      <c r="AB444" s="13"/>
      <c r="AC444" s="13"/>
      <c r="AD444" s="36"/>
      <c r="AE444" s="13"/>
      <c r="AF444" s="13"/>
      <c r="AG444" s="184"/>
      <c r="AH444" s="37"/>
    </row>
    <row r="445" spans="1:34">
      <c r="A445" s="14">
        <f t="shared" si="154"/>
        <v>46317</v>
      </c>
      <c r="B445" s="11"/>
      <c r="C445" s="12"/>
      <c r="D445" s="12"/>
      <c r="E445" s="13"/>
      <c r="F445" s="12"/>
      <c r="G445" s="12"/>
      <c r="H445" s="12"/>
      <c r="I445" s="12"/>
      <c r="J445" s="13"/>
      <c r="K445" s="184"/>
      <c r="L445" s="26"/>
      <c r="M445" s="22"/>
      <c r="N445" s="29"/>
      <c r="O445" s="13"/>
      <c r="P445" s="13"/>
      <c r="Q445" s="13"/>
      <c r="R445" s="13"/>
      <c r="S445" s="13"/>
      <c r="T445" s="36"/>
      <c r="U445" s="13"/>
      <c r="V445" s="13"/>
      <c r="W445" s="184"/>
      <c r="X445" s="37"/>
      <c r="Y445" s="22"/>
      <c r="Z445" s="38"/>
      <c r="AA445" s="13"/>
      <c r="AB445" s="13"/>
      <c r="AC445" s="13"/>
      <c r="AD445" s="13"/>
      <c r="AE445" s="13"/>
      <c r="AF445" s="13"/>
      <c r="AG445" s="184"/>
      <c r="AH445" s="37"/>
    </row>
    <row r="446" spans="1:34">
      <c r="A446" s="14">
        <f t="shared" si="154"/>
        <v>46318</v>
      </c>
      <c r="B446" s="11"/>
      <c r="C446" s="12"/>
      <c r="D446" s="12"/>
      <c r="E446" s="13"/>
      <c r="F446" s="12"/>
      <c r="G446" s="12"/>
      <c r="H446" s="12"/>
      <c r="I446" s="12"/>
      <c r="J446" s="13"/>
      <c r="K446" s="184"/>
      <c r="L446" s="26"/>
      <c r="M446" s="22"/>
      <c r="N446" s="29"/>
      <c r="O446" s="13"/>
      <c r="P446" s="13"/>
      <c r="Q446" s="13"/>
      <c r="R446" s="13"/>
      <c r="S446" s="13"/>
      <c r="T446" s="36"/>
      <c r="U446" s="13"/>
      <c r="V446" s="13"/>
      <c r="W446" s="184"/>
      <c r="X446" s="37"/>
      <c r="Y446" s="22"/>
      <c r="Z446" s="38"/>
      <c r="AA446" s="13"/>
      <c r="AB446" s="13"/>
      <c r="AC446" s="13"/>
      <c r="AD446" s="13"/>
      <c r="AE446" s="13"/>
      <c r="AF446" s="13"/>
      <c r="AG446" s="184"/>
      <c r="AH446" s="37"/>
    </row>
    <row r="447" spans="1:34">
      <c r="A447" s="14">
        <f t="shared" si="154"/>
        <v>46319</v>
      </c>
      <c r="B447" s="11"/>
      <c r="C447" s="12"/>
      <c r="D447" s="12"/>
      <c r="E447" s="13"/>
      <c r="F447" s="12"/>
      <c r="G447" s="12"/>
      <c r="H447" s="12"/>
      <c r="I447" s="12"/>
      <c r="J447" s="13"/>
      <c r="K447" s="184"/>
      <c r="L447" s="26"/>
      <c r="M447" s="22"/>
      <c r="N447" s="29"/>
      <c r="O447" s="13"/>
      <c r="P447" s="13"/>
      <c r="Q447" s="13"/>
      <c r="R447" s="13"/>
      <c r="S447" s="13"/>
      <c r="T447" s="36"/>
      <c r="U447" s="13"/>
      <c r="V447" s="13"/>
      <c r="W447" s="184"/>
      <c r="X447" s="37"/>
      <c r="Y447" s="22"/>
      <c r="Z447" s="38"/>
      <c r="AA447" s="13"/>
      <c r="AB447" s="13"/>
      <c r="AC447" s="13"/>
      <c r="AD447" s="36"/>
      <c r="AE447" s="13"/>
      <c r="AF447" s="13"/>
      <c r="AG447" s="184"/>
      <c r="AH447" s="37"/>
    </row>
    <row r="448" spans="1:34">
      <c r="A448" s="14">
        <f t="shared" si="154"/>
        <v>46320</v>
      </c>
      <c r="B448" s="11"/>
      <c r="C448" s="12"/>
      <c r="D448" s="12"/>
      <c r="E448" s="13"/>
      <c r="F448" s="12"/>
      <c r="G448" s="12"/>
      <c r="H448" s="12"/>
      <c r="I448" s="12"/>
      <c r="J448" s="13"/>
      <c r="K448" s="184"/>
      <c r="L448" s="26"/>
      <c r="M448" s="22"/>
      <c r="N448" s="29"/>
      <c r="O448" s="13"/>
      <c r="P448" s="13"/>
      <c r="Q448" s="13"/>
      <c r="R448" s="13"/>
      <c r="S448" s="13"/>
      <c r="T448" s="36"/>
      <c r="U448" s="13"/>
      <c r="V448" s="13"/>
      <c r="W448" s="184"/>
      <c r="X448" s="37"/>
      <c r="Y448" s="22"/>
      <c r="Z448" s="38"/>
      <c r="AA448" s="13"/>
      <c r="AB448" s="13"/>
      <c r="AC448" s="13"/>
      <c r="AD448" s="13"/>
      <c r="AE448" s="13"/>
      <c r="AF448" s="13"/>
      <c r="AG448" s="184"/>
      <c r="AH448" s="37"/>
    </row>
    <row r="449" spans="1:34">
      <c r="A449" s="14">
        <f t="shared" si="154"/>
        <v>46321</v>
      </c>
      <c r="B449" s="11"/>
      <c r="C449" s="12"/>
      <c r="D449" s="12"/>
      <c r="E449" s="13"/>
      <c r="F449" s="12"/>
      <c r="G449" s="12"/>
      <c r="H449" s="12"/>
      <c r="I449" s="12"/>
      <c r="J449" s="13"/>
      <c r="K449" s="184"/>
      <c r="L449" s="26"/>
      <c r="M449" s="22"/>
      <c r="N449" s="29"/>
      <c r="O449" s="13"/>
      <c r="P449" s="13"/>
      <c r="Q449" s="13"/>
      <c r="R449" s="13"/>
      <c r="S449" s="13"/>
      <c r="T449" s="36"/>
      <c r="U449" s="13"/>
      <c r="V449" s="13"/>
      <c r="W449" s="184"/>
      <c r="X449" s="51"/>
      <c r="Y449" s="22"/>
      <c r="Z449" s="38"/>
      <c r="AA449" s="13"/>
      <c r="AB449" s="13"/>
      <c r="AC449" s="13"/>
      <c r="AD449" s="13"/>
      <c r="AE449" s="13"/>
      <c r="AF449" s="13"/>
      <c r="AG449" s="184"/>
      <c r="AH449" s="37"/>
    </row>
    <row r="450" spans="1:34">
      <c r="A450" s="14">
        <f t="shared" si="154"/>
        <v>46322</v>
      </c>
      <c r="B450" s="11"/>
      <c r="C450" s="12"/>
      <c r="D450" s="12"/>
      <c r="E450" s="13"/>
      <c r="F450" s="12"/>
      <c r="G450" s="12"/>
      <c r="H450" s="12"/>
      <c r="I450" s="12"/>
      <c r="J450" s="13"/>
      <c r="K450" s="184"/>
      <c r="L450" s="26"/>
      <c r="M450" s="22"/>
      <c r="N450" s="29"/>
      <c r="O450" s="13"/>
      <c r="P450" s="13"/>
      <c r="Q450" s="13"/>
      <c r="R450" s="13"/>
      <c r="S450" s="13"/>
      <c r="T450" s="36"/>
      <c r="U450" s="13"/>
      <c r="V450" s="13"/>
      <c r="W450" s="184"/>
      <c r="X450" s="37"/>
      <c r="Y450" s="22"/>
      <c r="Z450" s="38"/>
      <c r="AA450" s="13"/>
      <c r="AB450" s="13"/>
      <c r="AC450" s="13"/>
      <c r="AD450" s="36"/>
      <c r="AE450" s="13"/>
      <c r="AF450" s="13"/>
      <c r="AG450" s="184"/>
      <c r="AH450" s="37"/>
    </row>
    <row r="451" spans="1:34">
      <c r="A451" s="14">
        <f t="shared" si="154"/>
        <v>46323</v>
      </c>
      <c r="B451" s="11"/>
      <c r="C451" s="12"/>
      <c r="D451" s="12"/>
      <c r="E451" s="13"/>
      <c r="F451" s="12"/>
      <c r="G451" s="12"/>
      <c r="H451" s="12"/>
      <c r="I451" s="12"/>
      <c r="J451" s="13"/>
      <c r="K451" s="184"/>
      <c r="L451" s="26"/>
      <c r="M451" s="22"/>
      <c r="N451" s="29"/>
      <c r="O451" s="13"/>
      <c r="P451" s="13"/>
      <c r="Q451" s="13"/>
      <c r="R451" s="13"/>
      <c r="S451" s="13"/>
      <c r="T451" s="36"/>
      <c r="U451" s="13"/>
      <c r="V451" s="13"/>
      <c r="W451" s="184"/>
      <c r="X451" s="37"/>
      <c r="Y451" s="22"/>
      <c r="Z451" s="38"/>
      <c r="AA451" s="13"/>
      <c r="AB451" s="13"/>
      <c r="AC451" s="13"/>
      <c r="AD451" s="36"/>
      <c r="AE451" s="13"/>
      <c r="AF451" s="13"/>
      <c r="AG451" s="184"/>
      <c r="AH451" s="37"/>
    </row>
    <row r="452" spans="1:34">
      <c r="A452" s="14">
        <f t="shared" si="154"/>
        <v>46324</v>
      </c>
      <c r="B452" s="11"/>
      <c r="C452" s="12"/>
      <c r="D452" s="12"/>
      <c r="E452" s="13"/>
      <c r="F452" s="12"/>
      <c r="G452" s="12"/>
      <c r="H452" s="12"/>
      <c r="I452" s="12"/>
      <c r="J452" s="13"/>
      <c r="K452" s="184"/>
      <c r="L452" s="26"/>
      <c r="M452" s="22"/>
      <c r="N452" s="29"/>
      <c r="O452" s="13"/>
      <c r="P452" s="13"/>
      <c r="Q452" s="13"/>
      <c r="R452" s="13"/>
      <c r="S452" s="13"/>
      <c r="T452" s="36"/>
      <c r="U452" s="13"/>
      <c r="V452" s="13"/>
      <c r="W452" s="184"/>
      <c r="X452" s="37"/>
      <c r="Y452" s="22"/>
      <c r="Z452" s="38"/>
      <c r="AA452" s="13"/>
      <c r="AB452" s="13"/>
      <c r="AC452" s="13"/>
      <c r="AD452" s="36"/>
      <c r="AE452" s="13"/>
      <c r="AF452" s="13"/>
      <c r="AG452" s="184"/>
      <c r="AH452" s="37"/>
    </row>
    <row r="453" spans="1:34">
      <c r="A453" s="14">
        <f t="shared" si="154"/>
        <v>46325</v>
      </c>
      <c r="B453" s="11"/>
      <c r="C453" s="12"/>
      <c r="D453" s="12"/>
      <c r="E453" s="13"/>
      <c r="F453" s="12"/>
      <c r="G453" s="12"/>
      <c r="H453" s="12"/>
      <c r="I453" s="12"/>
      <c r="J453" s="13"/>
      <c r="K453" s="184"/>
      <c r="L453" s="26"/>
      <c r="M453" s="22"/>
      <c r="N453" s="29"/>
      <c r="O453" s="13"/>
      <c r="P453" s="13"/>
      <c r="Q453" s="13"/>
      <c r="R453" s="13"/>
      <c r="S453" s="13"/>
      <c r="T453" s="36"/>
      <c r="U453" s="13"/>
      <c r="V453" s="13"/>
      <c r="W453" s="184"/>
      <c r="X453" s="37"/>
      <c r="Y453" s="22"/>
      <c r="Z453" s="38"/>
      <c r="AA453" s="13"/>
      <c r="AB453" s="13"/>
      <c r="AC453" s="13"/>
      <c r="AD453" s="13"/>
      <c r="AE453" s="13"/>
      <c r="AF453" s="13"/>
      <c r="AG453" s="184"/>
      <c r="AH453" s="37"/>
    </row>
    <row r="454" spans="1:34" ht="15.75" thickBot="1">
      <c r="A454" s="15">
        <f t="shared" si="154"/>
        <v>46326</v>
      </c>
      <c r="B454" s="11"/>
      <c r="C454" s="12"/>
      <c r="D454" s="12"/>
      <c r="E454" s="13"/>
      <c r="F454" s="12"/>
      <c r="G454" s="12"/>
      <c r="H454" s="12"/>
      <c r="I454" s="12"/>
      <c r="J454" s="13"/>
      <c r="K454" s="184"/>
      <c r="L454" s="26"/>
      <c r="M454" s="22"/>
      <c r="N454" s="29"/>
      <c r="O454" s="13"/>
      <c r="P454" s="47"/>
      <c r="Q454" s="47"/>
      <c r="R454" s="47"/>
      <c r="S454" s="47"/>
      <c r="T454" s="52"/>
      <c r="U454" s="47"/>
      <c r="V454" s="47"/>
      <c r="W454" s="184"/>
      <c r="X454" s="48"/>
      <c r="Y454" s="22"/>
      <c r="Z454" s="38"/>
      <c r="AA454" s="13"/>
      <c r="AB454" s="13"/>
      <c r="AC454" s="13"/>
      <c r="AD454" s="13"/>
      <c r="AE454" s="13"/>
      <c r="AF454" s="13"/>
      <c r="AG454" s="184"/>
      <c r="AH454" s="37"/>
    </row>
    <row r="455" spans="1:34">
      <c r="A455" s="16" t="s">
        <v>31</v>
      </c>
      <c r="B455" s="17">
        <f>MIN(B424:B454)</f>
        <v>0</v>
      </c>
      <c r="C455" s="17">
        <f>MIN(C424:C454)</f>
        <v>0</v>
      </c>
      <c r="D455" s="17">
        <f t="shared" ref="D455:L455" si="155">MIN(D424:D454)</f>
        <v>0</v>
      </c>
      <c r="E455" s="17">
        <f t="shared" si="155"/>
        <v>0</v>
      </c>
      <c r="F455" s="17">
        <f t="shared" si="155"/>
        <v>0</v>
      </c>
      <c r="G455" s="17">
        <f t="shared" si="155"/>
        <v>0</v>
      </c>
      <c r="H455" s="17">
        <f t="shared" si="155"/>
        <v>0</v>
      </c>
      <c r="I455" s="17">
        <f t="shared" si="155"/>
        <v>0</v>
      </c>
      <c r="J455" s="17">
        <f t="shared" si="155"/>
        <v>0</v>
      </c>
      <c r="K455" s="17">
        <f t="shared" si="155"/>
        <v>0</v>
      </c>
      <c r="L455" s="30">
        <f t="shared" si="155"/>
        <v>0</v>
      </c>
      <c r="M455" s="22"/>
      <c r="N455" s="17">
        <f>MIN(N424:N454)</f>
        <v>0</v>
      </c>
      <c r="O455" s="17">
        <f>MIN(O424:O454)</f>
        <v>0</v>
      </c>
      <c r="P455" s="17">
        <f t="shared" ref="P455:X455" si="156">MIN(P424:P454)</f>
        <v>0</v>
      </c>
      <c r="Q455" s="17">
        <f t="shared" si="156"/>
        <v>0</v>
      </c>
      <c r="R455" s="17">
        <f t="shared" si="156"/>
        <v>0</v>
      </c>
      <c r="S455" s="17">
        <f t="shared" si="156"/>
        <v>0</v>
      </c>
      <c r="T455" s="17">
        <f t="shared" si="156"/>
        <v>0</v>
      </c>
      <c r="U455" s="17">
        <f t="shared" si="156"/>
        <v>0</v>
      </c>
      <c r="V455" s="17">
        <f t="shared" si="156"/>
        <v>0</v>
      </c>
      <c r="W455" s="17">
        <f t="shared" si="156"/>
        <v>0</v>
      </c>
      <c r="X455" s="30">
        <f t="shared" si="156"/>
        <v>0</v>
      </c>
      <c r="Z455" s="40">
        <f t="shared" ref="Z455:AH455" si="157">MIN(Z424:Z454)</f>
        <v>0</v>
      </c>
      <c r="AA455" s="17">
        <f t="shared" si="157"/>
        <v>0</v>
      </c>
      <c r="AB455" s="17">
        <f t="shared" si="157"/>
        <v>0</v>
      </c>
      <c r="AC455" s="17">
        <f t="shared" si="157"/>
        <v>0</v>
      </c>
      <c r="AD455" s="17">
        <f t="shared" si="157"/>
        <v>0</v>
      </c>
      <c r="AE455" s="17">
        <f t="shared" si="157"/>
        <v>0</v>
      </c>
      <c r="AF455" s="17">
        <f t="shared" si="157"/>
        <v>0</v>
      </c>
      <c r="AG455" s="17">
        <f t="shared" si="157"/>
        <v>0</v>
      </c>
      <c r="AH455" s="30">
        <f t="shared" si="157"/>
        <v>0</v>
      </c>
    </row>
    <row r="456" spans="1:34">
      <c r="A456" s="18" t="s">
        <v>33</v>
      </c>
      <c r="B456" s="19">
        <f>MAX(B424:B454)</f>
        <v>0</v>
      </c>
      <c r="C456" s="19">
        <f>MAX(C424:C454)</f>
        <v>0</v>
      </c>
      <c r="D456" s="19">
        <f t="shared" ref="D456:L456" si="158">MAX(D424:D454)</f>
        <v>0</v>
      </c>
      <c r="E456" s="19">
        <f t="shared" si="158"/>
        <v>0</v>
      </c>
      <c r="F456" s="19">
        <f t="shared" si="158"/>
        <v>0</v>
      </c>
      <c r="G456" s="19">
        <f t="shared" si="158"/>
        <v>0</v>
      </c>
      <c r="H456" s="19">
        <f t="shared" si="158"/>
        <v>0</v>
      </c>
      <c r="I456" s="19">
        <f t="shared" si="158"/>
        <v>0</v>
      </c>
      <c r="J456" s="19">
        <f t="shared" si="158"/>
        <v>0</v>
      </c>
      <c r="K456" s="19">
        <f t="shared" si="158"/>
        <v>0</v>
      </c>
      <c r="L456" s="31">
        <f t="shared" si="158"/>
        <v>0</v>
      </c>
      <c r="M456" s="22"/>
      <c r="N456" s="19">
        <f>MAX(N424:N454)</f>
        <v>0</v>
      </c>
      <c r="O456" s="19">
        <f>MAX(O424:O454)</f>
        <v>0</v>
      </c>
      <c r="P456" s="19">
        <f t="shared" ref="P456:X456" si="159">MAX(P424:P454)</f>
        <v>0</v>
      </c>
      <c r="Q456" s="19">
        <f t="shared" si="159"/>
        <v>0</v>
      </c>
      <c r="R456" s="19">
        <f t="shared" si="159"/>
        <v>0</v>
      </c>
      <c r="S456" s="19">
        <f t="shared" si="159"/>
        <v>0</v>
      </c>
      <c r="T456" s="19">
        <f t="shared" si="159"/>
        <v>0</v>
      </c>
      <c r="U456" s="19">
        <f t="shared" si="159"/>
        <v>0</v>
      </c>
      <c r="V456" s="19">
        <f t="shared" si="159"/>
        <v>0</v>
      </c>
      <c r="W456" s="19">
        <f t="shared" si="159"/>
        <v>0</v>
      </c>
      <c r="X456" s="31">
        <f t="shared" si="159"/>
        <v>0</v>
      </c>
      <c r="Z456" s="41">
        <f t="shared" ref="Z456:AH456" si="160">MAX(Z424:Z454)</f>
        <v>0</v>
      </c>
      <c r="AA456" s="19">
        <f t="shared" si="160"/>
        <v>0</v>
      </c>
      <c r="AB456" s="19">
        <f t="shared" si="160"/>
        <v>0</v>
      </c>
      <c r="AC456" s="19">
        <f t="shared" si="160"/>
        <v>0</v>
      </c>
      <c r="AD456" s="19">
        <f t="shared" si="160"/>
        <v>0</v>
      </c>
      <c r="AE456" s="19">
        <f t="shared" si="160"/>
        <v>0</v>
      </c>
      <c r="AF456" s="19">
        <f t="shared" si="160"/>
        <v>0</v>
      </c>
      <c r="AG456" s="19">
        <f t="shared" si="160"/>
        <v>0</v>
      </c>
      <c r="AH456" s="31">
        <f t="shared" si="160"/>
        <v>0</v>
      </c>
    </row>
    <row r="457" spans="1:34">
      <c r="A457" s="18" t="s">
        <v>36</v>
      </c>
      <c r="B457" s="19" t="e">
        <f t="shared" ref="B457:L457" si="161">AVERAGE(B424:B454)</f>
        <v>#DIV/0!</v>
      </c>
      <c r="C457" s="19" t="e">
        <f t="shared" si="161"/>
        <v>#DIV/0!</v>
      </c>
      <c r="D457" s="19" t="e">
        <f t="shared" si="161"/>
        <v>#DIV/0!</v>
      </c>
      <c r="E457" s="19" t="e">
        <f t="shared" si="161"/>
        <v>#DIV/0!</v>
      </c>
      <c r="F457" s="19" t="e">
        <f t="shared" si="161"/>
        <v>#DIV/0!</v>
      </c>
      <c r="G457" s="19" t="e">
        <f t="shared" si="161"/>
        <v>#DIV/0!</v>
      </c>
      <c r="H457" s="19" t="e">
        <f t="shared" si="161"/>
        <v>#DIV/0!</v>
      </c>
      <c r="I457" s="19" t="e">
        <f t="shared" si="161"/>
        <v>#DIV/0!</v>
      </c>
      <c r="J457" s="19" t="e">
        <f t="shared" si="161"/>
        <v>#DIV/0!</v>
      </c>
      <c r="K457" s="19" t="e">
        <f t="shared" si="161"/>
        <v>#DIV/0!</v>
      </c>
      <c r="L457" s="31" t="e">
        <f t="shared" si="161"/>
        <v>#DIV/0!</v>
      </c>
      <c r="M457" s="22"/>
      <c r="N457" s="19" t="e">
        <f t="shared" ref="N457:X457" si="162">AVERAGE(N424:N454)</f>
        <v>#DIV/0!</v>
      </c>
      <c r="O457" s="19" t="e">
        <f t="shared" si="162"/>
        <v>#DIV/0!</v>
      </c>
      <c r="P457" s="19" t="e">
        <f t="shared" si="162"/>
        <v>#DIV/0!</v>
      </c>
      <c r="Q457" s="19" t="e">
        <f t="shared" si="162"/>
        <v>#DIV/0!</v>
      </c>
      <c r="R457" s="19" t="e">
        <f t="shared" si="162"/>
        <v>#DIV/0!</v>
      </c>
      <c r="S457" s="19" t="e">
        <f t="shared" si="162"/>
        <v>#DIV/0!</v>
      </c>
      <c r="T457" s="19" t="e">
        <f t="shared" si="162"/>
        <v>#DIV/0!</v>
      </c>
      <c r="U457" s="19" t="e">
        <f t="shared" si="162"/>
        <v>#DIV/0!</v>
      </c>
      <c r="V457" s="19" t="e">
        <f t="shared" si="162"/>
        <v>#DIV/0!</v>
      </c>
      <c r="W457" s="19" t="e">
        <f t="shared" si="162"/>
        <v>#DIV/0!</v>
      </c>
      <c r="X457" s="31" t="e">
        <f t="shared" si="162"/>
        <v>#DIV/0!</v>
      </c>
      <c r="Z457" s="41" t="e">
        <f>AVERAGE(Z424:Z454)</f>
        <v>#DIV/0!</v>
      </c>
      <c r="AA457" s="19" t="e">
        <f t="shared" ref="AA457:AH457" si="163">AVERAGE(AA424:AA454)</f>
        <v>#DIV/0!</v>
      </c>
      <c r="AB457" s="19" t="e">
        <f t="shared" si="163"/>
        <v>#DIV/0!</v>
      </c>
      <c r="AC457" s="19" t="e">
        <f t="shared" si="163"/>
        <v>#DIV/0!</v>
      </c>
      <c r="AD457" s="19" t="e">
        <f t="shared" si="163"/>
        <v>#DIV/0!</v>
      </c>
      <c r="AE457" s="19" t="e">
        <f t="shared" si="163"/>
        <v>#DIV/0!</v>
      </c>
      <c r="AF457" s="19" t="e">
        <f t="shared" si="163"/>
        <v>#DIV/0!</v>
      </c>
      <c r="AG457" s="19" t="e">
        <f t="shared" si="163"/>
        <v>#DIV/0!</v>
      </c>
      <c r="AH457" s="31" t="e">
        <f t="shared" si="163"/>
        <v>#DIV/0!</v>
      </c>
    </row>
    <row r="458" spans="1:34" ht="15.75" thickBot="1">
      <c r="A458" s="20" t="s">
        <v>130</v>
      </c>
      <c r="B458" s="21" t="e">
        <f>STDEV(B424:B454)</f>
        <v>#DIV/0!</v>
      </c>
      <c r="C458" s="21" t="e">
        <f t="shared" ref="C458:L458" si="164">STDEV(C424:C454)</f>
        <v>#DIV/0!</v>
      </c>
      <c r="D458" s="21" t="e">
        <f t="shared" si="164"/>
        <v>#DIV/0!</v>
      </c>
      <c r="E458" s="21" t="e">
        <f t="shared" si="164"/>
        <v>#DIV/0!</v>
      </c>
      <c r="F458" s="21" t="e">
        <f t="shared" si="164"/>
        <v>#DIV/0!</v>
      </c>
      <c r="G458" s="21" t="e">
        <f t="shared" si="164"/>
        <v>#DIV/0!</v>
      </c>
      <c r="H458" s="21" t="e">
        <f t="shared" si="164"/>
        <v>#DIV/0!</v>
      </c>
      <c r="I458" s="21" t="e">
        <f t="shared" si="164"/>
        <v>#DIV/0!</v>
      </c>
      <c r="J458" s="21" t="e">
        <f t="shared" si="164"/>
        <v>#DIV/0!</v>
      </c>
      <c r="K458" s="21" t="e">
        <f t="shared" si="164"/>
        <v>#DIV/0!</v>
      </c>
      <c r="L458" s="32" t="e">
        <f t="shared" si="164"/>
        <v>#DIV/0!</v>
      </c>
      <c r="M458" s="22"/>
      <c r="N458" s="21" t="e">
        <f>STDEV(N424:N454)</f>
        <v>#DIV/0!</v>
      </c>
      <c r="O458" s="21" t="e">
        <f t="shared" ref="O458:X458" si="165">STDEV(O424:O454)</f>
        <v>#DIV/0!</v>
      </c>
      <c r="P458" s="21" t="e">
        <f t="shared" si="165"/>
        <v>#DIV/0!</v>
      </c>
      <c r="Q458" s="21" t="e">
        <f t="shared" si="165"/>
        <v>#DIV/0!</v>
      </c>
      <c r="R458" s="21" t="e">
        <f t="shared" si="165"/>
        <v>#DIV/0!</v>
      </c>
      <c r="S458" s="21" t="e">
        <f t="shared" si="165"/>
        <v>#DIV/0!</v>
      </c>
      <c r="T458" s="21" t="e">
        <f t="shared" si="165"/>
        <v>#DIV/0!</v>
      </c>
      <c r="U458" s="21" t="e">
        <f t="shared" si="165"/>
        <v>#DIV/0!</v>
      </c>
      <c r="V458" s="21" t="e">
        <f t="shared" si="165"/>
        <v>#DIV/0!</v>
      </c>
      <c r="W458" s="21" t="e">
        <f t="shared" si="165"/>
        <v>#DIV/0!</v>
      </c>
      <c r="X458" s="32" t="e">
        <f t="shared" si="165"/>
        <v>#DIV/0!</v>
      </c>
      <c r="Z458" s="42" t="e">
        <f>STDEV(Z424:Z454)</f>
        <v>#DIV/0!</v>
      </c>
      <c r="AA458" s="21" t="e">
        <f t="shared" ref="AA458:AH458" si="166">STDEV(AA424:AA454)</f>
        <v>#DIV/0!</v>
      </c>
      <c r="AB458" s="21" t="e">
        <f t="shared" si="166"/>
        <v>#DIV/0!</v>
      </c>
      <c r="AC458" s="21" t="e">
        <f t="shared" si="166"/>
        <v>#DIV/0!</v>
      </c>
      <c r="AD458" s="21" t="e">
        <f t="shared" si="166"/>
        <v>#DIV/0!</v>
      </c>
      <c r="AE458" s="21" t="e">
        <f t="shared" si="166"/>
        <v>#DIV/0!</v>
      </c>
      <c r="AF458" s="21" t="e">
        <f t="shared" si="166"/>
        <v>#DIV/0!</v>
      </c>
      <c r="AG458" s="21" t="e">
        <f t="shared" si="166"/>
        <v>#DIV/0!</v>
      </c>
      <c r="AH458" s="32" t="e">
        <f t="shared" si="166"/>
        <v>#DIV/0!</v>
      </c>
    </row>
    <row r="459" spans="1:34" ht="15.75" thickBot="1"/>
    <row r="460" spans="1:34" ht="15.75" thickBot="1">
      <c r="A460" s="1"/>
      <c r="B460" s="338" t="s">
        <v>0</v>
      </c>
      <c r="C460" s="339"/>
      <c r="D460" s="339"/>
      <c r="E460" s="339"/>
      <c r="F460" s="339"/>
      <c r="G460" s="339"/>
      <c r="H460" s="339"/>
      <c r="I460" s="339"/>
      <c r="J460" s="339"/>
      <c r="K460" s="339"/>
      <c r="L460" s="339"/>
      <c r="M460" s="339"/>
      <c r="N460" s="339"/>
      <c r="O460" s="339"/>
      <c r="P460" s="339"/>
      <c r="Q460" s="339"/>
      <c r="R460" s="339"/>
      <c r="S460" s="339"/>
      <c r="T460" s="339"/>
      <c r="U460" s="339"/>
      <c r="V460" s="339"/>
      <c r="W460" s="339"/>
      <c r="X460" s="339"/>
      <c r="Y460" s="339"/>
      <c r="Z460" s="339"/>
      <c r="AA460" s="339"/>
      <c r="AB460" s="339"/>
      <c r="AC460" s="339"/>
      <c r="AD460" s="339"/>
      <c r="AE460" s="339"/>
      <c r="AF460" s="339"/>
      <c r="AG460" s="339"/>
      <c r="AH460" s="363"/>
    </row>
    <row r="461" spans="1:34" ht="15.75" thickBot="1">
      <c r="A461" s="1"/>
      <c r="B461" s="338" t="s">
        <v>172</v>
      </c>
      <c r="C461" s="339"/>
      <c r="D461" s="339"/>
      <c r="E461" s="339"/>
      <c r="F461" s="339"/>
      <c r="G461" s="339"/>
      <c r="H461" s="339"/>
      <c r="I461" s="339"/>
      <c r="J461" s="339"/>
      <c r="K461" s="339"/>
      <c r="L461" s="339"/>
      <c r="M461" s="339"/>
      <c r="N461" s="339"/>
      <c r="O461" s="339"/>
      <c r="P461" s="339"/>
      <c r="Q461" s="339"/>
      <c r="R461" s="339"/>
      <c r="S461" s="339"/>
      <c r="T461" s="339"/>
      <c r="U461" s="339"/>
      <c r="V461" s="339"/>
      <c r="W461" s="339"/>
      <c r="X461" s="339"/>
      <c r="Y461" s="339"/>
      <c r="Z461" s="339"/>
      <c r="AA461" s="339"/>
      <c r="AB461" s="339"/>
      <c r="AC461" s="339"/>
      <c r="AD461" s="4"/>
      <c r="AE461" s="43" t="s">
        <v>107</v>
      </c>
      <c r="AF461" s="341">
        <v>46327</v>
      </c>
      <c r="AG461" s="342"/>
      <c r="AH461" s="343"/>
    </row>
    <row r="462" spans="1:34">
      <c r="A462" s="344"/>
      <c r="B462" s="346" t="s">
        <v>132</v>
      </c>
      <c r="C462" s="347"/>
      <c r="D462" s="347"/>
      <c r="E462" s="347"/>
      <c r="F462" s="347"/>
      <c r="G462" s="347"/>
      <c r="H462" s="347"/>
      <c r="I462" s="347"/>
      <c r="J462" s="347"/>
      <c r="K462" s="348"/>
      <c r="L462" s="349"/>
      <c r="M462" s="22"/>
      <c r="N462" s="350" t="s">
        <v>133</v>
      </c>
      <c r="O462" s="347"/>
      <c r="P462" s="347"/>
      <c r="Q462" s="347"/>
      <c r="R462" s="347"/>
      <c r="S462" s="347"/>
      <c r="T462" s="347"/>
      <c r="U462" s="347"/>
      <c r="V462" s="347"/>
      <c r="W462" s="348"/>
      <c r="X462" s="349"/>
      <c r="Y462" s="22"/>
      <c r="Z462" s="346" t="s">
        <v>134</v>
      </c>
      <c r="AA462" s="347"/>
      <c r="AB462" s="347"/>
      <c r="AC462" s="347"/>
      <c r="AD462" s="347"/>
      <c r="AE462" s="347"/>
      <c r="AF462" s="347"/>
      <c r="AG462" s="348"/>
      <c r="AH462" s="349"/>
    </row>
    <row r="463" spans="1:34" ht="25.5">
      <c r="A463" s="345"/>
      <c r="B463" s="359" t="s">
        <v>135</v>
      </c>
      <c r="C463" s="361" t="s">
        <v>136</v>
      </c>
      <c r="D463" s="5" t="s">
        <v>137</v>
      </c>
      <c r="E463" s="5" t="s">
        <v>138</v>
      </c>
      <c r="F463" s="5" t="s">
        <v>139</v>
      </c>
      <c r="G463" s="5" t="s">
        <v>140</v>
      </c>
      <c r="H463" s="5" t="s">
        <v>141</v>
      </c>
      <c r="I463" s="5" t="s">
        <v>142</v>
      </c>
      <c r="J463" s="5" t="s">
        <v>143</v>
      </c>
      <c r="K463" s="181" t="s">
        <v>81</v>
      </c>
      <c r="L463" s="23" t="s">
        <v>144</v>
      </c>
      <c r="M463" s="22"/>
      <c r="N463" s="355" t="s">
        <v>135</v>
      </c>
      <c r="O463" s="357" t="s">
        <v>136</v>
      </c>
      <c r="P463" s="5" t="s">
        <v>137</v>
      </c>
      <c r="Q463" s="5" t="s">
        <v>138</v>
      </c>
      <c r="R463" s="5" t="s">
        <v>139</v>
      </c>
      <c r="S463" s="5" t="s">
        <v>140</v>
      </c>
      <c r="T463" s="5" t="s">
        <v>141</v>
      </c>
      <c r="U463" s="5" t="s">
        <v>142</v>
      </c>
      <c r="V463" s="5" t="s">
        <v>143</v>
      </c>
      <c r="W463" s="181" t="s">
        <v>81</v>
      </c>
      <c r="X463" s="23" t="s">
        <v>144</v>
      </c>
      <c r="Y463" s="22"/>
      <c r="Z463" s="33" t="s">
        <v>137</v>
      </c>
      <c r="AA463" s="5" t="s">
        <v>138</v>
      </c>
      <c r="AB463" s="5" t="s">
        <v>139</v>
      </c>
      <c r="AC463" s="5" t="s">
        <v>140</v>
      </c>
      <c r="AD463" s="5" t="s">
        <v>141</v>
      </c>
      <c r="AE463" s="5" t="s">
        <v>142</v>
      </c>
      <c r="AF463" s="5" t="s">
        <v>143</v>
      </c>
      <c r="AG463" s="181" t="s">
        <v>81</v>
      </c>
      <c r="AH463" s="23" t="s">
        <v>144</v>
      </c>
    </row>
    <row r="464" spans="1:34" ht="25.5">
      <c r="A464" s="6" t="s">
        <v>145</v>
      </c>
      <c r="B464" s="360"/>
      <c r="C464" s="362"/>
      <c r="D464" s="5" t="s">
        <v>128</v>
      </c>
      <c r="E464" s="5" t="s">
        <v>128</v>
      </c>
      <c r="F464" s="5" t="s">
        <v>128</v>
      </c>
      <c r="G464" s="5" t="s">
        <v>128</v>
      </c>
      <c r="H464" s="5" t="s">
        <v>125</v>
      </c>
      <c r="I464" s="5" t="s">
        <v>146</v>
      </c>
      <c r="J464" s="5" t="s">
        <v>127</v>
      </c>
      <c r="K464" s="181" t="s">
        <v>53</v>
      </c>
      <c r="L464" s="23" t="s">
        <v>53</v>
      </c>
      <c r="M464" s="22"/>
      <c r="N464" s="356"/>
      <c r="O464" s="358"/>
      <c r="P464" s="5" t="s">
        <v>128</v>
      </c>
      <c r="Q464" s="5" t="s">
        <v>128</v>
      </c>
      <c r="R464" s="5" t="s">
        <v>128</v>
      </c>
      <c r="S464" s="5" t="s">
        <v>128</v>
      </c>
      <c r="T464" s="5" t="s">
        <v>125</v>
      </c>
      <c r="U464" s="5" t="s">
        <v>146</v>
      </c>
      <c r="V464" s="5" t="s">
        <v>127</v>
      </c>
      <c r="W464" s="181" t="s">
        <v>53</v>
      </c>
      <c r="X464" s="23" t="s">
        <v>53</v>
      </c>
      <c r="Y464" s="22"/>
      <c r="Z464" s="33" t="s">
        <v>128</v>
      </c>
      <c r="AA464" s="5" t="s">
        <v>128</v>
      </c>
      <c r="AB464" s="5" t="s">
        <v>128</v>
      </c>
      <c r="AC464" s="5" t="s">
        <v>128</v>
      </c>
      <c r="AD464" s="5" t="s">
        <v>125</v>
      </c>
      <c r="AE464" s="5" t="s">
        <v>146</v>
      </c>
      <c r="AF464" s="5" t="s">
        <v>127</v>
      </c>
      <c r="AG464" s="181" t="s">
        <v>53</v>
      </c>
      <c r="AH464" s="23" t="s">
        <v>53</v>
      </c>
    </row>
    <row r="465" spans="1:34" ht="39" thickBot="1">
      <c r="A465" s="7" t="s">
        <v>147</v>
      </c>
      <c r="B465" s="8" t="s">
        <v>173</v>
      </c>
      <c r="C465" s="9" t="s">
        <v>174</v>
      </c>
      <c r="D465" s="9" t="s">
        <v>181</v>
      </c>
      <c r="E465" s="9" t="s">
        <v>182</v>
      </c>
      <c r="F465" s="9" t="s">
        <v>183</v>
      </c>
      <c r="G465" s="9" t="s">
        <v>175</v>
      </c>
      <c r="H465" s="9" t="s">
        <v>176</v>
      </c>
      <c r="I465" s="24" t="s">
        <v>155</v>
      </c>
      <c r="J465" s="24" t="s">
        <v>156</v>
      </c>
      <c r="K465" s="24" t="s">
        <v>179</v>
      </c>
      <c r="L465" s="25" t="s">
        <v>177</v>
      </c>
      <c r="M465" s="22"/>
      <c r="N465" s="8" t="s">
        <v>173</v>
      </c>
      <c r="O465" s="9" t="s">
        <v>174</v>
      </c>
      <c r="P465" s="9" t="s">
        <v>181</v>
      </c>
      <c r="Q465" s="9" t="s">
        <v>182</v>
      </c>
      <c r="R465" s="9" t="s">
        <v>183</v>
      </c>
      <c r="S465" s="9" t="s">
        <v>175</v>
      </c>
      <c r="T465" s="9" t="s">
        <v>176</v>
      </c>
      <c r="U465" s="24" t="s">
        <v>155</v>
      </c>
      <c r="V465" s="24" t="s">
        <v>156</v>
      </c>
      <c r="W465" s="24" t="s">
        <v>179</v>
      </c>
      <c r="X465" s="25" t="s">
        <v>177</v>
      </c>
      <c r="Y465" s="22"/>
      <c r="Z465" s="9" t="s">
        <v>181</v>
      </c>
      <c r="AA465" s="9" t="s">
        <v>182</v>
      </c>
      <c r="AB465" s="9" t="s">
        <v>183</v>
      </c>
      <c r="AC465" s="9" t="s">
        <v>175</v>
      </c>
      <c r="AD465" s="9" t="s">
        <v>176</v>
      </c>
      <c r="AE465" s="24" t="s">
        <v>155</v>
      </c>
      <c r="AF465" s="24" t="s">
        <v>156</v>
      </c>
      <c r="AG465" s="24" t="s">
        <v>179</v>
      </c>
      <c r="AH465" s="25" t="s">
        <v>177</v>
      </c>
    </row>
    <row r="466" spans="1:34">
      <c r="A466" s="10">
        <f>AF461+0</f>
        <v>46327</v>
      </c>
      <c r="B466" s="11"/>
      <c r="C466" s="12"/>
      <c r="D466" s="12"/>
      <c r="E466" s="13"/>
      <c r="F466" s="12"/>
      <c r="G466" s="12"/>
      <c r="H466" s="12"/>
      <c r="I466" s="12"/>
      <c r="J466" s="13"/>
      <c r="K466" s="184"/>
      <c r="L466" s="26"/>
      <c r="M466" s="22"/>
      <c r="N466" s="29"/>
      <c r="O466" s="13"/>
      <c r="P466" s="28"/>
      <c r="Q466" s="28"/>
      <c r="R466" s="28"/>
      <c r="S466" s="28"/>
      <c r="T466" s="62"/>
      <c r="U466" s="28"/>
      <c r="V466" s="28"/>
      <c r="W466" s="184"/>
      <c r="X466" s="34"/>
      <c r="Y466" s="22"/>
      <c r="Z466" s="38"/>
      <c r="AA466" s="13"/>
      <c r="AB466" s="13"/>
      <c r="AC466" s="13"/>
      <c r="AD466" s="36"/>
      <c r="AE466" s="13"/>
      <c r="AF466" s="13"/>
      <c r="AG466" s="184"/>
      <c r="AH466" s="37"/>
    </row>
    <row r="467" spans="1:34">
      <c r="A467" s="14">
        <f t="shared" ref="A467:A496" si="167">A466+1</f>
        <v>46328</v>
      </c>
      <c r="B467" s="11"/>
      <c r="C467" s="12"/>
      <c r="D467" s="12"/>
      <c r="E467" s="13"/>
      <c r="F467" s="12"/>
      <c r="G467" s="12"/>
      <c r="H467" s="12"/>
      <c r="I467" s="12"/>
      <c r="J467" s="13"/>
      <c r="K467" s="184"/>
      <c r="L467" s="26"/>
      <c r="M467" s="22"/>
      <c r="N467" s="29"/>
      <c r="O467" s="13"/>
      <c r="P467" s="13"/>
      <c r="Q467" s="13"/>
      <c r="R467" s="13"/>
      <c r="S467" s="13"/>
      <c r="T467" s="36"/>
      <c r="U467" s="13"/>
      <c r="V467" s="13"/>
      <c r="W467" s="184"/>
      <c r="X467" s="37"/>
      <c r="Y467" s="22"/>
      <c r="Z467" s="38"/>
      <c r="AA467" s="13"/>
      <c r="AB467" s="13"/>
      <c r="AC467" s="13"/>
      <c r="AD467" s="36"/>
      <c r="AE467" s="13"/>
      <c r="AF467" s="13"/>
      <c r="AG467" s="184"/>
      <c r="AH467" s="37"/>
    </row>
    <row r="468" spans="1:34">
      <c r="A468" s="14">
        <f t="shared" si="167"/>
        <v>46329</v>
      </c>
      <c r="B468" s="11"/>
      <c r="C468" s="12"/>
      <c r="D468" s="12"/>
      <c r="E468" s="13"/>
      <c r="F468" s="12"/>
      <c r="G468" s="12"/>
      <c r="H468" s="12"/>
      <c r="I468" s="12"/>
      <c r="J468" s="13"/>
      <c r="K468" s="184"/>
      <c r="L468" s="26"/>
      <c r="M468" s="22"/>
      <c r="N468" s="29"/>
      <c r="O468" s="13"/>
      <c r="P468" s="13"/>
      <c r="Q468" s="13"/>
      <c r="R468" s="13"/>
      <c r="S468" s="13"/>
      <c r="T468" s="36"/>
      <c r="U468" s="13"/>
      <c r="V468" s="13"/>
      <c r="W468" s="184"/>
      <c r="X468" s="37"/>
      <c r="Y468" s="22"/>
      <c r="Z468" s="38"/>
      <c r="AA468" s="13"/>
      <c r="AB468" s="13"/>
      <c r="AC468" s="13"/>
      <c r="AD468" s="36"/>
      <c r="AE468" s="13"/>
      <c r="AF468" s="13"/>
      <c r="AG468" s="184"/>
      <c r="AH468" s="37"/>
    </row>
    <row r="469" spans="1:34">
      <c r="A469" s="14">
        <f t="shared" si="167"/>
        <v>46330</v>
      </c>
      <c r="B469" s="11"/>
      <c r="C469" s="12"/>
      <c r="D469" s="12"/>
      <c r="E469" s="13"/>
      <c r="F469" s="12"/>
      <c r="G469" s="12"/>
      <c r="H469" s="12"/>
      <c r="I469" s="12"/>
      <c r="J469" s="13"/>
      <c r="K469" s="184"/>
      <c r="L469" s="26"/>
      <c r="M469" s="22"/>
      <c r="N469" s="29"/>
      <c r="O469" s="13"/>
      <c r="P469" s="13"/>
      <c r="Q469" s="13"/>
      <c r="R469" s="13"/>
      <c r="S469" s="13"/>
      <c r="T469" s="36"/>
      <c r="U469" s="13"/>
      <c r="V469" s="13"/>
      <c r="W469" s="184"/>
      <c r="X469" s="37"/>
      <c r="Y469" s="22"/>
      <c r="Z469" s="38"/>
      <c r="AA469" s="13"/>
      <c r="AB469" s="13"/>
      <c r="AC469" s="13"/>
      <c r="AD469" s="36"/>
      <c r="AE469" s="13"/>
      <c r="AF469" s="13"/>
      <c r="AG469" s="184"/>
      <c r="AH469" s="37"/>
    </row>
    <row r="470" spans="1:34">
      <c r="A470" s="14">
        <f t="shared" si="167"/>
        <v>46331</v>
      </c>
      <c r="B470" s="11"/>
      <c r="C470" s="12"/>
      <c r="D470" s="12"/>
      <c r="E470" s="13"/>
      <c r="F470" s="12"/>
      <c r="G470" s="12"/>
      <c r="H470" s="12"/>
      <c r="I470" s="12"/>
      <c r="J470" s="13"/>
      <c r="K470" s="184"/>
      <c r="L470" s="26"/>
      <c r="M470" s="22"/>
      <c r="N470" s="29"/>
      <c r="O470" s="13"/>
      <c r="P470" s="13"/>
      <c r="Q470" s="13"/>
      <c r="R470" s="13"/>
      <c r="S470" s="13"/>
      <c r="T470" s="36"/>
      <c r="U470" s="13"/>
      <c r="V470" s="13"/>
      <c r="W470" s="184"/>
      <c r="X470" s="51"/>
      <c r="Y470" s="22"/>
      <c r="Z470" s="38"/>
      <c r="AA470" s="13"/>
      <c r="AB470" s="13"/>
      <c r="AC470" s="13"/>
      <c r="AD470" s="36"/>
      <c r="AE470" s="13"/>
      <c r="AF470" s="13"/>
      <c r="AG470" s="184"/>
      <c r="AH470" s="37"/>
    </row>
    <row r="471" spans="1:34">
      <c r="A471" s="14">
        <f t="shared" si="167"/>
        <v>46332</v>
      </c>
      <c r="B471" s="11"/>
      <c r="C471" s="12"/>
      <c r="D471" s="12"/>
      <c r="E471" s="13"/>
      <c r="F471" s="12"/>
      <c r="G471" s="12"/>
      <c r="H471" s="12"/>
      <c r="I471" s="12"/>
      <c r="J471" s="13"/>
      <c r="K471" s="184"/>
      <c r="L471" s="26"/>
      <c r="M471" s="22"/>
      <c r="N471" s="29"/>
      <c r="O471" s="13"/>
      <c r="P471" s="13"/>
      <c r="Q471" s="13"/>
      <c r="R471" s="13"/>
      <c r="S471" s="13"/>
      <c r="T471" s="36"/>
      <c r="U471" s="13"/>
      <c r="V471" s="13"/>
      <c r="W471" s="184"/>
      <c r="X471" s="51"/>
      <c r="Y471" s="22"/>
      <c r="Z471" s="38"/>
      <c r="AA471" s="13"/>
      <c r="AB471" s="13"/>
      <c r="AC471" s="13"/>
      <c r="AD471" s="36"/>
      <c r="AE471" s="13"/>
      <c r="AF471" s="13"/>
      <c r="AG471" s="184"/>
      <c r="AH471" s="37"/>
    </row>
    <row r="472" spans="1:34">
      <c r="A472" s="14">
        <f t="shared" si="167"/>
        <v>46333</v>
      </c>
      <c r="B472" s="11"/>
      <c r="C472" s="12"/>
      <c r="D472" s="12"/>
      <c r="E472" s="13"/>
      <c r="F472" s="12"/>
      <c r="G472" s="12"/>
      <c r="H472" s="12"/>
      <c r="I472" s="12"/>
      <c r="J472" s="13"/>
      <c r="K472" s="184"/>
      <c r="L472" s="26"/>
      <c r="M472" s="22"/>
      <c r="N472" s="29"/>
      <c r="O472" s="50"/>
      <c r="P472" s="13"/>
      <c r="Q472" s="13"/>
      <c r="R472" s="13"/>
      <c r="S472" s="13"/>
      <c r="T472" s="36"/>
      <c r="U472" s="13"/>
      <c r="V472" s="13"/>
      <c r="W472" s="184"/>
      <c r="X472" s="51"/>
      <c r="Y472" s="22"/>
      <c r="Z472" s="38"/>
      <c r="AA472" s="13"/>
      <c r="AB472" s="13"/>
      <c r="AC472" s="13"/>
      <c r="AD472" s="36"/>
      <c r="AE472" s="13"/>
      <c r="AF472" s="13"/>
      <c r="AG472" s="184"/>
      <c r="AH472" s="37"/>
    </row>
    <row r="473" spans="1:34">
      <c r="A473" s="14">
        <f t="shared" si="167"/>
        <v>46334</v>
      </c>
      <c r="B473" s="11"/>
      <c r="C473" s="12"/>
      <c r="D473" s="12"/>
      <c r="E473" s="13"/>
      <c r="F473" s="12"/>
      <c r="G473" s="12"/>
      <c r="H473" s="12"/>
      <c r="I473" s="12"/>
      <c r="J473" s="13"/>
      <c r="K473" s="184"/>
      <c r="L473" s="26"/>
      <c r="M473" s="22"/>
      <c r="N473" s="29"/>
      <c r="O473" s="50"/>
      <c r="P473" s="13"/>
      <c r="Q473" s="13"/>
      <c r="R473" s="13"/>
      <c r="S473" s="13"/>
      <c r="T473" s="36"/>
      <c r="U473" s="13"/>
      <c r="V473" s="13"/>
      <c r="W473" s="184"/>
      <c r="X473" s="37"/>
      <c r="Y473" s="22"/>
      <c r="Z473" s="38"/>
      <c r="AA473" s="13"/>
      <c r="AB473" s="13"/>
      <c r="AC473" s="13"/>
      <c r="AD473" s="36"/>
      <c r="AE473" s="13"/>
      <c r="AF473" s="13"/>
      <c r="AG473" s="184"/>
      <c r="AH473" s="37"/>
    </row>
    <row r="474" spans="1:34">
      <c r="A474" s="14">
        <f t="shared" si="167"/>
        <v>46335</v>
      </c>
      <c r="B474" s="11"/>
      <c r="C474" s="12"/>
      <c r="D474" s="12"/>
      <c r="E474" s="13"/>
      <c r="F474" s="12"/>
      <c r="G474" s="12"/>
      <c r="H474" s="12"/>
      <c r="I474" s="12"/>
      <c r="J474" s="13"/>
      <c r="K474" s="184"/>
      <c r="L474" s="26"/>
      <c r="M474" s="22"/>
      <c r="N474" s="29"/>
      <c r="O474" s="50"/>
      <c r="P474" s="13"/>
      <c r="Q474" s="13"/>
      <c r="R474" s="13"/>
      <c r="S474" s="13"/>
      <c r="T474" s="36"/>
      <c r="U474" s="13"/>
      <c r="V474" s="13"/>
      <c r="W474" s="184"/>
      <c r="X474" s="37"/>
      <c r="Y474" s="22"/>
      <c r="Z474" s="38"/>
      <c r="AA474" s="13"/>
      <c r="AB474" s="13"/>
      <c r="AC474" s="13"/>
      <c r="AD474" s="36"/>
      <c r="AE474" s="13"/>
      <c r="AF474" s="13"/>
      <c r="AG474" s="184"/>
      <c r="AH474" s="37"/>
    </row>
    <row r="475" spans="1:34">
      <c r="A475" s="14">
        <f t="shared" si="167"/>
        <v>46336</v>
      </c>
      <c r="B475" s="11"/>
      <c r="C475" s="12"/>
      <c r="D475" s="12"/>
      <c r="E475" s="13"/>
      <c r="F475" s="12"/>
      <c r="G475" s="12"/>
      <c r="H475" s="12"/>
      <c r="I475" s="12"/>
      <c r="J475" s="13"/>
      <c r="K475" s="184"/>
      <c r="L475" s="26"/>
      <c r="M475" s="22"/>
      <c r="N475" s="29"/>
      <c r="O475" s="50"/>
      <c r="P475" s="13"/>
      <c r="Q475" s="13"/>
      <c r="R475" s="13"/>
      <c r="S475" s="13"/>
      <c r="T475" s="36"/>
      <c r="U475" s="13"/>
      <c r="V475" s="13"/>
      <c r="W475" s="184"/>
      <c r="X475" s="51"/>
      <c r="Y475" s="22"/>
      <c r="Z475" s="38"/>
      <c r="AA475" s="13"/>
      <c r="AB475" s="13"/>
      <c r="AC475" s="13"/>
      <c r="AD475" s="36"/>
      <c r="AE475" s="13"/>
      <c r="AF475" s="13"/>
      <c r="AG475" s="184"/>
      <c r="AH475" s="37"/>
    </row>
    <row r="476" spans="1:34">
      <c r="A476" s="14">
        <f t="shared" si="167"/>
        <v>46337</v>
      </c>
      <c r="B476" s="11"/>
      <c r="C476" s="12"/>
      <c r="D476" s="12"/>
      <c r="E476" s="13"/>
      <c r="F476" s="12"/>
      <c r="G476" s="12"/>
      <c r="H476" s="12"/>
      <c r="I476" s="12"/>
      <c r="J476" s="13"/>
      <c r="K476" s="184"/>
      <c r="L476" s="26"/>
      <c r="M476" s="22"/>
      <c r="N476" s="29"/>
      <c r="O476" s="50"/>
      <c r="P476" s="13"/>
      <c r="Q476" s="13"/>
      <c r="R476" s="13"/>
      <c r="S476" s="13"/>
      <c r="T476" s="36"/>
      <c r="U476" s="13"/>
      <c r="V476" s="13"/>
      <c r="W476" s="184"/>
      <c r="X476" s="51"/>
      <c r="Y476" s="22"/>
      <c r="Z476" s="38"/>
      <c r="AA476" s="13"/>
      <c r="AB476" s="13"/>
      <c r="AC476" s="13"/>
      <c r="AD476" s="36"/>
      <c r="AE476" s="13"/>
      <c r="AF476" s="13"/>
      <c r="AG476" s="184"/>
      <c r="AH476" s="37"/>
    </row>
    <row r="477" spans="1:34">
      <c r="A477" s="14">
        <f t="shared" si="167"/>
        <v>46338</v>
      </c>
      <c r="B477" s="11"/>
      <c r="C477" s="12"/>
      <c r="D477" s="12"/>
      <c r="E477" s="13"/>
      <c r="F477" s="12"/>
      <c r="G477" s="12"/>
      <c r="H477" s="12"/>
      <c r="I477" s="12"/>
      <c r="J477" s="13"/>
      <c r="K477" s="184"/>
      <c r="L477" s="26"/>
      <c r="M477" s="22"/>
      <c r="N477" s="29"/>
      <c r="O477" s="50"/>
      <c r="P477" s="13"/>
      <c r="Q477" s="13"/>
      <c r="R477" s="13"/>
      <c r="S477" s="13"/>
      <c r="T477" s="36"/>
      <c r="U477" s="13"/>
      <c r="V477" s="13"/>
      <c r="W477" s="184"/>
      <c r="X477" s="51"/>
      <c r="Y477" s="22"/>
      <c r="Z477" s="38"/>
      <c r="AA477" s="13"/>
      <c r="AB477" s="13"/>
      <c r="AC477" s="13"/>
      <c r="AD477" s="36"/>
      <c r="AE477" s="13"/>
      <c r="AF477" s="13"/>
      <c r="AG477" s="184"/>
      <c r="AH477" s="37"/>
    </row>
    <row r="478" spans="1:34">
      <c r="A478" s="14">
        <f t="shared" si="167"/>
        <v>46339</v>
      </c>
      <c r="B478" s="11"/>
      <c r="C478" s="12"/>
      <c r="D478" s="12"/>
      <c r="E478" s="13"/>
      <c r="F478" s="12"/>
      <c r="G478" s="12"/>
      <c r="H478" s="12"/>
      <c r="I478" s="12"/>
      <c r="J478" s="13"/>
      <c r="K478" s="184"/>
      <c r="L478" s="26"/>
      <c r="M478" s="22"/>
      <c r="N478" s="29"/>
      <c r="O478" s="50"/>
      <c r="P478" s="13"/>
      <c r="Q478" s="13"/>
      <c r="R478" s="13"/>
      <c r="S478" s="13"/>
      <c r="T478" s="36"/>
      <c r="U478" s="13"/>
      <c r="V478" s="13"/>
      <c r="W478" s="184"/>
      <c r="X478" s="51"/>
      <c r="Y478" s="22"/>
      <c r="Z478" s="38"/>
      <c r="AA478" s="13"/>
      <c r="AB478" s="13"/>
      <c r="AC478" s="13"/>
      <c r="AD478" s="36"/>
      <c r="AE478" s="13"/>
      <c r="AF478" s="13"/>
      <c r="AG478" s="184"/>
      <c r="AH478" s="37"/>
    </row>
    <row r="479" spans="1:34">
      <c r="A479" s="14">
        <f t="shared" si="167"/>
        <v>46340</v>
      </c>
      <c r="B479" s="11"/>
      <c r="C479" s="12"/>
      <c r="D479" s="12"/>
      <c r="E479" s="13"/>
      <c r="F479" s="12"/>
      <c r="G479" s="12"/>
      <c r="H479" s="12"/>
      <c r="I479" s="12"/>
      <c r="J479" s="13"/>
      <c r="K479" s="184"/>
      <c r="L479" s="26"/>
      <c r="M479" s="22"/>
      <c r="N479" s="29"/>
      <c r="O479" s="50"/>
      <c r="P479" s="13"/>
      <c r="Q479" s="13"/>
      <c r="R479" s="13"/>
      <c r="S479" s="13"/>
      <c r="T479" s="36"/>
      <c r="U479" s="13"/>
      <c r="V479" s="13"/>
      <c r="W479" s="184"/>
      <c r="X479" s="51"/>
      <c r="Y479" s="22"/>
      <c r="Z479" s="38"/>
      <c r="AA479" s="13"/>
      <c r="AB479" s="13"/>
      <c r="AC479" s="13"/>
      <c r="AD479" s="36"/>
      <c r="AE479" s="13"/>
      <c r="AF479" s="13"/>
      <c r="AG479" s="184"/>
      <c r="AH479" s="37"/>
    </row>
    <row r="480" spans="1:34">
      <c r="A480" s="14">
        <f t="shared" si="167"/>
        <v>46341</v>
      </c>
      <c r="B480" s="11"/>
      <c r="C480" s="12"/>
      <c r="D480" s="12"/>
      <c r="E480" s="13"/>
      <c r="F480" s="12"/>
      <c r="G480" s="12"/>
      <c r="H480" s="12"/>
      <c r="I480" s="12"/>
      <c r="J480" s="13"/>
      <c r="K480" s="184"/>
      <c r="L480" s="26"/>
      <c r="M480" s="22"/>
      <c r="N480" s="29"/>
      <c r="O480" s="50"/>
      <c r="P480" s="13"/>
      <c r="Q480" s="13"/>
      <c r="R480" s="13"/>
      <c r="S480" s="13"/>
      <c r="T480" s="36"/>
      <c r="U480" s="13"/>
      <c r="V480" s="13"/>
      <c r="W480" s="184"/>
      <c r="X480" s="37"/>
      <c r="Y480" s="22"/>
      <c r="Z480" s="38"/>
      <c r="AA480" s="13"/>
      <c r="AB480" s="13"/>
      <c r="AC480" s="13"/>
      <c r="AD480" s="13"/>
      <c r="AE480" s="13"/>
      <c r="AF480" s="13"/>
      <c r="AG480" s="184"/>
      <c r="AH480" s="37"/>
    </row>
    <row r="481" spans="1:34">
      <c r="A481" s="14">
        <f t="shared" si="167"/>
        <v>46342</v>
      </c>
      <c r="B481" s="11"/>
      <c r="C481" s="12"/>
      <c r="D481" s="12"/>
      <c r="E481" s="13"/>
      <c r="F481" s="12"/>
      <c r="G481" s="12"/>
      <c r="H481" s="12"/>
      <c r="I481" s="12"/>
      <c r="J481" s="13"/>
      <c r="K481" s="184"/>
      <c r="L481" s="26"/>
      <c r="M481" s="22"/>
      <c r="N481" s="29"/>
      <c r="O481" s="50"/>
      <c r="P481" s="13"/>
      <c r="Q481" s="13"/>
      <c r="R481" s="13"/>
      <c r="S481" s="13"/>
      <c r="T481" s="36"/>
      <c r="U481" s="13"/>
      <c r="V481" s="13"/>
      <c r="W481" s="184"/>
      <c r="X481" s="51"/>
      <c r="Y481" s="22"/>
      <c r="Z481" s="38"/>
      <c r="AA481" s="13"/>
      <c r="AB481" s="13"/>
      <c r="AC481" s="13"/>
      <c r="AD481" s="13"/>
      <c r="AE481" s="13"/>
      <c r="AF481" s="13"/>
      <c r="AG481" s="184"/>
      <c r="AH481" s="37"/>
    </row>
    <row r="482" spans="1:34">
      <c r="A482" s="14">
        <f t="shared" si="167"/>
        <v>46343</v>
      </c>
      <c r="B482" s="11"/>
      <c r="C482" s="12"/>
      <c r="D482" s="12"/>
      <c r="E482" s="13"/>
      <c r="F482" s="12"/>
      <c r="G482" s="12"/>
      <c r="H482" s="12"/>
      <c r="I482" s="12"/>
      <c r="J482" s="13"/>
      <c r="K482" s="184"/>
      <c r="L482" s="26"/>
      <c r="M482" s="22"/>
      <c r="N482" s="29"/>
      <c r="O482" s="50"/>
      <c r="P482" s="13"/>
      <c r="Q482" s="13"/>
      <c r="R482" s="13"/>
      <c r="S482" s="13"/>
      <c r="T482" s="36"/>
      <c r="U482" s="13"/>
      <c r="V482" s="13"/>
      <c r="W482" s="184"/>
      <c r="X482" s="37"/>
      <c r="Y482" s="22"/>
      <c r="Z482" s="38"/>
      <c r="AA482" s="13"/>
      <c r="AB482" s="13"/>
      <c r="AC482" s="13"/>
      <c r="AD482" s="13"/>
      <c r="AE482" s="13"/>
      <c r="AF482" s="13"/>
      <c r="AG482" s="184"/>
      <c r="AH482" s="37"/>
    </row>
    <row r="483" spans="1:34">
      <c r="A483" s="14">
        <f t="shared" si="167"/>
        <v>46344</v>
      </c>
      <c r="B483" s="11"/>
      <c r="C483" s="12"/>
      <c r="D483" s="12"/>
      <c r="E483" s="13"/>
      <c r="F483" s="12"/>
      <c r="G483" s="12"/>
      <c r="H483" s="12"/>
      <c r="I483" s="12"/>
      <c r="J483" s="13"/>
      <c r="K483" s="184"/>
      <c r="L483" s="26"/>
      <c r="M483" s="22"/>
      <c r="N483" s="29"/>
      <c r="O483" s="13"/>
      <c r="P483" s="13"/>
      <c r="Q483" s="13"/>
      <c r="R483" s="13"/>
      <c r="S483" s="13"/>
      <c r="T483" s="36"/>
      <c r="U483" s="13"/>
      <c r="V483" s="13"/>
      <c r="W483" s="184"/>
      <c r="X483" s="37"/>
      <c r="Y483" s="22"/>
      <c r="Z483" s="38"/>
      <c r="AA483" s="13"/>
      <c r="AB483" s="13"/>
      <c r="AC483" s="13"/>
      <c r="AD483" s="13"/>
      <c r="AE483" s="13"/>
      <c r="AF483" s="13"/>
      <c r="AG483" s="184"/>
      <c r="AH483" s="37"/>
    </row>
    <row r="484" spans="1:34">
      <c r="A484" s="14">
        <f t="shared" si="167"/>
        <v>46345</v>
      </c>
      <c r="B484" s="11"/>
      <c r="C484" s="12"/>
      <c r="D484" s="12"/>
      <c r="E484" s="13"/>
      <c r="F484" s="12"/>
      <c r="G484" s="12"/>
      <c r="H484" s="12"/>
      <c r="I484" s="12"/>
      <c r="J484" s="13"/>
      <c r="K484" s="184"/>
      <c r="L484" s="26"/>
      <c r="M484" s="22"/>
      <c r="N484" s="29"/>
      <c r="O484" s="13"/>
      <c r="P484" s="13"/>
      <c r="Q484" s="13"/>
      <c r="R484" s="13"/>
      <c r="S484" s="13"/>
      <c r="T484" s="36"/>
      <c r="U484" s="13"/>
      <c r="V484" s="13"/>
      <c r="W484" s="184"/>
      <c r="X484" s="37"/>
      <c r="Y484" s="22"/>
      <c r="Z484" s="38"/>
      <c r="AA484" s="13"/>
      <c r="AB484" s="13"/>
      <c r="AC484" s="13"/>
      <c r="AD484" s="13"/>
      <c r="AE484" s="13"/>
      <c r="AF484" s="13"/>
      <c r="AG484" s="184"/>
      <c r="AH484" s="37"/>
    </row>
    <row r="485" spans="1:34">
      <c r="A485" s="14">
        <f t="shared" si="167"/>
        <v>46346</v>
      </c>
      <c r="B485" s="11"/>
      <c r="C485" s="12"/>
      <c r="D485" s="12"/>
      <c r="E485" s="13"/>
      <c r="F485" s="12"/>
      <c r="G485" s="12"/>
      <c r="H485" s="12"/>
      <c r="I485" s="12"/>
      <c r="J485" s="13"/>
      <c r="K485" s="184"/>
      <c r="L485" s="26"/>
      <c r="M485" s="22"/>
      <c r="N485" s="29"/>
      <c r="O485" s="13"/>
      <c r="P485" s="13"/>
      <c r="Q485" s="13"/>
      <c r="R485" s="13"/>
      <c r="S485" s="13"/>
      <c r="T485" s="36"/>
      <c r="U485" s="13"/>
      <c r="V485" s="13"/>
      <c r="W485" s="184"/>
      <c r="X485" s="37"/>
      <c r="Y485" s="22"/>
      <c r="Z485" s="38"/>
      <c r="AA485" s="13"/>
      <c r="AB485" s="13"/>
      <c r="AC485" s="13"/>
      <c r="AD485" s="36"/>
      <c r="AE485" s="13"/>
      <c r="AF485" s="13"/>
      <c r="AG485" s="184"/>
      <c r="AH485" s="37"/>
    </row>
    <row r="486" spans="1:34">
      <c r="A486" s="14">
        <f t="shared" si="167"/>
        <v>46347</v>
      </c>
      <c r="B486" s="11"/>
      <c r="C486" s="12"/>
      <c r="D486" s="12"/>
      <c r="E486" s="13"/>
      <c r="F486" s="12"/>
      <c r="G486" s="12"/>
      <c r="H486" s="12"/>
      <c r="I486" s="12"/>
      <c r="J486" s="13"/>
      <c r="K486" s="184"/>
      <c r="L486" s="26"/>
      <c r="M486" s="22"/>
      <c r="N486" s="29"/>
      <c r="O486" s="13"/>
      <c r="P486" s="13"/>
      <c r="Q486" s="13"/>
      <c r="R486" s="13"/>
      <c r="S486" s="13"/>
      <c r="T486" s="36"/>
      <c r="U486" s="13"/>
      <c r="V486" s="13"/>
      <c r="W486" s="184"/>
      <c r="X486" s="37"/>
      <c r="Y486" s="22"/>
      <c r="Z486" s="38"/>
      <c r="AA486" s="13"/>
      <c r="AB486" s="13"/>
      <c r="AC486" s="13"/>
      <c r="AD486" s="36"/>
      <c r="AE486" s="13"/>
      <c r="AF486" s="13"/>
      <c r="AG486" s="184"/>
      <c r="AH486" s="37"/>
    </row>
    <row r="487" spans="1:34">
      <c r="A487" s="14">
        <f t="shared" si="167"/>
        <v>46348</v>
      </c>
      <c r="B487" s="11"/>
      <c r="C487" s="12"/>
      <c r="D487" s="12"/>
      <c r="E487" s="13"/>
      <c r="F487" s="12"/>
      <c r="G487" s="12"/>
      <c r="H487" s="12"/>
      <c r="I487" s="12"/>
      <c r="J487" s="13"/>
      <c r="K487" s="184"/>
      <c r="L487" s="26"/>
      <c r="M487" s="22"/>
      <c r="N487" s="29"/>
      <c r="O487" s="13"/>
      <c r="P487" s="13"/>
      <c r="Q487" s="13"/>
      <c r="R487" s="13"/>
      <c r="S487" s="13"/>
      <c r="T487" s="36"/>
      <c r="U487" s="13"/>
      <c r="V487" s="13"/>
      <c r="W487" s="184"/>
      <c r="X487" s="37"/>
      <c r="Y487" s="22"/>
      <c r="Z487" s="38"/>
      <c r="AA487" s="13"/>
      <c r="AB487" s="13"/>
      <c r="AC487" s="13"/>
      <c r="AD487" s="13"/>
      <c r="AE487" s="13"/>
      <c r="AF487" s="13"/>
      <c r="AG487" s="184"/>
      <c r="AH487" s="37"/>
    </row>
    <row r="488" spans="1:34">
      <c r="A488" s="14">
        <f t="shared" si="167"/>
        <v>46349</v>
      </c>
      <c r="B488" s="11"/>
      <c r="C488" s="12"/>
      <c r="D488" s="12"/>
      <c r="E488" s="13"/>
      <c r="F488" s="12"/>
      <c r="G488" s="12"/>
      <c r="H488" s="12"/>
      <c r="I488" s="12"/>
      <c r="J488" s="13"/>
      <c r="K488" s="184"/>
      <c r="L488" s="26"/>
      <c r="M488" s="22"/>
      <c r="N488" s="29"/>
      <c r="O488" s="13"/>
      <c r="P488" s="13"/>
      <c r="Q488" s="13"/>
      <c r="R488" s="13"/>
      <c r="S488" s="13"/>
      <c r="T488" s="36"/>
      <c r="U488" s="13"/>
      <c r="V488" s="13"/>
      <c r="W488" s="184"/>
      <c r="X488" s="37"/>
      <c r="Y488" s="22"/>
      <c r="Z488" s="38"/>
      <c r="AA488" s="13"/>
      <c r="AB488" s="13"/>
      <c r="AC488" s="13"/>
      <c r="AD488" s="13"/>
      <c r="AE488" s="13"/>
      <c r="AF488" s="13"/>
      <c r="AG488" s="184"/>
      <c r="AH488" s="37"/>
    </row>
    <row r="489" spans="1:34">
      <c r="A489" s="14">
        <f t="shared" si="167"/>
        <v>46350</v>
      </c>
      <c r="B489" s="11"/>
      <c r="C489" s="12"/>
      <c r="D489" s="12"/>
      <c r="E489" s="13"/>
      <c r="F489" s="12"/>
      <c r="G489" s="12"/>
      <c r="H489" s="12"/>
      <c r="I489" s="12"/>
      <c r="J489" s="13"/>
      <c r="K489" s="184"/>
      <c r="L489" s="26"/>
      <c r="M489" s="22"/>
      <c r="N489" s="29"/>
      <c r="O489" s="13"/>
      <c r="P489" s="13"/>
      <c r="Q489" s="13"/>
      <c r="R489" s="13"/>
      <c r="S489" s="13"/>
      <c r="T489" s="36"/>
      <c r="U489" s="13"/>
      <c r="V489" s="13"/>
      <c r="W489" s="184"/>
      <c r="X489" s="37"/>
      <c r="Y489" s="22"/>
      <c r="Z489" s="38"/>
      <c r="AA489" s="13"/>
      <c r="AB489" s="13"/>
      <c r="AC489" s="13"/>
      <c r="AD489" s="36"/>
      <c r="AE489" s="13"/>
      <c r="AF489" s="13"/>
      <c r="AG489" s="184"/>
      <c r="AH489" s="37"/>
    </row>
    <row r="490" spans="1:34">
      <c r="A490" s="14">
        <f t="shared" si="167"/>
        <v>46351</v>
      </c>
      <c r="B490" s="11"/>
      <c r="C490" s="12"/>
      <c r="D490" s="12"/>
      <c r="E490" s="13"/>
      <c r="F490" s="12"/>
      <c r="G490" s="12"/>
      <c r="H490" s="12"/>
      <c r="I490" s="12"/>
      <c r="J490" s="13"/>
      <c r="K490" s="184"/>
      <c r="L490" s="26"/>
      <c r="M490" s="22"/>
      <c r="N490" s="29"/>
      <c r="O490" s="13"/>
      <c r="P490" s="13"/>
      <c r="Q490" s="13"/>
      <c r="R490" s="13"/>
      <c r="S490" s="13"/>
      <c r="T490" s="36"/>
      <c r="U490" s="13"/>
      <c r="V490" s="13"/>
      <c r="W490" s="184"/>
      <c r="X490" s="37"/>
      <c r="Y490" s="22"/>
      <c r="Z490" s="38"/>
      <c r="AA490" s="13"/>
      <c r="AB490" s="13"/>
      <c r="AC490" s="13"/>
      <c r="AD490" s="13"/>
      <c r="AE490" s="13"/>
      <c r="AF490" s="13"/>
      <c r="AG490" s="184"/>
      <c r="AH490" s="37"/>
    </row>
    <row r="491" spans="1:34">
      <c r="A491" s="14">
        <f t="shared" si="167"/>
        <v>46352</v>
      </c>
      <c r="B491" s="11"/>
      <c r="C491" s="12"/>
      <c r="D491" s="12"/>
      <c r="E491" s="13"/>
      <c r="F491" s="12"/>
      <c r="G491" s="12"/>
      <c r="H491" s="12"/>
      <c r="I491" s="12"/>
      <c r="J491" s="13"/>
      <c r="K491" s="184"/>
      <c r="L491" s="26"/>
      <c r="M491" s="22"/>
      <c r="N491" s="29"/>
      <c r="O491" s="13"/>
      <c r="P491" s="13"/>
      <c r="Q491" s="13"/>
      <c r="R491" s="13"/>
      <c r="S491" s="13"/>
      <c r="T491" s="36"/>
      <c r="U491" s="13"/>
      <c r="V491" s="13"/>
      <c r="W491" s="184"/>
      <c r="X491" s="51"/>
      <c r="Y491" s="22"/>
      <c r="Z491" s="38"/>
      <c r="AA491" s="13"/>
      <c r="AB491" s="13"/>
      <c r="AC491" s="13"/>
      <c r="AD491" s="13"/>
      <c r="AE491" s="13"/>
      <c r="AF491" s="13"/>
      <c r="AG491" s="184"/>
      <c r="AH491" s="37"/>
    </row>
    <row r="492" spans="1:34">
      <c r="A492" s="14">
        <f t="shared" si="167"/>
        <v>46353</v>
      </c>
      <c r="B492" s="11"/>
      <c r="C492" s="12"/>
      <c r="D492" s="12"/>
      <c r="E492" s="13"/>
      <c r="F492" s="12"/>
      <c r="G492" s="12"/>
      <c r="H492" s="12"/>
      <c r="I492" s="12"/>
      <c r="J492" s="13"/>
      <c r="K492" s="184"/>
      <c r="L492" s="26"/>
      <c r="M492" s="22"/>
      <c r="N492" s="29"/>
      <c r="O492" s="13"/>
      <c r="P492" s="13"/>
      <c r="Q492" s="13"/>
      <c r="R492" s="13"/>
      <c r="S492" s="13"/>
      <c r="T492" s="36"/>
      <c r="U492" s="13"/>
      <c r="V492" s="13"/>
      <c r="W492" s="184"/>
      <c r="X492" s="37"/>
      <c r="Y492" s="22"/>
      <c r="Z492" s="38"/>
      <c r="AA492" s="13"/>
      <c r="AB492" s="13"/>
      <c r="AC492" s="13"/>
      <c r="AD492" s="36"/>
      <c r="AE492" s="13"/>
      <c r="AF492" s="13"/>
      <c r="AG492" s="184"/>
      <c r="AH492" s="37"/>
    </row>
    <row r="493" spans="1:34">
      <c r="A493" s="14">
        <f t="shared" si="167"/>
        <v>46354</v>
      </c>
      <c r="B493" s="11"/>
      <c r="C493" s="12"/>
      <c r="D493" s="12"/>
      <c r="E493" s="13"/>
      <c r="F493" s="12"/>
      <c r="G493" s="12"/>
      <c r="H493" s="12"/>
      <c r="I493" s="12"/>
      <c r="J493" s="13"/>
      <c r="K493" s="184"/>
      <c r="L493" s="26"/>
      <c r="M493" s="22"/>
      <c r="N493" s="29"/>
      <c r="O493" s="13"/>
      <c r="P493" s="13"/>
      <c r="Q493" s="13"/>
      <c r="R493" s="13"/>
      <c r="S493" s="13"/>
      <c r="T493" s="36"/>
      <c r="U493" s="13"/>
      <c r="V493" s="13"/>
      <c r="W493" s="184"/>
      <c r="X493" s="37"/>
      <c r="Y493" s="22"/>
      <c r="Z493" s="38"/>
      <c r="AA493" s="13"/>
      <c r="AB493" s="13"/>
      <c r="AC493" s="13"/>
      <c r="AD493" s="36"/>
      <c r="AE493" s="13"/>
      <c r="AF493" s="13"/>
      <c r="AG493" s="184"/>
      <c r="AH493" s="37"/>
    </row>
    <row r="494" spans="1:34">
      <c r="A494" s="14">
        <f t="shared" si="167"/>
        <v>46355</v>
      </c>
      <c r="B494" s="11"/>
      <c r="C494" s="12"/>
      <c r="D494" s="12"/>
      <c r="E494" s="13"/>
      <c r="F494" s="12"/>
      <c r="G494" s="12"/>
      <c r="H494" s="12"/>
      <c r="I494" s="12"/>
      <c r="J494" s="13"/>
      <c r="K494" s="184"/>
      <c r="L494" s="26"/>
      <c r="M494" s="22"/>
      <c r="N494" s="29"/>
      <c r="O494" s="13"/>
      <c r="P494" s="13"/>
      <c r="Q494" s="13"/>
      <c r="R494" s="13"/>
      <c r="S494" s="13"/>
      <c r="T494" s="36"/>
      <c r="U494" s="13"/>
      <c r="V494" s="13"/>
      <c r="W494" s="184"/>
      <c r="X494" s="37"/>
      <c r="Y494" s="22"/>
      <c r="Z494" s="38"/>
      <c r="AA494" s="13"/>
      <c r="AB494" s="13"/>
      <c r="AC494" s="13"/>
      <c r="AD494" s="36"/>
      <c r="AE494" s="13"/>
      <c r="AF494" s="13"/>
      <c r="AG494" s="184"/>
      <c r="AH494" s="37"/>
    </row>
    <row r="495" spans="1:34">
      <c r="A495" s="14">
        <f t="shared" si="167"/>
        <v>46356</v>
      </c>
      <c r="B495" s="11"/>
      <c r="C495" s="12"/>
      <c r="D495" s="12"/>
      <c r="E495" s="13"/>
      <c r="F495" s="12"/>
      <c r="G495" s="12"/>
      <c r="H495" s="12"/>
      <c r="I495" s="12"/>
      <c r="J495" s="13"/>
      <c r="K495" s="184"/>
      <c r="L495" s="26"/>
      <c r="M495" s="22"/>
      <c r="N495" s="29"/>
      <c r="O495" s="13"/>
      <c r="P495" s="13"/>
      <c r="Q495" s="13"/>
      <c r="R495" s="13"/>
      <c r="S495" s="13"/>
      <c r="T495" s="36"/>
      <c r="U495" s="13"/>
      <c r="V495" s="13"/>
      <c r="W495" s="184"/>
      <c r="X495" s="37"/>
      <c r="Y495" s="22"/>
      <c r="Z495" s="38"/>
      <c r="AA495" s="13"/>
      <c r="AB495" s="13"/>
      <c r="AC495" s="13"/>
      <c r="AD495" s="13"/>
      <c r="AE495" s="13"/>
      <c r="AF495" s="13"/>
      <c r="AG495" s="184"/>
      <c r="AH495" s="37"/>
    </row>
    <row r="496" spans="1:34" ht="15.75" thickBot="1">
      <c r="A496" s="15">
        <f t="shared" si="167"/>
        <v>46357</v>
      </c>
      <c r="B496" s="11"/>
      <c r="C496" s="12"/>
      <c r="D496" s="12"/>
      <c r="E496" s="13"/>
      <c r="F496" s="12"/>
      <c r="G496" s="12"/>
      <c r="H496" s="12"/>
      <c r="I496" s="12"/>
      <c r="J496" s="13"/>
      <c r="K496" s="184"/>
      <c r="L496" s="26"/>
      <c r="M496" s="22"/>
      <c r="N496" s="29"/>
      <c r="O496" s="13"/>
      <c r="P496" s="47"/>
      <c r="Q496" s="47"/>
      <c r="R496" s="47"/>
      <c r="S496" s="47"/>
      <c r="T496" s="52"/>
      <c r="U496" s="47"/>
      <c r="V496" s="47"/>
      <c r="W496" s="184"/>
      <c r="X496" s="48"/>
      <c r="Y496" s="22"/>
      <c r="Z496" s="38"/>
      <c r="AA496" s="13"/>
      <c r="AB496" s="13"/>
      <c r="AC496" s="13"/>
      <c r="AD496" s="13"/>
      <c r="AE496" s="13"/>
      <c r="AF496" s="13"/>
      <c r="AG496" s="184"/>
      <c r="AH496" s="37"/>
    </row>
    <row r="497" spans="1:34">
      <c r="A497" s="16" t="s">
        <v>31</v>
      </c>
      <c r="B497" s="17">
        <f>MIN(B466:B496)</f>
        <v>0</v>
      </c>
      <c r="C497" s="17">
        <f>MIN(C466:C496)</f>
        <v>0</v>
      </c>
      <c r="D497" s="17">
        <f t="shared" ref="D497:L497" si="168">MIN(D466:D496)</f>
        <v>0</v>
      </c>
      <c r="E497" s="17">
        <f t="shared" si="168"/>
        <v>0</v>
      </c>
      <c r="F497" s="17">
        <f t="shared" si="168"/>
        <v>0</v>
      </c>
      <c r="G497" s="17">
        <f t="shared" si="168"/>
        <v>0</v>
      </c>
      <c r="H497" s="17">
        <f t="shared" si="168"/>
        <v>0</v>
      </c>
      <c r="I497" s="17">
        <f t="shared" si="168"/>
        <v>0</v>
      </c>
      <c r="J497" s="17">
        <f t="shared" si="168"/>
        <v>0</v>
      </c>
      <c r="K497" s="17">
        <f t="shared" si="168"/>
        <v>0</v>
      </c>
      <c r="L497" s="30">
        <f t="shared" si="168"/>
        <v>0</v>
      </c>
      <c r="M497" s="22"/>
      <c r="N497" s="17">
        <f>MIN(N466:N496)</f>
        <v>0</v>
      </c>
      <c r="O497" s="17">
        <f>MIN(O466:O496)</f>
        <v>0</v>
      </c>
      <c r="P497" s="17">
        <f t="shared" ref="P497:X497" si="169">MIN(P466:P496)</f>
        <v>0</v>
      </c>
      <c r="Q497" s="17">
        <f t="shared" si="169"/>
        <v>0</v>
      </c>
      <c r="R497" s="17">
        <f t="shared" si="169"/>
        <v>0</v>
      </c>
      <c r="S497" s="17">
        <f t="shared" si="169"/>
        <v>0</v>
      </c>
      <c r="T497" s="17">
        <f t="shared" si="169"/>
        <v>0</v>
      </c>
      <c r="U497" s="17">
        <f t="shared" si="169"/>
        <v>0</v>
      </c>
      <c r="V497" s="17">
        <f t="shared" si="169"/>
        <v>0</v>
      </c>
      <c r="W497" s="17">
        <f t="shared" si="169"/>
        <v>0</v>
      </c>
      <c r="X497" s="30">
        <f t="shared" si="169"/>
        <v>0</v>
      </c>
      <c r="Z497" s="40">
        <f t="shared" ref="Z497:AH497" si="170">MIN(Z466:Z496)</f>
        <v>0</v>
      </c>
      <c r="AA497" s="17">
        <f t="shared" si="170"/>
        <v>0</v>
      </c>
      <c r="AB497" s="17">
        <f t="shared" si="170"/>
        <v>0</v>
      </c>
      <c r="AC497" s="17">
        <f t="shared" si="170"/>
        <v>0</v>
      </c>
      <c r="AD497" s="17">
        <f t="shared" si="170"/>
        <v>0</v>
      </c>
      <c r="AE497" s="17">
        <f t="shared" si="170"/>
        <v>0</v>
      </c>
      <c r="AF497" s="17">
        <f t="shared" si="170"/>
        <v>0</v>
      </c>
      <c r="AG497" s="17">
        <f t="shared" si="170"/>
        <v>0</v>
      </c>
      <c r="AH497" s="30">
        <f t="shared" si="170"/>
        <v>0</v>
      </c>
    </row>
    <row r="498" spans="1:34">
      <c r="A498" s="18" t="s">
        <v>33</v>
      </c>
      <c r="B498" s="19">
        <f>MAX(B466:B496)</f>
        <v>0</v>
      </c>
      <c r="C498" s="19">
        <f>MAX(C466:C496)</f>
        <v>0</v>
      </c>
      <c r="D498" s="19">
        <f t="shared" ref="D498:L498" si="171">MAX(D466:D496)</f>
        <v>0</v>
      </c>
      <c r="E498" s="19">
        <f t="shared" si="171"/>
        <v>0</v>
      </c>
      <c r="F498" s="19">
        <f t="shared" si="171"/>
        <v>0</v>
      </c>
      <c r="G498" s="19">
        <f t="shared" si="171"/>
        <v>0</v>
      </c>
      <c r="H498" s="19">
        <f t="shared" si="171"/>
        <v>0</v>
      </c>
      <c r="I498" s="19">
        <f t="shared" si="171"/>
        <v>0</v>
      </c>
      <c r="J498" s="19">
        <f t="shared" si="171"/>
        <v>0</v>
      </c>
      <c r="K498" s="19">
        <f t="shared" si="171"/>
        <v>0</v>
      </c>
      <c r="L498" s="31">
        <f t="shared" si="171"/>
        <v>0</v>
      </c>
      <c r="M498" s="22"/>
      <c r="N498" s="19">
        <f>MAX(N466:N496)</f>
        <v>0</v>
      </c>
      <c r="O498" s="19">
        <f>MAX(O466:O496)</f>
        <v>0</v>
      </c>
      <c r="P498" s="19">
        <f t="shared" ref="P498:X498" si="172">MAX(P466:P496)</f>
        <v>0</v>
      </c>
      <c r="Q498" s="19">
        <f t="shared" si="172"/>
        <v>0</v>
      </c>
      <c r="R498" s="19">
        <f t="shared" si="172"/>
        <v>0</v>
      </c>
      <c r="S498" s="19">
        <f t="shared" si="172"/>
        <v>0</v>
      </c>
      <c r="T498" s="19">
        <f t="shared" si="172"/>
        <v>0</v>
      </c>
      <c r="U498" s="19">
        <f t="shared" si="172"/>
        <v>0</v>
      </c>
      <c r="V498" s="19">
        <f t="shared" si="172"/>
        <v>0</v>
      </c>
      <c r="W498" s="19">
        <f t="shared" si="172"/>
        <v>0</v>
      </c>
      <c r="X498" s="31">
        <f t="shared" si="172"/>
        <v>0</v>
      </c>
      <c r="Z498" s="41">
        <f t="shared" ref="Z498:AH498" si="173">MAX(Z466:Z496)</f>
        <v>0</v>
      </c>
      <c r="AA498" s="19">
        <f t="shared" si="173"/>
        <v>0</v>
      </c>
      <c r="AB498" s="19">
        <f t="shared" si="173"/>
        <v>0</v>
      </c>
      <c r="AC498" s="19">
        <f t="shared" si="173"/>
        <v>0</v>
      </c>
      <c r="AD498" s="19">
        <f t="shared" si="173"/>
        <v>0</v>
      </c>
      <c r="AE498" s="19">
        <f t="shared" si="173"/>
        <v>0</v>
      </c>
      <c r="AF498" s="19">
        <f t="shared" si="173"/>
        <v>0</v>
      </c>
      <c r="AG498" s="19">
        <f t="shared" si="173"/>
        <v>0</v>
      </c>
      <c r="AH498" s="31">
        <f t="shared" si="173"/>
        <v>0</v>
      </c>
    </row>
    <row r="499" spans="1:34">
      <c r="A499" s="18" t="s">
        <v>36</v>
      </c>
      <c r="B499" s="19" t="e">
        <f t="shared" ref="B499:L499" si="174">AVERAGE(B466:B496)</f>
        <v>#DIV/0!</v>
      </c>
      <c r="C499" s="19" t="e">
        <f t="shared" si="174"/>
        <v>#DIV/0!</v>
      </c>
      <c r="D499" s="19" t="e">
        <f t="shared" si="174"/>
        <v>#DIV/0!</v>
      </c>
      <c r="E499" s="19" t="e">
        <f t="shared" si="174"/>
        <v>#DIV/0!</v>
      </c>
      <c r="F499" s="19" t="e">
        <f t="shared" si="174"/>
        <v>#DIV/0!</v>
      </c>
      <c r="G499" s="19" t="e">
        <f t="shared" si="174"/>
        <v>#DIV/0!</v>
      </c>
      <c r="H499" s="19" t="e">
        <f t="shared" si="174"/>
        <v>#DIV/0!</v>
      </c>
      <c r="I499" s="19" t="e">
        <f t="shared" si="174"/>
        <v>#DIV/0!</v>
      </c>
      <c r="J499" s="19" t="e">
        <f t="shared" si="174"/>
        <v>#DIV/0!</v>
      </c>
      <c r="K499" s="19" t="e">
        <f t="shared" si="174"/>
        <v>#DIV/0!</v>
      </c>
      <c r="L499" s="31" t="e">
        <f t="shared" si="174"/>
        <v>#DIV/0!</v>
      </c>
      <c r="M499" s="22"/>
      <c r="N499" s="19" t="e">
        <f t="shared" ref="N499:X499" si="175">AVERAGE(N466:N496)</f>
        <v>#DIV/0!</v>
      </c>
      <c r="O499" s="19" t="e">
        <f t="shared" si="175"/>
        <v>#DIV/0!</v>
      </c>
      <c r="P499" s="19" t="e">
        <f t="shared" si="175"/>
        <v>#DIV/0!</v>
      </c>
      <c r="Q499" s="19" t="e">
        <f t="shared" si="175"/>
        <v>#DIV/0!</v>
      </c>
      <c r="R499" s="19" t="e">
        <f t="shared" si="175"/>
        <v>#DIV/0!</v>
      </c>
      <c r="S499" s="19" t="e">
        <f t="shared" si="175"/>
        <v>#DIV/0!</v>
      </c>
      <c r="T499" s="19" t="e">
        <f t="shared" si="175"/>
        <v>#DIV/0!</v>
      </c>
      <c r="U499" s="19" t="e">
        <f t="shared" si="175"/>
        <v>#DIV/0!</v>
      </c>
      <c r="V499" s="19" t="e">
        <f t="shared" si="175"/>
        <v>#DIV/0!</v>
      </c>
      <c r="W499" s="19" t="e">
        <f t="shared" si="175"/>
        <v>#DIV/0!</v>
      </c>
      <c r="X499" s="31" t="e">
        <f t="shared" si="175"/>
        <v>#DIV/0!</v>
      </c>
      <c r="Z499" s="41" t="e">
        <f>AVERAGE(Z466:Z496)</f>
        <v>#DIV/0!</v>
      </c>
      <c r="AA499" s="19" t="e">
        <f t="shared" ref="AA499:AH499" si="176">AVERAGE(AA466:AA496)</f>
        <v>#DIV/0!</v>
      </c>
      <c r="AB499" s="19" t="e">
        <f t="shared" si="176"/>
        <v>#DIV/0!</v>
      </c>
      <c r="AC499" s="19" t="e">
        <f t="shared" si="176"/>
        <v>#DIV/0!</v>
      </c>
      <c r="AD499" s="19" t="e">
        <f t="shared" si="176"/>
        <v>#DIV/0!</v>
      </c>
      <c r="AE499" s="19" t="e">
        <f t="shared" si="176"/>
        <v>#DIV/0!</v>
      </c>
      <c r="AF499" s="19" t="e">
        <f t="shared" si="176"/>
        <v>#DIV/0!</v>
      </c>
      <c r="AG499" s="19" t="e">
        <f t="shared" si="176"/>
        <v>#DIV/0!</v>
      </c>
      <c r="AH499" s="31" t="e">
        <f t="shared" si="176"/>
        <v>#DIV/0!</v>
      </c>
    </row>
    <row r="500" spans="1:34" ht="15.75" thickBot="1">
      <c r="A500" s="20" t="s">
        <v>130</v>
      </c>
      <c r="B500" s="21" t="e">
        <f>STDEV(B466:B496)</f>
        <v>#DIV/0!</v>
      </c>
      <c r="C500" s="21" t="e">
        <f t="shared" ref="C500:L500" si="177">STDEV(C466:C496)</f>
        <v>#DIV/0!</v>
      </c>
      <c r="D500" s="21" t="e">
        <f t="shared" si="177"/>
        <v>#DIV/0!</v>
      </c>
      <c r="E500" s="21" t="e">
        <f t="shared" si="177"/>
        <v>#DIV/0!</v>
      </c>
      <c r="F500" s="21" t="e">
        <f t="shared" si="177"/>
        <v>#DIV/0!</v>
      </c>
      <c r="G500" s="21" t="e">
        <f t="shared" si="177"/>
        <v>#DIV/0!</v>
      </c>
      <c r="H500" s="21" t="e">
        <f t="shared" si="177"/>
        <v>#DIV/0!</v>
      </c>
      <c r="I500" s="21" t="e">
        <f t="shared" si="177"/>
        <v>#DIV/0!</v>
      </c>
      <c r="J500" s="21" t="e">
        <f t="shared" si="177"/>
        <v>#DIV/0!</v>
      </c>
      <c r="K500" s="21" t="e">
        <f t="shared" si="177"/>
        <v>#DIV/0!</v>
      </c>
      <c r="L500" s="32" t="e">
        <f t="shared" si="177"/>
        <v>#DIV/0!</v>
      </c>
      <c r="M500" s="22"/>
      <c r="N500" s="21" t="e">
        <f>STDEV(N466:N496)</f>
        <v>#DIV/0!</v>
      </c>
      <c r="O500" s="21" t="e">
        <f t="shared" ref="O500:X500" si="178">STDEV(O466:O496)</f>
        <v>#DIV/0!</v>
      </c>
      <c r="P500" s="21" t="e">
        <f t="shared" si="178"/>
        <v>#DIV/0!</v>
      </c>
      <c r="Q500" s="21" t="e">
        <f t="shared" si="178"/>
        <v>#DIV/0!</v>
      </c>
      <c r="R500" s="21" t="e">
        <f t="shared" si="178"/>
        <v>#DIV/0!</v>
      </c>
      <c r="S500" s="21" t="e">
        <f t="shared" si="178"/>
        <v>#DIV/0!</v>
      </c>
      <c r="T500" s="21" t="e">
        <f t="shared" si="178"/>
        <v>#DIV/0!</v>
      </c>
      <c r="U500" s="21" t="e">
        <f t="shared" si="178"/>
        <v>#DIV/0!</v>
      </c>
      <c r="V500" s="21" t="e">
        <f t="shared" si="178"/>
        <v>#DIV/0!</v>
      </c>
      <c r="W500" s="21" t="e">
        <f t="shared" si="178"/>
        <v>#DIV/0!</v>
      </c>
      <c r="X500" s="32" t="e">
        <f t="shared" si="178"/>
        <v>#DIV/0!</v>
      </c>
      <c r="Z500" s="42" t="e">
        <f>STDEV(Z466:Z496)</f>
        <v>#DIV/0!</v>
      </c>
      <c r="AA500" s="21" t="e">
        <f t="shared" ref="AA500:AH500" si="179">STDEV(AA466:AA496)</f>
        <v>#DIV/0!</v>
      </c>
      <c r="AB500" s="21" t="e">
        <f t="shared" si="179"/>
        <v>#DIV/0!</v>
      </c>
      <c r="AC500" s="21" t="e">
        <f t="shared" si="179"/>
        <v>#DIV/0!</v>
      </c>
      <c r="AD500" s="21" t="e">
        <f t="shared" si="179"/>
        <v>#DIV/0!</v>
      </c>
      <c r="AE500" s="21" t="e">
        <f t="shared" si="179"/>
        <v>#DIV/0!</v>
      </c>
      <c r="AF500" s="21" t="e">
        <f t="shared" si="179"/>
        <v>#DIV/0!</v>
      </c>
      <c r="AG500" s="21" t="e">
        <f t="shared" si="179"/>
        <v>#DIV/0!</v>
      </c>
      <c r="AH500" s="32" t="e">
        <f t="shared" si="179"/>
        <v>#DIV/0!</v>
      </c>
    </row>
    <row r="501" spans="1:34" ht="15.75" thickBot="1"/>
    <row r="502" spans="1:34" ht="15.75" thickBot="1">
      <c r="A502" s="1"/>
      <c r="B502" s="338" t="s">
        <v>0</v>
      </c>
      <c r="C502" s="339"/>
      <c r="D502" s="339"/>
      <c r="E502" s="339"/>
      <c r="F502" s="339"/>
      <c r="G502" s="339"/>
      <c r="H502" s="339"/>
      <c r="I502" s="339"/>
      <c r="J502" s="339"/>
      <c r="K502" s="339"/>
      <c r="L502" s="339"/>
      <c r="M502" s="339"/>
      <c r="N502" s="339"/>
      <c r="O502" s="339"/>
      <c r="P502" s="339"/>
      <c r="Q502" s="339"/>
      <c r="R502" s="339"/>
      <c r="S502" s="339"/>
      <c r="T502" s="339"/>
      <c r="U502" s="339"/>
      <c r="V502" s="339"/>
      <c r="W502" s="339"/>
      <c r="X502" s="339"/>
      <c r="Y502" s="339"/>
      <c r="Z502" s="339"/>
      <c r="AA502" s="339"/>
      <c r="AB502" s="339"/>
      <c r="AC502" s="339"/>
      <c r="AD502" s="339"/>
      <c r="AE502" s="339"/>
      <c r="AF502" s="339"/>
      <c r="AG502" s="339"/>
      <c r="AH502" s="363"/>
    </row>
    <row r="503" spans="1:34" ht="15.75" thickBot="1">
      <c r="A503" s="1"/>
      <c r="B503" s="338" t="s">
        <v>172</v>
      </c>
      <c r="C503" s="339"/>
      <c r="D503" s="339"/>
      <c r="E503" s="339"/>
      <c r="F503" s="339"/>
      <c r="G503" s="339"/>
      <c r="H503" s="339"/>
      <c r="I503" s="339"/>
      <c r="J503" s="339"/>
      <c r="K503" s="339"/>
      <c r="L503" s="339"/>
      <c r="M503" s="339"/>
      <c r="N503" s="339"/>
      <c r="O503" s="339"/>
      <c r="P503" s="339"/>
      <c r="Q503" s="339"/>
      <c r="R503" s="339"/>
      <c r="S503" s="339"/>
      <c r="T503" s="339"/>
      <c r="U503" s="339"/>
      <c r="V503" s="339"/>
      <c r="W503" s="339"/>
      <c r="X503" s="339"/>
      <c r="Y503" s="339"/>
      <c r="Z503" s="339"/>
      <c r="AA503" s="339"/>
      <c r="AB503" s="339"/>
      <c r="AC503" s="339"/>
      <c r="AD503" s="4"/>
      <c r="AE503" s="43" t="s">
        <v>107</v>
      </c>
      <c r="AF503" s="341">
        <v>46357</v>
      </c>
      <c r="AG503" s="342"/>
      <c r="AH503" s="343"/>
    </row>
    <row r="504" spans="1:34">
      <c r="A504" s="344"/>
      <c r="B504" s="346" t="s">
        <v>132</v>
      </c>
      <c r="C504" s="347"/>
      <c r="D504" s="347"/>
      <c r="E504" s="347"/>
      <c r="F504" s="347"/>
      <c r="G504" s="347"/>
      <c r="H504" s="347"/>
      <c r="I504" s="347"/>
      <c r="J504" s="347"/>
      <c r="K504" s="348"/>
      <c r="L504" s="349"/>
      <c r="M504" s="22"/>
      <c r="N504" s="350" t="s">
        <v>133</v>
      </c>
      <c r="O504" s="347"/>
      <c r="P504" s="347"/>
      <c r="Q504" s="347"/>
      <c r="R504" s="347"/>
      <c r="S504" s="347"/>
      <c r="T504" s="347"/>
      <c r="U504" s="347"/>
      <c r="V504" s="347"/>
      <c r="W504" s="348"/>
      <c r="X504" s="349"/>
      <c r="Y504" s="22"/>
      <c r="Z504" s="346" t="s">
        <v>134</v>
      </c>
      <c r="AA504" s="347"/>
      <c r="AB504" s="347"/>
      <c r="AC504" s="347"/>
      <c r="AD504" s="347"/>
      <c r="AE504" s="347"/>
      <c r="AF504" s="347"/>
      <c r="AG504" s="348"/>
      <c r="AH504" s="349"/>
    </row>
    <row r="505" spans="1:34" ht="25.5">
      <c r="A505" s="345"/>
      <c r="B505" s="359" t="s">
        <v>135</v>
      </c>
      <c r="C505" s="361" t="s">
        <v>136</v>
      </c>
      <c r="D505" s="5" t="s">
        <v>137</v>
      </c>
      <c r="E505" s="5" t="s">
        <v>138</v>
      </c>
      <c r="F505" s="5" t="s">
        <v>139</v>
      </c>
      <c r="G505" s="5" t="s">
        <v>140</v>
      </c>
      <c r="H505" s="5" t="s">
        <v>141</v>
      </c>
      <c r="I505" s="5" t="s">
        <v>142</v>
      </c>
      <c r="J505" s="5" t="s">
        <v>143</v>
      </c>
      <c r="K505" s="181" t="s">
        <v>81</v>
      </c>
      <c r="L505" s="23" t="s">
        <v>144</v>
      </c>
      <c r="M505" s="22"/>
      <c r="N505" s="355" t="s">
        <v>135</v>
      </c>
      <c r="O505" s="357" t="s">
        <v>136</v>
      </c>
      <c r="P505" s="5" t="s">
        <v>137</v>
      </c>
      <c r="Q505" s="5" t="s">
        <v>138</v>
      </c>
      <c r="R505" s="5" t="s">
        <v>139</v>
      </c>
      <c r="S505" s="5" t="s">
        <v>140</v>
      </c>
      <c r="T505" s="5" t="s">
        <v>141</v>
      </c>
      <c r="U505" s="5" t="s">
        <v>142</v>
      </c>
      <c r="V505" s="5" t="s">
        <v>143</v>
      </c>
      <c r="W505" s="181" t="s">
        <v>81</v>
      </c>
      <c r="X505" s="23" t="s">
        <v>144</v>
      </c>
      <c r="Y505" s="22"/>
      <c r="Z505" s="33" t="s">
        <v>137</v>
      </c>
      <c r="AA505" s="5" t="s">
        <v>138</v>
      </c>
      <c r="AB505" s="5" t="s">
        <v>139</v>
      </c>
      <c r="AC505" s="5" t="s">
        <v>140</v>
      </c>
      <c r="AD505" s="5" t="s">
        <v>141</v>
      </c>
      <c r="AE505" s="5" t="s">
        <v>142</v>
      </c>
      <c r="AF505" s="5" t="s">
        <v>143</v>
      </c>
      <c r="AG505" s="181" t="s">
        <v>81</v>
      </c>
      <c r="AH505" s="23" t="s">
        <v>144</v>
      </c>
    </row>
    <row r="506" spans="1:34" ht="25.5">
      <c r="A506" s="6" t="s">
        <v>145</v>
      </c>
      <c r="B506" s="360"/>
      <c r="C506" s="362"/>
      <c r="D506" s="5" t="s">
        <v>128</v>
      </c>
      <c r="E506" s="5" t="s">
        <v>128</v>
      </c>
      <c r="F506" s="5" t="s">
        <v>128</v>
      </c>
      <c r="G506" s="5" t="s">
        <v>128</v>
      </c>
      <c r="H506" s="5" t="s">
        <v>125</v>
      </c>
      <c r="I506" s="5" t="s">
        <v>146</v>
      </c>
      <c r="J506" s="5" t="s">
        <v>127</v>
      </c>
      <c r="K506" s="181" t="s">
        <v>53</v>
      </c>
      <c r="L506" s="23" t="s">
        <v>53</v>
      </c>
      <c r="M506" s="22"/>
      <c r="N506" s="356"/>
      <c r="O506" s="358"/>
      <c r="P506" s="5" t="s">
        <v>128</v>
      </c>
      <c r="Q506" s="5" t="s">
        <v>128</v>
      </c>
      <c r="R506" s="5" t="s">
        <v>128</v>
      </c>
      <c r="S506" s="5" t="s">
        <v>128</v>
      </c>
      <c r="T506" s="5" t="s">
        <v>125</v>
      </c>
      <c r="U506" s="5" t="s">
        <v>146</v>
      </c>
      <c r="V506" s="5" t="s">
        <v>127</v>
      </c>
      <c r="W506" s="181" t="s">
        <v>53</v>
      </c>
      <c r="X506" s="23" t="s">
        <v>53</v>
      </c>
      <c r="Y506" s="22"/>
      <c r="Z506" s="33" t="s">
        <v>128</v>
      </c>
      <c r="AA506" s="5" t="s">
        <v>128</v>
      </c>
      <c r="AB506" s="5" t="s">
        <v>128</v>
      </c>
      <c r="AC506" s="5" t="s">
        <v>128</v>
      </c>
      <c r="AD506" s="5" t="s">
        <v>125</v>
      </c>
      <c r="AE506" s="5" t="s">
        <v>146</v>
      </c>
      <c r="AF506" s="5" t="s">
        <v>127</v>
      </c>
      <c r="AG506" s="181" t="s">
        <v>53</v>
      </c>
      <c r="AH506" s="23" t="s">
        <v>53</v>
      </c>
    </row>
    <row r="507" spans="1:34" ht="39" thickBot="1">
      <c r="A507" s="7" t="s">
        <v>147</v>
      </c>
      <c r="B507" s="8" t="s">
        <v>173</v>
      </c>
      <c r="C507" s="9" t="s">
        <v>174</v>
      </c>
      <c r="D507" s="9" t="s">
        <v>181</v>
      </c>
      <c r="E507" s="9" t="s">
        <v>182</v>
      </c>
      <c r="F507" s="9" t="s">
        <v>183</v>
      </c>
      <c r="G507" s="9" t="s">
        <v>175</v>
      </c>
      <c r="H507" s="9" t="s">
        <v>176</v>
      </c>
      <c r="I507" s="24" t="s">
        <v>155</v>
      </c>
      <c r="J507" s="24" t="s">
        <v>156</v>
      </c>
      <c r="K507" s="24" t="s">
        <v>179</v>
      </c>
      <c r="L507" s="25" t="s">
        <v>177</v>
      </c>
      <c r="M507" s="22"/>
      <c r="N507" s="8" t="s">
        <v>173</v>
      </c>
      <c r="O507" s="9" t="s">
        <v>174</v>
      </c>
      <c r="P507" s="9" t="s">
        <v>181</v>
      </c>
      <c r="Q507" s="9" t="s">
        <v>182</v>
      </c>
      <c r="R507" s="9" t="s">
        <v>183</v>
      </c>
      <c r="S507" s="9" t="s">
        <v>175</v>
      </c>
      <c r="T507" s="9" t="s">
        <v>176</v>
      </c>
      <c r="U507" s="24" t="s">
        <v>155</v>
      </c>
      <c r="V507" s="24" t="s">
        <v>156</v>
      </c>
      <c r="W507" s="24" t="s">
        <v>179</v>
      </c>
      <c r="X507" s="25" t="s">
        <v>177</v>
      </c>
      <c r="Y507" s="22"/>
      <c r="Z507" s="9" t="s">
        <v>181</v>
      </c>
      <c r="AA507" s="9" t="s">
        <v>182</v>
      </c>
      <c r="AB507" s="9" t="s">
        <v>183</v>
      </c>
      <c r="AC507" s="9" t="s">
        <v>175</v>
      </c>
      <c r="AD507" s="9" t="s">
        <v>176</v>
      </c>
      <c r="AE507" s="24" t="s">
        <v>155</v>
      </c>
      <c r="AF507" s="24" t="s">
        <v>156</v>
      </c>
      <c r="AG507" s="24" t="s">
        <v>179</v>
      </c>
      <c r="AH507" s="25" t="s">
        <v>177</v>
      </c>
    </row>
    <row r="508" spans="1:34">
      <c r="A508" s="10">
        <f>AF503+0</f>
        <v>46357</v>
      </c>
      <c r="B508" s="11"/>
      <c r="C508" s="12"/>
      <c r="D508" s="12"/>
      <c r="E508" s="13"/>
      <c r="F508" s="12"/>
      <c r="G508" s="12"/>
      <c r="H508" s="12"/>
      <c r="I508" s="12"/>
      <c r="J508" s="13"/>
      <c r="K508" s="184"/>
      <c r="L508" s="26"/>
      <c r="M508" s="22"/>
      <c r="N508" s="29"/>
      <c r="O508" s="13"/>
      <c r="P508" s="28"/>
      <c r="Q508" s="28"/>
      <c r="R508" s="28"/>
      <c r="S508" s="28"/>
      <c r="T508" s="62"/>
      <c r="U508" s="28"/>
      <c r="V508" s="28"/>
      <c r="W508" s="184"/>
      <c r="X508" s="34"/>
      <c r="Y508" s="22"/>
      <c r="Z508" s="38"/>
      <c r="AA508" s="13"/>
      <c r="AB508" s="13"/>
      <c r="AC508" s="13"/>
      <c r="AD508" s="36"/>
      <c r="AE508" s="13"/>
      <c r="AF508" s="13"/>
      <c r="AG508" s="184"/>
      <c r="AH508" s="37"/>
    </row>
    <row r="509" spans="1:34">
      <c r="A509" s="14">
        <f t="shared" ref="A509:A538" si="180">A508+1</f>
        <v>46358</v>
      </c>
      <c r="B509" s="11"/>
      <c r="C509" s="12"/>
      <c r="D509" s="12"/>
      <c r="E509" s="13"/>
      <c r="F509" s="12"/>
      <c r="G509" s="12"/>
      <c r="H509" s="12"/>
      <c r="I509" s="12"/>
      <c r="J509" s="13"/>
      <c r="K509" s="184"/>
      <c r="L509" s="26"/>
      <c r="M509" s="22"/>
      <c r="N509" s="29"/>
      <c r="O509" s="13"/>
      <c r="P509" s="13"/>
      <c r="Q509" s="13"/>
      <c r="R509" s="13"/>
      <c r="S509" s="13"/>
      <c r="T509" s="36"/>
      <c r="U509" s="13"/>
      <c r="V509" s="13"/>
      <c r="W509" s="184"/>
      <c r="X509" s="37"/>
      <c r="Y509" s="22"/>
      <c r="Z509" s="38"/>
      <c r="AA509" s="13"/>
      <c r="AB509" s="13"/>
      <c r="AC509" s="13"/>
      <c r="AD509" s="36"/>
      <c r="AE509" s="13"/>
      <c r="AF509" s="13"/>
      <c r="AG509" s="184"/>
      <c r="AH509" s="37"/>
    </row>
    <row r="510" spans="1:34">
      <c r="A510" s="14">
        <f t="shared" si="180"/>
        <v>46359</v>
      </c>
      <c r="B510" s="11"/>
      <c r="C510" s="12"/>
      <c r="D510" s="12"/>
      <c r="E510" s="13"/>
      <c r="F510" s="12"/>
      <c r="G510" s="12"/>
      <c r="H510" s="12"/>
      <c r="I510" s="12"/>
      <c r="J510" s="13"/>
      <c r="K510" s="184"/>
      <c r="L510" s="26"/>
      <c r="M510" s="22"/>
      <c r="N510" s="29"/>
      <c r="O510" s="13"/>
      <c r="P510" s="13"/>
      <c r="Q510" s="13"/>
      <c r="R510" s="13"/>
      <c r="S510" s="13"/>
      <c r="T510" s="36"/>
      <c r="U510" s="13"/>
      <c r="V510" s="13"/>
      <c r="W510" s="184"/>
      <c r="X510" s="37"/>
      <c r="Y510" s="22"/>
      <c r="Z510" s="38"/>
      <c r="AA510" s="13"/>
      <c r="AB510" s="13"/>
      <c r="AC510" s="13"/>
      <c r="AD510" s="36"/>
      <c r="AE510" s="13"/>
      <c r="AF510" s="13"/>
      <c r="AG510" s="184"/>
      <c r="AH510" s="37"/>
    </row>
    <row r="511" spans="1:34">
      <c r="A511" s="14">
        <f t="shared" si="180"/>
        <v>46360</v>
      </c>
      <c r="B511" s="11"/>
      <c r="C511" s="12"/>
      <c r="D511" s="12"/>
      <c r="E511" s="13"/>
      <c r="F511" s="12"/>
      <c r="G511" s="12"/>
      <c r="H511" s="12"/>
      <c r="I511" s="12"/>
      <c r="J511" s="13"/>
      <c r="K511" s="184"/>
      <c r="L511" s="26"/>
      <c r="M511" s="22"/>
      <c r="N511" s="29"/>
      <c r="O511" s="13"/>
      <c r="P511" s="13"/>
      <c r="Q511" s="13"/>
      <c r="R511" s="13"/>
      <c r="S511" s="13"/>
      <c r="T511" s="36"/>
      <c r="U511" s="13"/>
      <c r="V511" s="13"/>
      <c r="W511" s="184"/>
      <c r="X511" s="37"/>
      <c r="Y511" s="22"/>
      <c r="Z511" s="38"/>
      <c r="AA511" s="13"/>
      <c r="AB511" s="13"/>
      <c r="AC511" s="13"/>
      <c r="AD511" s="36"/>
      <c r="AE511" s="13"/>
      <c r="AF511" s="13"/>
      <c r="AG511" s="184"/>
      <c r="AH511" s="37"/>
    </row>
    <row r="512" spans="1:34">
      <c r="A512" s="14">
        <f t="shared" si="180"/>
        <v>46361</v>
      </c>
      <c r="B512" s="11"/>
      <c r="C512" s="12"/>
      <c r="D512" s="12"/>
      <c r="E512" s="13"/>
      <c r="F512" s="12"/>
      <c r="G512" s="12"/>
      <c r="H512" s="12"/>
      <c r="I512" s="12"/>
      <c r="J512" s="13"/>
      <c r="K512" s="184"/>
      <c r="L512" s="26"/>
      <c r="M512" s="22"/>
      <c r="N512" s="29"/>
      <c r="O512" s="13"/>
      <c r="P512" s="13"/>
      <c r="Q512" s="13"/>
      <c r="R512" s="13"/>
      <c r="S512" s="13"/>
      <c r="T512" s="36"/>
      <c r="U512" s="13"/>
      <c r="V512" s="13"/>
      <c r="W512" s="184"/>
      <c r="X512" s="51"/>
      <c r="Y512" s="22"/>
      <c r="Z512" s="38"/>
      <c r="AA512" s="13"/>
      <c r="AB512" s="13"/>
      <c r="AC512" s="13"/>
      <c r="AD512" s="36"/>
      <c r="AE512" s="13"/>
      <c r="AF512" s="13"/>
      <c r="AG512" s="184"/>
      <c r="AH512" s="37"/>
    </row>
    <row r="513" spans="1:34">
      <c r="A513" s="14">
        <f t="shared" si="180"/>
        <v>46362</v>
      </c>
      <c r="B513" s="11"/>
      <c r="C513" s="12"/>
      <c r="D513" s="12"/>
      <c r="E513" s="13"/>
      <c r="F513" s="12"/>
      <c r="G513" s="12"/>
      <c r="H513" s="12"/>
      <c r="I513" s="12"/>
      <c r="J513" s="13"/>
      <c r="K513" s="184"/>
      <c r="L513" s="26"/>
      <c r="M513" s="22"/>
      <c r="N513" s="29"/>
      <c r="O513" s="13"/>
      <c r="P513" s="13"/>
      <c r="Q513" s="13"/>
      <c r="R513" s="13"/>
      <c r="S513" s="13"/>
      <c r="T513" s="36"/>
      <c r="U513" s="13"/>
      <c r="V513" s="13"/>
      <c r="W513" s="184"/>
      <c r="X513" s="51"/>
      <c r="Y513" s="22"/>
      <c r="Z513" s="38"/>
      <c r="AA513" s="13"/>
      <c r="AB513" s="13"/>
      <c r="AC513" s="13"/>
      <c r="AD513" s="36"/>
      <c r="AE513" s="13"/>
      <c r="AF513" s="13"/>
      <c r="AG513" s="184"/>
      <c r="AH513" s="37"/>
    </row>
    <row r="514" spans="1:34">
      <c r="A514" s="14">
        <f t="shared" si="180"/>
        <v>46363</v>
      </c>
      <c r="B514" s="11"/>
      <c r="C514" s="12"/>
      <c r="D514" s="12"/>
      <c r="E514" s="13"/>
      <c r="F514" s="12"/>
      <c r="G514" s="12"/>
      <c r="H514" s="12"/>
      <c r="I514" s="12"/>
      <c r="J514" s="13"/>
      <c r="K514" s="184"/>
      <c r="L514" s="26"/>
      <c r="M514" s="22"/>
      <c r="N514" s="29"/>
      <c r="O514" s="50"/>
      <c r="P514" s="13"/>
      <c r="Q514" s="13"/>
      <c r="R514" s="13"/>
      <c r="S514" s="13"/>
      <c r="T514" s="36"/>
      <c r="U514" s="13"/>
      <c r="V514" s="13"/>
      <c r="W514" s="184"/>
      <c r="X514" s="51"/>
      <c r="Y514" s="22"/>
      <c r="Z514" s="38"/>
      <c r="AA514" s="13"/>
      <c r="AB514" s="13"/>
      <c r="AC514" s="13"/>
      <c r="AD514" s="36"/>
      <c r="AE514" s="13"/>
      <c r="AF514" s="13"/>
      <c r="AG514" s="184"/>
      <c r="AH514" s="37"/>
    </row>
    <row r="515" spans="1:34">
      <c r="A515" s="14">
        <f t="shared" si="180"/>
        <v>46364</v>
      </c>
      <c r="B515" s="11"/>
      <c r="C515" s="12"/>
      <c r="D515" s="12"/>
      <c r="E515" s="13"/>
      <c r="F515" s="12"/>
      <c r="G515" s="12"/>
      <c r="H515" s="12"/>
      <c r="I515" s="12"/>
      <c r="J515" s="13"/>
      <c r="K515" s="184"/>
      <c r="L515" s="26"/>
      <c r="M515" s="22"/>
      <c r="N515" s="29"/>
      <c r="O515" s="50"/>
      <c r="P515" s="13"/>
      <c r="Q515" s="13"/>
      <c r="R515" s="13"/>
      <c r="S515" s="13"/>
      <c r="T515" s="36"/>
      <c r="U515" s="13"/>
      <c r="V515" s="13"/>
      <c r="W515" s="184"/>
      <c r="X515" s="37"/>
      <c r="Y515" s="22"/>
      <c r="Z515" s="38"/>
      <c r="AA515" s="13"/>
      <c r="AB515" s="13"/>
      <c r="AC515" s="13"/>
      <c r="AD515" s="36"/>
      <c r="AE515" s="13"/>
      <c r="AF515" s="13"/>
      <c r="AG515" s="184"/>
      <c r="AH515" s="37"/>
    </row>
    <row r="516" spans="1:34">
      <c r="A516" s="14">
        <f t="shared" si="180"/>
        <v>46365</v>
      </c>
      <c r="B516" s="11"/>
      <c r="C516" s="12"/>
      <c r="D516" s="12"/>
      <c r="E516" s="13"/>
      <c r="F516" s="12"/>
      <c r="G516" s="12"/>
      <c r="H516" s="12"/>
      <c r="I516" s="12"/>
      <c r="J516" s="13"/>
      <c r="K516" s="184"/>
      <c r="L516" s="26"/>
      <c r="M516" s="22"/>
      <c r="N516" s="29"/>
      <c r="O516" s="50"/>
      <c r="P516" s="13"/>
      <c r="Q516" s="13"/>
      <c r="R516" s="13"/>
      <c r="S516" s="13"/>
      <c r="T516" s="36"/>
      <c r="U516" s="13"/>
      <c r="V516" s="13"/>
      <c r="W516" s="184"/>
      <c r="X516" s="37"/>
      <c r="Y516" s="22"/>
      <c r="Z516" s="38"/>
      <c r="AA516" s="13"/>
      <c r="AB516" s="13"/>
      <c r="AC516" s="13"/>
      <c r="AD516" s="36"/>
      <c r="AE516" s="13"/>
      <c r="AF516" s="13"/>
      <c r="AG516" s="184"/>
      <c r="AH516" s="37"/>
    </row>
    <row r="517" spans="1:34">
      <c r="A517" s="14">
        <f t="shared" si="180"/>
        <v>46366</v>
      </c>
      <c r="B517" s="11"/>
      <c r="C517" s="12"/>
      <c r="D517" s="12"/>
      <c r="E517" s="13"/>
      <c r="F517" s="12"/>
      <c r="G517" s="12"/>
      <c r="H517" s="12"/>
      <c r="I517" s="12"/>
      <c r="J517" s="13"/>
      <c r="K517" s="184"/>
      <c r="L517" s="26"/>
      <c r="M517" s="22"/>
      <c r="N517" s="29"/>
      <c r="O517" s="50"/>
      <c r="P517" s="13"/>
      <c r="Q517" s="13"/>
      <c r="R517" s="13"/>
      <c r="S517" s="13"/>
      <c r="T517" s="36"/>
      <c r="U517" s="13"/>
      <c r="V517" s="13"/>
      <c r="W517" s="184"/>
      <c r="X517" s="51"/>
      <c r="Y517" s="22"/>
      <c r="Z517" s="38"/>
      <c r="AA517" s="13"/>
      <c r="AB517" s="13"/>
      <c r="AC517" s="13"/>
      <c r="AD517" s="36"/>
      <c r="AE517" s="13"/>
      <c r="AF517" s="13"/>
      <c r="AG517" s="184"/>
      <c r="AH517" s="37"/>
    </row>
    <row r="518" spans="1:34">
      <c r="A518" s="14">
        <f t="shared" si="180"/>
        <v>46367</v>
      </c>
      <c r="B518" s="11"/>
      <c r="C518" s="12"/>
      <c r="D518" s="12"/>
      <c r="E518" s="13"/>
      <c r="F518" s="12"/>
      <c r="G518" s="12"/>
      <c r="H518" s="12"/>
      <c r="I518" s="12"/>
      <c r="J518" s="13"/>
      <c r="K518" s="184"/>
      <c r="L518" s="26"/>
      <c r="M518" s="22"/>
      <c r="N518" s="29"/>
      <c r="O518" s="50"/>
      <c r="P518" s="13"/>
      <c r="Q518" s="13"/>
      <c r="R518" s="13"/>
      <c r="S518" s="13"/>
      <c r="T518" s="36"/>
      <c r="U518" s="13"/>
      <c r="V518" s="13"/>
      <c r="W518" s="184"/>
      <c r="X518" s="51"/>
      <c r="Y518" s="22"/>
      <c r="Z518" s="38"/>
      <c r="AA518" s="13"/>
      <c r="AB518" s="13"/>
      <c r="AC518" s="13"/>
      <c r="AD518" s="36"/>
      <c r="AE518" s="13"/>
      <c r="AF518" s="13"/>
      <c r="AG518" s="184"/>
      <c r="AH518" s="37"/>
    </row>
    <row r="519" spans="1:34">
      <c r="A519" s="14">
        <f t="shared" si="180"/>
        <v>46368</v>
      </c>
      <c r="B519" s="11"/>
      <c r="C519" s="12"/>
      <c r="D519" s="12"/>
      <c r="E519" s="13"/>
      <c r="F519" s="12"/>
      <c r="G519" s="12"/>
      <c r="H519" s="12"/>
      <c r="I519" s="12"/>
      <c r="J519" s="13"/>
      <c r="K519" s="184"/>
      <c r="L519" s="26"/>
      <c r="M519" s="22"/>
      <c r="N519" s="29"/>
      <c r="O519" s="50"/>
      <c r="P519" s="13"/>
      <c r="Q519" s="13"/>
      <c r="R519" s="13"/>
      <c r="S519" s="13"/>
      <c r="T519" s="36"/>
      <c r="U519" s="13"/>
      <c r="V519" s="13"/>
      <c r="W519" s="184"/>
      <c r="X519" s="51"/>
      <c r="Y519" s="22"/>
      <c r="Z519" s="38"/>
      <c r="AA519" s="13"/>
      <c r="AB519" s="13"/>
      <c r="AC519" s="13"/>
      <c r="AD519" s="36"/>
      <c r="AE519" s="13"/>
      <c r="AF519" s="13"/>
      <c r="AG519" s="184"/>
      <c r="AH519" s="37"/>
    </row>
    <row r="520" spans="1:34">
      <c r="A520" s="14">
        <f t="shared" si="180"/>
        <v>46369</v>
      </c>
      <c r="B520" s="11"/>
      <c r="C520" s="12"/>
      <c r="D520" s="12"/>
      <c r="E520" s="13"/>
      <c r="F520" s="12"/>
      <c r="G520" s="12"/>
      <c r="H520" s="12"/>
      <c r="I520" s="12"/>
      <c r="J520" s="13"/>
      <c r="K520" s="184"/>
      <c r="L520" s="26"/>
      <c r="M520" s="22"/>
      <c r="N520" s="29"/>
      <c r="O520" s="50"/>
      <c r="P520" s="13"/>
      <c r="Q520" s="13"/>
      <c r="R520" s="13"/>
      <c r="S520" s="13"/>
      <c r="T520" s="36"/>
      <c r="U520" s="13"/>
      <c r="V520" s="13"/>
      <c r="W520" s="184"/>
      <c r="X520" s="51"/>
      <c r="Y520" s="22"/>
      <c r="Z520" s="38"/>
      <c r="AA520" s="13"/>
      <c r="AB520" s="13"/>
      <c r="AC520" s="13"/>
      <c r="AD520" s="36"/>
      <c r="AE520" s="13"/>
      <c r="AF520" s="13"/>
      <c r="AG520" s="184"/>
      <c r="AH520" s="37"/>
    </row>
    <row r="521" spans="1:34">
      <c r="A521" s="14">
        <f t="shared" si="180"/>
        <v>46370</v>
      </c>
      <c r="B521" s="11"/>
      <c r="C521" s="12"/>
      <c r="D521" s="12"/>
      <c r="E521" s="13"/>
      <c r="F521" s="12"/>
      <c r="G521" s="12"/>
      <c r="H521" s="12"/>
      <c r="I521" s="12"/>
      <c r="J521" s="13"/>
      <c r="K521" s="184"/>
      <c r="L521" s="26"/>
      <c r="M521" s="22"/>
      <c r="N521" s="29"/>
      <c r="O521" s="50"/>
      <c r="P521" s="13"/>
      <c r="Q521" s="13"/>
      <c r="R521" s="13"/>
      <c r="S521" s="13"/>
      <c r="T521" s="36"/>
      <c r="U521" s="13"/>
      <c r="V521" s="13"/>
      <c r="W521" s="184"/>
      <c r="X521" s="51"/>
      <c r="Y521" s="22"/>
      <c r="Z521" s="38"/>
      <c r="AA521" s="13"/>
      <c r="AB521" s="13"/>
      <c r="AC521" s="13"/>
      <c r="AD521" s="36"/>
      <c r="AE521" s="13"/>
      <c r="AF521" s="13"/>
      <c r="AG521" s="184"/>
      <c r="AH521" s="37"/>
    </row>
    <row r="522" spans="1:34">
      <c r="A522" s="14">
        <f t="shared" si="180"/>
        <v>46371</v>
      </c>
      <c r="B522" s="11"/>
      <c r="C522" s="12"/>
      <c r="D522" s="12"/>
      <c r="E522" s="13"/>
      <c r="F522" s="12"/>
      <c r="G522" s="12"/>
      <c r="H522" s="12"/>
      <c r="I522" s="12"/>
      <c r="J522" s="13"/>
      <c r="K522" s="184"/>
      <c r="L522" s="26"/>
      <c r="M522" s="22"/>
      <c r="N522" s="29"/>
      <c r="O522" s="50"/>
      <c r="P522" s="13"/>
      <c r="Q522" s="13"/>
      <c r="R522" s="13"/>
      <c r="S522" s="13"/>
      <c r="T522" s="36"/>
      <c r="U522" s="13"/>
      <c r="V522" s="13"/>
      <c r="W522" s="184"/>
      <c r="X522" s="37"/>
      <c r="Y522" s="22"/>
      <c r="Z522" s="38"/>
      <c r="AA522" s="13"/>
      <c r="AB522" s="13"/>
      <c r="AC522" s="13"/>
      <c r="AD522" s="13"/>
      <c r="AE522" s="13"/>
      <c r="AF522" s="13"/>
      <c r="AG522" s="184"/>
      <c r="AH522" s="37"/>
    </row>
    <row r="523" spans="1:34">
      <c r="A523" s="14">
        <f t="shared" si="180"/>
        <v>46372</v>
      </c>
      <c r="B523" s="11"/>
      <c r="C523" s="12"/>
      <c r="D523" s="12"/>
      <c r="E523" s="13"/>
      <c r="F523" s="12"/>
      <c r="G523" s="12"/>
      <c r="H523" s="12"/>
      <c r="I523" s="12"/>
      <c r="J523" s="13"/>
      <c r="K523" s="184"/>
      <c r="L523" s="26"/>
      <c r="M523" s="22"/>
      <c r="N523" s="29"/>
      <c r="O523" s="50"/>
      <c r="P523" s="13"/>
      <c r="Q523" s="13"/>
      <c r="R523" s="13"/>
      <c r="S523" s="13"/>
      <c r="T523" s="36"/>
      <c r="U523" s="13"/>
      <c r="V523" s="13"/>
      <c r="W523" s="184"/>
      <c r="X523" s="51"/>
      <c r="Y523" s="22"/>
      <c r="Z523" s="38"/>
      <c r="AA523" s="13"/>
      <c r="AB523" s="13"/>
      <c r="AC523" s="13"/>
      <c r="AD523" s="13"/>
      <c r="AE523" s="13"/>
      <c r="AF523" s="13"/>
      <c r="AG523" s="184"/>
      <c r="AH523" s="37"/>
    </row>
    <row r="524" spans="1:34">
      <c r="A524" s="14">
        <f t="shared" si="180"/>
        <v>46373</v>
      </c>
      <c r="B524" s="11"/>
      <c r="C524" s="12"/>
      <c r="D524" s="12"/>
      <c r="E524" s="13"/>
      <c r="F524" s="12"/>
      <c r="G524" s="12"/>
      <c r="H524" s="12"/>
      <c r="I524" s="12"/>
      <c r="J524" s="13"/>
      <c r="K524" s="184"/>
      <c r="L524" s="26"/>
      <c r="M524" s="22"/>
      <c r="N524" s="29"/>
      <c r="O524" s="50"/>
      <c r="P524" s="13"/>
      <c r="Q524" s="13"/>
      <c r="R524" s="13"/>
      <c r="S524" s="13"/>
      <c r="T524" s="36"/>
      <c r="U524" s="13"/>
      <c r="V524" s="13"/>
      <c r="W524" s="184"/>
      <c r="X524" s="37"/>
      <c r="Y524" s="22"/>
      <c r="Z524" s="38"/>
      <c r="AA524" s="13"/>
      <c r="AB524" s="13"/>
      <c r="AC524" s="13"/>
      <c r="AD524" s="13"/>
      <c r="AE524" s="13"/>
      <c r="AF524" s="13"/>
      <c r="AG524" s="184"/>
      <c r="AH524" s="37"/>
    </row>
    <row r="525" spans="1:34">
      <c r="A525" s="14">
        <f t="shared" si="180"/>
        <v>46374</v>
      </c>
      <c r="B525" s="11"/>
      <c r="C525" s="12"/>
      <c r="D525" s="12"/>
      <c r="E525" s="13"/>
      <c r="F525" s="12"/>
      <c r="G525" s="12"/>
      <c r="H525" s="12"/>
      <c r="I525" s="12"/>
      <c r="J525" s="13"/>
      <c r="K525" s="184"/>
      <c r="L525" s="26"/>
      <c r="M525" s="22"/>
      <c r="N525" s="29"/>
      <c r="O525" s="13"/>
      <c r="P525" s="13"/>
      <c r="Q525" s="13"/>
      <c r="R525" s="13"/>
      <c r="S525" s="13"/>
      <c r="T525" s="36"/>
      <c r="U525" s="13"/>
      <c r="V525" s="13"/>
      <c r="W525" s="184"/>
      <c r="X525" s="37"/>
      <c r="Y525" s="22"/>
      <c r="Z525" s="38"/>
      <c r="AA525" s="13"/>
      <c r="AB525" s="13"/>
      <c r="AC525" s="13"/>
      <c r="AD525" s="13"/>
      <c r="AE525" s="13"/>
      <c r="AF525" s="13"/>
      <c r="AG525" s="184"/>
      <c r="AH525" s="37"/>
    </row>
    <row r="526" spans="1:34">
      <c r="A526" s="14">
        <f t="shared" si="180"/>
        <v>46375</v>
      </c>
      <c r="B526" s="11"/>
      <c r="C526" s="12"/>
      <c r="D526" s="12"/>
      <c r="E526" s="13"/>
      <c r="F526" s="12"/>
      <c r="G526" s="12"/>
      <c r="H526" s="12"/>
      <c r="I526" s="12"/>
      <c r="J526" s="13"/>
      <c r="K526" s="184"/>
      <c r="L526" s="26"/>
      <c r="M526" s="22"/>
      <c r="N526" s="29"/>
      <c r="O526" s="13"/>
      <c r="P526" s="13"/>
      <c r="Q526" s="13"/>
      <c r="R526" s="13"/>
      <c r="S526" s="13"/>
      <c r="T526" s="36"/>
      <c r="U526" s="13"/>
      <c r="V526" s="13"/>
      <c r="W526" s="184"/>
      <c r="X526" s="37"/>
      <c r="Y526" s="22"/>
      <c r="Z526" s="38"/>
      <c r="AA526" s="13"/>
      <c r="AB526" s="13"/>
      <c r="AC526" s="13"/>
      <c r="AD526" s="13"/>
      <c r="AE526" s="13"/>
      <c r="AF526" s="13"/>
      <c r="AG526" s="184"/>
      <c r="AH526" s="37"/>
    </row>
    <row r="527" spans="1:34">
      <c r="A527" s="14">
        <f t="shared" si="180"/>
        <v>46376</v>
      </c>
      <c r="B527" s="11"/>
      <c r="C527" s="12"/>
      <c r="D527" s="12"/>
      <c r="E527" s="13"/>
      <c r="F527" s="12"/>
      <c r="G527" s="12"/>
      <c r="H527" s="12"/>
      <c r="I527" s="12"/>
      <c r="J527" s="13"/>
      <c r="K527" s="184"/>
      <c r="L527" s="26"/>
      <c r="M527" s="22"/>
      <c r="N527" s="29"/>
      <c r="O527" s="13"/>
      <c r="P527" s="13"/>
      <c r="Q527" s="13"/>
      <c r="R527" s="13"/>
      <c r="S527" s="13"/>
      <c r="T527" s="36"/>
      <c r="U527" s="13"/>
      <c r="V527" s="13"/>
      <c r="W527" s="184"/>
      <c r="X527" s="37"/>
      <c r="Y527" s="22"/>
      <c r="Z527" s="38"/>
      <c r="AA527" s="13"/>
      <c r="AB527" s="13"/>
      <c r="AC527" s="13"/>
      <c r="AD527" s="36"/>
      <c r="AE527" s="13"/>
      <c r="AF527" s="13"/>
      <c r="AG527" s="184"/>
      <c r="AH527" s="37"/>
    </row>
    <row r="528" spans="1:34">
      <c r="A528" s="14">
        <f t="shared" si="180"/>
        <v>46377</v>
      </c>
      <c r="B528" s="11"/>
      <c r="C528" s="12"/>
      <c r="D528" s="12"/>
      <c r="E528" s="13"/>
      <c r="F528" s="12"/>
      <c r="G528" s="12"/>
      <c r="H528" s="12"/>
      <c r="I528" s="12"/>
      <c r="J528" s="13"/>
      <c r="K528" s="184"/>
      <c r="L528" s="26"/>
      <c r="M528" s="22"/>
      <c r="N528" s="29"/>
      <c r="O528" s="13"/>
      <c r="P528" s="13"/>
      <c r="Q528" s="13"/>
      <c r="R528" s="13"/>
      <c r="S528" s="13"/>
      <c r="T528" s="36"/>
      <c r="U528" s="13"/>
      <c r="V528" s="13"/>
      <c r="W528" s="184"/>
      <c r="X528" s="37"/>
      <c r="Y528" s="22"/>
      <c r="Z528" s="38"/>
      <c r="AA528" s="13"/>
      <c r="AB528" s="13"/>
      <c r="AC528" s="13"/>
      <c r="AD528" s="36"/>
      <c r="AE528" s="13"/>
      <c r="AF528" s="13"/>
      <c r="AG528" s="184"/>
      <c r="AH528" s="37"/>
    </row>
    <row r="529" spans="1:34">
      <c r="A529" s="14">
        <f t="shared" si="180"/>
        <v>46378</v>
      </c>
      <c r="B529" s="11"/>
      <c r="C529" s="12"/>
      <c r="D529" s="12"/>
      <c r="E529" s="13"/>
      <c r="F529" s="12"/>
      <c r="G529" s="12"/>
      <c r="H529" s="12"/>
      <c r="I529" s="12"/>
      <c r="J529" s="13"/>
      <c r="K529" s="184"/>
      <c r="L529" s="26"/>
      <c r="M529" s="22"/>
      <c r="N529" s="29"/>
      <c r="O529" s="13"/>
      <c r="P529" s="13"/>
      <c r="Q529" s="13"/>
      <c r="R529" s="13"/>
      <c r="S529" s="13"/>
      <c r="T529" s="36"/>
      <c r="U529" s="13"/>
      <c r="V529" s="13"/>
      <c r="W529" s="184"/>
      <c r="X529" s="37"/>
      <c r="Y529" s="22"/>
      <c r="Z529" s="38"/>
      <c r="AA529" s="13"/>
      <c r="AB529" s="13"/>
      <c r="AC529" s="13"/>
      <c r="AD529" s="13"/>
      <c r="AE529" s="13"/>
      <c r="AF529" s="13"/>
      <c r="AG529" s="184"/>
      <c r="AH529" s="37"/>
    </row>
    <row r="530" spans="1:34">
      <c r="A530" s="14">
        <f t="shared" si="180"/>
        <v>46379</v>
      </c>
      <c r="B530" s="11"/>
      <c r="C530" s="12"/>
      <c r="D530" s="12"/>
      <c r="E530" s="13"/>
      <c r="F530" s="12"/>
      <c r="G530" s="12"/>
      <c r="H530" s="12"/>
      <c r="I530" s="12"/>
      <c r="J530" s="13"/>
      <c r="K530" s="184"/>
      <c r="L530" s="26"/>
      <c r="M530" s="22"/>
      <c r="N530" s="29"/>
      <c r="O530" s="13"/>
      <c r="P530" s="13"/>
      <c r="Q530" s="13"/>
      <c r="R530" s="13"/>
      <c r="S530" s="13"/>
      <c r="T530" s="36"/>
      <c r="U530" s="13"/>
      <c r="V530" s="13"/>
      <c r="W530" s="184"/>
      <c r="X530" s="37"/>
      <c r="Y530" s="22"/>
      <c r="Z530" s="38"/>
      <c r="AA530" s="13"/>
      <c r="AB530" s="13"/>
      <c r="AC530" s="13"/>
      <c r="AD530" s="13"/>
      <c r="AE530" s="13"/>
      <c r="AF530" s="13"/>
      <c r="AG530" s="184"/>
      <c r="AH530" s="37"/>
    </row>
    <row r="531" spans="1:34">
      <c r="A531" s="14">
        <f t="shared" si="180"/>
        <v>46380</v>
      </c>
      <c r="B531" s="11"/>
      <c r="C531" s="12"/>
      <c r="D531" s="12"/>
      <c r="E531" s="13"/>
      <c r="F531" s="12"/>
      <c r="G531" s="12"/>
      <c r="H531" s="12"/>
      <c r="I531" s="12"/>
      <c r="J531" s="13"/>
      <c r="K531" s="184"/>
      <c r="L531" s="26"/>
      <c r="M531" s="22"/>
      <c r="N531" s="29"/>
      <c r="O531" s="13"/>
      <c r="P531" s="13"/>
      <c r="Q531" s="13"/>
      <c r="R531" s="13"/>
      <c r="S531" s="13"/>
      <c r="T531" s="36"/>
      <c r="U531" s="13"/>
      <c r="V531" s="13"/>
      <c r="W531" s="184"/>
      <c r="X531" s="37"/>
      <c r="Y531" s="22"/>
      <c r="Z531" s="38"/>
      <c r="AA531" s="13"/>
      <c r="AB531" s="13"/>
      <c r="AC531" s="13"/>
      <c r="AD531" s="36"/>
      <c r="AE531" s="13"/>
      <c r="AF531" s="13"/>
      <c r="AG531" s="184"/>
      <c r="AH531" s="37"/>
    </row>
    <row r="532" spans="1:34">
      <c r="A532" s="14">
        <f t="shared" si="180"/>
        <v>46381</v>
      </c>
      <c r="B532" s="11"/>
      <c r="C532" s="12"/>
      <c r="D532" s="12"/>
      <c r="E532" s="13"/>
      <c r="F532" s="12"/>
      <c r="G532" s="12"/>
      <c r="H532" s="12"/>
      <c r="I532" s="12"/>
      <c r="J532" s="13"/>
      <c r="K532" s="184"/>
      <c r="L532" s="26"/>
      <c r="M532" s="22"/>
      <c r="N532" s="29"/>
      <c r="O532" s="13"/>
      <c r="P532" s="13"/>
      <c r="Q532" s="13"/>
      <c r="R532" s="13"/>
      <c r="S532" s="13"/>
      <c r="T532" s="36"/>
      <c r="U532" s="13"/>
      <c r="V532" s="13"/>
      <c r="W532" s="184"/>
      <c r="X532" s="37"/>
      <c r="Y532" s="22"/>
      <c r="Z532" s="38"/>
      <c r="AA532" s="13"/>
      <c r="AB532" s="13"/>
      <c r="AC532" s="13"/>
      <c r="AD532" s="13"/>
      <c r="AE532" s="13"/>
      <c r="AF532" s="13"/>
      <c r="AG532" s="184"/>
      <c r="AH532" s="37"/>
    </row>
    <row r="533" spans="1:34">
      <c r="A533" s="14">
        <f t="shared" si="180"/>
        <v>46382</v>
      </c>
      <c r="B533" s="11"/>
      <c r="C533" s="12"/>
      <c r="D533" s="12"/>
      <c r="E533" s="13"/>
      <c r="F533" s="12"/>
      <c r="G533" s="12"/>
      <c r="H533" s="12"/>
      <c r="I533" s="12"/>
      <c r="J533" s="13"/>
      <c r="K533" s="184"/>
      <c r="L533" s="26"/>
      <c r="M533" s="22"/>
      <c r="N533" s="29"/>
      <c r="O533" s="13"/>
      <c r="P533" s="13"/>
      <c r="Q533" s="13"/>
      <c r="R533" s="13"/>
      <c r="S533" s="13"/>
      <c r="T533" s="36"/>
      <c r="U533" s="13"/>
      <c r="V533" s="13"/>
      <c r="W533" s="184"/>
      <c r="X533" s="51"/>
      <c r="Y533" s="22"/>
      <c r="Z533" s="38"/>
      <c r="AA533" s="13"/>
      <c r="AB533" s="13"/>
      <c r="AC533" s="13"/>
      <c r="AD533" s="13"/>
      <c r="AE533" s="13"/>
      <c r="AF533" s="13"/>
      <c r="AG533" s="184"/>
      <c r="AH533" s="37"/>
    </row>
    <row r="534" spans="1:34">
      <c r="A534" s="14">
        <f t="shared" si="180"/>
        <v>46383</v>
      </c>
      <c r="B534" s="11"/>
      <c r="C534" s="12"/>
      <c r="D534" s="12"/>
      <c r="E534" s="13"/>
      <c r="F534" s="12"/>
      <c r="G534" s="12"/>
      <c r="H534" s="12"/>
      <c r="I534" s="12"/>
      <c r="J534" s="13"/>
      <c r="K534" s="184"/>
      <c r="L534" s="26"/>
      <c r="M534" s="22"/>
      <c r="N534" s="29"/>
      <c r="O534" s="13"/>
      <c r="P534" s="13"/>
      <c r="Q534" s="13"/>
      <c r="R534" s="13"/>
      <c r="S534" s="13"/>
      <c r="T534" s="36"/>
      <c r="U534" s="13"/>
      <c r="V534" s="13"/>
      <c r="W534" s="184"/>
      <c r="X534" s="37"/>
      <c r="Y534" s="22"/>
      <c r="Z534" s="38"/>
      <c r="AA534" s="13"/>
      <c r="AB534" s="13"/>
      <c r="AC534" s="13"/>
      <c r="AD534" s="36"/>
      <c r="AE534" s="13"/>
      <c r="AF534" s="13"/>
      <c r="AG534" s="184"/>
      <c r="AH534" s="37"/>
    </row>
    <row r="535" spans="1:34">
      <c r="A535" s="14">
        <f t="shared" si="180"/>
        <v>46384</v>
      </c>
      <c r="B535" s="11"/>
      <c r="C535" s="12"/>
      <c r="D535" s="12"/>
      <c r="E535" s="13"/>
      <c r="F535" s="12"/>
      <c r="G535" s="12"/>
      <c r="H535" s="12"/>
      <c r="I535" s="12"/>
      <c r="J535" s="13"/>
      <c r="K535" s="184"/>
      <c r="L535" s="26"/>
      <c r="M535" s="22"/>
      <c r="N535" s="29"/>
      <c r="O535" s="13"/>
      <c r="P535" s="13"/>
      <c r="Q535" s="13"/>
      <c r="R535" s="13"/>
      <c r="S535" s="13"/>
      <c r="T535" s="36"/>
      <c r="U535" s="13"/>
      <c r="V535" s="13"/>
      <c r="W535" s="184"/>
      <c r="X535" s="37"/>
      <c r="Y535" s="22"/>
      <c r="Z535" s="38"/>
      <c r="AA535" s="13"/>
      <c r="AB535" s="13"/>
      <c r="AC535" s="13"/>
      <c r="AD535" s="36"/>
      <c r="AE535" s="13"/>
      <c r="AF535" s="13"/>
      <c r="AG535" s="184"/>
      <c r="AH535" s="37"/>
    </row>
    <row r="536" spans="1:34">
      <c r="A536" s="14">
        <f t="shared" si="180"/>
        <v>46385</v>
      </c>
      <c r="B536" s="11"/>
      <c r="C536" s="12"/>
      <c r="D536" s="12"/>
      <c r="E536" s="13"/>
      <c r="F536" s="12"/>
      <c r="G536" s="12"/>
      <c r="H536" s="12"/>
      <c r="I536" s="12"/>
      <c r="J536" s="13"/>
      <c r="K536" s="184"/>
      <c r="L536" s="26"/>
      <c r="M536" s="22"/>
      <c r="N536" s="29"/>
      <c r="O536" s="13"/>
      <c r="P536" s="13"/>
      <c r="Q536" s="13"/>
      <c r="R536" s="13"/>
      <c r="S536" s="13"/>
      <c r="T536" s="36"/>
      <c r="U536" s="13"/>
      <c r="V536" s="13"/>
      <c r="W536" s="184"/>
      <c r="X536" s="37"/>
      <c r="Y536" s="22"/>
      <c r="Z536" s="38"/>
      <c r="AA536" s="13"/>
      <c r="AB536" s="13"/>
      <c r="AC536" s="13"/>
      <c r="AD536" s="36"/>
      <c r="AE536" s="13"/>
      <c r="AF536" s="13"/>
      <c r="AG536" s="184"/>
      <c r="AH536" s="37"/>
    </row>
    <row r="537" spans="1:34">
      <c r="A537" s="14">
        <f t="shared" si="180"/>
        <v>46386</v>
      </c>
      <c r="B537" s="11"/>
      <c r="C537" s="12"/>
      <c r="D537" s="12"/>
      <c r="E537" s="13"/>
      <c r="F537" s="12"/>
      <c r="G537" s="12"/>
      <c r="H537" s="12"/>
      <c r="I537" s="12"/>
      <c r="J537" s="13"/>
      <c r="K537" s="184"/>
      <c r="L537" s="26"/>
      <c r="M537" s="22"/>
      <c r="N537" s="29"/>
      <c r="O537" s="13"/>
      <c r="P537" s="13"/>
      <c r="Q537" s="13"/>
      <c r="R537" s="13"/>
      <c r="S537" s="13"/>
      <c r="T537" s="36"/>
      <c r="U537" s="13"/>
      <c r="V537" s="13"/>
      <c r="W537" s="184"/>
      <c r="X537" s="37"/>
      <c r="Y537" s="22"/>
      <c r="Z537" s="38"/>
      <c r="AA537" s="13"/>
      <c r="AB537" s="13"/>
      <c r="AC537" s="13"/>
      <c r="AD537" s="13"/>
      <c r="AE537" s="13"/>
      <c r="AF537" s="13"/>
      <c r="AG537" s="184"/>
      <c r="AH537" s="37"/>
    </row>
    <row r="538" spans="1:34" ht="15.75" thickBot="1">
      <c r="A538" s="15">
        <f t="shared" si="180"/>
        <v>46387</v>
      </c>
      <c r="B538" s="11"/>
      <c r="C538" s="12"/>
      <c r="D538" s="12"/>
      <c r="E538" s="13"/>
      <c r="F538" s="12"/>
      <c r="G538" s="12"/>
      <c r="H538" s="12"/>
      <c r="I538" s="12"/>
      <c r="J538" s="13"/>
      <c r="K538" s="184"/>
      <c r="L538" s="26"/>
      <c r="M538" s="22"/>
      <c r="N538" s="29"/>
      <c r="O538" s="13"/>
      <c r="P538" s="47"/>
      <c r="Q538" s="47"/>
      <c r="R538" s="47"/>
      <c r="S538" s="47"/>
      <c r="T538" s="52"/>
      <c r="U538" s="47"/>
      <c r="V538" s="47"/>
      <c r="W538" s="184"/>
      <c r="X538" s="48"/>
      <c r="Y538" s="22"/>
      <c r="Z538" s="38"/>
      <c r="AA538" s="13"/>
      <c r="AB538" s="13"/>
      <c r="AC538" s="13"/>
      <c r="AD538" s="13"/>
      <c r="AE538" s="13"/>
      <c r="AF538" s="13"/>
      <c r="AG538" s="184"/>
      <c r="AH538" s="37"/>
    </row>
    <row r="539" spans="1:34">
      <c r="A539" s="16" t="s">
        <v>31</v>
      </c>
      <c r="B539" s="17">
        <f>MIN(B508:B538)</f>
        <v>0</v>
      </c>
      <c r="C539" s="17">
        <f>MIN(C508:C538)</f>
        <v>0</v>
      </c>
      <c r="D539" s="17">
        <f t="shared" ref="D539:L539" si="181">MIN(D508:D538)</f>
        <v>0</v>
      </c>
      <c r="E539" s="17">
        <f t="shared" si="181"/>
        <v>0</v>
      </c>
      <c r="F539" s="17">
        <f t="shared" si="181"/>
        <v>0</v>
      </c>
      <c r="G539" s="17">
        <f t="shared" si="181"/>
        <v>0</v>
      </c>
      <c r="H539" s="17">
        <f t="shared" si="181"/>
        <v>0</v>
      </c>
      <c r="I539" s="17">
        <f t="shared" si="181"/>
        <v>0</v>
      </c>
      <c r="J539" s="17">
        <f t="shared" si="181"/>
        <v>0</v>
      </c>
      <c r="K539" s="17">
        <f t="shared" si="181"/>
        <v>0</v>
      </c>
      <c r="L539" s="30">
        <f t="shared" si="181"/>
        <v>0</v>
      </c>
      <c r="M539" s="22"/>
      <c r="N539" s="17">
        <f>MIN(N508:N538)</f>
        <v>0</v>
      </c>
      <c r="O539" s="17">
        <f>MIN(O508:O538)</f>
        <v>0</v>
      </c>
      <c r="P539" s="17">
        <f t="shared" ref="P539:X539" si="182">MIN(P508:P538)</f>
        <v>0</v>
      </c>
      <c r="Q539" s="17">
        <f t="shared" si="182"/>
        <v>0</v>
      </c>
      <c r="R539" s="17">
        <f t="shared" si="182"/>
        <v>0</v>
      </c>
      <c r="S539" s="17">
        <f t="shared" si="182"/>
        <v>0</v>
      </c>
      <c r="T539" s="17">
        <f t="shared" si="182"/>
        <v>0</v>
      </c>
      <c r="U539" s="17">
        <f t="shared" si="182"/>
        <v>0</v>
      </c>
      <c r="V539" s="17">
        <f t="shared" si="182"/>
        <v>0</v>
      </c>
      <c r="W539" s="17">
        <f t="shared" si="182"/>
        <v>0</v>
      </c>
      <c r="X539" s="30">
        <f t="shared" si="182"/>
        <v>0</v>
      </c>
      <c r="Z539" s="40">
        <f t="shared" ref="Z539:AH539" si="183">MIN(Z508:Z538)</f>
        <v>0</v>
      </c>
      <c r="AA539" s="17">
        <f t="shared" si="183"/>
        <v>0</v>
      </c>
      <c r="AB539" s="17">
        <f t="shared" si="183"/>
        <v>0</v>
      </c>
      <c r="AC539" s="17">
        <f t="shared" si="183"/>
        <v>0</v>
      </c>
      <c r="AD539" s="17">
        <f t="shared" si="183"/>
        <v>0</v>
      </c>
      <c r="AE539" s="17">
        <f t="shared" si="183"/>
        <v>0</v>
      </c>
      <c r="AF539" s="17">
        <f t="shared" si="183"/>
        <v>0</v>
      </c>
      <c r="AG539" s="17">
        <f t="shared" si="183"/>
        <v>0</v>
      </c>
      <c r="AH539" s="30">
        <f t="shared" si="183"/>
        <v>0</v>
      </c>
    </row>
    <row r="540" spans="1:34">
      <c r="A540" s="18" t="s">
        <v>33</v>
      </c>
      <c r="B540" s="19">
        <f>MAX(B508:B538)</f>
        <v>0</v>
      </c>
      <c r="C540" s="19">
        <f>MAX(C508:C538)</f>
        <v>0</v>
      </c>
      <c r="D540" s="19">
        <f t="shared" ref="D540:L540" si="184">MAX(D508:D538)</f>
        <v>0</v>
      </c>
      <c r="E540" s="19">
        <f t="shared" si="184"/>
        <v>0</v>
      </c>
      <c r="F540" s="19">
        <f t="shared" si="184"/>
        <v>0</v>
      </c>
      <c r="G540" s="19">
        <f t="shared" si="184"/>
        <v>0</v>
      </c>
      <c r="H540" s="19">
        <f t="shared" si="184"/>
        <v>0</v>
      </c>
      <c r="I540" s="19">
        <f t="shared" si="184"/>
        <v>0</v>
      </c>
      <c r="J540" s="19">
        <f t="shared" si="184"/>
        <v>0</v>
      </c>
      <c r="K540" s="19">
        <f t="shared" si="184"/>
        <v>0</v>
      </c>
      <c r="L540" s="31">
        <f t="shared" si="184"/>
        <v>0</v>
      </c>
      <c r="M540" s="22"/>
      <c r="N540" s="19">
        <f>MAX(N508:N538)</f>
        <v>0</v>
      </c>
      <c r="O540" s="19">
        <f>MAX(O508:O538)</f>
        <v>0</v>
      </c>
      <c r="P540" s="19">
        <f t="shared" ref="P540:X540" si="185">MAX(P508:P538)</f>
        <v>0</v>
      </c>
      <c r="Q540" s="19">
        <f t="shared" si="185"/>
        <v>0</v>
      </c>
      <c r="R540" s="19">
        <f t="shared" si="185"/>
        <v>0</v>
      </c>
      <c r="S540" s="19">
        <f t="shared" si="185"/>
        <v>0</v>
      </c>
      <c r="T540" s="19">
        <f t="shared" si="185"/>
        <v>0</v>
      </c>
      <c r="U540" s="19">
        <f t="shared" si="185"/>
        <v>0</v>
      </c>
      <c r="V540" s="19">
        <f t="shared" si="185"/>
        <v>0</v>
      </c>
      <c r="W540" s="19">
        <f t="shared" si="185"/>
        <v>0</v>
      </c>
      <c r="X540" s="31">
        <f t="shared" si="185"/>
        <v>0</v>
      </c>
      <c r="Z540" s="41">
        <f t="shared" ref="Z540:AH540" si="186">MAX(Z508:Z538)</f>
        <v>0</v>
      </c>
      <c r="AA540" s="19">
        <f t="shared" si="186"/>
        <v>0</v>
      </c>
      <c r="AB540" s="19">
        <f t="shared" si="186"/>
        <v>0</v>
      </c>
      <c r="AC540" s="19">
        <f t="shared" si="186"/>
        <v>0</v>
      </c>
      <c r="AD540" s="19">
        <f t="shared" si="186"/>
        <v>0</v>
      </c>
      <c r="AE540" s="19">
        <f t="shared" si="186"/>
        <v>0</v>
      </c>
      <c r="AF540" s="19">
        <f t="shared" si="186"/>
        <v>0</v>
      </c>
      <c r="AG540" s="19">
        <f t="shared" si="186"/>
        <v>0</v>
      </c>
      <c r="AH540" s="31">
        <f t="shared" si="186"/>
        <v>0</v>
      </c>
    </row>
    <row r="541" spans="1:34">
      <c r="A541" s="18" t="s">
        <v>36</v>
      </c>
      <c r="B541" s="19" t="e">
        <f t="shared" ref="B541:L541" si="187">AVERAGE(B508:B538)</f>
        <v>#DIV/0!</v>
      </c>
      <c r="C541" s="19" t="e">
        <f t="shared" si="187"/>
        <v>#DIV/0!</v>
      </c>
      <c r="D541" s="19" t="e">
        <f t="shared" si="187"/>
        <v>#DIV/0!</v>
      </c>
      <c r="E541" s="19" t="e">
        <f t="shared" si="187"/>
        <v>#DIV/0!</v>
      </c>
      <c r="F541" s="19" t="e">
        <f t="shared" si="187"/>
        <v>#DIV/0!</v>
      </c>
      <c r="G541" s="19" t="e">
        <f t="shared" si="187"/>
        <v>#DIV/0!</v>
      </c>
      <c r="H541" s="19" t="e">
        <f t="shared" si="187"/>
        <v>#DIV/0!</v>
      </c>
      <c r="I541" s="19" t="e">
        <f t="shared" si="187"/>
        <v>#DIV/0!</v>
      </c>
      <c r="J541" s="19" t="e">
        <f t="shared" si="187"/>
        <v>#DIV/0!</v>
      </c>
      <c r="K541" s="19" t="e">
        <f t="shared" si="187"/>
        <v>#DIV/0!</v>
      </c>
      <c r="L541" s="31" t="e">
        <f t="shared" si="187"/>
        <v>#DIV/0!</v>
      </c>
      <c r="M541" s="22"/>
      <c r="N541" s="19" t="e">
        <f t="shared" ref="N541:X541" si="188">AVERAGE(N508:N538)</f>
        <v>#DIV/0!</v>
      </c>
      <c r="O541" s="19" t="e">
        <f t="shared" si="188"/>
        <v>#DIV/0!</v>
      </c>
      <c r="P541" s="19" t="e">
        <f t="shared" si="188"/>
        <v>#DIV/0!</v>
      </c>
      <c r="Q541" s="19" t="e">
        <f t="shared" si="188"/>
        <v>#DIV/0!</v>
      </c>
      <c r="R541" s="19" t="e">
        <f t="shared" si="188"/>
        <v>#DIV/0!</v>
      </c>
      <c r="S541" s="19" t="e">
        <f t="shared" si="188"/>
        <v>#DIV/0!</v>
      </c>
      <c r="T541" s="19" t="e">
        <f t="shared" si="188"/>
        <v>#DIV/0!</v>
      </c>
      <c r="U541" s="19" t="e">
        <f t="shared" si="188"/>
        <v>#DIV/0!</v>
      </c>
      <c r="V541" s="19" t="e">
        <f t="shared" si="188"/>
        <v>#DIV/0!</v>
      </c>
      <c r="W541" s="19" t="e">
        <f t="shared" si="188"/>
        <v>#DIV/0!</v>
      </c>
      <c r="X541" s="31" t="e">
        <f t="shared" si="188"/>
        <v>#DIV/0!</v>
      </c>
      <c r="Z541" s="41" t="e">
        <f>AVERAGE(Z508:Z538)</f>
        <v>#DIV/0!</v>
      </c>
      <c r="AA541" s="19" t="e">
        <f t="shared" ref="AA541:AH541" si="189">AVERAGE(AA508:AA538)</f>
        <v>#DIV/0!</v>
      </c>
      <c r="AB541" s="19" t="e">
        <f t="shared" si="189"/>
        <v>#DIV/0!</v>
      </c>
      <c r="AC541" s="19" t="e">
        <f t="shared" si="189"/>
        <v>#DIV/0!</v>
      </c>
      <c r="AD541" s="19" t="e">
        <f t="shared" si="189"/>
        <v>#DIV/0!</v>
      </c>
      <c r="AE541" s="19" t="e">
        <f t="shared" si="189"/>
        <v>#DIV/0!</v>
      </c>
      <c r="AF541" s="19" t="e">
        <f t="shared" si="189"/>
        <v>#DIV/0!</v>
      </c>
      <c r="AG541" s="19" t="e">
        <f t="shared" si="189"/>
        <v>#DIV/0!</v>
      </c>
      <c r="AH541" s="31" t="e">
        <f t="shared" si="189"/>
        <v>#DIV/0!</v>
      </c>
    </row>
    <row r="542" spans="1:34" ht="15.75" thickBot="1">
      <c r="A542" s="20" t="s">
        <v>130</v>
      </c>
      <c r="B542" s="21" t="e">
        <f>STDEV(B508:B538)</f>
        <v>#DIV/0!</v>
      </c>
      <c r="C542" s="21" t="e">
        <f t="shared" ref="C542:L542" si="190">STDEV(C508:C538)</f>
        <v>#DIV/0!</v>
      </c>
      <c r="D542" s="21" t="e">
        <f t="shared" si="190"/>
        <v>#DIV/0!</v>
      </c>
      <c r="E542" s="21" t="e">
        <f t="shared" si="190"/>
        <v>#DIV/0!</v>
      </c>
      <c r="F542" s="21" t="e">
        <f t="shared" si="190"/>
        <v>#DIV/0!</v>
      </c>
      <c r="G542" s="21" t="e">
        <f t="shared" si="190"/>
        <v>#DIV/0!</v>
      </c>
      <c r="H542" s="21" t="e">
        <f t="shared" si="190"/>
        <v>#DIV/0!</v>
      </c>
      <c r="I542" s="21" t="e">
        <f t="shared" si="190"/>
        <v>#DIV/0!</v>
      </c>
      <c r="J542" s="21" t="e">
        <f t="shared" si="190"/>
        <v>#DIV/0!</v>
      </c>
      <c r="K542" s="21" t="e">
        <f t="shared" si="190"/>
        <v>#DIV/0!</v>
      </c>
      <c r="L542" s="32" t="e">
        <f t="shared" si="190"/>
        <v>#DIV/0!</v>
      </c>
      <c r="M542" s="22"/>
      <c r="N542" s="21" t="e">
        <f>STDEV(N508:N538)</f>
        <v>#DIV/0!</v>
      </c>
      <c r="O542" s="21" t="e">
        <f t="shared" ref="O542:X542" si="191">STDEV(O508:O538)</f>
        <v>#DIV/0!</v>
      </c>
      <c r="P542" s="21" t="e">
        <f t="shared" si="191"/>
        <v>#DIV/0!</v>
      </c>
      <c r="Q542" s="21" t="e">
        <f t="shared" si="191"/>
        <v>#DIV/0!</v>
      </c>
      <c r="R542" s="21" t="e">
        <f t="shared" si="191"/>
        <v>#DIV/0!</v>
      </c>
      <c r="S542" s="21" t="e">
        <f t="shared" si="191"/>
        <v>#DIV/0!</v>
      </c>
      <c r="T542" s="21" t="e">
        <f t="shared" si="191"/>
        <v>#DIV/0!</v>
      </c>
      <c r="U542" s="21" t="e">
        <f t="shared" si="191"/>
        <v>#DIV/0!</v>
      </c>
      <c r="V542" s="21" t="e">
        <f t="shared" si="191"/>
        <v>#DIV/0!</v>
      </c>
      <c r="W542" s="21" t="e">
        <f t="shared" si="191"/>
        <v>#DIV/0!</v>
      </c>
      <c r="X542" s="32" t="e">
        <f t="shared" si="191"/>
        <v>#DIV/0!</v>
      </c>
      <c r="Z542" s="42" t="e">
        <f>STDEV(Z508:Z538)</f>
        <v>#DIV/0!</v>
      </c>
      <c r="AA542" s="21" t="e">
        <f t="shared" ref="AA542:AH542" si="192">STDEV(AA508:AA538)</f>
        <v>#DIV/0!</v>
      </c>
      <c r="AB542" s="21" t="e">
        <f t="shared" si="192"/>
        <v>#DIV/0!</v>
      </c>
      <c r="AC542" s="21" t="e">
        <f t="shared" si="192"/>
        <v>#DIV/0!</v>
      </c>
      <c r="AD542" s="21" t="e">
        <f t="shared" si="192"/>
        <v>#DIV/0!</v>
      </c>
      <c r="AE542" s="21" t="e">
        <f t="shared" si="192"/>
        <v>#DIV/0!</v>
      </c>
      <c r="AF542" s="21" t="e">
        <f t="shared" si="192"/>
        <v>#DIV/0!</v>
      </c>
      <c r="AG542" s="21" t="e">
        <f t="shared" si="192"/>
        <v>#DIV/0!</v>
      </c>
      <c r="AH542" s="32" t="e">
        <f t="shared" si="192"/>
        <v>#DIV/0!</v>
      </c>
    </row>
  </sheetData>
  <mergeCells count="143">
    <mergeCell ref="A3:A4"/>
    <mergeCell ref="B4:B5"/>
    <mergeCell ref="B1:AH1"/>
    <mergeCell ref="N4:N5"/>
    <mergeCell ref="AF2:AH2"/>
    <mergeCell ref="B3:L3"/>
    <mergeCell ref="N3:X3"/>
    <mergeCell ref="Z3:AH3"/>
    <mergeCell ref="O4:O5"/>
    <mergeCell ref="B2:AC2"/>
    <mergeCell ref="C4:C5"/>
    <mergeCell ref="B43:AH43"/>
    <mergeCell ref="B44:AC44"/>
    <mergeCell ref="AF44:AH44"/>
    <mergeCell ref="A45:A46"/>
    <mergeCell ref="B45:L45"/>
    <mergeCell ref="N45:X45"/>
    <mergeCell ref="Z45:AH45"/>
    <mergeCell ref="B46:B47"/>
    <mergeCell ref="C46:C47"/>
    <mergeCell ref="N46:N47"/>
    <mergeCell ref="O46:O47"/>
    <mergeCell ref="B85:AH85"/>
    <mergeCell ref="B86:AC86"/>
    <mergeCell ref="AF86:AH86"/>
    <mergeCell ref="A87:A88"/>
    <mergeCell ref="B87:L87"/>
    <mergeCell ref="N87:X87"/>
    <mergeCell ref="Z87:AH87"/>
    <mergeCell ref="B88:B89"/>
    <mergeCell ref="C88:C89"/>
    <mergeCell ref="N88:N89"/>
    <mergeCell ref="O88:O89"/>
    <mergeCell ref="B124:AH124"/>
    <mergeCell ref="B125:AC125"/>
    <mergeCell ref="AF125:AH125"/>
    <mergeCell ref="A126:A127"/>
    <mergeCell ref="B126:L126"/>
    <mergeCell ref="N126:X126"/>
    <mergeCell ref="Z126:AH126"/>
    <mergeCell ref="B127:B128"/>
    <mergeCell ref="C127:C128"/>
    <mergeCell ref="N127:N128"/>
    <mergeCell ref="O127:O128"/>
    <mergeCell ref="B166:AH166"/>
    <mergeCell ref="B167:AC167"/>
    <mergeCell ref="AF167:AH167"/>
    <mergeCell ref="A168:A169"/>
    <mergeCell ref="B168:L168"/>
    <mergeCell ref="N168:X168"/>
    <mergeCell ref="Z168:AH168"/>
    <mergeCell ref="B169:B170"/>
    <mergeCell ref="C169:C170"/>
    <mergeCell ref="N169:N170"/>
    <mergeCell ref="O169:O170"/>
    <mergeCell ref="B208:AH208"/>
    <mergeCell ref="B209:AC209"/>
    <mergeCell ref="AF209:AH209"/>
    <mergeCell ref="A210:A211"/>
    <mergeCell ref="B210:L210"/>
    <mergeCell ref="N210:X210"/>
    <mergeCell ref="Z210:AH210"/>
    <mergeCell ref="B211:B212"/>
    <mergeCell ref="C211:C212"/>
    <mergeCell ref="N211:N212"/>
    <mergeCell ref="O211:O212"/>
    <mergeCell ref="B250:AH250"/>
    <mergeCell ref="B251:AC251"/>
    <mergeCell ref="AF251:AH251"/>
    <mergeCell ref="A252:A253"/>
    <mergeCell ref="B252:L252"/>
    <mergeCell ref="N252:X252"/>
    <mergeCell ref="Z252:AH252"/>
    <mergeCell ref="B253:B254"/>
    <mergeCell ref="C253:C254"/>
    <mergeCell ref="N253:N254"/>
    <mergeCell ref="O253:O254"/>
    <mergeCell ref="B292:AH292"/>
    <mergeCell ref="B293:AC293"/>
    <mergeCell ref="AF293:AH293"/>
    <mergeCell ref="A294:A295"/>
    <mergeCell ref="B294:L294"/>
    <mergeCell ref="N294:X294"/>
    <mergeCell ref="Z294:AH294"/>
    <mergeCell ref="B295:B296"/>
    <mergeCell ref="C295:C296"/>
    <mergeCell ref="N295:N296"/>
    <mergeCell ref="O295:O296"/>
    <mergeCell ref="B334:AH334"/>
    <mergeCell ref="B335:AC335"/>
    <mergeCell ref="AF335:AH335"/>
    <mergeCell ref="A336:A337"/>
    <mergeCell ref="B336:L336"/>
    <mergeCell ref="N336:X336"/>
    <mergeCell ref="Z336:AH336"/>
    <mergeCell ref="B337:B338"/>
    <mergeCell ref="C337:C338"/>
    <mergeCell ref="N337:N338"/>
    <mergeCell ref="O337:O338"/>
    <mergeCell ref="B376:AH376"/>
    <mergeCell ref="B377:AC377"/>
    <mergeCell ref="AF377:AH377"/>
    <mergeCell ref="A378:A379"/>
    <mergeCell ref="B378:L378"/>
    <mergeCell ref="N378:X378"/>
    <mergeCell ref="Z378:AH378"/>
    <mergeCell ref="B379:B380"/>
    <mergeCell ref="C379:C380"/>
    <mergeCell ref="N379:N380"/>
    <mergeCell ref="O379:O380"/>
    <mergeCell ref="B418:AH418"/>
    <mergeCell ref="B419:AC419"/>
    <mergeCell ref="AF419:AH419"/>
    <mergeCell ref="A420:A421"/>
    <mergeCell ref="B420:L420"/>
    <mergeCell ref="N420:X420"/>
    <mergeCell ref="Z420:AH420"/>
    <mergeCell ref="B421:B422"/>
    <mergeCell ref="C421:C422"/>
    <mergeCell ref="N421:N422"/>
    <mergeCell ref="O421:O422"/>
    <mergeCell ref="B460:AH460"/>
    <mergeCell ref="B461:AC461"/>
    <mergeCell ref="AF461:AH461"/>
    <mergeCell ref="A462:A463"/>
    <mergeCell ref="B462:L462"/>
    <mergeCell ref="N462:X462"/>
    <mergeCell ref="Z462:AH462"/>
    <mergeCell ref="B463:B464"/>
    <mergeCell ref="C463:C464"/>
    <mergeCell ref="N463:N464"/>
    <mergeCell ref="O463:O464"/>
    <mergeCell ref="B502:AH502"/>
    <mergeCell ref="B503:AC503"/>
    <mergeCell ref="AF503:AH503"/>
    <mergeCell ref="A504:A505"/>
    <mergeCell ref="B504:L504"/>
    <mergeCell ref="N504:X504"/>
    <mergeCell ref="Z504:AH504"/>
    <mergeCell ref="B505:B506"/>
    <mergeCell ref="C505:C506"/>
    <mergeCell ref="N505:N506"/>
    <mergeCell ref="O505:O506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 SUMMARY</vt:lpstr>
      <vt:lpstr>LAB-BALL MILL-CLINKER</vt:lpstr>
      <vt:lpstr>42.5R</vt:lpstr>
      <vt:lpstr>42.5N</vt:lpstr>
      <vt:lpstr>32.5N</vt:lpstr>
      <vt:lpstr>OPC-42.5N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 CONTROL</dc:creator>
  <cp:lastModifiedBy>QUALITY CONTROL</cp:lastModifiedBy>
  <cp:lastPrinted>2025-09-20T06:30:00Z</cp:lastPrinted>
  <dcterms:created xsi:type="dcterms:W3CDTF">2006-09-16T00:00:00Z</dcterms:created>
  <dcterms:modified xsi:type="dcterms:W3CDTF">2026-04-22T06:01:38Z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A2FE8EFFAABA43E7B13381F3090ED8FB_12</vt:lpwstr>
  </property>
  <property fmtid="{D5CDD505-2E9C-101B-9397-08002B2CF9AE}" pid="3" name="KSOProductBuildVer">
    <vt:lpwstr>1033-12.2.0.23131</vt:lpwstr>
  </property>
</Properties>
</file>