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OWER PLANT\Desktop\MIS REPORT DONT DELETE\2026\JULY-2026\"/>
    </mc:Choice>
  </mc:AlternateContent>
  <xr:revisionPtr revIDLastSave="0" documentId="13_ncr:1_{5A3E6605-3105-4130-BD1B-7E63315B5347}" xr6:coauthVersionLast="41" xr6:coauthVersionMax="47" xr10:uidLastSave="{00000000-0000-0000-0000-000000000000}"/>
  <bookViews>
    <workbookView xWindow="-120" yWindow="-120" windowWidth="20730" windowHeight="11160" tabRatio="946" firstSheet="3" activeTab="31" xr2:uid="{00000000-000D-0000-FFFF-FFFF00000000}"/>
  </bookViews>
  <sheets>
    <sheet name="0" sheetId="114" r:id="rId1"/>
    <sheet name="1" sheetId="33" r:id="rId2"/>
    <sheet name="2" sheetId="34" r:id="rId3"/>
    <sheet name="3" sheetId="79" r:id="rId4"/>
    <sheet name="4" sheetId="80" r:id="rId5"/>
    <sheet name="5" sheetId="81" r:id="rId6"/>
    <sheet name="6" sheetId="82" r:id="rId7"/>
    <sheet name="7" sheetId="83" r:id="rId8"/>
    <sheet name="8" sheetId="84" r:id="rId9"/>
    <sheet name="9" sheetId="85" r:id="rId10"/>
    <sheet name="10" sheetId="86" r:id="rId11"/>
    <sheet name="11" sheetId="87" r:id="rId12"/>
    <sheet name="12" sheetId="88" r:id="rId13"/>
    <sheet name="13" sheetId="89" r:id="rId14"/>
    <sheet name="14" sheetId="90" r:id="rId15"/>
    <sheet name="15" sheetId="91" r:id="rId16"/>
    <sheet name="16" sheetId="92" r:id="rId17"/>
    <sheet name="17" sheetId="93" r:id="rId18"/>
    <sheet name="18" sheetId="94" r:id="rId19"/>
    <sheet name="19" sheetId="95" r:id="rId20"/>
    <sheet name="20" sheetId="96" r:id="rId21"/>
    <sheet name="21" sheetId="97" r:id="rId22"/>
    <sheet name="22" sheetId="98" r:id="rId23"/>
    <sheet name="23" sheetId="99" r:id="rId24"/>
    <sheet name="24" sheetId="101" r:id="rId25"/>
    <sheet name="25" sheetId="100" r:id="rId26"/>
    <sheet name="26" sheetId="102" r:id="rId27"/>
    <sheet name="27" sheetId="103" r:id="rId28"/>
    <sheet name="28" sheetId="104" r:id="rId29"/>
    <sheet name="29" sheetId="115" r:id="rId30"/>
    <sheet name="30" sheetId="116" r:id="rId31"/>
    <sheet name="31" sheetId="117" r:id="rId32"/>
    <sheet name="Sheet1" sheetId="118" r:id="rId33"/>
  </sheets>
  <definedNames>
    <definedName name="_xlnm.Print_Area" localSheetId="0">'0'!$A$1:$H$1</definedName>
    <definedName name="_xlnm.Print_Area" localSheetId="1">'1'!$A$1:$H$41</definedName>
    <definedName name="_xlnm.Print_Area" localSheetId="10">'10'!$A$1:$H$41</definedName>
    <definedName name="_xlnm.Print_Area" localSheetId="11">'11'!$A$1:$H$41</definedName>
    <definedName name="_xlnm.Print_Area" localSheetId="12">'12'!$A$1:$H$41</definedName>
    <definedName name="_xlnm.Print_Area" localSheetId="13">'13'!$A$1:$H$41</definedName>
    <definedName name="_xlnm.Print_Area" localSheetId="14">'14'!$A$1:$H$41</definedName>
    <definedName name="_xlnm.Print_Area" localSheetId="15">'15'!$A$1:$H$41</definedName>
    <definedName name="_xlnm.Print_Area" localSheetId="16">'16'!$A$1:$H$41</definedName>
    <definedName name="_xlnm.Print_Area" localSheetId="17">'17'!$A$1:$H$41</definedName>
    <definedName name="_xlnm.Print_Area" localSheetId="18">'18'!$A$1:$H$41</definedName>
    <definedName name="_xlnm.Print_Area" localSheetId="19">'19'!$A$1:$H$41</definedName>
    <definedName name="_xlnm.Print_Area" localSheetId="2">'2'!$A$1:$H$41</definedName>
    <definedName name="_xlnm.Print_Area" localSheetId="20">'20'!$A$1:$H$41</definedName>
    <definedName name="_xlnm.Print_Area" localSheetId="21">'21'!$A$1:$H$41</definedName>
    <definedName name="_xlnm.Print_Area" localSheetId="22">'22'!$A$1:$H$41</definedName>
    <definedName name="_xlnm.Print_Area" localSheetId="23">'23'!$A$1:$H$41</definedName>
    <definedName name="_xlnm.Print_Area" localSheetId="24">'24'!$A$1:$H$41</definedName>
    <definedName name="_xlnm.Print_Area" localSheetId="25">'25'!$A$1:$H$40</definedName>
    <definedName name="_xlnm.Print_Area" localSheetId="26">'26'!$A$1:$H$40</definedName>
    <definedName name="_xlnm.Print_Area" localSheetId="27">'27'!$A$1:$H$40</definedName>
    <definedName name="_xlnm.Print_Area" localSheetId="28">'28'!$A$1:$H$41</definedName>
    <definedName name="_xlnm.Print_Area" localSheetId="29">'29'!$A$1:$H$41</definedName>
    <definedName name="_xlnm.Print_Area" localSheetId="3">'3'!$A$1:$H$41</definedName>
    <definedName name="_xlnm.Print_Area" localSheetId="30">'30'!$A$1:$H$41</definedName>
    <definedName name="_xlnm.Print_Area" localSheetId="31">'31'!$A$1:$H$41</definedName>
    <definedName name="_xlnm.Print_Area" localSheetId="4">'4'!$A$1:$H$41</definedName>
    <definedName name="_xlnm.Print_Area" localSheetId="5">'5'!$A$1:$H$41</definedName>
    <definedName name="_xlnm.Print_Area" localSheetId="6">'6'!$A$1:$H$41</definedName>
    <definedName name="_xlnm.Print_Area" localSheetId="7">'7'!$A$1:$H$41</definedName>
    <definedName name="_xlnm.Print_Area" localSheetId="8">'8'!$A$1:$H$41</definedName>
    <definedName name="_xlnm.Print_Area" localSheetId="9">'9'!$A$1:$H$41</definedName>
  </definedNames>
  <calcPr calcId="191029"/>
</workbook>
</file>

<file path=xl/calcChain.xml><?xml version="1.0" encoding="utf-8"?>
<calcChain xmlns="http://schemas.openxmlformats.org/spreadsheetml/2006/main">
  <c r="G22" i="101" l="1"/>
  <c r="F22" i="101"/>
  <c r="E9" i="83" l="1"/>
  <c r="E22" i="101" l="1"/>
  <c r="E22" i="97" l="1"/>
  <c r="E23" i="117" l="1"/>
  <c r="E22" i="117"/>
  <c r="E21" i="117"/>
  <c r="E20" i="117"/>
  <c r="E11" i="117"/>
  <c r="E13" i="117" s="1"/>
  <c r="E10" i="117"/>
  <c r="E9" i="117"/>
  <c r="E23" i="116"/>
  <c r="E22" i="116"/>
  <c r="E21" i="116"/>
  <c r="E20" i="116"/>
  <c r="E11" i="116"/>
  <c r="E13" i="116" s="1"/>
  <c r="E10" i="116"/>
  <c r="E9" i="116"/>
  <c r="E23" i="115"/>
  <c r="E22" i="115"/>
  <c r="E21" i="115"/>
  <c r="E20" i="115"/>
  <c r="E11" i="115"/>
  <c r="E13" i="115" s="1"/>
  <c r="E10" i="115"/>
  <c r="E9" i="115"/>
  <c r="E23" i="104"/>
  <c r="E22" i="104"/>
  <c r="E21" i="104"/>
  <c r="E20" i="104"/>
  <c r="E11" i="104"/>
  <c r="E13" i="104" s="1"/>
  <c r="E10" i="104"/>
  <c r="E9" i="104"/>
  <c r="E23" i="103"/>
  <c r="E22" i="103"/>
  <c r="E21" i="103"/>
  <c r="E20" i="103"/>
  <c r="E11" i="103"/>
  <c r="E13" i="103" s="1"/>
  <c r="E10" i="103"/>
  <c r="E9" i="103"/>
  <c r="E23" i="102"/>
  <c r="E22" i="102"/>
  <c r="E21" i="102"/>
  <c r="E20" i="102"/>
  <c r="E11" i="102"/>
  <c r="E13" i="102" s="1"/>
  <c r="E10" i="102"/>
  <c r="E9" i="102"/>
  <c r="E23" i="100"/>
  <c r="E22" i="100"/>
  <c r="E21" i="100"/>
  <c r="E20" i="100"/>
  <c r="E11" i="100"/>
  <c r="E13" i="100" s="1"/>
  <c r="E10" i="100"/>
  <c r="E9" i="100"/>
  <c r="E23" i="101"/>
  <c r="E21" i="101"/>
  <c r="E20" i="101"/>
  <c r="E11" i="101"/>
  <c r="E13" i="101" s="1"/>
  <c r="E10" i="101"/>
  <c r="E9" i="101"/>
  <c r="E23" i="99"/>
  <c r="E22" i="99"/>
  <c r="E21" i="99"/>
  <c r="E20" i="99"/>
  <c r="E11" i="99"/>
  <c r="E13" i="99" s="1"/>
  <c r="E10" i="99"/>
  <c r="E9" i="99"/>
  <c r="E23" i="98"/>
  <c r="E22" i="98"/>
  <c r="E21" i="98"/>
  <c r="E20" i="98"/>
  <c r="E11" i="98"/>
  <c r="E13" i="98" s="1"/>
  <c r="E10" i="98"/>
  <c r="E9" i="98"/>
  <c r="E23" i="97"/>
  <c r="E21" i="97"/>
  <c r="E20" i="97"/>
  <c r="E11" i="97"/>
  <c r="E13" i="97" s="1"/>
  <c r="E10" i="97"/>
  <c r="E9" i="97"/>
  <c r="E23" i="96"/>
  <c r="E22" i="96"/>
  <c r="E21" i="96"/>
  <c r="E20" i="96"/>
  <c r="E11" i="96"/>
  <c r="E13" i="96" s="1"/>
  <c r="E10" i="96"/>
  <c r="E9" i="96"/>
  <c r="E23" i="95"/>
  <c r="E22" i="95"/>
  <c r="E21" i="95"/>
  <c r="E20" i="95"/>
  <c r="E11" i="95"/>
  <c r="E13" i="95" s="1"/>
  <c r="E10" i="95"/>
  <c r="E9" i="95"/>
  <c r="E23" i="94"/>
  <c r="E22" i="94"/>
  <c r="E21" i="94"/>
  <c r="E20" i="94"/>
  <c r="E11" i="94"/>
  <c r="E13" i="94" s="1"/>
  <c r="E10" i="94"/>
  <c r="E9" i="94"/>
  <c r="E23" i="93"/>
  <c r="E22" i="93"/>
  <c r="E21" i="93"/>
  <c r="E20" i="93"/>
  <c r="E11" i="93"/>
  <c r="E13" i="93" s="1"/>
  <c r="E10" i="93"/>
  <c r="E9" i="93"/>
  <c r="E23" i="92"/>
  <c r="E22" i="92"/>
  <c r="E21" i="92"/>
  <c r="E20" i="92"/>
  <c r="E11" i="92"/>
  <c r="E13" i="92" s="1"/>
  <c r="E10" i="92"/>
  <c r="E9" i="92"/>
  <c r="E23" i="91"/>
  <c r="E22" i="91"/>
  <c r="E21" i="91"/>
  <c r="E20" i="91"/>
  <c r="E11" i="91"/>
  <c r="E13" i="91" s="1"/>
  <c r="E10" i="91"/>
  <c r="E9" i="91"/>
  <c r="E23" i="90"/>
  <c r="E22" i="90"/>
  <c r="E21" i="90"/>
  <c r="E20" i="90"/>
  <c r="E11" i="90"/>
  <c r="E13" i="90" s="1"/>
  <c r="E10" i="90"/>
  <c r="E9" i="90"/>
  <c r="E23" i="89"/>
  <c r="E22" i="89"/>
  <c r="E21" i="89"/>
  <c r="E20" i="89"/>
  <c r="E11" i="89"/>
  <c r="E13" i="89" s="1"/>
  <c r="E10" i="89"/>
  <c r="E9" i="89"/>
  <c r="E23" i="88"/>
  <c r="E22" i="88"/>
  <c r="E21" i="88"/>
  <c r="E20" i="88"/>
  <c r="E11" i="88"/>
  <c r="E13" i="88" s="1"/>
  <c r="E10" i="88"/>
  <c r="E9" i="88"/>
  <c r="E23" i="87"/>
  <c r="E22" i="87"/>
  <c r="E21" i="87"/>
  <c r="E20" i="87"/>
  <c r="E11" i="87"/>
  <c r="E13" i="87" s="1"/>
  <c r="E10" i="87"/>
  <c r="E9" i="87"/>
  <c r="E23" i="86"/>
  <c r="E22" i="86"/>
  <c r="E21" i="86"/>
  <c r="E20" i="86"/>
  <c r="E11" i="86"/>
  <c r="E13" i="86" s="1"/>
  <c r="E10" i="86"/>
  <c r="E9" i="86"/>
  <c r="E23" i="85"/>
  <c r="E22" i="85"/>
  <c r="E21" i="85"/>
  <c r="E20" i="85"/>
  <c r="E11" i="85"/>
  <c r="E13" i="85" s="1"/>
  <c r="E10" i="85"/>
  <c r="E9" i="85"/>
  <c r="E23" i="84"/>
  <c r="E22" i="84"/>
  <c r="E21" i="84"/>
  <c r="E20" i="84"/>
  <c r="E11" i="84"/>
  <c r="E13" i="84" s="1"/>
  <c r="E10" i="84"/>
  <c r="E9" i="84"/>
  <c r="E23" i="83"/>
  <c r="E22" i="83"/>
  <c r="E21" i="83"/>
  <c r="E20" i="83"/>
  <c r="E11" i="83"/>
  <c r="E13" i="83" s="1"/>
  <c r="E10" i="83"/>
  <c r="E23" i="82"/>
  <c r="E22" i="82"/>
  <c r="E21" i="82"/>
  <c r="E20" i="82"/>
  <c r="E11" i="82"/>
  <c r="E13" i="82" s="1"/>
  <c r="E10" i="82"/>
  <c r="E9" i="82"/>
  <c r="E23" i="81"/>
  <c r="E22" i="81"/>
  <c r="E21" i="81"/>
  <c r="E20" i="81"/>
  <c r="E11" i="81"/>
  <c r="E13" i="81" s="1"/>
  <c r="E10" i="81"/>
  <c r="E9" i="81"/>
  <c r="E23" i="80"/>
  <c r="E22" i="80"/>
  <c r="E21" i="80"/>
  <c r="E20" i="80"/>
  <c r="E11" i="80"/>
  <c r="E13" i="80" s="1"/>
  <c r="E10" i="80"/>
  <c r="E9" i="80"/>
  <c r="E23" i="79"/>
  <c r="E22" i="79"/>
  <c r="E21" i="79"/>
  <c r="E20" i="79"/>
  <c r="E11" i="79"/>
  <c r="E13" i="79" s="1"/>
  <c r="E10" i="79"/>
  <c r="E9" i="79"/>
  <c r="E23" i="34"/>
  <c r="E22" i="34"/>
  <c r="E21" i="34"/>
  <c r="E20" i="34"/>
  <c r="E11" i="34"/>
  <c r="E13" i="34" s="1"/>
  <c r="E10" i="34"/>
  <c r="E9" i="34"/>
  <c r="G37" i="33"/>
  <c r="G37" i="34" s="1"/>
  <c r="G37" i="79" s="1"/>
  <c r="G37" i="80" s="1"/>
  <c r="G37" i="81" s="1"/>
  <c r="G37" i="82" s="1"/>
  <c r="G37" i="83" s="1"/>
  <c r="G37" i="84" s="1"/>
  <c r="G37" i="85" s="1"/>
  <c r="G37" i="86" s="1"/>
  <c r="G37" i="87" s="1"/>
  <c r="G37" i="88" s="1"/>
  <c r="G37" i="89" s="1"/>
  <c r="G37" i="90" s="1"/>
  <c r="G37" i="91" s="1"/>
  <c r="G37" i="92" s="1"/>
  <c r="G37" i="93" s="1"/>
  <c r="G37" i="94" s="1"/>
  <c r="G37" i="95" s="1"/>
  <c r="G37" i="96" s="1"/>
  <c r="G37" i="97" s="1"/>
  <c r="G37" i="98" s="1"/>
  <c r="G37" i="99" s="1"/>
  <c r="G37" i="101" s="1"/>
  <c r="G37" i="100" s="1"/>
  <c r="F37" i="33"/>
  <c r="F37" i="34" s="1"/>
  <c r="F37" i="79" s="1"/>
  <c r="F37" i="80" s="1"/>
  <c r="F37" i="81" s="1"/>
  <c r="F37" i="82" s="1"/>
  <c r="F37" i="83" s="1"/>
  <c r="F37" i="84" s="1"/>
  <c r="F37" i="85" s="1"/>
  <c r="F37" i="86" s="1"/>
  <c r="F37" i="87" s="1"/>
  <c r="F37" i="88" s="1"/>
  <c r="F37" i="89" s="1"/>
  <c r="F37" i="90" s="1"/>
  <c r="F37" i="91" s="1"/>
  <c r="F37" i="92" s="1"/>
  <c r="F37" i="93" s="1"/>
  <c r="F37" i="94" s="1"/>
  <c r="F37" i="95" s="1"/>
  <c r="F37" i="96" s="1"/>
  <c r="F37" i="97" s="1"/>
  <c r="F37" i="98" s="1"/>
  <c r="F37" i="99" s="1"/>
  <c r="F37" i="101" s="1"/>
  <c r="F37" i="100" s="1"/>
  <c r="F37" i="103" s="1"/>
  <c r="F37" i="104" s="1"/>
  <c r="F37" i="115" s="1"/>
  <c r="F37" i="116" s="1"/>
  <c r="F37" i="117" s="1"/>
  <c r="G36" i="33"/>
  <c r="G36" i="34" s="1"/>
  <c r="G36" i="79" s="1"/>
  <c r="G36" i="80" s="1"/>
  <c r="G36" i="81" s="1"/>
  <c r="G36" i="82" s="1"/>
  <c r="G36" i="83" s="1"/>
  <c r="G36" i="84" s="1"/>
  <c r="G36" i="85" s="1"/>
  <c r="G36" i="86" s="1"/>
  <c r="G36" i="87" s="1"/>
  <c r="G36" i="88" s="1"/>
  <c r="G36" i="89" s="1"/>
  <c r="G36" i="90" s="1"/>
  <c r="G36" i="91" s="1"/>
  <c r="G36" i="92" s="1"/>
  <c r="G36" i="93" s="1"/>
  <c r="G36" i="94" s="1"/>
  <c r="G36" i="95" s="1"/>
  <c r="G36" i="96" s="1"/>
  <c r="G36" i="97" s="1"/>
  <c r="G36" i="98" s="1"/>
  <c r="G36" i="99" s="1"/>
  <c r="G36" i="101" s="1"/>
  <c r="G36" i="100" s="1"/>
  <c r="F36" i="33"/>
  <c r="F36" i="34" s="1"/>
  <c r="F36" i="79" s="1"/>
  <c r="F36" i="80" s="1"/>
  <c r="F36" i="81" s="1"/>
  <c r="F36" i="82" s="1"/>
  <c r="F36" i="83" s="1"/>
  <c r="F36" i="84" s="1"/>
  <c r="F36" i="85" s="1"/>
  <c r="F36" i="86" s="1"/>
  <c r="F36" i="87" s="1"/>
  <c r="F36" i="88" s="1"/>
  <c r="F36" i="89" s="1"/>
  <c r="F36" i="90" s="1"/>
  <c r="F36" i="91" s="1"/>
  <c r="F36" i="92" s="1"/>
  <c r="F36" i="93" s="1"/>
  <c r="F36" i="94" s="1"/>
  <c r="F36" i="95" s="1"/>
  <c r="F36" i="96" s="1"/>
  <c r="F36" i="97" s="1"/>
  <c r="F36" i="98" s="1"/>
  <c r="F36" i="99" s="1"/>
  <c r="F36" i="101" s="1"/>
  <c r="F36" i="100" s="1"/>
  <c r="G35" i="33"/>
  <c r="G35" i="34" s="1"/>
  <c r="G35" i="79" s="1"/>
  <c r="G35" i="80" s="1"/>
  <c r="G35" i="81" s="1"/>
  <c r="G35" i="82" s="1"/>
  <c r="G35" i="83" s="1"/>
  <c r="G35" i="84" s="1"/>
  <c r="G35" i="85" s="1"/>
  <c r="G35" i="86" s="1"/>
  <c r="G35" i="87" s="1"/>
  <c r="G35" i="88" s="1"/>
  <c r="G35" i="89" s="1"/>
  <c r="G35" i="90" s="1"/>
  <c r="G35" i="91" s="1"/>
  <c r="G35" i="92" s="1"/>
  <c r="G35" i="93" s="1"/>
  <c r="G35" i="94" s="1"/>
  <c r="G35" i="95" s="1"/>
  <c r="G35" i="96" s="1"/>
  <c r="G35" i="97" s="1"/>
  <c r="G35" i="98" s="1"/>
  <c r="G35" i="99" s="1"/>
  <c r="G35" i="101" s="1"/>
  <c r="G35" i="100" s="1"/>
  <c r="F35" i="33"/>
  <c r="F35" i="34" s="1"/>
  <c r="F35" i="79" s="1"/>
  <c r="F35" i="80" s="1"/>
  <c r="F35" i="81" s="1"/>
  <c r="F35" i="82" s="1"/>
  <c r="F35" i="83" s="1"/>
  <c r="F35" i="84" s="1"/>
  <c r="F35" i="85" s="1"/>
  <c r="F35" i="86" s="1"/>
  <c r="F35" i="87" s="1"/>
  <c r="F35" i="88" s="1"/>
  <c r="F35" i="89" s="1"/>
  <c r="F35" i="90" s="1"/>
  <c r="F35" i="91" s="1"/>
  <c r="F35" i="92" s="1"/>
  <c r="F35" i="93" s="1"/>
  <c r="F35" i="94" s="1"/>
  <c r="F35" i="95" s="1"/>
  <c r="F35" i="96" s="1"/>
  <c r="F35" i="97" s="1"/>
  <c r="F35" i="98" s="1"/>
  <c r="F35" i="99" s="1"/>
  <c r="F35" i="101" s="1"/>
  <c r="F35" i="100" s="1"/>
  <c r="G32" i="33"/>
  <c r="G32" i="34" s="1"/>
  <c r="G32" i="79" s="1"/>
  <c r="G32" i="80" s="1"/>
  <c r="G32" i="81" s="1"/>
  <c r="G32" i="82" s="1"/>
  <c r="G32" i="83" s="1"/>
  <c r="G32" i="84" s="1"/>
  <c r="G32" i="85" s="1"/>
  <c r="G32" i="86" s="1"/>
  <c r="G32" i="87" s="1"/>
  <c r="G32" i="88" s="1"/>
  <c r="G32" i="89" s="1"/>
  <c r="G32" i="90" s="1"/>
  <c r="G32" i="91" s="1"/>
  <c r="G32" i="92" s="1"/>
  <c r="G32" i="93" s="1"/>
  <c r="G32" i="94" s="1"/>
  <c r="G32" i="95" s="1"/>
  <c r="G32" i="96" s="1"/>
  <c r="G32" i="97" s="1"/>
  <c r="G32" i="98" s="1"/>
  <c r="G32" i="99" s="1"/>
  <c r="G32" i="101" s="1"/>
  <c r="G32" i="100" s="1"/>
  <c r="F32" i="33"/>
  <c r="F32" i="34" s="1"/>
  <c r="F32" i="79" s="1"/>
  <c r="F32" i="80" s="1"/>
  <c r="F32" i="81" s="1"/>
  <c r="F32" i="82" s="1"/>
  <c r="F32" i="83" s="1"/>
  <c r="F32" i="84" s="1"/>
  <c r="F32" i="85" s="1"/>
  <c r="F32" i="86" s="1"/>
  <c r="F32" i="87" s="1"/>
  <c r="F32" i="88" s="1"/>
  <c r="F32" i="89" s="1"/>
  <c r="F32" i="90" s="1"/>
  <c r="F32" i="91" s="1"/>
  <c r="F32" i="92" s="1"/>
  <c r="F32" i="93" s="1"/>
  <c r="F32" i="94" s="1"/>
  <c r="F32" i="95" s="1"/>
  <c r="F32" i="96" s="1"/>
  <c r="F32" i="97" s="1"/>
  <c r="F32" i="98" s="1"/>
  <c r="F32" i="99" s="1"/>
  <c r="F32" i="101" s="1"/>
  <c r="F32" i="100" s="1"/>
  <c r="G31" i="33"/>
  <c r="G31" i="34" s="1"/>
  <c r="G31" i="79" s="1"/>
  <c r="G31" i="80" s="1"/>
  <c r="G31" i="81" s="1"/>
  <c r="G31" i="82" s="1"/>
  <c r="G31" i="83" s="1"/>
  <c r="G31" i="84" s="1"/>
  <c r="G31" i="85" s="1"/>
  <c r="G31" i="86" s="1"/>
  <c r="G31" i="87" s="1"/>
  <c r="G31" i="88" s="1"/>
  <c r="G31" i="89" s="1"/>
  <c r="G31" i="90" s="1"/>
  <c r="G31" i="91" s="1"/>
  <c r="G31" i="92" s="1"/>
  <c r="G31" i="93" s="1"/>
  <c r="G31" i="94" s="1"/>
  <c r="G31" i="95" s="1"/>
  <c r="G31" i="96" s="1"/>
  <c r="G31" i="97" s="1"/>
  <c r="G31" i="98" s="1"/>
  <c r="G31" i="99" s="1"/>
  <c r="G31" i="101" s="1"/>
  <c r="G31" i="100" s="1"/>
  <c r="F31" i="33"/>
  <c r="F31" i="34" s="1"/>
  <c r="F31" i="79" s="1"/>
  <c r="F31" i="80" s="1"/>
  <c r="F31" i="81" s="1"/>
  <c r="F31" i="82" s="1"/>
  <c r="F31" i="83" s="1"/>
  <c r="F31" i="84" s="1"/>
  <c r="F31" i="85" s="1"/>
  <c r="F31" i="86" s="1"/>
  <c r="F31" i="87" s="1"/>
  <c r="F31" i="88" s="1"/>
  <c r="F31" i="89" s="1"/>
  <c r="F31" i="90" s="1"/>
  <c r="F31" i="91" s="1"/>
  <c r="F31" i="92" s="1"/>
  <c r="F31" i="93" s="1"/>
  <c r="F31" i="94" s="1"/>
  <c r="F31" i="95" s="1"/>
  <c r="F31" i="96" s="1"/>
  <c r="F31" i="97" s="1"/>
  <c r="F31" i="98" s="1"/>
  <c r="F31" i="99" s="1"/>
  <c r="F31" i="101" s="1"/>
  <c r="F31" i="100" s="1"/>
  <c r="G30" i="33"/>
  <c r="G30" i="34" s="1"/>
  <c r="G30" i="79" s="1"/>
  <c r="G30" i="80" s="1"/>
  <c r="G30" i="81" s="1"/>
  <c r="G30" i="82" s="1"/>
  <c r="G30" i="83" s="1"/>
  <c r="G30" i="84" s="1"/>
  <c r="G30" i="85" s="1"/>
  <c r="G30" i="86" s="1"/>
  <c r="G30" i="87" s="1"/>
  <c r="G30" i="88" s="1"/>
  <c r="G30" i="89" s="1"/>
  <c r="G30" i="90" s="1"/>
  <c r="G30" i="91" s="1"/>
  <c r="G30" i="92" s="1"/>
  <c r="G30" i="93" s="1"/>
  <c r="G30" i="94" s="1"/>
  <c r="G30" i="95" s="1"/>
  <c r="G30" i="96" s="1"/>
  <c r="G30" i="97" s="1"/>
  <c r="G30" i="98" s="1"/>
  <c r="G30" i="99" s="1"/>
  <c r="G30" i="101" s="1"/>
  <c r="G30" i="100" s="1"/>
  <c r="F30" i="33"/>
  <c r="F30" i="34" s="1"/>
  <c r="F30" i="79" s="1"/>
  <c r="F30" i="80" s="1"/>
  <c r="F30" i="81" s="1"/>
  <c r="F30" i="82" s="1"/>
  <c r="F30" i="83" s="1"/>
  <c r="F30" i="84" s="1"/>
  <c r="F30" i="85" s="1"/>
  <c r="F30" i="86" s="1"/>
  <c r="F30" i="87" s="1"/>
  <c r="F30" i="88" s="1"/>
  <c r="F30" i="89" s="1"/>
  <c r="F30" i="90" s="1"/>
  <c r="F30" i="91" s="1"/>
  <c r="F30" i="92" s="1"/>
  <c r="F30" i="93" s="1"/>
  <c r="F30" i="94" s="1"/>
  <c r="F30" i="95" s="1"/>
  <c r="F30" i="96" s="1"/>
  <c r="F30" i="97" s="1"/>
  <c r="F30" i="98" s="1"/>
  <c r="F30" i="99" s="1"/>
  <c r="F30" i="101" s="1"/>
  <c r="F30" i="100" s="1"/>
  <c r="G26" i="33"/>
  <c r="G26" i="34" s="1"/>
  <c r="F26" i="33"/>
  <c r="F26" i="34" s="1"/>
  <c r="F26" i="79" s="1"/>
  <c r="G24" i="33"/>
  <c r="G24" i="34" s="1"/>
  <c r="G24" i="79" s="1"/>
  <c r="G24" i="80" s="1"/>
  <c r="G24" i="81" s="1"/>
  <c r="G24" i="82" s="1"/>
  <c r="G24" i="83" s="1"/>
  <c r="G24" i="84" s="1"/>
  <c r="G24" i="85" s="1"/>
  <c r="G24" i="86" s="1"/>
  <c r="G24" i="87" s="1"/>
  <c r="G24" i="88" s="1"/>
  <c r="G24" i="89" s="1"/>
  <c r="G24" i="90" s="1"/>
  <c r="G24" i="91" s="1"/>
  <c r="G24" i="92" s="1"/>
  <c r="G24" i="93" s="1"/>
  <c r="G24" i="94" s="1"/>
  <c r="G24" i="95" s="1"/>
  <c r="G24" i="96" s="1"/>
  <c r="G24" i="97" s="1"/>
  <c r="G24" i="98" s="1"/>
  <c r="G24" i="99" s="1"/>
  <c r="G24" i="101" s="1"/>
  <c r="G24" i="100" s="1"/>
  <c r="G24" i="102" s="1"/>
  <c r="G24" i="103" s="1"/>
  <c r="G24" i="104" s="1"/>
  <c r="G24" i="115" s="1"/>
  <c r="G24" i="116" s="1"/>
  <c r="G24" i="117" s="1"/>
  <c r="F24" i="33"/>
  <c r="F24" i="34" s="1"/>
  <c r="F24" i="79" s="1"/>
  <c r="F24" i="80" s="1"/>
  <c r="F24" i="81" s="1"/>
  <c r="F24" i="82" s="1"/>
  <c r="F24" i="83" s="1"/>
  <c r="F24" i="84" s="1"/>
  <c r="F24" i="85" s="1"/>
  <c r="F24" i="86" s="1"/>
  <c r="F24" i="87" s="1"/>
  <c r="F24" i="88" s="1"/>
  <c r="F24" i="89" s="1"/>
  <c r="F24" i="90" s="1"/>
  <c r="F24" i="91" s="1"/>
  <c r="F24" i="92" s="1"/>
  <c r="F24" i="93" s="1"/>
  <c r="F24" i="94" s="1"/>
  <c r="F24" i="95" s="1"/>
  <c r="F24" i="96" s="1"/>
  <c r="F24" i="97" s="1"/>
  <c r="F24" i="98" s="1"/>
  <c r="F24" i="99" s="1"/>
  <c r="F24" i="101" s="1"/>
  <c r="F24" i="100" s="1"/>
  <c r="F24" i="102" s="1"/>
  <c r="F24" i="103" s="1"/>
  <c r="F24" i="104" s="1"/>
  <c r="F24" i="115" s="1"/>
  <c r="F24" i="116" s="1"/>
  <c r="F24" i="117" s="1"/>
  <c r="E23" i="33"/>
  <c r="E22" i="33"/>
  <c r="E21" i="33"/>
  <c r="E20" i="33"/>
  <c r="G19" i="33"/>
  <c r="G19" i="34" s="1"/>
  <c r="G19" i="79" s="1"/>
  <c r="G19" i="80" s="1"/>
  <c r="G19" i="81" s="1"/>
  <c r="G19" i="82" s="1"/>
  <c r="G19" i="83" s="1"/>
  <c r="G19" i="84" s="1"/>
  <c r="G19" i="85" s="1"/>
  <c r="G19" i="86" s="1"/>
  <c r="G19" i="87" s="1"/>
  <c r="G19" i="88" s="1"/>
  <c r="G19" i="89" s="1"/>
  <c r="G19" i="90" s="1"/>
  <c r="G19" i="91" s="1"/>
  <c r="G19" i="92" s="1"/>
  <c r="G19" i="93" s="1"/>
  <c r="G19" i="94" s="1"/>
  <c r="G19" i="95" s="1"/>
  <c r="G19" i="96" s="1"/>
  <c r="G19" i="97" s="1"/>
  <c r="G19" i="98" s="1"/>
  <c r="G19" i="99" s="1"/>
  <c r="G19" i="101" s="1"/>
  <c r="G19" i="100" s="1"/>
  <c r="G19" i="102" s="1"/>
  <c r="G19" i="103" s="1"/>
  <c r="G19" i="104" s="1"/>
  <c r="G19" i="115" s="1"/>
  <c r="G19" i="116" s="1"/>
  <c r="G19" i="117" s="1"/>
  <c r="F19" i="33"/>
  <c r="F19" i="34" s="1"/>
  <c r="F19" i="79" s="1"/>
  <c r="F19" i="80" s="1"/>
  <c r="F19" i="81" s="1"/>
  <c r="F19" i="82" s="1"/>
  <c r="F19" i="83" s="1"/>
  <c r="F19" i="84" s="1"/>
  <c r="F19" i="85" s="1"/>
  <c r="F19" i="86" s="1"/>
  <c r="F19" i="87" s="1"/>
  <c r="F19" i="88" s="1"/>
  <c r="F19" i="89" s="1"/>
  <c r="F19" i="90" s="1"/>
  <c r="F19" i="91" s="1"/>
  <c r="F19" i="92" s="1"/>
  <c r="F19" i="93" s="1"/>
  <c r="F19" i="94" s="1"/>
  <c r="F19" i="95" s="1"/>
  <c r="F19" i="96" s="1"/>
  <c r="F19" i="97" s="1"/>
  <c r="F19" i="98" s="1"/>
  <c r="F19" i="99" s="1"/>
  <c r="F19" i="101" s="1"/>
  <c r="F19" i="100" s="1"/>
  <c r="F19" i="102" s="1"/>
  <c r="F19" i="103" s="1"/>
  <c r="F19" i="104" s="1"/>
  <c r="F19" i="115" s="1"/>
  <c r="F19" i="116" s="1"/>
  <c r="F19" i="117" s="1"/>
  <c r="G18" i="33"/>
  <c r="G18" i="34" s="1"/>
  <c r="G18" i="79" s="1"/>
  <c r="G18" i="80" s="1"/>
  <c r="G18" i="81" s="1"/>
  <c r="G18" i="82" s="1"/>
  <c r="G18" i="83" s="1"/>
  <c r="G18" i="84" s="1"/>
  <c r="G18" i="85" s="1"/>
  <c r="G18" i="86" s="1"/>
  <c r="G18" i="87" s="1"/>
  <c r="G18" i="88" s="1"/>
  <c r="G18" i="89" s="1"/>
  <c r="G18" i="90" s="1"/>
  <c r="G18" i="91" s="1"/>
  <c r="G18" i="92" s="1"/>
  <c r="G18" i="93" s="1"/>
  <c r="G18" i="94" s="1"/>
  <c r="G18" i="95" s="1"/>
  <c r="G18" i="96" s="1"/>
  <c r="G18" i="97" s="1"/>
  <c r="G18" i="98" s="1"/>
  <c r="G18" i="99" s="1"/>
  <c r="G18" i="101" s="1"/>
  <c r="G18" i="100" s="1"/>
  <c r="G18" i="102" s="1"/>
  <c r="G18" i="103" s="1"/>
  <c r="G18" i="104" s="1"/>
  <c r="G18" i="115" s="1"/>
  <c r="G18" i="116" s="1"/>
  <c r="G18" i="117" s="1"/>
  <c r="F18" i="33"/>
  <c r="F18" i="34" s="1"/>
  <c r="F18" i="79" s="1"/>
  <c r="F18" i="80" s="1"/>
  <c r="F18" i="81" s="1"/>
  <c r="F18" i="82" s="1"/>
  <c r="F18" i="83" s="1"/>
  <c r="F18" i="84" s="1"/>
  <c r="F18" i="85" s="1"/>
  <c r="F18" i="86" s="1"/>
  <c r="F18" i="87" s="1"/>
  <c r="F18" i="88" s="1"/>
  <c r="F18" i="89" s="1"/>
  <c r="F18" i="90" s="1"/>
  <c r="F18" i="91" s="1"/>
  <c r="F18" i="92" s="1"/>
  <c r="F18" i="93" s="1"/>
  <c r="F18" i="94" s="1"/>
  <c r="F18" i="95" s="1"/>
  <c r="F18" i="96" s="1"/>
  <c r="F18" i="97" s="1"/>
  <c r="F18" i="98" s="1"/>
  <c r="F18" i="99" s="1"/>
  <c r="F18" i="101" s="1"/>
  <c r="F18" i="100" s="1"/>
  <c r="F18" i="102" s="1"/>
  <c r="F18" i="103" s="1"/>
  <c r="F18" i="104" s="1"/>
  <c r="F18" i="115" s="1"/>
  <c r="F18" i="116" s="1"/>
  <c r="F18" i="117" s="1"/>
  <c r="G17" i="33"/>
  <c r="F17" i="33"/>
  <c r="G16" i="33"/>
  <c r="G16" i="34" s="1"/>
  <c r="G16" i="79" s="1"/>
  <c r="G16" i="80" s="1"/>
  <c r="G16" i="81" s="1"/>
  <c r="G16" i="82" s="1"/>
  <c r="G16" i="83" s="1"/>
  <c r="G16" i="84" s="1"/>
  <c r="G16" i="85" s="1"/>
  <c r="G16" i="86" s="1"/>
  <c r="G16" i="87" s="1"/>
  <c r="G16" i="88" s="1"/>
  <c r="G16" i="89" s="1"/>
  <c r="G16" i="90" s="1"/>
  <c r="G16" i="91" s="1"/>
  <c r="G16" i="92" s="1"/>
  <c r="G16" i="93" s="1"/>
  <c r="G16" i="94" s="1"/>
  <c r="G16" i="95" s="1"/>
  <c r="G16" i="96" s="1"/>
  <c r="G16" i="97" s="1"/>
  <c r="G16" i="98" s="1"/>
  <c r="G16" i="99" s="1"/>
  <c r="G16" i="101" s="1"/>
  <c r="G16" i="100" s="1"/>
  <c r="G16" i="102" s="1"/>
  <c r="G16" i="103" s="1"/>
  <c r="G16" i="104" s="1"/>
  <c r="G16" i="115" s="1"/>
  <c r="G16" i="116" s="1"/>
  <c r="G16" i="117" s="1"/>
  <c r="F16" i="33"/>
  <c r="F16" i="34" s="1"/>
  <c r="F16" i="79" s="1"/>
  <c r="F16" i="80" s="1"/>
  <c r="F16" i="81" s="1"/>
  <c r="F16" i="82" s="1"/>
  <c r="F16" i="83" s="1"/>
  <c r="F16" i="84" s="1"/>
  <c r="F16" i="85" s="1"/>
  <c r="F16" i="86" s="1"/>
  <c r="F16" i="87" s="1"/>
  <c r="F16" i="88" s="1"/>
  <c r="F16" i="89" s="1"/>
  <c r="F16" i="90" s="1"/>
  <c r="F16" i="91" s="1"/>
  <c r="F16" i="92" s="1"/>
  <c r="F16" i="93" s="1"/>
  <c r="F16" i="94" s="1"/>
  <c r="F16" i="95" s="1"/>
  <c r="F16" i="96" s="1"/>
  <c r="F16" i="97" s="1"/>
  <c r="F16" i="98" s="1"/>
  <c r="F16" i="99" s="1"/>
  <c r="F16" i="101" s="1"/>
  <c r="F16" i="100" s="1"/>
  <c r="F16" i="102" s="1"/>
  <c r="F16" i="103" s="1"/>
  <c r="F16" i="104" s="1"/>
  <c r="F16" i="115" s="1"/>
  <c r="F16" i="116" s="1"/>
  <c r="F16" i="117" s="1"/>
  <c r="G15" i="33"/>
  <c r="G15" i="34" s="1"/>
  <c r="F15" i="33"/>
  <c r="F15" i="34" s="1"/>
  <c r="G14" i="33"/>
  <c r="G14" i="34" s="1"/>
  <c r="G14" i="79" s="1"/>
  <c r="G14" i="80" s="1"/>
  <c r="G14" i="81" s="1"/>
  <c r="G14" i="82" s="1"/>
  <c r="G14" i="83" s="1"/>
  <c r="G14" i="84" s="1"/>
  <c r="G14" i="85" s="1"/>
  <c r="G14" i="86" s="1"/>
  <c r="G14" i="87" s="1"/>
  <c r="G14" i="88" s="1"/>
  <c r="G14" i="89" s="1"/>
  <c r="G14" i="90" s="1"/>
  <c r="G14" i="91" s="1"/>
  <c r="G14" i="92" s="1"/>
  <c r="G14" i="93" s="1"/>
  <c r="G14" i="94" s="1"/>
  <c r="G14" i="95" s="1"/>
  <c r="G14" i="96" s="1"/>
  <c r="G14" i="97" s="1"/>
  <c r="G14" i="98" s="1"/>
  <c r="G14" i="99" s="1"/>
  <c r="G14" i="101" s="1"/>
  <c r="G14" i="100" s="1"/>
  <c r="G14" i="102" s="1"/>
  <c r="G14" i="103" s="1"/>
  <c r="G14" i="104" s="1"/>
  <c r="G14" i="115" s="1"/>
  <c r="G14" i="116" s="1"/>
  <c r="G14" i="117" s="1"/>
  <c r="F14" i="33"/>
  <c r="F14" i="34" s="1"/>
  <c r="F14" i="79" s="1"/>
  <c r="F14" i="80" s="1"/>
  <c r="F14" i="81" s="1"/>
  <c r="F14" i="82" s="1"/>
  <c r="F14" i="83" s="1"/>
  <c r="F14" i="84" s="1"/>
  <c r="F14" i="85" s="1"/>
  <c r="F14" i="86" s="1"/>
  <c r="F14" i="87" s="1"/>
  <c r="F14" i="88" s="1"/>
  <c r="F14" i="89" s="1"/>
  <c r="F14" i="90" s="1"/>
  <c r="F14" i="91" s="1"/>
  <c r="F14" i="92" s="1"/>
  <c r="F14" i="93" s="1"/>
  <c r="F14" i="94" s="1"/>
  <c r="F14" i="95" s="1"/>
  <c r="F14" i="96" s="1"/>
  <c r="F14" i="97" s="1"/>
  <c r="F14" i="98" s="1"/>
  <c r="F14" i="99" s="1"/>
  <c r="F14" i="101" s="1"/>
  <c r="F14" i="100" s="1"/>
  <c r="F14" i="102" s="1"/>
  <c r="F14" i="103" s="1"/>
  <c r="F14" i="104" s="1"/>
  <c r="F14" i="115" s="1"/>
  <c r="F14" i="116" s="1"/>
  <c r="F14" i="117" s="1"/>
  <c r="G12" i="33"/>
  <c r="G12" i="34" s="1"/>
  <c r="G12" i="79" s="1"/>
  <c r="G12" i="80" s="1"/>
  <c r="G12" i="81" s="1"/>
  <c r="G12" i="82" s="1"/>
  <c r="G12" i="83" s="1"/>
  <c r="G12" i="84" s="1"/>
  <c r="G12" i="85" s="1"/>
  <c r="G12" i="86" s="1"/>
  <c r="G12" i="87" s="1"/>
  <c r="G12" i="88" s="1"/>
  <c r="G12" i="89" s="1"/>
  <c r="G12" i="90" s="1"/>
  <c r="G12" i="91" s="1"/>
  <c r="G12" i="92" s="1"/>
  <c r="G12" i="93" s="1"/>
  <c r="G12" i="94" s="1"/>
  <c r="G12" i="95" s="1"/>
  <c r="G12" i="96" s="1"/>
  <c r="G12" i="97" s="1"/>
  <c r="G12" i="98" s="1"/>
  <c r="G12" i="99" s="1"/>
  <c r="G12" i="101" s="1"/>
  <c r="G12" i="100" s="1"/>
  <c r="G12" i="102" s="1"/>
  <c r="G12" i="103" s="1"/>
  <c r="G12" i="104" s="1"/>
  <c r="G12" i="115" s="1"/>
  <c r="G12" i="116" s="1"/>
  <c r="G12" i="117" s="1"/>
  <c r="F12" i="33"/>
  <c r="F12" i="34" s="1"/>
  <c r="F12" i="79" s="1"/>
  <c r="F12" i="80" s="1"/>
  <c r="F12" i="81" s="1"/>
  <c r="F12" i="82" s="1"/>
  <c r="F12" i="83" s="1"/>
  <c r="F12" i="84" s="1"/>
  <c r="F12" i="85" s="1"/>
  <c r="F12" i="86" s="1"/>
  <c r="F12" i="87" s="1"/>
  <c r="F12" i="88" s="1"/>
  <c r="F12" i="89" s="1"/>
  <c r="F12" i="90" s="1"/>
  <c r="F12" i="91" s="1"/>
  <c r="F12" i="92" s="1"/>
  <c r="F12" i="93" s="1"/>
  <c r="F12" i="94" s="1"/>
  <c r="F12" i="95" s="1"/>
  <c r="F12" i="96" s="1"/>
  <c r="F12" i="97" s="1"/>
  <c r="F12" i="98" s="1"/>
  <c r="F12" i="99" s="1"/>
  <c r="F12" i="101" s="1"/>
  <c r="F12" i="100" s="1"/>
  <c r="F12" i="102" s="1"/>
  <c r="F12" i="103" s="1"/>
  <c r="F12" i="104" s="1"/>
  <c r="F12" i="115" s="1"/>
  <c r="F12" i="116" s="1"/>
  <c r="F12" i="117" s="1"/>
  <c r="E11" i="33"/>
  <c r="E13" i="33" s="1"/>
  <c r="E10" i="33"/>
  <c r="E9" i="33"/>
  <c r="F9" i="33" s="1"/>
  <c r="G8" i="33"/>
  <c r="G8" i="34" s="1"/>
  <c r="F8" i="33"/>
  <c r="F8" i="34" s="1"/>
  <c r="F8" i="79" s="1"/>
  <c r="G7" i="33"/>
  <c r="G7" i="34" s="1"/>
  <c r="G7" i="79" s="1"/>
  <c r="F7" i="33"/>
  <c r="F7" i="34" s="1"/>
  <c r="E6" i="33"/>
  <c r="E6" i="34" s="1"/>
  <c r="E6" i="79" s="1"/>
  <c r="E6" i="80" s="1"/>
  <c r="E6" i="81" s="1"/>
  <c r="E6" i="82" s="1"/>
  <c r="E6" i="83" s="1"/>
  <c r="E6" i="84" s="1"/>
  <c r="E6" i="85" s="1"/>
  <c r="E6" i="86" s="1"/>
  <c r="E6" i="87" s="1"/>
  <c r="E6" i="88" s="1"/>
  <c r="E6" i="89" s="1"/>
  <c r="E6" i="90" s="1"/>
  <c r="E6" i="91" s="1"/>
  <c r="E6" i="92" s="1"/>
  <c r="E6" i="93" s="1"/>
  <c r="E6" i="94" s="1"/>
  <c r="E6" i="95" s="1"/>
  <c r="E6" i="96" s="1"/>
  <c r="E6" i="97" s="1"/>
  <c r="E6" i="98" s="1"/>
  <c r="E6" i="99" s="1"/>
  <c r="E6" i="101" s="1"/>
  <c r="E6" i="100" s="1"/>
  <c r="E6" i="102" s="1"/>
  <c r="E6" i="103" s="1"/>
  <c r="E6" i="104" s="1"/>
  <c r="E6" i="115" s="1"/>
  <c r="E6" i="116" s="1"/>
  <c r="E6" i="117" s="1"/>
  <c r="F36" i="102" l="1"/>
  <c r="F36" i="103" s="1"/>
  <c r="F36" i="104" s="1"/>
  <c r="F36" i="115" s="1"/>
  <c r="F36" i="116" s="1"/>
  <c r="F36" i="117" s="1"/>
  <c r="F35" i="102"/>
  <c r="F35" i="103" s="1"/>
  <c r="F35" i="104" s="1"/>
  <c r="F35" i="115" s="1"/>
  <c r="F35" i="116" s="1"/>
  <c r="F35" i="117" s="1"/>
  <c r="F32" i="102"/>
  <c r="F32" i="103" s="1"/>
  <c r="F32" i="104" s="1"/>
  <c r="F32" i="115" s="1"/>
  <c r="F32" i="116" s="1"/>
  <c r="F32" i="117" s="1"/>
  <c r="G32" i="102"/>
  <c r="G32" i="103" s="1"/>
  <c r="G32" i="104" s="1"/>
  <c r="G32" i="115" s="1"/>
  <c r="G32" i="116" s="1"/>
  <c r="G32" i="117" s="1"/>
  <c r="G31" i="102"/>
  <c r="G31" i="103" s="1"/>
  <c r="G31" i="104" s="1"/>
  <c r="G31" i="115" s="1"/>
  <c r="G31" i="116" s="1"/>
  <c r="G31" i="117" s="1"/>
  <c r="F31" i="102"/>
  <c r="F31" i="103" s="1"/>
  <c r="F31" i="104" s="1"/>
  <c r="F31" i="115" s="1"/>
  <c r="F31" i="116" s="1"/>
  <c r="F31" i="117" s="1"/>
  <c r="F30" i="102"/>
  <c r="F30" i="103" s="1"/>
  <c r="F30" i="104" s="1"/>
  <c r="F30" i="115" s="1"/>
  <c r="F30" i="116" s="1"/>
  <c r="F30" i="117" s="1"/>
  <c r="G30" i="102"/>
  <c r="G30" i="103" s="1"/>
  <c r="G30" i="104" s="1"/>
  <c r="G30" i="115" s="1"/>
  <c r="G30" i="116" s="1"/>
  <c r="G30" i="117" s="1"/>
  <c r="G36" i="102"/>
  <c r="G36" i="103" s="1"/>
  <c r="G36" i="104" s="1"/>
  <c r="G36" i="115" s="1"/>
  <c r="G36" i="116" s="1"/>
  <c r="G36" i="117" s="1"/>
  <c r="G35" i="102"/>
  <c r="G35" i="103" s="1"/>
  <c r="G35" i="104" s="1"/>
  <c r="G35" i="115" s="1"/>
  <c r="G35" i="116" s="1"/>
  <c r="G35" i="117" s="1"/>
  <c r="G37" i="103"/>
  <c r="G37" i="104" s="1"/>
  <c r="G37" i="115" s="1"/>
  <c r="G37" i="116" s="1"/>
  <c r="G37" i="117" s="1"/>
  <c r="F20" i="33"/>
  <c r="F11" i="33"/>
  <c r="F13" i="33" s="1"/>
  <c r="G9" i="33"/>
  <c r="G23" i="33"/>
  <c r="G21" i="34"/>
  <c r="F22" i="33"/>
  <c r="F17" i="34"/>
  <c r="F17" i="79" s="1"/>
  <c r="F17" i="80" s="1"/>
  <c r="F7" i="79"/>
  <c r="F21" i="79" s="1"/>
  <c r="F11" i="34"/>
  <c r="F13" i="34" s="1"/>
  <c r="F15" i="79"/>
  <c r="F23" i="34"/>
  <c r="G8" i="79"/>
  <c r="G10" i="34"/>
  <c r="G11" i="79"/>
  <c r="G13" i="79" s="1"/>
  <c r="G7" i="80"/>
  <c r="G9" i="34"/>
  <c r="G9" i="79" s="1"/>
  <c r="G9" i="80" s="1"/>
  <c r="G9" i="81" s="1"/>
  <c r="G9" i="82" s="1"/>
  <c r="G9" i="83" s="1"/>
  <c r="G9" i="84" s="1"/>
  <c r="G9" i="85" s="1"/>
  <c r="G9" i="86" s="1"/>
  <c r="G9" i="87" s="1"/>
  <c r="G9" i="88" s="1"/>
  <c r="G9" i="89" s="1"/>
  <c r="G9" i="90" s="1"/>
  <c r="G9" i="91" s="1"/>
  <c r="G9" i="92" s="1"/>
  <c r="G9" i="93" s="1"/>
  <c r="G9" i="94" s="1"/>
  <c r="G9" i="95" s="1"/>
  <c r="G9" i="96" s="1"/>
  <c r="G9" i="97" s="1"/>
  <c r="G9" i="98" s="1"/>
  <c r="G9" i="99" s="1"/>
  <c r="G9" i="101" s="1"/>
  <c r="G9" i="100" s="1"/>
  <c r="G9" i="102" s="1"/>
  <c r="G9" i="103" s="1"/>
  <c r="G9" i="104" s="1"/>
  <c r="G9" i="115" s="1"/>
  <c r="G9" i="116" s="1"/>
  <c r="G9" i="117" s="1"/>
  <c r="F9" i="34"/>
  <c r="F9" i="79" s="1"/>
  <c r="F9" i="80" s="1"/>
  <c r="F9" i="81" s="1"/>
  <c r="F9" i="82" s="1"/>
  <c r="F9" i="83" s="1"/>
  <c r="F9" i="84" s="1"/>
  <c r="F9" i="85" s="1"/>
  <c r="F9" i="86" s="1"/>
  <c r="F9" i="87" s="1"/>
  <c r="F9" i="88" s="1"/>
  <c r="F9" i="89" s="1"/>
  <c r="F9" i="90" s="1"/>
  <c r="F9" i="91" s="1"/>
  <c r="F9" i="92" s="1"/>
  <c r="F9" i="93" s="1"/>
  <c r="F9" i="94" s="1"/>
  <c r="F9" i="95" s="1"/>
  <c r="F9" i="96" s="1"/>
  <c r="F9" i="97" s="1"/>
  <c r="F9" i="98" s="1"/>
  <c r="F9" i="99" s="1"/>
  <c r="F9" i="101" s="1"/>
  <c r="F9" i="100" s="1"/>
  <c r="F9" i="102" s="1"/>
  <c r="F9" i="103" s="1"/>
  <c r="F9" i="104" s="1"/>
  <c r="F9" i="115" s="1"/>
  <c r="F9" i="116" s="1"/>
  <c r="F9" i="117" s="1"/>
  <c r="G11" i="33"/>
  <c r="G13" i="33" s="1"/>
  <c r="G11" i="34"/>
  <c r="G13" i="34" s="1"/>
  <c r="G26" i="79"/>
  <c r="F8" i="80"/>
  <c r="F26" i="80"/>
  <c r="F10" i="33"/>
  <c r="F23" i="33"/>
  <c r="G10" i="33"/>
  <c r="G23" i="34"/>
  <c r="G17" i="34"/>
  <c r="G20" i="33"/>
  <c r="F21" i="33"/>
  <c r="G22" i="33"/>
  <c r="F10" i="34"/>
  <c r="G21" i="33"/>
  <c r="F21" i="34"/>
  <c r="G15" i="79"/>
  <c r="F22" i="34" l="1"/>
  <c r="F22" i="79"/>
  <c r="F20" i="34"/>
  <c r="F20" i="79"/>
  <c r="F26" i="81"/>
  <c r="F15" i="80"/>
  <c r="F23" i="79"/>
  <c r="G23" i="79"/>
  <c r="G15" i="80"/>
  <c r="G21" i="79"/>
  <c r="G26" i="80"/>
  <c r="F7" i="80"/>
  <c r="F21" i="80" s="1"/>
  <c r="F11" i="79"/>
  <c r="F13" i="79" s="1"/>
  <c r="F8" i="81"/>
  <c r="G22" i="34"/>
  <c r="G17" i="79"/>
  <c r="G20" i="34"/>
  <c r="F17" i="81"/>
  <c r="G8" i="80"/>
  <c r="G10" i="79"/>
  <c r="G7" i="81"/>
  <c r="G11" i="80"/>
  <c r="G13" i="80" s="1"/>
  <c r="F10" i="79"/>
  <c r="F20" i="80" l="1"/>
  <c r="F10" i="80"/>
  <c r="F22" i="80"/>
  <c r="G26" i="81"/>
  <c r="G21" i="80"/>
  <c r="F23" i="80"/>
  <c r="F15" i="81"/>
  <c r="F17" i="82"/>
  <c r="G8" i="81"/>
  <c r="G10" i="80"/>
  <c r="G22" i="79"/>
  <c r="G17" i="80"/>
  <c r="G20" i="79"/>
  <c r="G15" i="81"/>
  <c r="G23" i="80"/>
  <c r="F8" i="82"/>
  <c r="G7" i="82"/>
  <c r="G11" i="81"/>
  <c r="G13" i="81" s="1"/>
  <c r="F7" i="81"/>
  <c r="F10" i="81" s="1"/>
  <c r="F11" i="80"/>
  <c r="F13" i="80" s="1"/>
  <c r="F26" i="82"/>
  <c r="F7" i="82" l="1"/>
  <c r="F20" i="82" s="1"/>
  <c r="F11" i="81"/>
  <c r="F13" i="81" s="1"/>
  <c r="G17" i="81"/>
  <c r="G20" i="80"/>
  <c r="G22" i="80"/>
  <c r="F21" i="81"/>
  <c r="G10" i="81"/>
  <c r="G8" i="82"/>
  <c r="F23" i="81"/>
  <c r="F15" i="82"/>
  <c r="F8" i="83"/>
  <c r="F20" i="81"/>
  <c r="F22" i="82"/>
  <c r="F17" i="83"/>
  <c r="F21" i="82"/>
  <c r="F26" i="83"/>
  <c r="G7" i="83"/>
  <c r="G11" i="82"/>
  <c r="G13" i="82" s="1"/>
  <c r="G23" i="81"/>
  <c r="G15" i="82"/>
  <c r="F22" i="81"/>
  <c r="G26" i="82"/>
  <c r="G21" i="81"/>
  <c r="F10" i="82" l="1"/>
  <c r="G21" i="82"/>
  <c r="G26" i="83"/>
  <c r="G7" i="84"/>
  <c r="G11" i="83"/>
  <c r="G13" i="83" s="1"/>
  <c r="F8" i="84"/>
  <c r="G17" i="82"/>
  <c r="G20" i="81"/>
  <c r="G22" i="81"/>
  <c r="G8" i="83"/>
  <c r="G10" i="82"/>
  <c r="G23" i="82"/>
  <c r="G15" i="83"/>
  <c r="F26" i="84"/>
  <c r="F15" i="83"/>
  <c r="F23" i="82"/>
  <c r="F17" i="84"/>
  <c r="F11" i="82"/>
  <c r="F13" i="82" s="1"/>
  <c r="F7" i="83"/>
  <c r="F21" i="83" s="1"/>
  <c r="F22" i="83" l="1"/>
  <c r="F20" i="83"/>
  <c r="G7" i="85"/>
  <c r="G11" i="84"/>
  <c r="G13" i="84" s="1"/>
  <c r="F17" i="85"/>
  <c r="F26" i="85"/>
  <c r="G8" i="84"/>
  <c r="G10" i="83"/>
  <c r="F8" i="85"/>
  <c r="G21" i="83"/>
  <c r="G26" i="84"/>
  <c r="F15" i="84"/>
  <c r="F23" i="83"/>
  <c r="G22" i="82"/>
  <c r="G17" i="83"/>
  <c r="G20" i="82"/>
  <c r="F7" i="84"/>
  <c r="F20" i="84" s="1"/>
  <c r="F11" i="83"/>
  <c r="F13" i="83" s="1"/>
  <c r="G23" i="83"/>
  <c r="G15" i="84"/>
  <c r="F10" i="83"/>
  <c r="F7" i="85" l="1"/>
  <c r="F10" i="85" s="1"/>
  <c r="F11" i="84"/>
  <c r="F13" i="84" s="1"/>
  <c r="F8" i="86"/>
  <c r="F17" i="86"/>
  <c r="G15" i="85"/>
  <c r="G23" i="84"/>
  <c r="F23" i="84"/>
  <c r="F15" i="85"/>
  <c r="F10" i="84"/>
  <c r="F26" i="86"/>
  <c r="G8" i="85"/>
  <c r="G10" i="84"/>
  <c r="F21" i="84"/>
  <c r="G22" i="83"/>
  <c r="G17" i="84"/>
  <c r="G20" i="83"/>
  <c r="G26" i="85"/>
  <c r="G21" i="84"/>
  <c r="F22" i="84"/>
  <c r="G7" i="86"/>
  <c r="G11" i="85"/>
  <c r="G13" i="85" s="1"/>
  <c r="F21" i="85" l="1"/>
  <c r="F22" i="85"/>
  <c r="F20" i="85"/>
  <c r="G17" i="85"/>
  <c r="G20" i="84"/>
  <c r="G22" i="84"/>
  <c r="F23" i="85"/>
  <c r="F15" i="86"/>
  <c r="F8" i="87"/>
  <c r="F17" i="87"/>
  <c r="G7" i="87"/>
  <c r="G11" i="86"/>
  <c r="G13" i="86" s="1"/>
  <c r="G23" i="85"/>
  <c r="G15" i="86"/>
  <c r="G10" i="85"/>
  <c r="G8" i="86"/>
  <c r="G26" i="86"/>
  <c r="G21" i="85"/>
  <c r="F26" i="87"/>
  <c r="F7" i="86"/>
  <c r="F22" i="86" s="1"/>
  <c r="F11" i="85"/>
  <c r="F13" i="85" s="1"/>
  <c r="F10" i="86" l="1"/>
  <c r="F21" i="86"/>
  <c r="G8" i="87"/>
  <c r="G10" i="86"/>
  <c r="G23" i="86"/>
  <c r="G15" i="87"/>
  <c r="F8" i="88"/>
  <c r="F26" i="88"/>
  <c r="G11" i="87"/>
  <c r="G13" i="87" s="1"/>
  <c r="G7" i="88"/>
  <c r="F17" i="88"/>
  <c r="F7" i="87"/>
  <c r="F21" i="87" s="1"/>
  <c r="F11" i="86"/>
  <c r="F13" i="86" s="1"/>
  <c r="G21" i="86"/>
  <c r="G26" i="87"/>
  <c r="F20" i="86"/>
  <c r="F15" i="87"/>
  <c r="F23" i="86"/>
  <c r="G17" i="86"/>
  <c r="G20" i="85"/>
  <c r="G22" i="85"/>
  <c r="F20" i="87" l="1"/>
  <c r="G23" i="87"/>
  <c r="G15" i="88"/>
  <c r="F15" i="88"/>
  <c r="F23" i="87"/>
  <c r="F17" i="89"/>
  <c r="F7" i="88"/>
  <c r="F11" i="87"/>
  <c r="F13" i="87" s="1"/>
  <c r="G11" i="88"/>
  <c r="G13" i="88" s="1"/>
  <c r="G7" i="89"/>
  <c r="F8" i="89"/>
  <c r="F26" i="89"/>
  <c r="G22" i="86"/>
  <c r="G17" i="87"/>
  <c r="G20" i="86"/>
  <c r="G26" i="88"/>
  <c r="G21" i="87"/>
  <c r="F22" i="87"/>
  <c r="F10" i="87"/>
  <c r="G8" i="88"/>
  <c r="G10" i="87"/>
  <c r="F11" i="88" l="1"/>
  <c r="F13" i="88" s="1"/>
  <c r="F7" i="89"/>
  <c r="F20" i="89" s="1"/>
  <c r="G8" i="89"/>
  <c r="G10" i="88"/>
  <c r="F26" i="90"/>
  <c r="G11" i="89"/>
  <c r="G13" i="89" s="1"/>
  <c r="G7" i="90"/>
  <c r="F15" i="89"/>
  <c r="F23" i="88"/>
  <c r="F21" i="88"/>
  <c r="F17" i="90"/>
  <c r="G15" i="89"/>
  <c r="G23" i="88"/>
  <c r="F8" i="90"/>
  <c r="G26" i="89"/>
  <c r="G21" i="88"/>
  <c r="F22" i="88"/>
  <c r="G22" i="87"/>
  <c r="G17" i="88"/>
  <c r="G20" i="87"/>
  <c r="F10" i="88"/>
  <c r="F20" i="88"/>
  <c r="F10" i="89" l="1"/>
  <c r="F21" i="89"/>
  <c r="F22" i="89"/>
  <c r="G7" i="91"/>
  <c r="G11" i="90"/>
  <c r="G13" i="90" s="1"/>
  <c r="G20" i="88"/>
  <c r="G17" i="89"/>
  <c r="G22" i="88"/>
  <c r="G15" i="90"/>
  <c r="G23" i="89"/>
  <c r="G8" i="90"/>
  <c r="G10" i="89"/>
  <c r="F7" i="90"/>
  <c r="F22" i="90" s="1"/>
  <c r="F11" i="89"/>
  <c r="F13" i="89" s="1"/>
  <c r="F17" i="91"/>
  <c r="G21" i="89"/>
  <c r="G26" i="90"/>
  <c r="F8" i="91"/>
  <c r="F15" i="90"/>
  <c r="F23" i="89"/>
  <c r="F26" i="91"/>
  <c r="F21" i="90" l="1"/>
  <c r="G26" i="91"/>
  <c r="G21" i="90"/>
  <c r="F17" i="92"/>
  <c r="G10" i="90"/>
  <c r="G8" i="91"/>
  <c r="G22" i="89"/>
  <c r="G17" i="90"/>
  <c r="G20" i="89"/>
  <c r="F23" i="90"/>
  <c r="F15" i="91"/>
  <c r="F8" i="92"/>
  <c r="F7" i="91"/>
  <c r="F10" i="91" s="1"/>
  <c r="F11" i="90"/>
  <c r="F13" i="90" s="1"/>
  <c r="G15" i="91"/>
  <c r="G23" i="90"/>
  <c r="F26" i="92"/>
  <c r="F10" i="90"/>
  <c r="F20" i="90"/>
  <c r="G7" i="92"/>
  <c r="G11" i="91"/>
  <c r="G13" i="91" s="1"/>
  <c r="F21" i="91" l="1"/>
  <c r="F23" i="91"/>
  <c r="F15" i="92"/>
  <c r="F17" i="93"/>
  <c r="G7" i="93"/>
  <c r="G11" i="92"/>
  <c r="G13" i="92" s="1"/>
  <c r="F26" i="93"/>
  <c r="F7" i="92"/>
  <c r="F22" i="92" s="1"/>
  <c r="F11" i="91"/>
  <c r="F13" i="91" s="1"/>
  <c r="G10" i="91"/>
  <c r="G8" i="92"/>
  <c r="F22" i="91"/>
  <c r="G23" i="91"/>
  <c r="G15" i="92"/>
  <c r="F8" i="93"/>
  <c r="G17" i="91"/>
  <c r="G20" i="90"/>
  <c r="G22" i="90"/>
  <c r="F20" i="91"/>
  <c r="G26" i="92"/>
  <c r="G21" i="91"/>
  <c r="F10" i="92" l="1"/>
  <c r="F21" i="92"/>
  <c r="G26" i="93"/>
  <c r="G21" i="92"/>
  <c r="G17" i="92"/>
  <c r="G20" i="91"/>
  <c r="G22" i="91"/>
  <c r="F7" i="93"/>
  <c r="F22" i="93" s="1"/>
  <c r="F11" i="92"/>
  <c r="F13" i="92" s="1"/>
  <c r="G7" i="94"/>
  <c r="G11" i="93"/>
  <c r="G13" i="93" s="1"/>
  <c r="F15" i="93"/>
  <c r="F23" i="92"/>
  <c r="G23" i="92"/>
  <c r="G15" i="93"/>
  <c r="F17" i="94"/>
  <c r="F8" i="94"/>
  <c r="G8" i="93"/>
  <c r="G10" i="92"/>
  <c r="F26" i="94"/>
  <c r="F20" i="92"/>
  <c r="F20" i="93" l="1"/>
  <c r="F10" i="93"/>
  <c r="F21" i="93"/>
  <c r="G22" i="92"/>
  <c r="G17" i="93"/>
  <c r="G20" i="92"/>
  <c r="F8" i="95"/>
  <c r="G7" i="95"/>
  <c r="G11" i="94"/>
  <c r="G13" i="94" s="1"/>
  <c r="G8" i="94"/>
  <c r="G10" i="93"/>
  <c r="F17" i="95"/>
  <c r="F15" i="94"/>
  <c r="F23" i="93"/>
  <c r="F7" i="94"/>
  <c r="F21" i="94" s="1"/>
  <c r="F11" i="93"/>
  <c r="F13" i="93" s="1"/>
  <c r="F26" i="95"/>
  <c r="G23" i="93"/>
  <c r="G15" i="94"/>
  <c r="G21" i="93"/>
  <c r="G26" i="94"/>
  <c r="F10" i="94" l="1"/>
  <c r="F22" i="94"/>
  <c r="G15" i="95"/>
  <c r="G23" i="94"/>
  <c r="G8" i="95"/>
  <c r="G10" i="94"/>
  <c r="F20" i="94"/>
  <c r="G26" i="95"/>
  <c r="G21" i="94"/>
  <c r="F17" i="96"/>
  <c r="G7" i="96"/>
  <c r="G11" i="95"/>
  <c r="G13" i="95" s="1"/>
  <c r="G22" i="93"/>
  <c r="G17" i="94"/>
  <c r="G20" i="93"/>
  <c r="F7" i="95"/>
  <c r="F21" i="95" s="1"/>
  <c r="F11" i="94"/>
  <c r="F13" i="94" s="1"/>
  <c r="F26" i="96"/>
  <c r="F23" i="94"/>
  <c r="F15" i="95"/>
  <c r="F8" i="96"/>
  <c r="F22" i="95" l="1"/>
  <c r="G7" i="97"/>
  <c r="G11" i="96"/>
  <c r="G13" i="96" s="1"/>
  <c r="G10" i="95"/>
  <c r="G8" i="96"/>
  <c r="F7" i="96"/>
  <c r="F10" i="96" s="1"/>
  <c r="F11" i="95"/>
  <c r="F13" i="95" s="1"/>
  <c r="F10" i="95"/>
  <c r="F8" i="97"/>
  <c r="F26" i="97"/>
  <c r="G17" i="95"/>
  <c r="G20" i="94"/>
  <c r="G22" i="94"/>
  <c r="F20" i="95"/>
  <c r="G26" i="96"/>
  <c r="G21" i="95"/>
  <c r="F23" i="95"/>
  <c r="F15" i="96"/>
  <c r="F17" i="97"/>
  <c r="G23" i="95"/>
  <c r="G15" i="96"/>
  <c r="F21" i="96" l="1"/>
  <c r="F20" i="96"/>
  <c r="F22" i="96"/>
  <c r="F17" i="98"/>
  <c r="G17" i="96"/>
  <c r="G20" i="95"/>
  <c r="G22" i="95"/>
  <c r="G8" i="97"/>
  <c r="G10" i="96"/>
  <c r="F23" i="96"/>
  <c r="F15" i="97"/>
  <c r="G15" i="97"/>
  <c r="G23" i="96"/>
  <c r="G26" i="97"/>
  <c r="G21" i="96"/>
  <c r="F8" i="98"/>
  <c r="F26" i="98"/>
  <c r="F7" i="97"/>
  <c r="F11" i="96"/>
  <c r="F13" i="96" s="1"/>
  <c r="G7" i="98"/>
  <c r="G11" i="97"/>
  <c r="G13" i="97" s="1"/>
  <c r="F10" i="97" l="1"/>
  <c r="F22" i="97"/>
  <c r="F8" i="99"/>
  <c r="G23" i="97"/>
  <c r="G15" i="98"/>
  <c r="F15" i="98"/>
  <c r="F23" i="97"/>
  <c r="F17" i="99"/>
  <c r="G17" i="97"/>
  <c r="G22" i="97" s="1"/>
  <c r="G22" i="96"/>
  <c r="G20" i="96"/>
  <c r="F11" i="97"/>
  <c r="F13" i="97" s="1"/>
  <c r="F7" i="98"/>
  <c r="F21" i="98" s="1"/>
  <c r="G8" i="98"/>
  <c r="G10" i="97"/>
  <c r="F20" i="97"/>
  <c r="F26" i="99"/>
  <c r="G7" i="99"/>
  <c r="G11" i="98"/>
  <c r="G13" i="98" s="1"/>
  <c r="F21" i="97"/>
  <c r="G21" i="97"/>
  <c r="G26" i="98"/>
  <c r="F20" i="98" l="1"/>
  <c r="G21" i="98"/>
  <c r="G26" i="99"/>
  <c r="G15" i="99"/>
  <c r="G23" i="98"/>
  <c r="F26" i="101"/>
  <c r="G20" i="97"/>
  <c r="G17" i="98"/>
  <c r="F8" i="101"/>
  <c r="G7" i="101"/>
  <c r="G11" i="99"/>
  <c r="G13" i="99" s="1"/>
  <c r="G8" i="99"/>
  <c r="G10" i="98"/>
  <c r="F17" i="101"/>
  <c r="F7" i="99"/>
  <c r="F21" i="99" s="1"/>
  <c r="F11" i="98"/>
  <c r="F13" i="98" s="1"/>
  <c r="F22" i="98"/>
  <c r="F15" i="99"/>
  <c r="F23" i="98"/>
  <c r="F10" i="98"/>
  <c r="F17" i="100" l="1"/>
  <c r="G15" i="101"/>
  <c r="G23" i="99"/>
  <c r="F15" i="101"/>
  <c r="F23" i="99"/>
  <c r="F22" i="99"/>
  <c r="G8" i="101"/>
  <c r="G10" i="99"/>
  <c r="F10" i="99"/>
  <c r="G26" i="101"/>
  <c r="G21" i="99"/>
  <c r="G7" i="100"/>
  <c r="G11" i="101"/>
  <c r="G13" i="101" s="1"/>
  <c r="F7" i="101"/>
  <c r="F11" i="99"/>
  <c r="F13" i="99" s="1"/>
  <c r="F8" i="100"/>
  <c r="F20" i="99"/>
  <c r="G22" i="98"/>
  <c r="G17" i="99"/>
  <c r="G20" i="98"/>
  <c r="F26" i="100"/>
  <c r="F26" i="102" s="1"/>
  <c r="F7" i="100" l="1"/>
  <c r="F20" i="100" s="1"/>
  <c r="F11" i="101"/>
  <c r="F13" i="101" s="1"/>
  <c r="G26" i="100"/>
  <c r="G26" i="102" s="1"/>
  <c r="G21" i="101"/>
  <c r="G23" i="101"/>
  <c r="G15" i="100"/>
  <c r="F8" i="102"/>
  <c r="G7" i="102"/>
  <c r="G11" i="100"/>
  <c r="G13" i="100" s="1"/>
  <c r="F23" i="101"/>
  <c r="F15" i="100"/>
  <c r="F17" i="102"/>
  <c r="F10" i="101"/>
  <c r="F20" i="101"/>
  <c r="G17" i="101"/>
  <c r="G20" i="99"/>
  <c r="G22" i="99"/>
  <c r="F21" i="101"/>
  <c r="G8" i="100"/>
  <c r="G10" i="101"/>
  <c r="F22" i="100" l="1"/>
  <c r="F21" i="100"/>
  <c r="F10" i="100"/>
  <c r="G8" i="102"/>
  <c r="G10" i="100"/>
  <c r="F26" i="103"/>
  <c r="F8" i="103"/>
  <c r="F17" i="103"/>
  <c r="G23" i="100"/>
  <c r="G15" i="102"/>
  <c r="G17" i="100"/>
  <c r="G20" i="101"/>
  <c r="F23" i="100"/>
  <c r="F15" i="102"/>
  <c r="G21" i="100"/>
  <c r="G7" i="103"/>
  <c r="G11" i="102"/>
  <c r="G13" i="102" s="1"/>
  <c r="F7" i="102"/>
  <c r="F11" i="100"/>
  <c r="F13" i="100" s="1"/>
  <c r="F7" i="103" l="1"/>
  <c r="F22" i="103" s="1"/>
  <c r="F11" i="102"/>
  <c r="F13" i="102" s="1"/>
  <c r="F15" i="103"/>
  <c r="F23" i="102"/>
  <c r="G20" i="100"/>
  <c r="G22" i="100"/>
  <c r="G17" i="102"/>
  <c r="F20" i="102"/>
  <c r="F26" i="104"/>
  <c r="G7" i="104"/>
  <c r="G11" i="103"/>
  <c r="G13" i="103" s="1"/>
  <c r="G15" i="103"/>
  <c r="G23" i="102"/>
  <c r="F22" i="102"/>
  <c r="F21" i="102"/>
  <c r="G26" i="103"/>
  <c r="G21" i="102"/>
  <c r="F8" i="104"/>
  <c r="F17" i="104"/>
  <c r="F10" i="102"/>
  <c r="G8" i="103"/>
  <c r="G10" i="102"/>
  <c r="F20" i="103" l="1"/>
  <c r="F21" i="103"/>
  <c r="F10" i="103"/>
  <c r="G22" i="102"/>
  <c r="G17" i="103"/>
  <c r="G20" i="102"/>
  <c r="F8" i="115"/>
  <c r="G7" i="115"/>
  <c r="G11" i="104"/>
  <c r="G13" i="104" s="1"/>
  <c r="F15" i="104"/>
  <c r="F23" i="103"/>
  <c r="G8" i="104"/>
  <c r="G10" i="103"/>
  <c r="F17" i="115"/>
  <c r="G21" i="103"/>
  <c r="G26" i="104"/>
  <c r="G23" i="103"/>
  <c r="G15" i="104"/>
  <c r="F26" i="115"/>
  <c r="F7" i="104"/>
  <c r="F22" i="104" s="1"/>
  <c r="F11" i="103"/>
  <c r="F13" i="103" s="1"/>
  <c r="F10" i="104" l="1"/>
  <c r="F21" i="104"/>
  <c r="G26" i="115"/>
  <c r="G21" i="104"/>
  <c r="F26" i="116"/>
  <c r="F23" i="104"/>
  <c r="F15" i="115"/>
  <c r="G15" i="115"/>
  <c r="G23" i="104"/>
  <c r="F17" i="116"/>
  <c r="G10" i="104"/>
  <c r="G8" i="115"/>
  <c r="G7" i="116"/>
  <c r="G11" i="115"/>
  <c r="G13" i="115" s="1"/>
  <c r="G20" i="103"/>
  <c r="G22" i="103"/>
  <c r="G17" i="104"/>
  <c r="F7" i="115"/>
  <c r="F21" i="115" s="1"/>
  <c r="F11" i="104"/>
  <c r="F13" i="104" s="1"/>
  <c r="F20" i="104"/>
  <c r="F8" i="116"/>
  <c r="F11" i="115" l="1"/>
  <c r="F13" i="115" s="1"/>
  <c r="F7" i="116"/>
  <c r="F21" i="116" s="1"/>
  <c r="F26" i="117"/>
  <c r="F10" i="115"/>
  <c r="F20" i="115"/>
  <c r="F8" i="117"/>
  <c r="G17" i="115"/>
  <c r="G20" i="104"/>
  <c r="G22" i="104"/>
  <c r="G7" i="117"/>
  <c r="G11" i="117" s="1"/>
  <c r="G13" i="117" s="1"/>
  <c r="G11" i="116"/>
  <c r="G13" i="116" s="1"/>
  <c r="F17" i="117"/>
  <c r="F23" i="115"/>
  <c r="F15" i="116"/>
  <c r="G23" i="115"/>
  <c r="G15" i="116"/>
  <c r="G10" i="115"/>
  <c r="G8" i="116"/>
  <c r="F22" i="115"/>
  <c r="G21" i="115"/>
  <c r="G26" i="116"/>
  <c r="F10" i="116" l="1"/>
  <c r="F20" i="116"/>
  <c r="F22" i="116"/>
  <c r="G15" i="117"/>
  <c r="G23" i="117" s="1"/>
  <c r="G23" i="116"/>
  <c r="G8" i="117"/>
  <c r="G10" i="117" s="1"/>
  <c r="G10" i="116"/>
  <c r="F15" i="117"/>
  <c r="F23" i="116"/>
  <c r="F7" i="117"/>
  <c r="F11" i="117" s="1"/>
  <c r="F13" i="117" s="1"/>
  <c r="F11" i="116"/>
  <c r="F13" i="116" s="1"/>
  <c r="G26" i="117"/>
  <c r="G21" i="117" s="1"/>
  <c r="G21" i="116"/>
  <c r="G20" i="115"/>
  <c r="G17" i="116"/>
  <c r="G22" i="115"/>
  <c r="F22" i="117" l="1"/>
  <c r="F20" i="117"/>
  <c r="F23" i="117"/>
  <c r="F10" i="117"/>
  <c r="G22" i="116"/>
  <c r="G17" i="117"/>
  <c r="G20" i="116"/>
  <c r="F21" i="117"/>
  <c r="G20" i="117" l="1"/>
  <c r="G22" i="117"/>
</calcChain>
</file>

<file path=xl/sharedStrings.xml><?xml version="1.0" encoding="utf-8"?>
<sst xmlns="http://schemas.openxmlformats.org/spreadsheetml/2006/main" count="2045" uniqueCount="53">
  <si>
    <t>1*10 MW CAPTIVE POWER PLANT</t>
  </si>
  <si>
    <t>Sr. NO.</t>
  </si>
  <si>
    <t xml:space="preserve">Description </t>
  </si>
  <si>
    <t xml:space="preserve">Unit </t>
  </si>
  <si>
    <t xml:space="preserve">Month to Date </t>
  </si>
  <si>
    <t xml:space="preserve">Gross Power Generation  </t>
  </si>
  <si>
    <t>kWhr</t>
  </si>
  <si>
    <t>Auxiliary power consumption</t>
  </si>
  <si>
    <t xml:space="preserve">Net Power Exported </t>
  </si>
  <si>
    <t xml:space="preserve">Auxiliary power consumption </t>
  </si>
  <si>
    <t xml:space="preserve">( % ) </t>
  </si>
  <si>
    <t xml:space="preserve">Average Power Generation </t>
  </si>
  <si>
    <t>MWhr</t>
  </si>
  <si>
    <t xml:space="preserve">Plant Running Hours </t>
  </si>
  <si>
    <t>Hrs</t>
  </si>
  <si>
    <t>PLF</t>
  </si>
  <si>
    <t xml:space="preserve">Feed Water consumption </t>
  </si>
  <si>
    <t>MT</t>
  </si>
  <si>
    <t xml:space="preserve">Boiler Steam Generation  </t>
  </si>
  <si>
    <t>Bleed steam</t>
  </si>
  <si>
    <t>Turbine steam consumption</t>
  </si>
  <si>
    <t xml:space="preserve">Condensate Generation </t>
  </si>
  <si>
    <t>Auxilairy steam consumption</t>
  </si>
  <si>
    <t xml:space="preserve">Specific steam consumption </t>
  </si>
  <si>
    <t>Kg/Kwhr</t>
  </si>
  <si>
    <t xml:space="preserve">Specific fuel consumption </t>
  </si>
  <si>
    <t>Heat Rate(TG)2880</t>
  </si>
  <si>
    <t xml:space="preserve">Kcal/Kwh </t>
  </si>
  <si>
    <t xml:space="preserve">Heat Rate ( Plant ) 3300 @ MCR </t>
  </si>
  <si>
    <t>DG Power Generation</t>
  </si>
  <si>
    <t>FUEL Report</t>
  </si>
  <si>
    <t>Coal Consumption</t>
  </si>
  <si>
    <t>GCV ( ADB )</t>
  </si>
  <si>
    <t>Kcal/kg</t>
  </si>
  <si>
    <t xml:space="preserve">WTP Report </t>
  </si>
  <si>
    <t xml:space="preserve">DM water Generation </t>
  </si>
  <si>
    <t>m3</t>
  </si>
  <si>
    <t>DM water Consumption</t>
  </si>
  <si>
    <r>
      <rPr>
        <sz val="14"/>
        <color theme="1"/>
        <rFont val="Calibri"/>
        <family val="2"/>
        <scheme val="minor"/>
      </rPr>
      <t>m</t>
    </r>
    <r>
      <rPr>
        <vertAlign val="superscript"/>
        <sz val="14"/>
        <color theme="1"/>
        <rFont val="Calibri"/>
        <family val="2"/>
        <scheme val="minor"/>
      </rPr>
      <t>3</t>
    </r>
  </si>
  <si>
    <t>CT Makeup Water Consumption</t>
  </si>
  <si>
    <t>Fly ash combustible/ GCV</t>
  </si>
  <si>
    <t>% / kcal/kg</t>
  </si>
  <si>
    <t>FLY ASH DISPOSAL REPORT</t>
  </si>
  <si>
    <t>nos</t>
  </si>
  <si>
    <t>Fly ash to Dumpyard(Truck)</t>
  </si>
  <si>
    <r>
      <rPr>
        <sz val="14"/>
        <color theme="1"/>
        <rFont val="Calibri"/>
        <family val="2"/>
        <scheme val="minor"/>
      </rPr>
      <t>m</t>
    </r>
    <r>
      <rPr>
        <vertAlign val="superscript"/>
        <sz val="14"/>
        <color theme="1"/>
        <rFont val="Calibri"/>
        <family val="2"/>
        <scheme val="minor"/>
      </rPr>
      <t>2</t>
    </r>
  </si>
  <si>
    <t>Fly ash to cement mill</t>
  </si>
  <si>
    <t>Fly ash to Coal yard(Truck)</t>
  </si>
  <si>
    <t xml:space="preserve">                     1*10 MW CAPTIVE POWER PLANT</t>
  </si>
  <si>
    <t xml:space="preserve"> </t>
  </si>
  <si>
    <t>Fly ash to Coalyard(Truck)</t>
  </si>
  <si>
    <t xml:space="preserve">Daily,Monthly &amp; Yearly Generation Report (FRM-LCL-PP-06) </t>
  </si>
  <si>
    <t xml:space="preserve"> Year to Date(APR2026-MAR2027)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</si>
</sst>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00"/>
    <numFmt numFmtId="166" formatCode="0.0"/>
  </numFmts>
  <fonts count="10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vertAlign val="superscript"/>
      <sz val="14"/>
      <color theme="1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3" borderId="5" xfId="0" applyFont="1" applyFill="1" applyBorder="1"/>
    <xf numFmtId="2" fontId="6" fillId="3" borderId="5" xfId="0" applyNumberFormat="1" applyFont="1" applyFill="1" applyBorder="1"/>
    <xf numFmtId="2" fontId="6" fillId="3" borderId="6" xfId="0" applyNumberFormat="1" applyFont="1" applyFill="1" applyBorder="1"/>
    <xf numFmtId="1" fontId="6" fillId="2" borderId="5" xfId="0" applyNumberFormat="1" applyFont="1" applyFill="1" applyBorder="1"/>
    <xf numFmtId="0" fontId="1" fillId="2" borderId="5" xfId="0" applyFont="1" applyFill="1" applyBorder="1" applyAlignment="1">
      <alignment horizontal="center"/>
    </xf>
    <xf numFmtId="165" fontId="6" fillId="3" borderId="5" xfId="0" applyNumberFormat="1" applyFont="1" applyFill="1" applyBorder="1"/>
    <xf numFmtId="165" fontId="6" fillId="3" borderId="6" xfId="0" applyNumberFormat="1" applyFont="1" applyFill="1" applyBorder="1"/>
    <xf numFmtId="166" fontId="6" fillId="3" borderId="5" xfId="0" applyNumberFormat="1" applyFont="1" applyFill="1" applyBorder="1"/>
    <xf numFmtId="0" fontId="1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1" fontId="6" fillId="2" borderId="8" xfId="0" applyNumberFormat="1" applyFont="1" applyFill="1" applyBorder="1"/>
    <xf numFmtId="1" fontId="6" fillId="0" borderId="8" xfId="0" applyNumberFormat="1" applyFont="1" applyBorder="1"/>
    <xf numFmtId="1" fontId="6" fillId="0" borderId="9" xfId="0" applyNumberFormat="1" applyFont="1" applyBorder="1"/>
    <xf numFmtId="1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right"/>
    </xf>
    <xf numFmtId="0" fontId="6" fillId="0" borderId="8" xfId="0" applyFont="1" applyBorder="1"/>
    <xf numFmtId="0" fontId="6" fillId="0" borderId="9" xfId="0" applyFont="1" applyBorder="1"/>
    <xf numFmtId="0" fontId="1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8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right"/>
    </xf>
    <xf numFmtId="0" fontId="6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" fontId="6" fillId="0" borderId="5" xfId="0" applyNumberFormat="1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9" xfId="0" applyFont="1" applyBorder="1" applyAlignment="1">
      <alignment horizontal="right"/>
    </xf>
    <xf numFmtId="0" fontId="1" fillId="0" borderId="22" xfId="0" applyFont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6" fontId="6" fillId="3" borderId="6" xfId="0" applyNumberFormat="1" applyFont="1" applyFill="1" applyBorder="1"/>
    <xf numFmtId="0" fontId="5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5" fillId="0" borderId="8" xfId="0" applyFont="1" applyBorder="1" applyAlignment="1">
      <alignment horizontal="right"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2" borderId="8" xfId="0" applyFont="1" applyFill="1" applyBorder="1" applyAlignment="1">
      <alignment horizontal="right"/>
    </xf>
    <xf numFmtId="0" fontId="6" fillId="2" borderId="8" xfId="0" applyFont="1" applyFill="1" applyBorder="1"/>
    <xf numFmtId="0" fontId="1" fillId="2" borderId="5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2" xfId="0" applyFont="1" applyBorder="1"/>
    <xf numFmtId="0" fontId="9" fillId="2" borderId="5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614912</xdr:colOff>
      <xdr:row>1</xdr:row>
      <xdr:rowOff>114396</xdr:rowOff>
    </xdr:from>
    <xdr:to>
      <xdr:col>6</xdr:col>
      <xdr:colOff>1815353</xdr:colOff>
      <xdr:row>4</xdr:row>
      <xdr:rowOff>289323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5780" y="507365"/>
          <a:ext cx="1200150" cy="1501140"/>
        </a:xfrm>
        <a:prstGeom prst="rect">
          <a:avLst/>
        </a:prstGeom>
      </xdr:spPr>
    </xdr:pic>
    <xdr:clientData/>
  </xdr:twoCellAnchor>
  <xdr:twoCellAnchor editAs="oneCell">
    <xdr:from>
      <xdr:col>2</xdr:col>
      <xdr:colOff>2680679</xdr:colOff>
      <xdr:row>0</xdr:row>
      <xdr:rowOff>0</xdr:rowOff>
    </xdr:from>
    <xdr:to>
      <xdr:col>5</xdr:col>
      <xdr:colOff>1472127</xdr:colOff>
      <xdr:row>1</xdr:row>
      <xdr:rowOff>95977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110" y="0"/>
          <a:ext cx="4592320" cy="48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582706</xdr:colOff>
      <xdr:row>0</xdr:row>
      <xdr:rowOff>75920</xdr:rowOff>
    </xdr:from>
    <xdr:to>
      <xdr:col>6</xdr:col>
      <xdr:colOff>2061463</xdr:colOff>
      <xdr:row>4</xdr:row>
      <xdr:rowOff>51480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7345" y="7556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2</xdr:col>
      <xdr:colOff>2680679</xdr:colOff>
      <xdr:row>0</xdr:row>
      <xdr:rowOff>390525</xdr:rowOff>
    </xdr:from>
    <xdr:to>
      <xdr:col>5</xdr:col>
      <xdr:colOff>889421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110" y="390525"/>
          <a:ext cx="4590415" cy="4845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1023938</xdr:colOff>
      <xdr:row>0</xdr:row>
      <xdr:rowOff>97631</xdr:rowOff>
    </xdr:from>
    <xdr:to>
      <xdr:col>6</xdr:col>
      <xdr:colOff>2502695</xdr:colOff>
      <xdr:row>4</xdr:row>
      <xdr:rowOff>73191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770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80959</xdr:colOff>
      <xdr:row>0</xdr:row>
      <xdr:rowOff>390525</xdr:rowOff>
    </xdr:from>
    <xdr:to>
      <xdr:col>5</xdr:col>
      <xdr:colOff>1285873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404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1000124</xdr:colOff>
      <xdr:row>0</xdr:row>
      <xdr:rowOff>109538</xdr:rowOff>
    </xdr:from>
    <xdr:to>
      <xdr:col>6</xdr:col>
      <xdr:colOff>2478881</xdr:colOff>
      <xdr:row>4</xdr:row>
      <xdr:rowOff>85098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4590" y="10922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57147</xdr:colOff>
      <xdr:row>0</xdr:row>
      <xdr:rowOff>390525</xdr:rowOff>
    </xdr:from>
    <xdr:to>
      <xdr:col>5</xdr:col>
      <xdr:colOff>1262061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991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940593</xdr:colOff>
      <xdr:row>0</xdr:row>
      <xdr:rowOff>109538</xdr:rowOff>
    </xdr:from>
    <xdr:to>
      <xdr:col>6</xdr:col>
      <xdr:colOff>2419350</xdr:colOff>
      <xdr:row>4</xdr:row>
      <xdr:rowOff>85098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8385" y="10922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57147</xdr:colOff>
      <xdr:row>0</xdr:row>
      <xdr:rowOff>390525</xdr:rowOff>
    </xdr:from>
    <xdr:to>
      <xdr:col>5</xdr:col>
      <xdr:colOff>1262061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276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750093</xdr:colOff>
      <xdr:row>0</xdr:row>
      <xdr:rowOff>0</xdr:rowOff>
    </xdr:from>
    <xdr:to>
      <xdr:col>6</xdr:col>
      <xdr:colOff>2228850</xdr:colOff>
      <xdr:row>4</xdr:row>
      <xdr:rowOff>214313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6410" y="0"/>
          <a:ext cx="1478915" cy="1547495"/>
        </a:xfrm>
        <a:prstGeom prst="rect">
          <a:avLst/>
        </a:prstGeom>
      </xdr:spPr>
    </xdr:pic>
    <xdr:clientData/>
  </xdr:twoCellAnchor>
  <xdr:twoCellAnchor editAs="oneCell">
    <xdr:from>
      <xdr:col>2</xdr:col>
      <xdr:colOff>2819404</xdr:colOff>
      <xdr:row>0</xdr:row>
      <xdr:rowOff>221457</xdr:rowOff>
    </xdr:from>
    <xdr:to>
      <xdr:col>5</xdr:col>
      <xdr:colOff>1059662</xdr:colOff>
      <xdr:row>2</xdr:row>
      <xdr:rowOff>73006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5" y="220980"/>
          <a:ext cx="4592955" cy="4800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928688</xdr:colOff>
      <xdr:row>0</xdr:row>
      <xdr:rowOff>121444</xdr:rowOff>
    </xdr:from>
    <xdr:to>
      <xdr:col>6</xdr:col>
      <xdr:colOff>2407445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3470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45241</xdr:colOff>
      <xdr:row>0</xdr:row>
      <xdr:rowOff>390525</xdr:rowOff>
    </xdr:from>
    <xdr:to>
      <xdr:col>5</xdr:col>
      <xdr:colOff>1250155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848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904875</xdr:colOff>
      <xdr:row>0</xdr:row>
      <xdr:rowOff>145256</xdr:rowOff>
    </xdr:from>
    <xdr:to>
      <xdr:col>6</xdr:col>
      <xdr:colOff>2383632</xdr:colOff>
      <xdr:row>4</xdr:row>
      <xdr:rowOff>120816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300" y="144780"/>
          <a:ext cx="147828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721064</xdr:colOff>
      <xdr:row>1</xdr:row>
      <xdr:rowOff>33337</xdr:rowOff>
    </xdr:from>
    <xdr:to>
      <xdr:col>5</xdr:col>
      <xdr:colOff>1583604</xdr:colOff>
      <xdr:row>2</xdr:row>
      <xdr:rowOff>15548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6085"/>
          <a:ext cx="4243705" cy="4489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156485</xdr:rowOff>
    </xdr:from>
    <xdr:to>
      <xdr:col>6</xdr:col>
      <xdr:colOff>2428874</xdr:colOff>
      <xdr:row>4</xdr:row>
      <xdr:rowOff>61284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980" y="156210"/>
          <a:ext cx="1416685" cy="1624330"/>
        </a:xfrm>
        <a:prstGeom prst="rect">
          <a:avLst/>
        </a:prstGeom>
      </xdr:spPr>
    </xdr:pic>
    <xdr:clientData/>
  </xdr:twoCellAnchor>
  <xdr:twoCellAnchor editAs="oneCell">
    <xdr:from>
      <xdr:col>3</xdr:col>
      <xdr:colOff>88103</xdr:colOff>
      <xdr:row>0</xdr:row>
      <xdr:rowOff>390525</xdr:rowOff>
    </xdr:from>
    <xdr:to>
      <xdr:col>5</xdr:col>
      <xdr:colOff>1293017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340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997325</xdr:colOff>
      <xdr:row>0</xdr:row>
      <xdr:rowOff>31097</xdr:rowOff>
    </xdr:from>
    <xdr:to>
      <xdr:col>6</xdr:col>
      <xdr:colOff>1609307</xdr:colOff>
      <xdr:row>4</xdr:row>
      <xdr:rowOff>6657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3048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4</xdr:col>
      <xdr:colOff>168380</xdr:colOff>
      <xdr:row>1</xdr:row>
      <xdr:rowOff>20731</xdr:rowOff>
    </xdr:from>
    <xdr:to>
      <xdr:col>5</xdr:col>
      <xdr:colOff>2117911</xdr:colOff>
      <xdr:row>2</xdr:row>
      <xdr:rowOff>38267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292" y="412937"/>
          <a:ext cx="4257943" cy="4881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952500</xdr:colOff>
      <xdr:row>0</xdr:row>
      <xdr:rowOff>75921</xdr:rowOff>
    </xdr:from>
    <xdr:to>
      <xdr:col>6</xdr:col>
      <xdr:colOff>2431257</xdr:colOff>
      <xdr:row>4</xdr:row>
      <xdr:rowOff>51481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5" y="75565"/>
          <a:ext cx="147828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15967</xdr:colOff>
      <xdr:row>0</xdr:row>
      <xdr:rowOff>390525</xdr:rowOff>
    </xdr:from>
    <xdr:to>
      <xdr:col>5</xdr:col>
      <xdr:colOff>1218079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600" y="390525"/>
          <a:ext cx="4583430" cy="4845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85725</xdr:rowOff>
    </xdr:from>
    <xdr:to>
      <xdr:col>6</xdr:col>
      <xdr:colOff>2490788</xdr:colOff>
      <xdr:row>4</xdr:row>
      <xdr:rowOff>61285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005" y="8572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97632</xdr:rowOff>
    </xdr:from>
    <xdr:to>
      <xdr:col>6</xdr:col>
      <xdr:colOff>2490788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005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1071562</xdr:colOff>
      <xdr:row>0</xdr:row>
      <xdr:rowOff>204788</xdr:rowOff>
    </xdr:from>
    <xdr:to>
      <xdr:col>6</xdr:col>
      <xdr:colOff>2550319</xdr:colOff>
      <xdr:row>4</xdr:row>
      <xdr:rowOff>180348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9695" y="20447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176207</xdr:colOff>
      <xdr:row>0</xdr:row>
      <xdr:rowOff>390525</xdr:rowOff>
    </xdr:from>
    <xdr:to>
      <xdr:col>5</xdr:col>
      <xdr:colOff>1381121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929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1083469</xdr:colOff>
      <xdr:row>0</xdr:row>
      <xdr:rowOff>278959</xdr:rowOff>
    </xdr:from>
    <xdr:to>
      <xdr:col>6</xdr:col>
      <xdr:colOff>2440781</xdr:colOff>
      <xdr:row>4</xdr:row>
      <xdr:rowOff>59531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278765"/>
          <a:ext cx="1356995" cy="14998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1238249</xdr:colOff>
      <xdr:row>0</xdr:row>
      <xdr:rowOff>385090</xdr:rowOff>
    </xdr:from>
    <xdr:to>
      <xdr:col>6</xdr:col>
      <xdr:colOff>2538412</xdr:colOff>
      <xdr:row>4</xdr:row>
      <xdr:rowOff>156536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6065" y="384810"/>
          <a:ext cx="1300480" cy="14909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1119187</xdr:colOff>
      <xdr:row>0</xdr:row>
      <xdr:rowOff>133350</xdr:rowOff>
    </xdr:from>
    <xdr:to>
      <xdr:col>6</xdr:col>
      <xdr:colOff>2597944</xdr:colOff>
      <xdr:row>4</xdr:row>
      <xdr:rowOff>108910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7320" y="133350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1095374</xdr:colOff>
      <xdr:row>0</xdr:row>
      <xdr:rowOff>157163</xdr:rowOff>
    </xdr:from>
    <xdr:to>
      <xdr:col>6</xdr:col>
      <xdr:colOff>2574131</xdr:colOff>
      <xdr:row>4</xdr:row>
      <xdr:rowOff>132723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1965" y="1568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211925</xdr:colOff>
      <xdr:row>0</xdr:row>
      <xdr:rowOff>390525</xdr:rowOff>
    </xdr:from>
    <xdr:to>
      <xdr:col>4</xdr:col>
      <xdr:colOff>2995268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855" y="390525"/>
          <a:ext cx="4583430" cy="48450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1131093</xdr:colOff>
      <xdr:row>0</xdr:row>
      <xdr:rowOff>157163</xdr:rowOff>
    </xdr:from>
    <xdr:to>
      <xdr:col>6</xdr:col>
      <xdr:colOff>2609850</xdr:colOff>
      <xdr:row>4</xdr:row>
      <xdr:rowOff>132723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9385" y="1568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1083469</xdr:colOff>
      <xdr:row>0</xdr:row>
      <xdr:rowOff>121444</xdr:rowOff>
    </xdr:from>
    <xdr:to>
      <xdr:col>6</xdr:col>
      <xdr:colOff>2562226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176207</xdr:colOff>
      <xdr:row>0</xdr:row>
      <xdr:rowOff>390525</xdr:rowOff>
    </xdr:from>
    <xdr:to>
      <xdr:col>5</xdr:col>
      <xdr:colOff>1381121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929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1035843</xdr:colOff>
      <xdr:row>0</xdr:row>
      <xdr:rowOff>180976</xdr:rowOff>
    </xdr:from>
    <xdr:to>
      <xdr:col>6</xdr:col>
      <xdr:colOff>2514600</xdr:colOff>
      <xdr:row>4</xdr:row>
      <xdr:rowOff>156536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4135" y="18097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0</xdr:row>
      <xdr:rowOff>252413</xdr:rowOff>
    </xdr:from>
    <xdr:to>
      <xdr:col>6</xdr:col>
      <xdr:colOff>2483306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252095"/>
          <a:ext cx="1387475" cy="165798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0</xdr:row>
      <xdr:rowOff>169069</xdr:rowOff>
    </xdr:from>
    <xdr:to>
      <xdr:col>6</xdr:col>
      <xdr:colOff>2621755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168910"/>
          <a:ext cx="1525905" cy="1741170"/>
        </a:xfrm>
        <a:prstGeom prst="rect">
          <a:avLst/>
        </a:prstGeom>
      </xdr:spPr>
    </xdr:pic>
    <xdr:clientData/>
  </xdr:twoCellAnchor>
  <xdr:twoCellAnchor editAs="oneCell">
    <xdr:from>
      <xdr:col>3</xdr:col>
      <xdr:colOff>297655</xdr:colOff>
      <xdr:row>1</xdr:row>
      <xdr:rowOff>24179</xdr:rowOff>
    </xdr:from>
    <xdr:to>
      <xdr:col>5</xdr:col>
      <xdr:colOff>1250155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0580" y="417195"/>
          <a:ext cx="4333875" cy="4578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1083468</xdr:colOff>
      <xdr:row>0</xdr:row>
      <xdr:rowOff>119062</xdr:rowOff>
    </xdr:from>
    <xdr:to>
      <xdr:col>6</xdr:col>
      <xdr:colOff>2562225</xdr:colOff>
      <xdr:row>4</xdr:row>
      <xdr:rowOff>94622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1187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1166812</xdr:colOff>
      <xdr:row>0</xdr:row>
      <xdr:rowOff>121444</xdr:rowOff>
    </xdr:from>
    <xdr:to>
      <xdr:col>6</xdr:col>
      <xdr:colOff>2645569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45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1107280</xdr:colOff>
      <xdr:row>0</xdr:row>
      <xdr:rowOff>192882</xdr:rowOff>
    </xdr:from>
    <xdr:to>
      <xdr:col>6</xdr:col>
      <xdr:colOff>2586037</xdr:colOff>
      <xdr:row>4</xdr:row>
      <xdr:rowOff>168442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5255" y="19240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1166812</xdr:colOff>
      <xdr:row>0</xdr:row>
      <xdr:rowOff>97632</xdr:rowOff>
    </xdr:from>
    <xdr:to>
      <xdr:col>6</xdr:col>
      <xdr:colOff>2645569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45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211925</xdr:colOff>
      <xdr:row>0</xdr:row>
      <xdr:rowOff>390525</xdr:rowOff>
    </xdr:from>
    <xdr:to>
      <xdr:col>5</xdr:col>
      <xdr:colOff>1416839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85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1142999</xdr:colOff>
      <xdr:row>0</xdr:row>
      <xdr:rowOff>145257</xdr:rowOff>
    </xdr:from>
    <xdr:to>
      <xdr:col>6</xdr:col>
      <xdr:colOff>2621756</xdr:colOff>
      <xdr:row>4</xdr:row>
      <xdr:rowOff>120817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0815" y="14478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1309688</xdr:colOff>
      <xdr:row>0</xdr:row>
      <xdr:rowOff>297656</xdr:rowOff>
    </xdr:from>
    <xdr:to>
      <xdr:col>6</xdr:col>
      <xdr:colOff>2609850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7820" y="297180"/>
          <a:ext cx="1300480" cy="1495425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1262062</xdr:colOff>
      <xdr:row>0</xdr:row>
      <xdr:rowOff>226219</xdr:rowOff>
    </xdr:from>
    <xdr:to>
      <xdr:col>6</xdr:col>
      <xdr:colOff>2621755</xdr:colOff>
      <xdr:row>3</xdr:row>
      <xdr:rowOff>358942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0195" y="226060"/>
          <a:ext cx="135953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1333501</xdr:colOff>
      <xdr:row>0</xdr:row>
      <xdr:rowOff>309563</xdr:rowOff>
    </xdr:from>
    <xdr:to>
      <xdr:col>6</xdr:col>
      <xdr:colOff>2657475</xdr:colOff>
      <xdr:row>4</xdr:row>
      <xdr:rowOff>49380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50" y="309245"/>
          <a:ext cx="132397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152395</xdr:colOff>
      <xdr:row>0</xdr:row>
      <xdr:rowOff>390525</xdr:rowOff>
    </xdr:from>
    <xdr:to>
      <xdr:col>5</xdr:col>
      <xdr:colOff>1357309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16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1333501</xdr:colOff>
      <xdr:row>0</xdr:row>
      <xdr:rowOff>309563</xdr:rowOff>
    </xdr:from>
    <xdr:to>
      <xdr:col>6</xdr:col>
      <xdr:colOff>2657475</xdr:colOff>
      <xdr:row>4</xdr:row>
      <xdr:rowOff>49380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50" y="309245"/>
          <a:ext cx="132397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152395</xdr:colOff>
      <xdr:row>0</xdr:row>
      <xdr:rowOff>390525</xdr:rowOff>
    </xdr:from>
    <xdr:to>
      <xdr:col>5</xdr:col>
      <xdr:colOff>1357309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165" y="390525"/>
          <a:ext cx="4586605" cy="484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9"/>
  <sheetViews>
    <sheetView zoomScale="85" zoomScaleNormal="85" workbookViewId="0">
      <pane xSplit="4" ySplit="1" topLeftCell="E2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4.85546875" style="2" customWidth="1"/>
    <col min="5" max="5" width="25.7109375" style="1" customWidth="1"/>
    <col min="6" max="6" width="26.28515625" style="1" customWidth="1"/>
    <col min="7" max="7" width="39.5703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91"/>
      <c r="C5" s="91"/>
      <c r="D5" s="91"/>
      <c r="E5" s="91"/>
      <c r="F5" s="91"/>
      <c r="G5" s="91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v>46203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130600</v>
      </c>
      <c r="F7" s="12">
        <v>5030865</v>
      </c>
      <c r="G7" s="13">
        <v>14319965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17516</v>
      </c>
      <c r="F8" s="12">
        <v>544111</v>
      </c>
      <c r="G8" s="13">
        <v>1602595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v>113084</v>
      </c>
      <c r="F9" s="12">
        <v>4486754</v>
      </c>
      <c r="G9" s="13">
        <v>12717370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v>13.411944869831546</v>
      </c>
      <c r="F10" s="15">
        <v>10.815456188945639</v>
      </c>
      <c r="G10" s="16">
        <v>11.19133321904069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v>5.8044444444444441</v>
      </c>
      <c r="F11" s="15">
        <v>7.0165481171548114</v>
      </c>
      <c r="G11" s="16">
        <v>6.6183989166504906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22.5</v>
      </c>
      <c r="F12" s="12">
        <v>717</v>
      </c>
      <c r="G12" s="13">
        <v>2163.66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v>58.044444444444444</v>
      </c>
      <c r="F13" s="15">
        <v>70.165481171548123</v>
      </c>
      <c r="G13" s="16">
        <v>66.183989166504915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675</v>
      </c>
      <c r="F14" s="12">
        <v>23312</v>
      </c>
      <c r="G14" s="13">
        <v>67000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637</v>
      </c>
      <c r="F15" s="12">
        <v>22524</v>
      </c>
      <c r="G15" s="13">
        <v>64913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21</v>
      </c>
      <c r="F16" s="12">
        <v>1643</v>
      </c>
      <c r="G16" s="13">
        <v>4088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543</v>
      </c>
      <c r="F17" s="12">
        <v>21012</v>
      </c>
      <c r="G17" s="13">
        <v>59626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462</v>
      </c>
      <c r="F18" s="12">
        <v>16678</v>
      </c>
      <c r="G18" s="13">
        <v>47884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v>534</v>
      </c>
      <c r="G19" s="13">
        <v>1615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v>4.1577335375191424</v>
      </c>
      <c r="F20" s="15">
        <v>4.1766177386990107</v>
      </c>
      <c r="G20" s="16">
        <v>4.1638369926183483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v>0.93415007656967841</v>
      </c>
      <c r="F21" s="19">
        <v>0.85233851435091179</v>
      </c>
      <c r="G21" s="20">
        <v>0.87011385851850898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v>2807.343032159265</v>
      </c>
      <c r="F22" s="21">
        <v>2813.7320321654429</v>
      </c>
      <c r="G22" s="21">
        <v>2805.2958229995675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v>4208.3971413986728</v>
      </c>
      <c r="F23" s="21">
        <v>3862.9876235536494</v>
      </c>
      <c r="G23" s="21">
        <v>3911.2014553609552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1468</v>
      </c>
      <c r="F24" s="26">
        <v>1468</v>
      </c>
      <c r="G24" s="27"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122</v>
      </c>
      <c r="F26" s="32">
        <v>4288</v>
      </c>
      <c r="G26" s="33">
        <v>12460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4509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41</v>
      </c>
      <c r="F30" s="32">
        <v>478</v>
      </c>
      <c r="G30" s="33">
        <v>1433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40</v>
      </c>
      <c r="F31" s="12">
        <v>481</v>
      </c>
      <c r="G31" s="13">
        <v>1448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v>646</v>
      </c>
      <c r="G32" s="13">
        <v>1782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20.62</v>
      </c>
      <c r="F33" s="47">
        <v>1421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93" t="s">
        <v>46</v>
      </c>
      <c r="D35" s="94" t="s">
        <v>17</v>
      </c>
      <c r="E35" s="51">
        <v>20</v>
      </c>
      <c r="F35" s="32">
        <v>787</v>
      </c>
      <c r="G35" s="33">
        <v>2158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2</v>
      </c>
      <c r="F36" s="12">
        <v>61</v>
      </c>
      <c r="G36" s="13">
        <v>216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v>0</v>
      </c>
      <c r="G37" s="48"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40"/>
  <sheetViews>
    <sheetView zoomScale="85" zoomScaleNormal="85" workbookViewId="0">
      <pane xSplit="4" ySplit="6" topLeftCell="E34" activePane="bottomRight" state="frozen"/>
      <selection pane="topRight"/>
      <selection pane="bottomLeft"/>
      <selection pane="bottomRight" activeCell="E38" sqref="E3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4.85546875" style="2" customWidth="1"/>
    <col min="5" max="6" width="34.42578125" style="1" customWidth="1"/>
    <col min="7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75" customHeight="1">
      <c r="B6" s="6" t="s">
        <v>1</v>
      </c>
      <c r="C6" s="7" t="s">
        <v>2</v>
      </c>
      <c r="D6" s="7" t="s">
        <v>3</v>
      </c>
      <c r="E6" s="8">
        <f>'0'!E6+1</f>
        <v>46204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129200</v>
      </c>
      <c r="F7" s="12">
        <f>E7</f>
        <v>129200</v>
      </c>
      <c r="G7" s="13">
        <f>E7+'0'!G7</f>
        <v>14449165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17267</v>
      </c>
      <c r="F8" s="12">
        <f t="shared" ref="F8:F9" si="0">E8</f>
        <v>17267</v>
      </c>
      <c r="G8" s="13">
        <f>E8+'0'!G8</f>
        <v>1619862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111933</v>
      </c>
      <c r="F9" s="12">
        <f t="shared" si="0"/>
        <v>111933</v>
      </c>
      <c r="G9" s="13">
        <f>E9+'0'!G9</f>
        <v>12829303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13.36455108359133</v>
      </c>
      <c r="F10" s="15">
        <f>F8/F7*100</f>
        <v>13.36455108359133</v>
      </c>
      <c r="G10" s="16">
        <f>G8/G7*100</f>
        <v>11.210765466378161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5.3833333333333329</v>
      </c>
      <c r="F11" s="15">
        <f>F7/F12/1000</f>
        <v>5.3833333333333329</v>
      </c>
      <c r="G11" s="16">
        <f>G7/G12/1000</f>
        <v>6.6048494738670556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</f>
        <v>24</v>
      </c>
      <c r="G12" s="13">
        <f>E12+'0'!G12</f>
        <v>2187.66</v>
      </c>
    </row>
    <row r="13" spans="1:12" ht="30.75" customHeight="1">
      <c r="B13" s="9">
        <v>6</v>
      </c>
      <c r="C13" s="10" t="s">
        <v>15</v>
      </c>
      <c r="D13" s="11" t="s">
        <v>10</v>
      </c>
      <c r="E13" s="15">
        <f>E11/10*100</f>
        <v>53.833333333333336</v>
      </c>
      <c r="F13" s="15">
        <f>F11/10*100</f>
        <v>53.833333333333336</v>
      </c>
      <c r="G13" s="16">
        <f>G11/10*100</f>
        <v>66.048494738670556</v>
      </c>
    </row>
    <row r="14" spans="1:12" ht="30.75" customHeight="1">
      <c r="B14" s="9">
        <v>7</v>
      </c>
      <c r="C14" s="10" t="s">
        <v>16</v>
      </c>
      <c r="D14" s="11" t="s">
        <v>17</v>
      </c>
      <c r="E14" s="12">
        <v>642</v>
      </c>
      <c r="F14" s="12">
        <f>E14</f>
        <v>642</v>
      </c>
      <c r="G14" s="13">
        <f>E14+'0'!G14</f>
        <v>67642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597</v>
      </c>
      <c r="F15" s="12">
        <f t="shared" ref="F15:F19" si="1">E15</f>
        <v>597</v>
      </c>
      <c r="G15" s="13">
        <f>E15+'0'!G15</f>
        <v>65510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25</v>
      </c>
      <c r="F16" s="12">
        <f t="shared" si="1"/>
        <v>25</v>
      </c>
      <c r="G16" s="13">
        <f>E16+'0'!G16</f>
        <v>4113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539</v>
      </c>
      <c r="F17" s="12">
        <f t="shared" si="1"/>
        <v>539</v>
      </c>
      <c r="G17" s="13">
        <f>E17+'0'!G17</f>
        <v>60165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446</v>
      </c>
      <c r="F18" s="12">
        <f t="shared" si="1"/>
        <v>446</v>
      </c>
      <c r="G18" s="13">
        <f>E18+'0'!G18</f>
        <v>48330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 t="shared" si="1"/>
        <v>17</v>
      </c>
      <c r="G19" s="13">
        <f>E19+'0'!G19</f>
        <v>1632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4.1718266253869967</v>
      </c>
      <c r="F20" s="15">
        <f>F17*1000/F7</f>
        <v>4.1718266253869967</v>
      </c>
      <c r="G20" s="16">
        <f>G17*1000/G7</f>
        <v>4.16390843346311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0.804953560371517</v>
      </c>
      <c r="F21" s="19">
        <f>F26*1000/F7</f>
        <v>0.804953560371517</v>
      </c>
      <c r="G21" s="20">
        <f>G26*1000/G7</f>
        <v>0.86953121512557996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2812.0510835913315</v>
      </c>
      <c r="F22" s="21">
        <f>((F17*(803-130)+F31*(30))*1000)/F7</f>
        <v>2812.0510835913315</v>
      </c>
      <c r="G22" s="78">
        <f>((G17*(803-130)+G31*(30))*1000)/G7</f>
        <v>2805.3562264670659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3986.8718742557753</v>
      </c>
      <c r="F23" s="21">
        <f t="shared" ref="F23:G23" si="2">(F15*(803-130))*1000/(F7*0.78)</f>
        <v>3986.8718742557753</v>
      </c>
      <c r="G23" s="21">
        <f t="shared" si="2"/>
        <v>3911.8780770287963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</f>
        <v>0</v>
      </c>
      <c r="G24" s="13">
        <f>E24+'0'!G24</f>
        <v>1468</v>
      </c>
    </row>
    <row r="25" spans="2:8" ht="30.95" customHeight="1">
      <c r="B25" s="107" t="s">
        <v>30</v>
      </c>
      <c r="C25" s="108"/>
      <c r="D25" s="108"/>
      <c r="E25" s="108"/>
      <c r="F25" s="108"/>
      <c r="G25" s="109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104</v>
      </c>
      <c r="F26" s="32">
        <f>E26</f>
        <v>104</v>
      </c>
      <c r="G26" s="13">
        <f>E26+'0'!G26</f>
        <v>12564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4976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29">
        <v>1</v>
      </c>
      <c r="C30" s="30" t="s">
        <v>35</v>
      </c>
      <c r="D30" s="42" t="s">
        <v>45</v>
      </c>
      <c r="E30" s="32">
        <v>18</v>
      </c>
      <c r="F30" s="32">
        <f>E30</f>
        <v>18</v>
      </c>
      <c r="G30" s="13">
        <f>E30+'0'!G30</f>
        <v>1451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19</v>
      </c>
      <c r="F31" s="12">
        <f t="shared" ref="F31:F32" si="3">E31</f>
        <v>19</v>
      </c>
      <c r="G31" s="13">
        <f>E31+'0'!G31</f>
        <v>1467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 t="shared" si="3"/>
        <v>18</v>
      </c>
      <c r="G32" s="13">
        <f>E32+'0'!G32</f>
        <v>1800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22.88</v>
      </c>
      <c r="F33" s="47">
        <v>1745</v>
      </c>
      <c r="G33" s="48"/>
    </row>
    <row r="34" spans="2:7" ht="30.95" customHeight="1">
      <c r="B34" s="104" t="s">
        <v>42</v>
      </c>
      <c r="C34" s="105"/>
      <c r="D34" s="105"/>
      <c r="E34" s="105"/>
      <c r="F34" s="105"/>
      <c r="G34" s="106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30</v>
      </c>
      <c r="F35" s="32">
        <f>E35</f>
        <v>30</v>
      </c>
      <c r="G35" s="13">
        <f>E35+'0'!G35</f>
        <v>2188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 t="shared" ref="F36:F37" si="4">E36</f>
        <v>0</v>
      </c>
      <c r="G36" s="13">
        <f>E36+'0'!G36</f>
        <v>216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 t="shared" si="4"/>
        <v>0</v>
      </c>
      <c r="G37" s="13">
        <f>E37+'0'!G37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7" orientation="portrait"/>
  <ignoredErrors>
    <ignoredError sqref="F1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40"/>
  <sheetViews>
    <sheetView topLeftCell="B1" zoomScale="80" zoomScaleNormal="80" workbookViewId="0">
      <pane xSplit="3" ySplit="6" topLeftCell="E34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.28515625" style="1" customWidth="1"/>
    <col min="7" max="7" width="39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'1'!E6+1</f>
        <v>46205</v>
      </c>
      <c r="F6" s="42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106300</v>
      </c>
      <c r="F7" s="12">
        <f>E7+'1'!F7</f>
        <v>235500</v>
      </c>
      <c r="G7" s="13">
        <f>E7+'1'!G7</f>
        <v>14555465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16786</v>
      </c>
      <c r="F8" s="12">
        <f>E8+'1'!F8</f>
        <v>34053</v>
      </c>
      <c r="G8" s="13">
        <f>E8+'1'!G8</f>
        <v>1636648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89514</v>
      </c>
      <c r="F9" s="12">
        <f>E9+'1'!F9</f>
        <v>201447</v>
      </c>
      <c r="G9" s="13">
        <f>E9+'1'!G9</f>
        <v>12918817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15.791157102539982</v>
      </c>
      <c r="F10" s="15">
        <f>F8/F7*100</f>
        <v>14.459872611464968</v>
      </c>
      <c r="G10" s="16">
        <f>G8/G7*100</f>
        <v>11.244216519362315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4.4291666666666671</v>
      </c>
      <c r="F11" s="15">
        <f>F7/F12/1000</f>
        <v>4.90625</v>
      </c>
      <c r="G11" s="16">
        <f>G7/G12/1000</f>
        <v>6.5812398831646828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E12+'1'!F12</f>
        <v>48</v>
      </c>
      <c r="G12" s="13">
        <f>E12+'1'!G12</f>
        <v>2211.66</v>
      </c>
    </row>
    <row r="13" spans="1:12" ht="30.95" customHeight="1">
      <c r="B13" s="9">
        <v>7</v>
      </c>
      <c r="C13" s="10" t="s">
        <v>15</v>
      </c>
      <c r="D13" s="11" t="s">
        <v>10</v>
      </c>
      <c r="E13" s="15">
        <f>E11/10*100</f>
        <v>44.291666666666671</v>
      </c>
      <c r="F13" s="15">
        <f>F11/10*100</f>
        <v>49.0625</v>
      </c>
      <c r="G13" s="16">
        <f>G11/10*100</f>
        <v>65.812398831646817</v>
      </c>
    </row>
    <row r="14" spans="1:12" ht="30.95" customHeight="1">
      <c r="B14" s="9">
        <v>8</v>
      </c>
      <c r="C14" s="10" t="s">
        <v>16</v>
      </c>
      <c r="D14" s="11" t="s">
        <v>17</v>
      </c>
      <c r="E14" s="12">
        <v>573</v>
      </c>
      <c r="F14" s="12">
        <f>E14+'1'!F14</f>
        <v>1215</v>
      </c>
      <c r="G14" s="13">
        <f>E14+'1'!G14</f>
        <v>68215</v>
      </c>
    </row>
    <row r="15" spans="1:12" ht="30.95" customHeight="1">
      <c r="B15" s="9">
        <v>9</v>
      </c>
      <c r="C15" s="10" t="s">
        <v>18</v>
      </c>
      <c r="D15" s="11" t="s">
        <v>17</v>
      </c>
      <c r="E15" s="12">
        <v>522</v>
      </c>
      <c r="F15" s="12">
        <f>E15+'1'!F15</f>
        <v>1119</v>
      </c>
      <c r="G15" s="13">
        <f>E15+'1'!G15</f>
        <v>66032</v>
      </c>
    </row>
    <row r="16" spans="1:12" ht="30.95" customHeight="1">
      <c r="B16" s="9">
        <v>10</v>
      </c>
      <c r="C16" s="10" t="s">
        <v>19</v>
      </c>
      <c r="D16" s="90" t="s">
        <v>17</v>
      </c>
      <c r="E16" s="12">
        <v>9</v>
      </c>
      <c r="F16" s="12">
        <f>E16+'1'!F16</f>
        <v>34</v>
      </c>
      <c r="G16" s="13">
        <f>E16+'1'!G16</f>
        <v>4122</v>
      </c>
    </row>
    <row r="17" spans="2:8" ht="30.95" customHeight="1">
      <c r="B17" s="9">
        <v>11</v>
      </c>
      <c r="C17" s="10" t="s">
        <v>20</v>
      </c>
      <c r="D17" s="11" t="s">
        <v>17</v>
      </c>
      <c r="E17" s="12">
        <v>450</v>
      </c>
      <c r="F17" s="12">
        <f>E17+'1'!F17</f>
        <v>989</v>
      </c>
      <c r="G17" s="13">
        <f>E17+'1'!G17</f>
        <v>60615</v>
      </c>
    </row>
    <row r="18" spans="2:8" ht="30.95" customHeight="1">
      <c r="B18" s="9">
        <v>12</v>
      </c>
      <c r="C18" s="10" t="s">
        <v>21</v>
      </c>
      <c r="D18" s="11" t="s">
        <v>17</v>
      </c>
      <c r="E18" s="12">
        <v>393</v>
      </c>
      <c r="F18" s="12">
        <f>E18+'1'!F18</f>
        <v>839</v>
      </c>
      <c r="G18" s="13">
        <f>E18+'1'!G18</f>
        <v>48723</v>
      </c>
    </row>
    <row r="19" spans="2:8" ht="30.95" customHeight="1">
      <c r="B19" s="9">
        <v>13</v>
      </c>
      <c r="C19" s="10" t="s">
        <v>22</v>
      </c>
      <c r="D19" s="18" t="s">
        <v>17</v>
      </c>
      <c r="E19" s="12">
        <v>19</v>
      </c>
      <c r="F19" s="12">
        <f>E19+'1'!F19</f>
        <v>36</v>
      </c>
      <c r="G19" s="13">
        <f>E19+'1'!G19</f>
        <v>1651</v>
      </c>
    </row>
    <row r="20" spans="2:8" ht="30.95" customHeight="1">
      <c r="B20" s="9">
        <v>14</v>
      </c>
      <c r="C20" s="10" t="s">
        <v>23</v>
      </c>
      <c r="D20" s="11" t="s">
        <v>24</v>
      </c>
      <c r="E20" s="15">
        <f>E17*1000/E7</f>
        <v>4.2333019755409218</v>
      </c>
      <c r="F20" s="15">
        <f>F17*1000/F7</f>
        <v>4.1995753715498942</v>
      </c>
      <c r="G20" s="16">
        <f>G17*1000/G7</f>
        <v>4.1644152213618737</v>
      </c>
    </row>
    <row r="21" spans="2:8" ht="30.95" customHeight="1">
      <c r="B21" s="9">
        <v>15</v>
      </c>
      <c r="C21" s="10" t="s">
        <v>25</v>
      </c>
      <c r="D21" s="11" t="s">
        <v>24</v>
      </c>
      <c r="E21" s="19">
        <f>E26*1000/E7</f>
        <v>0.79962370649106307</v>
      </c>
      <c r="F21" s="19">
        <f>F26*1000/F7</f>
        <v>0.80254777070063699</v>
      </c>
      <c r="G21" s="20">
        <f>G26*1000/G7</f>
        <v>0.86902067367823699</v>
      </c>
    </row>
    <row r="22" spans="2:8" ht="30.95" customHeight="1">
      <c r="B22" s="9">
        <v>16</v>
      </c>
      <c r="C22" s="10" t="s">
        <v>26</v>
      </c>
      <c r="D22" s="11" t="s">
        <v>27</v>
      </c>
      <c r="E22" s="21">
        <f>((E17*(803-130)+E31*(30))*1000)/E7</f>
        <v>2853.2455315145812</v>
      </c>
      <c r="F22" s="21">
        <f t="shared" ref="F22:G22" si="0">((F17*(803-130)+F31*(30))*1000)/F7</f>
        <v>2830.6454352441615</v>
      </c>
      <c r="G22" s="21">
        <f t="shared" si="0"/>
        <v>2805.7059667966637</v>
      </c>
    </row>
    <row r="23" spans="2:8" ht="30.95" customHeight="1">
      <c r="B23" s="9">
        <v>17</v>
      </c>
      <c r="C23" s="10" t="s">
        <v>28</v>
      </c>
      <c r="D23" s="11" t="s">
        <v>27</v>
      </c>
      <c r="E23" s="21">
        <f>(E15*(803-130))*1000/(E7*0.78)</f>
        <v>4236.9925464939579</v>
      </c>
      <c r="F23" s="21">
        <f t="shared" ref="F23:G23" si="1">(F15*(803-130))*1000/(F7*0.78)</f>
        <v>4099.7713539114811</v>
      </c>
      <c r="G23" s="21">
        <f t="shared" si="1"/>
        <v>3914.2524201435062</v>
      </c>
    </row>
    <row r="24" spans="2:8" ht="30.95" customHeight="1">
      <c r="B24" s="9">
        <v>18</v>
      </c>
      <c r="C24" s="23" t="s">
        <v>29</v>
      </c>
      <c r="D24" s="24" t="s">
        <v>6</v>
      </c>
      <c r="E24" s="25">
        <v>0</v>
      </c>
      <c r="F24" s="47">
        <f>E24+'1'!F24</f>
        <v>0</v>
      </c>
      <c r="G24" s="48">
        <f>E24+'1'!G24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85</v>
      </c>
      <c r="F26" s="32">
        <f>E26+'1'!F26</f>
        <v>189</v>
      </c>
      <c r="G26" s="33">
        <f>E26+'1'!G26</f>
        <v>12649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5294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14</v>
      </c>
      <c r="F30" s="32">
        <f>E30+'1'!F30</f>
        <v>32</v>
      </c>
      <c r="G30" s="33">
        <f>E30+'1'!G30</f>
        <v>1465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E31+'1'!F31</f>
        <v>34</v>
      </c>
      <c r="G31" s="13">
        <f>E31+'1'!G31</f>
        <v>1482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E32+'1'!F32</f>
        <v>36</v>
      </c>
      <c r="G32" s="13">
        <f>E32+'1'!G32</f>
        <v>1818</v>
      </c>
    </row>
    <row r="33" spans="2:7" ht="30.95" customHeight="1">
      <c r="B33" s="44">
        <v>4</v>
      </c>
      <c r="C33" s="23" t="s">
        <v>40</v>
      </c>
      <c r="D33" s="45" t="s">
        <v>41</v>
      </c>
      <c r="E33" s="47">
        <v>33.67</v>
      </c>
      <c r="F33" s="47">
        <v>2157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20</v>
      </c>
      <c r="F35" s="32">
        <f>E35+'1'!F35</f>
        <v>50</v>
      </c>
      <c r="G35" s="33">
        <f>E35+'1'!G35</f>
        <v>2208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E36+'1'!F36</f>
        <v>0</v>
      </c>
      <c r="G36" s="13">
        <f>E36+'1'!G36</f>
        <v>216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E37+'1'!F37</f>
        <v>0</v>
      </c>
      <c r="G37" s="48">
        <f>E37+'1'!G37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L40"/>
  <sheetViews>
    <sheetView zoomScale="80" zoomScaleNormal="80" workbookViewId="0">
      <pane xSplit="4" ySplit="6" topLeftCell="E34" activePane="bottomRight" state="frozen"/>
      <selection pane="topRight"/>
      <selection pane="bottomLeft"/>
      <selection pane="bottomRight" activeCell="F37" sqref="F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39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'2'!E6+1</f>
        <v>46206</v>
      </c>
      <c r="F6" s="42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183400</v>
      </c>
      <c r="F7" s="12">
        <f>E7+'2'!F7</f>
        <v>418900</v>
      </c>
      <c r="G7" s="13">
        <f>E7+'2'!G7</f>
        <v>14738865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17971</v>
      </c>
      <c r="F8" s="12">
        <f>E8+'2'!F8</f>
        <v>52024</v>
      </c>
      <c r="G8" s="13">
        <f>E8+'2'!G8</f>
        <v>1654619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165429</v>
      </c>
      <c r="F9" s="12">
        <f>E9+'2'!F9</f>
        <v>366876</v>
      </c>
      <c r="G9" s="13">
        <f>E9+'2'!G9</f>
        <v>13084246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9.7988004362050152</v>
      </c>
      <c r="F10" s="15">
        <f>F8/F7*100</f>
        <v>12.4191931248508</v>
      </c>
      <c r="G10" s="16">
        <f>G8/G7*100</f>
        <v>11.226230785070628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7.6416666666666666</v>
      </c>
      <c r="F11" s="15">
        <f>F7/F12/1000</f>
        <v>5.8180555555555555</v>
      </c>
      <c r="G11" s="16">
        <f>G7/G12/1000</f>
        <v>6.5926236547596693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E12+'2'!F12</f>
        <v>72</v>
      </c>
      <c r="G12" s="13">
        <f>E12+'2'!G12</f>
        <v>2235.66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76.416666666666671</v>
      </c>
      <c r="F13" s="15">
        <f>F11/10*100</f>
        <v>58.180555555555557</v>
      </c>
      <c r="G13" s="16">
        <f>G11/10*100</f>
        <v>65.926236547596702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836</v>
      </c>
      <c r="F14" s="12">
        <f>E14+'2'!F14</f>
        <v>2051</v>
      </c>
      <c r="G14" s="13">
        <f>E14+'2'!G14</f>
        <v>69051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820</v>
      </c>
      <c r="F15" s="12">
        <f>E15+'2'!F15</f>
        <v>1939</v>
      </c>
      <c r="G15" s="13">
        <f>E15+'2'!G15</f>
        <v>66852</v>
      </c>
    </row>
    <row r="16" spans="1:12" ht="30.95" customHeight="1">
      <c r="B16" s="9">
        <v>9</v>
      </c>
      <c r="C16" s="10" t="s">
        <v>19</v>
      </c>
      <c r="D16" s="90" t="s">
        <v>17</v>
      </c>
      <c r="E16" s="12">
        <v>53</v>
      </c>
      <c r="F16" s="70">
        <f>E16+'2'!F16</f>
        <v>87</v>
      </c>
      <c r="G16" s="13">
        <f>E16+'2'!G16</f>
        <v>4175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758</v>
      </c>
      <c r="F17" s="12">
        <f>E17+'2'!F17</f>
        <v>1747</v>
      </c>
      <c r="G17" s="13">
        <f>E17+'2'!G17</f>
        <v>61373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595</v>
      </c>
      <c r="F18" s="12">
        <f>E18+'2'!F18</f>
        <v>1434</v>
      </c>
      <c r="G18" s="13">
        <f>E18+'2'!G18</f>
        <v>49318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E19+'2'!F19</f>
        <v>54</v>
      </c>
      <c r="G19" s="13">
        <f>E19+'2'!G19</f>
        <v>1669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4.1330425299890949</v>
      </c>
      <c r="F20" s="15">
        <f>F17*1000/F7</f>
        <v>4.1704464072571019</v>
      </c>
      <c r="G20" s="16">
        <f>G17*1000/G7</f>
        <v>4.1640248418043049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0.83969465648854957</v>
      </c>
      <c r="F21" s="19">
        <f>F26*1000/F7</f>
        <v>0.81881117211745047</v>
      </c>
      <c r="G21" s="20">
        <f>G26*1000/G7</f>
        <v>0.8686557614850261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2783.5005452562705</v>
      </c>
      <c r="F22" s="21">
        <f t="shared" ref="F22:G22" si="0">((F17*(803-130)+F31*(30))*1000)/F7</f>
        <v>2810.0047744091667</v>
      </c>
      <c r="G22" s="21">
        <f t="shared" si="0"/>
        <v>2805.429658253875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3857.7580180633618</v>
      </c>
      <c r="F23" s="21">
        <f t="shared" ref="F23:G23" si="1">(F15*(803-130))*1000/(F7*0.78)</f>
        <v>3993.8146917139516</v>
      </c>
      <c r="G23" s="21">
        <f t="shared" si="1"/>
        <v>3913.5494438056739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E24+'2'!F24</f>
        <v>0</v>
      </c>
      <c r="G24" s="48">
        <f>E24+'2'!G24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154</v>
      </c>
      <c r="F26" s="32">
        <f>E26+'2'!F26</f>
        <v>343</v>
      </c>
      <c r="G26" s="33">
        <f>E26+'2'!G26</f>
        <v>12803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4570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11</v>
      </c>
      <c r="F30" s="32">
        <f>E30+'2'!F30</f>
        <v>43</v>
      </c>
      <c r="G30" s="33">
        <f>E30+'2'!G30</f>
        <v>1476</v>
      </c>
    </row>
    <row r="31" spans="2:8" ht="30.95" customHeight="1">
      <c r="B31" s="34">
        <v>2</v>
      </c>
      <c r="C31" s="10" t="s">
        <v>37</v>
      </c>
      <c r="D31" s="43" t="s">
        <v>38</v>
      </c>
      <c r="E31" s="35">
        <v>12</v>
      </c>
      <c r="F31" s="12">
        <f>E31+'2'!F31</f>
        <v>46</v>
      </c>
      <c r="G31" s="13">
        <f>E31+'2'!G31</f>
        <v>1494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E32+'2'!F32</f>
        <v>54</v>
      </c>
      <c r="G32" s="13">
        <f>E32+'2'!G32</f>
        <v>1836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7">
        <v>1396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54</v>
      </c>
      <c r="F35" s="32">
        <f>E35+'2'!F35</f>
        <v>104</v>
      </c>
      <c r="G35" s="33">
        <f>E35+'2'!G35</f>
        <v>2262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E36+'2'!F36</f>
        <v>0</v>
      </c>
      <c r="G36" s="13">
        <f>E36+'2'!G36</f>
        <v>216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E37+'2'!F37</f>
        <v>0</v>
      </c>
      <c r="G37" s="48">
        <f>E37+'2'!G37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L40"/>
  <sheetViews>
    <sheetView topLeftCell="B1" zoomScale="80" zoomScaleNormal="80" workbookViewId="0">
      <pane xSplit="3" ySplit="6" topLeftCell="E34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6.140625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" style="1" customWidth="1"/>
    <col min="7" max="7" width="39.140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'3'!E6+1</f>
        <v>46207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176500</v>
      </c>
      <c r="F7" s="12">
        <f>E7+'3'!F7</f>
        <v>595400</v>
      </c>
      <c r="G7" s="13">
        <f>E7+'3'!G7</f>
        <v>14915365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17747</v>
      </c>
      <c r="F8" s="12">
        <f>E8+'3'!F8</f>
        <v>69771</v>
      </c>
      <c r="G8" s="13">
        <f>E8+'3'!G8</f>
        <v>1672366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158753</v>
      </c>
      <c r="F9" s="12">
        <f>E9+'3'!F9</f>
        <v>525629</v>
      </c>
      <c r="G9" s="13">
        <f>E9+'3'!G9</f>
        <v>13242999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10.054957507082154</v>
      </c>
      <c r="F10" s="15">
        <f>F8/F7*100</f>
        <v>11.718340611353712</v>
      </c>
      <c r="G10" s="16">
        <f>G8/G7*100</f>
        <v>11.212370599043336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7.354166666666667</v>
      </c>
      <c r="F11" s="15">
        <f>F7/F12/1000</f>
        <v>6.2020833333333334</v>
      </c>
      <c r="G11" s="16">
        <f>G7/G12/1000</f>
        <v>6.6007120540258271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E12+'3'!F12</f>
        <v>96</v>
      </c>
      <c r="G12" s="13">
        <f>E12+'3'!G12</f>
        <v>2259.66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73.541666666666671</v>
      </c>
      <c r="F13" s="15">
        <f>F11/10*100</f>
        <v>62.020833333333336</v>
      </c>
      <c r="G13" s="16">
        <f>G11/10*100</f>
        <v>66.007120540258271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809</v>
      </c>
      <c r="F14" s="12">
        <f>E14+'3'!F14</f>
        <v>2860</v>
      </c>
      <c r="G14" s="13">
        <f>E14+'3'!G14</f>
        <v>69860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785</v>
      </c>
      <c r="F15" s="12">
        <f>E15+'3'!F15</f>
        <v>2724</v>
      </c>
      <c r="G15" s="13">
        <f>E15+'3'!G15</f>
        <v>67637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59</v>
      </c>
      <c r="F16" s="70">
        <f>E16+'3'!F16</f>
        <v>146</v>
      </c>
      <c r="G16" s="13">
        <f>E16+'3'!G16</f>
        <v>4234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735</v>
      </c>
      <c r="F17" s="12">
        <f>E17+'3'!F17</f>
        <v>2482</v>
      </c>
      <c r="G17" s="13">
        <f>E17+'3'!G17</f>
        <v>62108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576</v>
      </c>
      <c r="F18" s="12">
        <f>E18+'3'!F18</f>
        <v>2010</v>
      </c>
      <c r="G18" s="13">
        <f>E18+'3'!G18</f>
        <v>49894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E19+'3'!F19</f>
        <v>71</v>
      </c>
      <c r="G19" s="13">
        <f>E19+'3'!G19</f>
        <v>1686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4.1643059490084982</v>
      </c>
      <c r="F20" s="15">
        <f>F17*1000/F7</f>
        <v>4.1686261336916361</v>
      </c>
      <c r="G20" s="16">
        <f>G17*1000/G7</f>
        <v>4.1640281682680911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0.83852691218130315</v>
      </c>
      <c r="F21" s="19">
        <f>F26*1000/F7</f>
        <v>0.82465569365132685</v>
      </c>
      <c r="G21" s="20">
        <f>G26*1000/G7</f>
        <v>0.86829923370966788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2805.1274787535413</v>
      </c>
      <c r="F22" s="21">
        <f t="shared" ref="F22:G22" si="0">((F17*(803-130)+F31*(30))*1000)/F7</f>
        <v>2808.5589519650657</v>
      </c>
      <c r="G22" s="21">
        <f t="shared" si="0"/>
        <v>2805.4260824324447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3837.4736689184283</v>
      </c>
      <c r="F23" s="21">
        <f t="shared" ref="F23:G23" si="1">(F15*(803-130))*1000/(F7*0.78)</f>
        <v>3947.4690576470894</v>
      </c>
      <c r="G23" s="21">
        <f t="shared" si="1"/>
        <v>3912.6492060798391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E24+'3'!F24</f>
        <v>0</v>
      </c>
      <c r="G24" s="48">
        <f>E24+'3'!G24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148</v>
      </c>
      <c r="F26" s="32">
        <f>E26+'3'!F26</f>
        <v>491</v>
      </c>
      <c r="G26" s="33">
        <f>E26+'3'!G26</f>
        <v>12951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4565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18</v>
      </c>
      <c r="F30" s="32">
        <f>E30+'3'!F30</f>
        <v>61</v>
      </c>
      <c r="G30" s="33">
        <f>E30+'3'!G30</f>
        <v>1494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E31+'3'!F31</f>
        <v>61</v>
      </c>
      <c r="G31" s="13">
        <f>E31+'3'!G31</f>
        <v>1509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E32+'3'!F32</f>
        <v>72</v>
      </c>
      <c r="G32" s="13">
        <f>E32+'3'!G32</f>
        <v>1854</v>
      </c>
    </row>
    <row r="33" spans="2:7" ht="30.95" customHeight="1">
      <c r="B33" s="44">
        <v>4</v>
      </c>
      <c r="C33" s="23" t="s">
        <v>40</v>
      </c>
      <c r="D33" s="45" t="s">
        <v>41</v>
      </c>
      <c r="E33" s="88">
        <v>19</v>
      </c>
      <c r="F33" s="89">
        <v>1363</v>
      </c>
      <c r="G33" s="48"/>
    </row>
    <row r="34" spans="2:7" ht="30.95" customHeight="1">
      <c r="B34" s="95"/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51</v>
      </c>
      <c r="F35" s="32">
        <f>E35+'3'!F35</f>
        <v>155</v>
      </c>
      <c r="G35" s="33">
        <f>E35+'3'!G35</f>
        <v>2313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E36+'3'!F36</f>
        <v>0</v>
      </c>
      <c r="G36" s="13">
        <f>E36+'3'!G36</f>
        <v>216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E37+'3'!F37</f>
        <v>0</v>
      </c>
      <c r="G37" s="48">
        <f>E37+'3'!G37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J15" sqref="J15"/>
    </sheetView>
  </sheetViews>
  <sheetFormatPr defaultColWidth="9.140625" defaultRowHeight="30.95" customHeight="1"/>
  <cols>
    <col min="1" max="1" width="6.140625" style="1" customWidth="1"/>
    <col min="2" max="2" width="11.7109375" style="1" customWidth="1"/>
    <col min="3" max="3" width="46.42578125" style="1" customWidth="1"/>
    <col min="4" max="4" width="16.140625" style="2" customWidth="1"/>
    <col min="5" max="5" width="32.7109375" style="1" customWidth="1"/>
    <col min="6" max="6" width="35.28515625" style="1" customWidth="1"/>
    <col min="7" max="7" width="36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1" spans="1:12" ht="20.25" customHeight="1"/>
    <row r="2" spans="1:12" ht="29.2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29.2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26.2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24.7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'4'!E6+1</f>
        <v>46208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190000</v>
      </c>
      <c r="F7" s="12">
        <f>E7+'4'!F7</f>
        <v>785400</v>
      </c>
      <c r="G7" s="13">
        <f>E7+'4'!G7</f>
        <v>15105365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17950</v>
      </c>
      <c r="F8" s="12">
        <f>E8+'4'!F8</f>
        <v>87721</v>
      </c>
      <c r="G8" s="13">
        <f>E8+'4'!G8</f>
        <v>1690316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172050</v>
      </c>
      <c r="F9" s="12">
        <f>E9+'4'!F9</f>
        <v>697679</v>
      </c>
      <c r="G9" s="13">
        <f>E9+'4'!G9</f>
        <v>13415049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9.4473684210526319</v>
      </c>
      <c r="F10" s="15">
        <f>F8/F7*100</f>
        <v>11.168958492487905</v>
      </c>
      <c r="G10" s="16">
        <f>G8/G7*100</f>
        <v>11.190169850248569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7.916666666666667</v>
      </c>
      <c r="F11" s="15">
        <f>F7/F12/1000</f>
        <v>6.5449999999999999</v>
      </c>
      <c r="G11" s="16">
        <f>G7/G12/1000</f>
        <v>6.6145420071289074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E12+'4'!F12</f>
        <v>120</v>
      </c>
      <c r="G12" s="13">
        <f>E12+'4'!G12</f>
        <v>2283.66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79.166666666666671</v>
      </c>
      <c r="F13" s="15">
        <f>F11/10*100</f>
        <v>65.45</v>
      </c>
      <c r="G13" s="16">
        <f>G11/10*100</f>
        <v>66.145420071289067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857</v>
      </c>
      <c r="F14" s="12">
        <f>E14+'4'!F14</f>
        <v>3717</v>
      </c>
      <c r="G14" s="13">
        <f>E14+'4'!G14</f>
        <v>70717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840</v>
      </c>
      <c r="F15" s="12">
        <f>E15+'4'!F15</f>
        <v>3564</v>
      </c>
      <c r="G15" s="13">
        <f>E15+'4'!G15</f>
        <v>68477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67</v>
      </c>
      <c r="F16" s="70">
        <f>E16+'4'!F16</f>
        <v>213</v>
      </c>
      <c r="G16" s="13">
        <f>E16+'4'!G16</f>
        <v>4301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793</v>
      </c>
      <c r="F17" s="12">
        <f>E17+'4'!F17</f>
        <v>3275</v>
      </c>
      <c r="G17" s="13">
        <f>E17+'4'!G17</f>
        <v>62901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612</v>
      </c>
      <c r="F18" s="12">
        <f>E18+'4'!F18</f>
        <v>2622</v>
      </c>
      <c r="G18" s="13">
        <f>E18+'4'!G18</f>
        <v>50506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E19+'4'!F19</f>
        <v>89</v>
      </c>
      <c r="G19" s="13">
        <f>E19+'4'!G19</f>
        <v>1704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4.1736842105263161</v>
      </c>
      <c r="F20" s="15">
        <f>F17*1000/F7</f>
        <v>4.1698497580850518</v>
      </c>
      <c r="G20" s="16">
        <f>G17*1000/G7</f>
        <v>4.164149624984236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0.84210526315789469</v>
      </c>
      <c r="F21" s="19">
        <f>F26*1000/F7</f>
        <v>0.82887700534759357</v>
      </c>
      <c r="G21" s="20">
        <f>G26*1000/G7</f>
        <v>0.86796975776487362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2810.6263157894737</v>
      </c>
      <c r="F22" s="21">
        <f t="shared" ref="F22:G22" si="0">((F17*(803-130)+F31*(30))*1000)/F7</f>
        <v>2809.0590781767251</v>
      </c>
      <c r="G22" s="21">
        <f t="shared" si="0"/>
        <v>2805.4914925922017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3814.5748987854249</v>
      </c>
      <c r="F23" s="21">
        <f t="shared" ref="F23:G23" si="1">(F15*(803-130))*1000/(F7*0.78)</f>
        <v>3915.3199741435037</v>
      </c>
      <c r="G23" s="21">
        <f t="shared" si="1"/>
        <v>3911.4155968035366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E24+'4'!F24</f>
        <v>0</v>
      </c>
      <c r="G24" s="48">
        <f>E24+'4'!G24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160</v>
      </c>
      <c r="F26" s="32">
        <f>E26+'4'!F26</f>
        <v>651</v>
      </c>
      <c r="G26" s="33">
        <f>E26+'4'!G26</f>
        <v>13111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4525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10</v>
      </c>
      <c r="F30" s="32">
        <f>E30+'4'!F30</f>
        <v>71</v>
      </c>
      <c r="G30" s="33">
        <f>E30+'4'!G30</f>
        <v>1504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11</v>
      </c>
      <c r="F31" s="12">
        <f>E31+'4'!F31</f>
        <v>72</v>
      </c>
      <c r="G31" s="13">
        <f>E31+'4'!G31</f>
        <v>1520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E32+'4'!F32</f>
        <v>90</v>
      </c>
      <c r="G32" s="13">
        <f>E32+'4'!G32</f>
        <v>1872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17</v>
      </c>
      <c r="F33" s="47">
        <v>1261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60</v>
      </c>
      <c r="F35" s="32">
        <f>E35+'4'!F35</f>
        <v>215</v>
      </c>
      <c r="G35" s="33">
        <f>E35+'4'!G35</f>
        <v>2373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E36+'4'!F36</f>
        <v>0</v>
      </c>
      <c r="G36" s="13">
        <f>E36+'4'!G36</f>
        <v>216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E37+'4'!F37</f>
        <v>0</v>
      </c>
      <c r="G37" s="48">
        <f>E37+'4'!G37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L40"/>
  <sheetViews>
    <sheetView zoomScale="80" zoomScaleNormal="80" workbookViewId="0">
      <pane xSplit="4" ySplit="6" topLeftCell="E34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" style="1" customWidth="1"/>
    <col min="7" max="7" width="39.140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'5'!E6+1</f>
        <v>46209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170000</v>
      </c>
      <c r="F7" s="12">
        <f>E7+'5'!F7</f>
        <v>955400</v>
      </c>
      <c r="G7" s="13">
        <f>E7+'5'!G7</f>
        <v>15275365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17602</v>
      </c>
      <c r="F8" s="12">
        <f>E8+'5'!F8</f>
        <v>105323</v>
      </c>
      <c r="G8" s="13">
        <f>E8+'5'!G8</f>
        <v>1707918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152398</v>
      </c>
      <c r="F9" s="12">
        <f>E9+'5'!F9</f>
        <v>850077</v>
      </c>
      <c r="G9" s="13">
        <f>E9+'5'!G9</f>
        <v>13567447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10.354117647058823</v>
      </c>
      <c r="F10" s="15">
        <f>F8/F7*100</f>
        <v>11.023969018212266</v>
      </c>
      <c r="G10" s="16">
        <f>G8/G7*100</f>
        <v>11.180865399942979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7.083333333333333</v>
      </c>
      <c r="F11" s="15">
        <f>F7/F12/1000</f>
        <v>6.6347222222222229</v>
      </c>
      <c r="G11" s="16">
        <f>G7/G12/1000</f>
        <v>6.6194175051784061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E12+'5'!F12</f>
        <v>144</v>
      </c>
      <c r="G12" s="13">
        <f>E12+'5'!G12</f>
        <v>2307.66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70.833333333333329</v>
      </c>
      <c r="F13" s="15">
        <f>F11/10*100</f>
        <v>66.347222222222229</v>
      </c>
      <c r="G13" s="16">
        <f>G11/10*100</f>
        <v>66.194175051784072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780</v>
      </c>
      <c r="F14" s="12">
        <f>E14+'5'!F14</f>
        <v>4497</v>
      </c>
      <c r="G14" s="13">
        <f>E14+'5'!G14</f>
        <v>71497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756</v>
      </c>
      <c r="F15" s="12">
        <f>E15+'5'!F15</f>
        <v>4320</v>
      </c>
      <c r="G15" s="13">
        <f>E15+'5'!G15</f>
        <v>69233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12">
        <f>E16+'5'!F16</f>
        <v>270</v>
      </c>
      <c r="G16" s="13">
        <f>E16+'5'!G16</f>
        <v>4358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715</v>
      </c>
      <c r="F17" s="12">
        <f>E17+'5'!F17</f>
        <v>3990</v>
      </c>
      <c r="G17" s="13">
        <f>E17+'5'!G17</f>
        <v>63616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554</v>
      </c>
      <c r="F18" s="12">
        <f>E18+'5'!F18</f>
        <v>3176</v>
      </c>
      <c r="G18" s="13">
        <f>E18+'5'!G18</f>
        <v>51060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E19+'5'!F19</f>
        <v>107</v>
      </c>
      <c r="G19" s="13">
        <f>E19+'5'!G19</f>
        <v>1722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4.2058823529411766</v>
      </c>
      <c r="F20" s="15">
        <f>F17*1000/F7</f>
        <v>4.1762612518316935</v>
      </c>
      <c r="G20" s="16">
        <f>G17*1000/G7</f>
        <v>4.1646140697783656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0.86470588235294121</v>
      </c>
      <c r="F21" s="19">
        <f>F26*1000/F7</f>
        <v>0.83525225036633866</v>
      </c>
      <c r="G21" s="20">
        <f>G26*1000/G7</f>
        <v>0.86793343399650347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2833.0294117647059</v>
      </c>
      <c r="F22" s="21">
        <f t="shared" ref="F22:G22" si="0">((F17*(803-130)+F31*(30))*1000)/F7</f>
        <v>2813.3242620891774</v>
      </c>
      <c r="G22" s="21">
        <f t="shared" si="0"/>
        <v>2805.7979629291999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3837.0135746606334</v>
      </c>
      <c r="F23" s="21">
        <f t="shared" ref="F23:G23" si="1">(F15*(803-130))*1000/(F7*0.78)</f>
        <v>3901.3864511038469</v>
      </c>
      <c r="G23" s="21">
        <f t="shared" si="1"/>
        <v>3910.5875744443788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47">
        <f>E24+'5'!F24</f>
        <v>0</v>
      </c>
      <c r="G24" s="48">
        <f>E24+'5'!G24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147</v>
      </c>
      <c r="F26" s="32">
        <f>E26+'5'!F26</f>
        <v>798</v>
      </c>
      <c r="G26" s="33">
        <f>E26+'5'!G26</f>
        <v>13258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4414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15</v>
      </c>
      <c r="F30" s="32">
        <f>E30+'5'!F30</f>
        <v>86</v>
      </c>
      <c r="G30" s="33">
        <f>E30+'5'!G30</f>
        <v>1519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E31+'5'!F31</f>
        <v>86</v>
      </c>
      <c r="G31" s="13">
        <f>E31+'5'!G31</f>
        <v>1534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E32+'5'!F32</f>
        <v>108</v>
      </c>
      <c r="G32" s="13">
        <f>E32+'5'!G32</f>
        <v>1890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17</v>
      </c>
      <c r="F33" s="47">
        <v>1258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18</v>
      </c>
      <c r="F35" s="32">
        <f>E35+'5'!F35</f>
        <v>233</v>
      </c>
      <c r="G35" s="33">
        <f>E35+'5'!G35</f>
        <v>2391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E36+'5'!F36</f>
        <v>4</v>
      </c>
      <c r="G36" s="13">
        <f>E36+'5'!G36</f>
        <v>220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E37+'5'!F37</f>
        <v>0</v>
      </c>
      <c r="G37" s="48">
        <f>E37+'5'!G37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L40"/>
  <sheetViews>
    <sheetView topLeftCell="B1" zoomScale="80" zoomScaleNormal="80" workbookViewId="0">
      <pane xSplit="3" ySplit="6" topLeftCell="E34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48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'6'!E6+1</f>
        <v>46210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164100</v>
      </c>
      <c r="F7" s="12">
        <f>E7+'6'!F7</f>
        <v>1119500</v>
      </c>
      <c r="G7" s="13">
        <f>E7+'6'!G7</f>
        <v>15439465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17598</v>
      </c>
      <c r="F8" s="12">
        <f>E8+'6'!F8</f>
        <v>122921</v>
      </c>
      <c r="G8" s="13">
        <f>E8+'6'!G8</f>
        <v>1725516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146502</v>
      </c>
      <c r="F9" s="12">
        <f>E9+'6'!F9</f>
        <v>996579</v>
      </c>
      <c r="G9" s="13">
        <f>E9+'6'!G9</f>
        <v>13713949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10.723948811700183</v>
      </c>
      <c r="F10" s="15">
        <f>F8/F7*100</f>
        <v>10.979991067440823</v>
      </c>
      <c r="G10" s="16">
        <f>G8/G7*100</f>
        <v>11.176009013265679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6.8375000000000004</v>
      </c>
      <c r="F11" s="15">
        <f>F7/F12/1000</f>
        <v>6.6636904761904763</v>
      </c>
      <c r="G11" s="16">
        <f>G7/G12/1000</f>
        <v>6.6216622492130073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E12+'6'!F12</f>
        <v>168</v>
      </c>
      <c r="G12" s="13">
        <f>E12+'6'!G12</f>
        <v>2331.66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68.375000000000014</v>
      </c>
      <c r="F13" s="15">
        <f>F11/10*100</f>
        <v>66.636904761904759</v>
      </c>
      <c r="G13" s="16">
        <f>G11/10*100</f>
        <v>66.216622492130071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756</v>
      </c>
      <c r="F14" s="12">
        <f>E14+'6'!F14</f>
        <v>5253</v>
      </c>
      <c r="G14" s="13">
        <f>E14+'6'!G14</f>
        <v>72253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734</v>
      </c>
      <c r="F15" s="12">
        <f>E15+'6'!F15</f>
        <v>5054</v>
      </c>
      <c r="G15" s="13">
        <f>E15+'6'!G15</f>
        <v>69967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54</v>
      </c>
      <c r="F16" s="12">
        <f>E16+'6'!F16</f>
        <v>324</v>
      </c>
      <c r="G16" s="13">
        <f>E16+'6'!G16</f>
        <v>4412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689</v>
      </c>
      <c r="F17" s="12">
        <f>E17+'6'!F17</f>
        <v>4679</v>
      </c>
      <c r="G17" s="13">
        <f>E17+'6'!G17</f>
        <v>64305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536</v>
      </c>
      <c r="F18" s="12">
        <f>E18+'6'!F18</f>
        <v>3712</v>
      </c>
      <c r="G18" s="13">
        <f>E18+'6'!G18</f>
        <v>51596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E19+'6'!F19</f>
        <v>124</v>
      </c>
      <c r="G19" s="13">
        <f>E19+'6'!G19</f>
        <v>1739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4.1986593540524071</v>
      </c>
      <c r="F20" s="15">
        <f>F17*1000/F7</f>
        <v>4.1795444394819112</v>
      </c>
      <c r="G20" s="16">
        <f>G17*1000/G7</f>
        <v>4.1649759237123822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0.84095063985374774</v>
      </c>
      <c r="F21" s="19">
        <f>F26*1000/F7</f>
        <v>0.83608753907994637</v>
      </c>
      <c r="G21" s="20">
        <f>G26*1000/G7</f>
        <v>0.86764664449189144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2828.0743449116394</v>
      </c>
      <c r="F22" s="21">
        <f t="shared" ref="F22:G22" si="0">((F17*(803-130)+F31*(30))*1000)/F7</f>
        <v>2815.4863778472532</v>
      </c>
      <c r="G22" s="21">
        <f t="shared" si="0"/>
        <v>2806.0347298303404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3859.2946764793201</v>
      </c>
      <c r="F23" s="21">
        <f t="shared" ref="F23:G23" si="1">(F15*(803-130))*1000/(F7*0.78)</f>
        <v>3895.2165000400819</v>
      </c>
      <c r="G23" s="21">
        <f t="shared" si="1"/>
        <v>3910.0424024092035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E24+'6'!F24</f>
        <v>0</v>
      </c>
      <c r="G24" s="48">
        <f>E24+'6'!G24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E26+'6'!F26</f>
        <v>936</v>
      </c>
      <c r="G26" s="33">
        <f>E26+'6'!G26</f>
        <v>13396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4587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/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12</v>
      </c>
      <c r="F30" s="32">
        <f>E30+'6'!F30</f>
        <v>98</v>
      </c>
      <c r="G30" s="33">
        <f>E30+'6'!G30</f>
        <v>1531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E31+'6'!F31</f>
        <v>99</v>
      </c>
      <c r="G31" s="13">
        <f>E31+'6'!G31</f>
        <v>1547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23</v>
      </c>
      <c r="F32" s="12">
        <f>E32+'6'!F32</f>
        <v>131</v>
      </c>
      <c r="G32" s="13">
        <f>E32+'6'!G32</f>
        <v>1913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</v>
      </c>
      <c r="F33" s="46">
        <v>1396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77" t="s">
        <v>17</v>
      </c>
      <c r="E35" s="79">
        <v>47</v>
      </c>
      <c r="F35" s="80">
        <f>E35+'6'!F35</f>
        <v>280</v>
      </c>
      <c r="G35" s="81">
        <f>E35+'6'!G35</f>
        <v>2438</v>
      </c>
    </row>
    <row r="36" spans="2:7" ht="30.95" customHeight="1">
      <c r="B36" s="52">
        <v>6</v>
      </c>
      <c r="C36" s="53" t="s">
        <v>47</v>
      </c>
      <c r="D36" s="54" t="s">
        <v>43</v>
      </c>
      <c r="E36" s="82">
        <v>0</v>
      </c>
      <c r="F36" s="83">
        <f>E36+'6'!F36</f>
        <v>4</v>
      </c>
      <c r="G36" s="84">
        <f>E36+'6'!G36</f>
        <v>220</v>
      </c>
    </row>
    <row r="37" spans="2:7" ht="30.95" customHeight="1">
      <c r="B37" s="44">
        <v>7</v>
      </c>
      <c r="C37" s="56" t="s">
        <v>44</v>
      </c>
      <c r="D37" s="57" t="s">
        <v>43</v>
      </c>
      <c r="E37" s="85">
        <v>0</v>
      </c>
      <c r="F37" s="86">
        <f>E37+'6'!F37</f>
        <v>0</v>
      </c>
      <c r="G37" s="87">
        <f>E37+'6'!G37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L40"/>
  <sheetViews>
    <sheetView topLeftCell="B1" zoomScale="80" zoomScaleNormal="80" workbookViewId="0">
      <pane xSplit="3" ySplit="6" topLeftCell="E33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'7'!E6+1</f>
        <v>46211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158800</v>
      </c>
      <c r="F7" s="12">
        <f>E7+'7'!F7</f>
        <v>1278300</v>
      </c>
      <c r="G7" s="13">
        <f>E7+'7'!G7</f>
        <v>15598265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17416</v>
      </c>
      <c r="F8" s="12">
        <f>E8+'7'!F8</f>
        <v>140337</v>
      </c>
      <c r="G8" s="13">
        <f>E8+'7'!G8</f>
        <v>1742932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141384</v>
      </c>
      <c r="F9" s="12">
        <f>E9+'7'!F9</f>
        <v>1137963</v>
      </c>
      <c r="G9" s="13">
        <f>E9+'7'!G9</f>
        <v>13855333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10.967254408060453</v>
      </c>
      <c r="F10" s="15">
        <f>F8/F7*100</f>
        <v>10.978408824219667</v>
      </c>
      <c r="G10" s="16">
        <f>G8/G7*100</f>
        <v>11.173883762072256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6.6166666666666671</v>
      </c>
      <c r="F11" s="15">
        <f>F7/F12/1000</f>
        <v>6.6578125000000004</v>
      </c>
      <c r="G11" s="16">
        <f>G7/G12/1000</f>
        <v>6.6216113530815148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E12+'7'!F12</f>
        <v>192</v>
      </c>
      <c r="G12" s="13">
        <f>E12+'7'!G12</f>
        <v>2355.66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66.166666666666671</v>
      </c>
      <c r="F13" s="15">
        <f>F11/10*100</f>
        <v>66.578125</v>
      </c>
      <c r="G13" s="16">
        <f>G11/10*100</f>
        <v>66.21611353081515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738</v>
      </c>
      <c r="F14" s="12">
        <f>E14+'7'!F14</f>
        <v>5991</v>
      </c>
      <c r="G14" s="13">
        <f>E14+'7'!G14</f>
        <v>72991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714</v>
      </c>
      <c r="F15" s="12">
        <f>E15+'7'!F15</f>
        <v>5768</v>
      </c>
      <c r="G15" s="13">
        <f>E15+'7'!G15</f>
        <v>70681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42</v>
      </c>
      <c r="F16" s="12">
        <f>E16+'7'!F16</f>
        <v>366</v>
      </c>
      <c r="G16" s="13">
        <f>E16+'7'!G16</f>
        <v>4454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658</v>
      </c>
      <c r="F17" s="12">
        <f>E17+'7'!F17</f>
        <v>5337</v>
      </c>
      <c r="G17" s="13">
        <f>E17+'7'!G17</f>
        <v>64963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533</v>
      </c>
      <c r="F18" s="12">
        <f>E18+'7'!F18</f>
        <v>4245</v>
      </c>
      <c r="G18" s="13">
        <f>E18+'7'!G18</f>
        <v>52129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E19+'7'!F19</f>
        <v>142</v>
      </c>
      <c r="G19" s="13">
        <f>E19+'7'!G19</f>
        <v>1757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4.1435768261964734</v>
      </c>
      <c r="F20" s="15">
        <f>F17*1000/F7</f>
        <v>4.1750762731753106</v>
      </c>
      <c r="G20" s="16">
        <f>G17*1000/G7</f>
        <v>4.1647580676440619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0.83753148614609574</v>
      </c>
      <c r="F21" s="19">
        <f>F26*1000/F7</f>
        <v>0.83626691699913946</v>
      </c>
      <c r="G21" s="20">
        <f>G26*1000/G7</f>
        <v>0.86734005352518373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2791.6498740554157</v>
      </c>
      <c r="F22" s="21">
        <f t="shared" ref="F22:G22" si="0">((F17*(803-130)+F31*(30))*1000)/F7</f>
        <v>2812.5252288195261</v>
      </c>
      <c r="G22" s="21">
        <f t="shared" si="0"/>
        <v>2805.8882830878947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3879.4322805657816</v>
      </c>
      <c r="F23" s="21">
        <f t="shared" ref="F23:G23" si="1">(F15*(803-130))*1000/(F7*0.78)</f>
        <v>3893.2556660789469</v>
      </c>
      <c r="G23" s="21">
        <f t="shared" si="1"/>
        <v>3909.7307724074863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E24+'7'!F24</f>
        <v>0</v>
      </c>
      <c r="G24" s="48">
        <f>E24+'7'!G24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133</v>
      </c>
      <c r="F26" s="32">
        <f>E26+'7'!F26</f>
        <v>1069</v>
      </c>
      <c r="G26" s="33">
        <f>E26+'7'!G26</f>
        <v>13529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4626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17</v>
      </c>
      <c r="F30" s="32">
        <f>E30+'7'!F30</f>
        <v>115</v>
      </c>
      <c r="G30" s="33">
        <f>E30+'7'!G30</f>
        <v>1548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16</v>
      </c>
      <c r="F31" s="12">
        <f>E31+'7'!F31</f>
        <v>115</v>
      </c>
      <c r="G31" s="13">
        <f>E31+'7'!G31</f>
        <v>1563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54</v>
      </c>
      <c r="F32" s="12">
        <f>E32+'7'!F32</f>
        <v>185</v>
      </c>
      <c r="G32" s="13">
        <f>E32+'7'!G32</f>
        <v>1967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</v>
      </c>
      <c r="F33" s="46">
        <v>1387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45</v>
      </c>
      <c r="F35" s="32">
        <f>E35+'7'!F35</f>
        <v>325</v>
      </c>
      <c r="G35" s="33">
        <f>E35+'7'!G35</f>
        <v>2483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E36+'7'!F36</f>
        <v>4</v>
      </c>
      <c r="G36" s="13">
        <f>E36+'7'!G36</f>
        <v>220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E37+'7'!F37</f>
        <v>0</v>
      </c>
      <c r="G37" s="48">
        <f>E37+'7'!G37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40"/>
  <sheetViews>
    <sheetView zoomScale="85" zoomScaleNormal="85" workbookViewId="0">
      <pane xSplit="4" ySplit="6" topLeftCell="E33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6.28515625" style="1" customWidth="1"/>
    <col min="2" max="2" width="10.140625" style="1" customWidth="1"/>
    <col min="3" max="3" width="29.42578125" style="1" customWidth="1"/>
    <col min="4" max="4" width="14.5703125" style="2" customWidth="1"/>
    <col min="5" max="5" width="34.5703125" style="1" customWidth="1"/>
    <col min="6" max="6" width="37.28515625" style="1" customWidth="1"/>
    <col min="7" max="7" width="38.28515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'8'!E6+1</f>
        <v>46212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165600</v>
      </c>
      <c r="F7" s="12">
        <f>E7+'8'!F7</f>
        <v>1443900</v>
      </c>
      <c r="G7" s="13">
        <f>E7+'8'!G7</f>
        <v>15763865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17402</v>
      </c>
      <c r="F8" s="12">
        <f>E8+'8'!F8</f>
        <v>157739</v>
      </c>
      <c r="G8" s="13">
        <f>E8+'8'!G8</f>
        <v>1760334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148198</v>
      </c>
      <c r="F9" s="12">
        <f>E9+'8'!F9</f>
        <v>1286161</v>
      </c>
      <c r="G9" s="13">
        <f>E9+'8'!G9</f>
        <v>14003531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10.508454106280194</v>
      </c>
      <c r="F10" s="15">
        <f>F8/F7*100</f>
        <v>10.924510007618256</v>
      </c>
      <c r="G10" s="16">
        <f>G8/G7*100</f>
        <v>11.166893398287794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6.9</v>
      </c>
      <c r="F11" s="15">
        <f>F7/F12/1000</f>
        <v>6.6847222222222227</v>
      </c>
      <c r="G11" s="16">
        <f>G7/G12/1000</f>
        <v>6.6244190346520098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E12+'8'!F12</f>
        <v>216</v>
      </c>
      <c r="G12" s="13">
        <f>E12+'8'!G12</f>
        <v>2379.66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69</v>
      </c>
      <c r="F13" s="15">
        <f>F11/10*100</f>
        <v>66.847222222222229</v>
      </c>
      <c r="G13" s="16">
        <f>G11/10*100</f>
        <v>66.244190346520099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760</v>
      </c>
      <c r="F14" s="12">
        <f>E14+'8'!F14</f>
        <v>6751</v>
      </c>
      <c r="G14" s="13">
        <f>E14+'8'!G14</f>
        <v>73751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740</v>
      </c>
      <c r="F15" s="12">
        <f>E15+'8'!F15</f>
        <v>6508</v>
      </c>
      <c r="G15" s="13">
        <f>E15+'8'!G15</f>
        <v>71421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50</v>
      </c>
      <c r="F16" s="12">
        <f>E16+'8'!F16</f>
        <v>416</v>
      </c>
      <c r="G16" s="13">
        <f>E16+'8'!G16</f>
        <v>4504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690</v>
      </c>
      <c r="F17" s="12">
        <f>E17+'8'!F17</f>
        <v>6027</v>
      </c>
      <c r="G17" s="13">
        <f>E17+'8'!G17</f>
        <v>65653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547</v>
      </c>
      <c r="F18" s="12">
        <f>E18+'8'!F18</f>
        <v>4792</v>
      </c>
      <c r="G18" s="13">
        <f>E18+'8'!G18</f>
        <v>52676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E19+'8'!F19</f>
        <v>160</v>
      </c>
      <c r="G19" s="13">
        <f>E19+'8'!G19</f>
        <v>1775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4.166666666666667</v>
      </c>
      <c r="F20" s="15">
        <f>F17*1000/F7</f>
        <v>4.1741117805942238</v>
      </c>
      <c r="G20" s="16">
        <f>G17*1000/G7</f>
        <v>4.1647781175492176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0.83937198067632846</v>
      </c>
      <c r="F21" s="19">
        <f>F26*1000/F7</f>
        <v>0.83662303483620748</v>
      </c>
      <c r="G21" s="20">
        <f>G26*1000/G7</f>
        <v>0.86704624785863116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2806.7028985507245</v>
      </c>
      <c r="F22" s="21">
        <f t="shared" ref="F22:G22" si="0">((F17*(803-130)+F31*(30))*1000)/F7</f>
        <v>2811.8574693538335</v>
      </c>
      <c r="G22" s="78">
        <f t="shared" si="0"/>
        <v>2805.8968406542431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3855.5989099467361</v>
      </c>
      <c r="F23" s="21">
        <f t="shared" ref="F23:G23" si="1">(F15*(803-130))*1000/(F7*0.78)</f>
        <v>3888.9368359553278</v>
      </c>
      <c r="G23" s="21">
        <f t="shared" si="1"/>
        <v>3909.1621151382506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E24+'8'!F24</f>
        <v>0</v>
      </c>
      <c r="G24" s="48">
        <f>E24+'8'!G24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139</v>
      </c>
      <c r="F26" s="32">
        <f>E26+'8'!F26</f>
        <v>1208</v>
      </c>
      <c r="G26" s="33">
        <f>E26+'8'!G26</f>
        <v>13668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4592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15</v>
      </c>
      <c r="F30" s="32">
        <f>E30+'8'!F30</f>
        <v>130</v>
      </c>
      <c r="G30" s="33">
        <f>E30+'8'!G30</f>
        <v>1563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E31+'8'!F31</f>
        <v>129</v>
      </c>
      <c r="G31" s="13">
        <f>E31+'8'!G31</f>
        <v>1577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20</v>
      </c>
      <c r="F32" s="12">
        <f>E32+'8'!F32</f>
        <v>205</v>
      </c>
      <c r="G32" s="13">
        <f>E32+'8'!G32</f>
        <v>1987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18.5</v>
      </c>
      <c r="F33" s="46">
        <v>1344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26</v>
      </c>
      <c r="F35" s="32">
        <f>E35+'8'!F35</f>
        <v>351</v>
      </c>
      <c r="G35" s="33">
        <f>E35+'8'!G35</f>
        <v>2509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E36+'8'!F36</f>
        <v>6</v>
      </c>
      <c r="G36" s="13">
        <f>E36+'8'!G36</f>
        <v>222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E37+'8'!F37</f>
        <v>0</v>
      </c>
      <c r="G37" s="48">
        <f>E37+'8'!G37</f>
        <v>0</v>
      </c>
    </row>
    <row r="38" spans="2:7" ht="30.95" customHeight="1">
      <c r="D38" s="1"/>
      <c r="G38" s="1" t="s">
        <v>49</v>
      </c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45" top="0.75" bottom="0.75" header="0.3" footer="0.3"/>
  <pageSetup scale="4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L40"/>
  <sheetViews>
    <sheetView topLeftCell="C1" zoomScale="85" zoomScaleNormal="85" workbookViewId="0">
      <pane xSplit="2" ySplit="6" topLeftCell="E34" activePane="bottomRight" state="frozen"/>
      <selection pane="topRight"/>
      <selection pane="bottomLeft"/>
      <selection pane="bottomRight" activeCell="F32" sqref="F32"/>
    </sheetView>
  </sheetViews>
  <sheetFormatPr defaultColWidth="9.140625" defaultRowHeight="30.95" customHeight="1"/>
  <cols>
    <col min="1" max="1" width="6.7109375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6" width="38.7109375" style="1" customWidth="1"/>
    <col min="7" max="7" width="38.855468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'9'!E6+1</f>
        <v>46213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165400</v>
      </c>
      <c r="F7" s="36">
        <f>E7+'9'!F7</f>
        <v>1609300</v>
      </c>
      <c r="G7" s="13">
        <f>E7+'9'!G7</f>
        <v>15929265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17476</v>
      </c>
      <c r="F8" s="12">
        <f>E8+'9'!F8</f>
        <v>175215</v>
      </c>
      <c r="G8" s="13">
        <f>E8+'9'!G8</f>
        <v>1777810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147924</v>
      </c>
      <c r="F9" s="12">
        <f>E9+'9'!F9</f>
        <v>1434085</v>
      </c>
      <c r="G9" s="13">
        <f>E9+'9'!G9</f>
        <v>14151455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10.565900846432889</v>
      </c>
      <c r="F10" s="15">
        <f>F8/F7*100</f>
        <v>10.88765301683962</v>
      </c>
      <c r="G10" s="16">
        <f>G8/G7*100</f>
        <v>11.160653049591428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6.8916666666666666</v>
      </c>
      <c r="F11" s="15">
        <f>F7/F12/1000</f>
        <v>6.7054166666666672</v>
      </c>
      <c r="G11" s="16">
        <f>G7/G12/1000</f>
        <v>6.627087441651482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E12+'9'!F12</f>
        <v>240</v>
      </c>
      <c r="G12" s="13">
        <f>E12+'9'!G12</f>
        <v>2403.66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68.916666666666671</v>
      </c>
      <c r="F13" s="15">
        <f>F11/10*100</f>
        <v>67.054166666666674</v>
      </c>
      <c r="G13" s="16">
        <f>G11/10*100</f>
        <v>66.270874416514829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755</v>
      </c>
      <c r="F14" s="12">
        <f>E14+'9'!F14</f>
        <v>7506</v>
      </c>
      <c r="G14" s="13">
        <f>E14+'9'!G14</f>
        <v>74506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741</v>
      </c>
      <c r="F15" s="12">
        <f>E15+'9'!F15</f>
        <v>7249</v>
      </c>
      <c r="G15" s="13">
        <f>E15+'9'!G15</f>
        <v>72162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52</v>
      </c>
      <c r="F16" s="70">
        <f>E16+'9'!F16</f>
        <v>468</v>
      </c>
      <c r="G16" s="13">
        <f>E16+'9'!G16</f>
        <v>4556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690</v>
      </c>
      <c r="F17" s="12">
        <f>E17+'9'!F17</f>
        <v>6717</v>
      </c>
      <c r="G17" s="13">
        <f>E17+'9'!G17</f>
        <v>66343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541</v>
      </c>
      <c r="F18" s="12">
        <f>E18+'9'!F18</f>
        <v>5333</v>
      </c>
      <c r="G18" s="13">
        <f>E18+'9'!G18</f>
        <v>53217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E19+'9'!F19</f>
        <v>178</v>
      </c>
      <c r="G19" s="13">
        <f>E19+'9'!G19</f>
        <v>1793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4.1717049576783554</v>
      </c>
      <c r="F20" s="15">
        <f>F17*1000/F7</f>
        <v>4.1738644130988627</v>
      </c>
      <c r="G20" s="16">
        <f>G17*1000/G7</f>
        <v>4.1648500417313672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0.86457073760580416</v>
      </c>
      <c r="F21" s="19">
        <f>F26*1000/F7</f>
        <v>0.83949543279686822</v>
      </c>
      <c r="G21" s="20">
        <f>G26*1000/G7</f>
        <v>0.86702054363462466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2809.9153567110038</v>
      </c>
      <c r="F22" s="21">
        <f t="shared" ref="F22:G22" si="0">((F17*(803-130)+F31*(30))*1000)/F7</f>
        <v>2811.657863667433</v>
      </c>
      <c r="G22" s="78">
        <f t="shared" si="0"/>
        <v>2805.9385665314753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3865.4776299879081</v>
      </c>
      <c r="F23" s="21">
        <f t="shared" ref="F23:G23" si="1">(F15*(803-130))*1000/(F7*0.78)</f>
        <v>3886.5257549468074</v>
      </c>
      <c r="G23" s="21">
        <f t="shared" si="1"/>
        <v>3908.7085214637236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E24+'9'!F24</f>
        <v>0</v>
      </c>
      <c r="G24" s="48">
        <f>E24+'9'!G24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143</v>
      </c>
      <c r="F26" s="32">
        <f>E26+'9'!F26</f>
        <v>1351</v>
      </c>
      <c r="G26" s="33">
        <f>E26+'9'!G26</f>
        <v>13811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4470</v>
      </c>
      <c r="F27" s="36">
        <v>0</v>
      </c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12</v>
      </c>
      <c r="F30" s="32">
        <f>E30+'9'!F30</f>
        <v>142</v>
      </c>
      <c r="G30" s="33">
        <f>E30+'9'!G30</f>
        <v>1575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E31+'9'!F31</f>
        <v>142</v>
      </c>
      <c r="G31" s="13">
        <f>E31+'9'!G31</f>
        <v>1590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21</v>
      </c>
      <c r="F32" s="12">
        <f>E32+'9'!F32</f>
        <v>226</v>
      </c>
      <c r="G32" s="13">
        <f>E32+'9'!G32</f>
        <v>2008</v>
      </c>
    </row>
    <row r="33" spans="2:7" ht="30.95" customHeight="1">
      <c r="B33" s="44">
        <v>4</v>
      </c>
      <c r="C33" s="23" t="s">
        <v>40</v>
      </c>
      <c r="D33" s="45" t="s">
        <v>41</v>
      </c>
      <c r="E33" s="35">
        <v>17</v>
      </c>
      <c r="F33" s="35">
        <v>1320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E35+'9'!F35</f>
        <v>351</v>
      </c>
      <c r="G35" s="33">
        <f>E35+'9'!G35</f>
        <v>2509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E36+'9'!F36</f>
        <v>11</v>
      </c>
      <c r="G36" s="13">
        <f>E36+'9'!G36</f>
        <v>227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E37+'9'!F37</f>
        <v>0</v>
      </c>
      <c r="G37" s="48">
        <f>E37+'9'!G37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45" right="0.45" top="0.75" bottom="0.75" header="0.3" footer="0.3"/>
  <pageSetup scale="5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L40"/>
  <sheetViews>
    <sheetView topLeftCell="C1" zoomScale="80" zoomScaleNormal="80" workbookViewId="0">
      <pane xSplit="2" ySplit="6" topLeftCell="E34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'10'!E6+1</f>
        <v>46214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175400</v>
      </c>
      <c r="F7" s="12">
        <f>E7+'10'!F7</f>
        <v>1784700</v>
      </c>
      <c r="G7" s="13">
        <f>E7+'10'!G7</f>
        <v>16104665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17691</v>
      </c>
      <c r="F8" s="12">
        <f>E8+'10'!F8</f>
        <v>192906</v>
      </c>
      <c r="G8" s="13">
        <f>E8+'10'!G8</f>
        <v>1795501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157709</v>
      </c>
      <c r="F9" s="12">
        <f>E9+'10'!F9</f>
        <v>1591794</v>
      </c>
      <c r="G9" s="13">
        <f>E9+'10'!G9</f>
        <v>14309164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10.086088939566705</v>
      </c>
      <c r="F10" s="15">
        <f>F8/F7*100</f>
        <v>10.808875441250629</v>
      </c>
      <c r="G10" s="16">
        <f>G8/G7*100</f>
        <v>11.148949698736359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7.3083333333333327</v>
      </c>
      <c r="F11" s="15">
        <f>F7/F12/1000</f>
        <v>6.7602272727272732</v>
      </c>
      <c r="G11" s="16">
        <f>G7/G12/1000</f>
        <v>6.6338222815386017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E12+'10'!F12</f>
        <v>264</v>
      </c>
      <c r="G12" s="13">
        <f>E12+'10'!G12</f>
        <v>2427.66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73.083333333333329</v>
      </c>
      <c r="F13" s="15">
        <f>F11/10*100</f>
        <v>67.602272727272734</v>
      </c>
      <c r="G13" s="16">
        <f>G11/10*100</f>
        <v>66.338222815386018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792</v>
      </c>
      <c r="F14" s="12">
        <f>E14+'10'!F14</f>
        <v>8298</v>
      </c>
      <c r="G14" s="13">
        <f>E14+'10'!G14</f>
        <v>75298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776</v>
      </c>
      <c r="F15" s="12">
        <f>E15+'10'!F15</f>
        <v>8025</v>
      </c>
      <c r="G15" s="13">
        <f>E15+'10'!G15</f>
        <v>72938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56</v>
      </c>
      <c r="F16" s="70">
        <f>E16+'10'!F16</f>
        <v>524</v>
      </c>
      <c r="G16" s="13">
        <f>E16+'10'!G16</f>
        <v>4612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727</v>
      </c>
      <c r="F17" s="12">
        <f>E17+'10'!F17</f>
        <v>7444</v>
      </c>
      <c r="G17" s="13">
        <f>E17+'10'!G17</f>
        <v>67070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568</v>
      </c>
      <c r="F18" s="12">
        <f>E18+'10'!F18</f>
        <v>5901</v>
      </c>
      <c r="G18" s="13">
        <f>E18+'10'!G18</f>
        <v>53785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E19+'10'!F19</f>
        <v>195</v>
      </c>
      <c r="G19" s="13">
        <f>E19+'10'!G19</f>
        <v>1810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4.144811858608894</v>
      </c>
      <c r="F20" s="15">
        <f>F17*1000/F7</f>
        <v>4.1710091331876509</v>
      </c>
      <c r="G20" s="16">
        <f>G17*1000/G7</f>
        <v>4.1646318007856733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0.86659064994298751</v>
      </c>
      <c r="F21" s="19">
        <f>F26*1000/F7</f>
        <v>0.84215834594049421</v>
      </c>
      <c r="G21" s="20">
        <f>G26*1000/G7</f>
        <v>0.86701586155315868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2791.8529076396808</v>
      </c>
      <c r="F22" s="21">
        <f t="shared" ref="F22:G22" si="0">((F17*(803-130)+F31*(30))*1000)/F7</f>
        <v>2809.7114360957025</v>
      </c>
      <c r="G22" s="21">
        <f t="shared" si="0"/>
        <v>2805.7851560401909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3817.2674911557465</v>
      </c>
      <c r="F23" s="21">
        <f t="shared" ref="F23:G23" si="1">(F15*(803-130))*1000/(F7*0.78)</f>
        <v>3879.7190650443299</v>
      </c>
      <c r="G23" s="21">
        <f t="shared" si="1"/>
        <v>3907.7126139601514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E24+'10'!F24</f>
        <v>0</v>
      </c>
      <c r="G24" s="48">
        <f>E24+'10'!G24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152</v>
      </c>
      <c r="F26" s="32">
        <f>E26+'10'!F26</f>
        <v>1503</v>
      </c>
      <c r="G26" s="33">
        <f>E26+'10'!G26</f>
        <v>13963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4398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7" t="s">
        <v>34</v>
      </c>
      <c r="C29" s="108"/>
      <c r="D29" s="108"/>
      <c r="E29" s="108"/>
      <c r="F29" s="108"/>
      <c r="G29" s="109"/>
    </row>
    <row r="30" spans="2:8" ht="30.95" customHeight="1">
      <c r="B30" s="74">
        <v>1</v>
      </c>
      <c r="C30" s="75" t="s">
        <v>35</v>
      </c>
      <c r="D30" s="76" t="s">
        <v>38</v>
      </c>
      <c r="E30" s="71">
        <v>16</v>
      </c>
      <c r="F30" s="71">
        <f>E30+'10'!F30</f>
        <v>158</v>
      </c>
      <c r="G30" s="72">
        <f>E30+'10'!G30</f>
        <v>1591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E31+'10'!F31</f>
        <v>156</v>
      </c>
      <c r="G31" s="13">
        <f>E31+'10'!G31</f>
        <v>1604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f>E32+'10'!F32</f>
        <v>243</v>
      </c>
      <c r="G32" s="13">
        <f>E32+'10'!G32</f>
        <v>2025</v>
      </c>
    </row>
    <row r="33" spans="2:7" ht="30.95" customHeight="1">
      <c r="B33" s="44">
        <v>4</v>
      </c>
      <c r="C33" s="23" t="s">
        <v>40</v>
      </c>
      <c r="D33" s="45" t="s">
        <v>41</v>
      </c>
      <c r="E33" s="35">
        <v>17</v>
      </c>
      <c r="F33" s="35">
        <v>1298</v>
      </c>
      <c r="G33" s="73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E35+'10'!F35</f>
        <v>351</v>
      </c>
      <c r="G35" s="33">
        <f>E35+'10'!G35</f>
        <v>2509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E36+'10'!F36</f>
        <v>15</v>
      </c>
      <c r="G36" s="13">
        <f>E36+'10'!G36</f>
        <v>231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E37+'10'!F37</f>
        <v>0</v>
      </c>
      <c r="G37" s="48">
        <f>E37+'10'!G37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L40"/>
  <sheetViews>
    <sheetView topLeftCell="C1" zoomScale="80" zoomScaleNormal="80" workbookViewId="0">
      <pane xSplit="2" ySplit="6" topLeftCell="E34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'11'!E6+1</f>
        <v>46215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172800</v>
      </c>
      <c r="F7" s="12">
        <f>E7+'11'!F7</f>
        <v>1957500</v>
      </c>
      <c r="G7" s="13">
        <f>E7+'11'!G7</f>
        <v>16277465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17568</v>
      </c>
      <c r="F8" s="12">
        <f>E8+'11'!F8</f>
        <v>210474</v>
      </c>
      <c r="G8" s="13">
        <f>E8+'11'!G8</f>
        <v>1813069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155232</v>
      </c>
      <c r="F9" s="12">
        <f>E9+'11'!F9</f>
        <v>1747026</v>
      </c>
      <c r="G9" s="13">
        <f>E9+'11'!G9</f>
        <v>14464396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10.166666666666666</v>
      </c>
      <c r="F10" s="15">
        <f>F8/F7*100</f>
        <v>10.752183908045977</v>
      </c>
      <c r="G10" s="16">
        <f>G8/G7*100</f>
        <v>11.13852187671729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7.2</v>
      </c>
      <c r="F11" s="15">
        <f>F7/F12/1000</f>
        <v>6.796875</v>
      </c>
      <c r="G11" s="16">
        <f>G7/G12/1000</f>
        <v>6.6393647569401963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E12+'11'!F12</f>
        <v>288</v>
      </c>
      <c r="G12" s="13">
        <f>E12+'11'!G12</f>
        <v>2451.66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72</v>
      </c>
      <c r="F13" s="15">
        <f>F11/10*100</f>
        <v>67.96875</v>
      </c>
      <c r="G13" s="16">
        <f>G11/10*100</f>
        <v>66.393647569401963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782</v>
      </c>
      <c r="F14" s="12">
        <f>E14+'11'!F14</f>
        <v>9080</v>
      </c>
      <c r="G14" s="13">
        <f>E14+'11'!G14</f>
        <v>76080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770</v>
      </c>
      <c r="F15" s="12">
        <f>E15+'11'!F15</f>
        <v>8795</v>
      </c>
      <c r="G15" s="13">
        <f>E15+'11'!G15</f>
        <v>73708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56</v>
      </c>
      <c r="F16" s="70">
        <f>E16+'11'!F16</f>
        <v>580</v>
      </c>
      <c r="G16" s="13">
        <f>E16+'11'!G16</f>
        <v>4668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720</v>
      </c>
      <c r="F17" s="12">
        <f>E17+'11'!F17</f>
        <v>8164</v>
      </c>
      <c r="G17" s="13">
        <f>E17+'11'!G17</f>
        <v>67790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561</v>
      </c>
      <c r="F18" s="12">
        <f>E18+'11'!F18</f>
        <v>6462</v>
      </c>
      <c r="G18" s="13">
        <f>E18+'11'!G18</f>
        <v>54346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E19+'11'!F19</f>
        <v>213</v>
      </c>
      <c r="G19" s="13">
        <f>E19+'11'!G19</f>
        <v>1828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4.166666666666667</v>
      </c>
      <c r="F20" s="15">
        <f>F17*1000/F7</f>
        <v>4.1706257982120052</v>
      </c>
      <c r="G20" s="16">
        <f>G17*1000/G7</f>
        <v>4.1646534027257927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0.85648148148148151</v>
      </c>
      <c r="F21" s="19">
        <f>F26*1000/F7</f>
        <v>0.8434227330779055</v>
      </c>
      <c r="G21" s="20">
        <f>G26*1000/G7</f>
        <v>0.86690402958937407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2806.0763888888887</v>
      </c>
      <c r="F22" s="21">
        <f t="shared" ref="F22:G22" si="0">((F17*(803-130)+F31*(30))*1000)/F7</f>
        <v>2809.3905491698597</v>
      </c>
      <c r="G22" s="21">
        <f t="shared" si="0"/>
        <v>2805.7882477400503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3844.7441832858499</v>
      </c>
      <c r="F23" s="21">
        <f t="shared" ref="F23:G23" si="1">(F15*(803-130))*1000/(F7*0.78)</f>
        <v>3876.63162720634</v>
      </c>
      <c r="G23" s="21">
        <f t="shared" si="1"/>
        <v>3907.0441471675322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E24+'11'!F24</f>
        <v>0</v>
      </c>
      <c r="G24" s="48">
        <f>E24+'11'!G24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148</v>
      </c>
      <c r="F26" s="32">
        <f>E26+'11'!F26</f>
        <v>1651</v>
      </c>
      <c r="G26" s="33">
        <f>E26+'11'!G26</f>
        <v>14111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4488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12</v>
      </c>
      <c r="F30" s="32">
        <f>E30+'11'!F30</f>
        <v>170</v>
      </c>
      <c r="G30" s="33">
        <f>E30+'11'!G30</f>
        <v>1603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11</v>
      </c>
      <c r="F31" s="12">
        <f>E31+'11'!F31</f>
        <v>167</v>
      </c>
      <c r="G31" s="13">
        <f>E31+'11'!G31</f>
        <v>1615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17</v>
      </c>
      <c r="F32" s="12">
        <f>E32+'11'!F32</f>
        <v>260</v>
      </c>
      <c r="G32" s="13">
        <f>E32+'11'!G32</f>
        <v>2042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17</v>
      </c>
      <c r="F33" s="46">
        <v>1321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E35+'11'!F35</f>
        <v>351</v>
      </c>
      <c r="G35" s="33">
        <f>E35+'11'!G35</f>
        <v>2509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E36+'11'!F36</f>
        <v>19</v>
      </c>
      <c r="G36" s="13">
        <f>E36+'11'!G36</f>
        <v>235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E37+'11'!F37</f>
        <v>0</v>
      </c>
      <c r="G37" s="48">
        <f>E37+'11'!G37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L40"/>
  <sheetViews>
    <sheetView topLeftCell="C1" zoomScale="85" zoomScaleNormal="85" workbookViewId="0">
      <pane xSplit="2" ySplit="6" topLeftCell="E34" activePane="bottomRight" state="frozen"/>
      <selection pane="topRight"/>
      <selection pane="bottomLeft"/>
      <selection pane="bottomRight" activeCell="E16" sqref="E1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'12'!E6+1</f>
        <v>46216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164500</v>
      </c>
      <c r="F7" s="12">
        <f>E7+'12'!F7</f>
        <v>2122000</v>
      </c>
      <c r="G7" s="13">
        <f>E7+'12'!G7</f>
        <v>16441965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17591</v>
      </c>
      <c r="F8" s="12">
        <f>E8+'12'!F8</f>
        <v>228065</v>
      </c>
      <c r="G8" s="13">
        <f>E8+'12'!G8</f>
        <v>1830660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146909</v>
      </c>
      <c r="F9" s="12">
        <f>E9+'12'!F9</f>
        <v>1893935</v>
      </c>
      <c r="G9" s="13">
        <f>E9+'12'!G9</f>
        <v>14611305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10.693617021276596</v>
      </c>
      <c r="F10" s="15">
        <f>F8/F7*100</f>
        <v>10.747643732327992</v>
      </c>
      <c r="G10" s="16">
        <f>G8/G7*100</f>
        <v>11.134070653963805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6.854166666666667</v>
      </c>
      <c r="F11" s="15">
        <f>F7/F12/1000</f>
        <v>6.801282051282052</v>
      </c>
      <c r="G11" s="16">
        <f>G7/G12/1000</f>
        <v>6.6414471292503823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E12+'12'!F12</f>
        <v>312</v>
      </c>
      <c r="G12" s="13">
        <f>E12+'12'!G12</f>
        <v>2475.66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68.541666666666671</v>
      </c>
      <c r="F13" s="15">
        <f>F11/10*100</f>
        <v>68.012820512820511</v>
      </c>
      <c r="G13" s="16">
        <f>G11/10*100</f>
        <v>66.414471292503819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762</v>
      </c>
      <c r="F14" s="12">
        <f>E14+'12'!F14</f>
        <v>9842</v>
      </c>
      <c r="G14" s="13">
        <f>E14+'12'!G14</f>
        <v>76842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735</v>
      </c>
      <c r="F15" s="12">
        <f>E15+'12'!F15</f>
        <v>9530</v>
      </c>
      <c r="G15" s="13">
        <f>E15+'12'!G15</f>
        <v>74443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52</v>
      </c>
      <c r="F16" s="12">
        <f>E16+'12'!F16</f>
        <v>632</v>
      </c>
      <c r="G16" s="13">
        <f>E16+'12'!G16</f>
        <v>4720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699</v>
      </c>
      <c r="F17" s="12">
        <f>E17+'12'!F17</f>
        <v>8863</v>
      </c>
      <c r="G17" s="13">
        <f>E17+'12'!G17</f>
        <v>68489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547</v>
      </c>
      <c r="F18" s="12">
        <f>E18+'12'!F18</f>
        <v>7009</v>
      </c>
      <c r="G18" s="13">
        <f>E18+'12'!G18</f>
        <v>54893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E19+'12'!F19</f>
        <v>231</v>
      </c>
      <c r="G19" s="13">
        <f>E19+'12'!G19</f>
        <v>1846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4.2492401215805469</v>
      </c>
      <c r="F20" s="15">
        <f>F17*1000/F7</f>
        <v>4.1767200754005653</v>
      </c>
      <c r="G20" s="16">
        <f>G17*1000/G7</f>
        <v>4.1654996832799487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0.86322188449848025</v>
      </c>
      <c r="F21" s="19">
        <f>F26*1000/F7</f>
        <v>0.84495758718190384</v>
      </c>
      <c r="G21" s="20">
        <f>G26*1000/G7</f>
        <v>0.86686719014424374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2862.2917933130698</v>
      </c>
      <c r="F22" s="21">
        <f t="shared" ref="F22:G22" si="0">((F17*(803-130)+F31*(30))*1000)/F7</f>
        <v>2813.4915174363809</v>
      </c>
      <c r="G22" s="21">
        <f t="shared" si="0"/>
        <v>2806.3535593221368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3855.1554828150574</v>
      </c>
      <c r="F23" s="21">
        <f t="shared" ref="F23:G23" si="1">(F15*(803-130))*1000/(F7*0.78)</f>
        <v>3874.9667705841125</v>
      </c>
      <c r="G23" s="21">
        <f t="shared" si="1"/>
        <v>3906.5250069500471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E24+'12'!F24</f>
        <v>0</v>
      </c>
      <c r="G24" s="48">
        <f>E24+'12'!G24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142</v>
      </c>
      <c r="F26" s="32">
        <f>E26+'12'!F26</f>
        <v>1793</v>
      </c>
      <c r="G26" s="33">
        <f>E26+'12'!G26</f>
        <v>14253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4439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14</v>
      </c>
      <c r="F30" s="32">
        <f>E30+'12'!F30</f>
        <v>184</v>
      </c>
      <c r="G30" s="33">
        <f>E30+'12'!G30</f>
        <v>1617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14</v>
      </c>
      <c r="F31" s="12">
        <f>E31+'12'!F31</f>
        <v>181</v>
      </c>
      <c r="G31" s="13">
        <f>E31+'12'!G31</f>
        <v>1629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E32+'12'!F32</f>
        <v>278</v>
      </c>
      <c r="G32" s="13">
        <f>E32+'12'!G32</f>
        <v>2060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18</v>
      </c>
      <c r="F33" s="46">
        <v>1317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/>
      <c r="F35" s="32">
        <f>E35+'12'!F35</f>
        <v>351</v>
      </c>
      <c r="G35" s="33">
        <f>E35+'12'!G35</f>
        <v>2509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E36+'12'!F36</f>
        <v>23</v>
      </c>
      <c r="G36" s="13">
        <f>E36+'12'!G36</f>
        <v>239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E37+'12'!F37</f>
        <v>0</v>
      </c>
      <c r="G37" s="48">
        <f>E37+'12'!G37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L40"/>
  <sheetViews>
    <sheetView topLeftCell="C1" zoomScale="80" zoomScaleNormal="80" workbookViewId="0">
      <pane xSplit="2" ySplit="6" topLeftCell="E34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'13'!E6+1</f>
        <v>46217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178100</v>
      </c>
      <c r="F7" s="12">
        <f>E7+'13'!F7</f>
        <v>2300100</v>
      </c>
      <c r="G7" s="13">
        <f>E7+'13'!G7</f>
        <v>16620065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17829</v>
      </c>
      <c r="F8" s="12">
        <f>E8+'13'!F8</f>
        <v>245894</v>
      </c>
      <c r="G8" s="13">
        <f>E8+'13'!G8</f>
        <v>1848489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160271</v>
      </c>
      <c r="F9" s="12">
        <f>E9+'13'!F9</f>
        <v>2054206</v>
      </c>
      <c r="G9" s="13">
        <f>E9+'13'!G9</f>
        <v>14771576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10.010668163952834</v>
      </c>
      <c r="F10" s="15">
        <f>F8/F7*100</f>
        <v>10.690578670492586</v>
      </c>
      <c r="G10" s="16">
        <f>G8/G7*100</f>
        <v>11.122032314554726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7.4208333333333334</v>
      </c>
      <c r="F11" s="15">
        <f>F7/F12/1000</f>
        <v>6.8455357142857149</v>
      </c>
      <c r="G11" s="16">
        <f>G7/G12/1000</f>
        <v>6.6489302545146147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E12+'13'!F12</f>
        <v>336</v>
      </c>
      <c r="G12" s="13">
        <f>E12+'13'!G12</f>
        <v>2499.66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74.208333333333329</v>
      </c>
      <c r="F13" s="15">
        <f>F11/10*100</f>
        <v>68.455357142857153</v>
      </c>
      <c r="G13" s="16">
        <f>G11/10*100</f>
        <v>66.489302545146145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811</v>
      </c>
      <c r="F14" s="12">
        <f>E14+'13'!F14</f>
        <v>10653</v>
      </c>
      <c r="G14" s="13">
        <f>E14+'13'!G14</f>
        <v>77653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792</v>
      </c>
      <c r="F15" s="12">
        <f>E15+'13'!F15</f>
        <v>10322</v>
      </c>
      <c r="G15" s="13">
        <f>E15+'13'!G15</f>
        <v>75235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59</v>
      </c>
      <c r="F16" s="12">
        <f>E16+'13'!F16</f>
        <v>691</v>
      </c>
      <c r="G16" s="13">
        <f>E16+'13'!G16</f>
        <v>4779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741</v>
      </c>
      <c r="F17" s="12">
        <f>E17+'13'!F17</f>
        <v>9604</v>
      </c>
      <c r="G17" s="13">
        <f>E17+'13'!G17</f>
        <v>69230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583</v>
      </c>
      <c r="F18" s="12">
        <f>E18+'13'!F18</f>
        <v>7592</v>
      </c>
      <c r="G18" s="13">
        <f>E18+'13'!G18</f>
        <v>55476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E19+'13'!F19</f>
        <v>249</v>
      </c>
      <c r="G19" s="13">
        <f>E19+'13'!G19</f>
        <v>1864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4.1605839416058394</v>
      </c>
      <c r="F20" s="15">
        <f>F17*1000/F7</f>
        <v>4.175470631711665</v>
      </c>
      <c r="G20" s="16">
        <f>G17*1000/G7</f>
        <v>4.1654470063745235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0.85345311622683884</v>
      </c>
      <c r="F21" s="19">
        <f>F26*1000/F7</f>
        <v>0.84561540802573798</v>
      </c>
      <c r="G21" s="20">
        <f>G26*1000/G7</f>
        <v>0.86672344542575497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2802.4312184166197</v>
      </c>
      <c r="F22" s="21">
        <f t="shared" ref="F22:G22" si="0">((F17*(803-130)+F31*(30))*1000)/F7</f>
        <v>2812.6351028216163</v>
      </c>
      <c r="G22" s="21">
        <f t="shared" si="0"/>
        <v>2806.3115276624972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3836.9109834578671</v>
      </c>
      <c r="F23" s="21">
        <f t="shared" ref="F23:G23" si="1">(F15*(803-130))*1000/(F7*0.78)</f>
        <v>3872.0200570989668</v>
      </c>
      <c r="G23" s="21">
        <f t="shared" si="1"/>
        <v>3905.7790256567155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E24+'13'!F24</f>
        <v>0</v>
      </c>
      <c r="G24" s="48">
        <f>E24+'13'!G24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152</v>
      </c>
      <c r="F26" s="32">
        <f>E26+'13'!F26</f>
        <v>1945</v>
      </c>
      <c r="G26" s="33">
        <f>E26+'13'!G26</f>
        <v>14405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4494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13</v>
      </c>
      <c r="F30" s="32">
        <f>E30+'13'!F30</f>
        <v>197</v>
      </c>
      <c r="G30" s="33">
        <f>E30+'13'!G30</f>
        <v>1630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14</v>
      </c>
      <c r="F31" s="12">
        <f>E31+'13'!F31</f>
        <v>195</v>
      </c>
      <c r="G31" s="13">
        <f>E31+'13'!G31</f>
        <v>1643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17</v>
      </c>
      <c r="F32" s="12">
        <f>E32+'13'!F32</f>
        <v>295</v>
      </c>
      <c r="G32" s="13">
        <f>E32+'13'!G32</f>
        <v>2077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17.75</v>
      </c>
      <c r="F33" s="46">
        <v>1330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E35+'13'!F35</f>
        <v>351</v>
      </c>
      <c r="G35" s="33">
        <f>E35+'13'!G35</f>
        <v>2509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E36+'13'!F36</f>
        <v>27</v>
      </c>
      <c r="G36" s="13">
        <f>E36+'13'!G36</f>
        <v>243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E37+'13'!F37</f>
        <v>0</v>
      </c>
      <c r="G37" s="48">
        <f>E37+'13'!G37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L40"/>
  <sheetViews>
    <sheetView topLeftCell="C1" zoomScale="80" zoomScaleNormal="80" workbookViewId="0">
      <pane xSplit="2" ySplit="6" topLeftCell="E31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'14'!E6+1</f>
        <v>46218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184200</v>
      </c>
      <c r="F7" s="12">
        <f>E7+'14'!F7</f>
        <v>2484300</v>
      </c>
      <c r="G7" s="13">
        <f>E7+'14'!G7</f>
        <v>16804265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18146</v>
      </c>
      <c r="F8" s="12">
        <f>E8+'14'!F8</f>
        <v>264040</v>
      </c>
      <c r="G8" s="13">
        <f>E8+'14'!G8</f>
        <v>1866635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166054</v>
      </c>
      <c r="F9" s="12">
        <f>E9+'14'!F9</f>
        <v>2220260</v>
      </c>
      <c r="G9" s="13">
        <f>E9+'14'!G9</f>
        <v>14937630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9.8512486427795878</v>
      </c>
      <c r="F10" s="15">
        <f>F8/F7*100</f>
        <v>10.628346012961398</v>
      </c>
      <c r="G10" s="16">
        <f>G8/G7*100</f>
        <v>11.108102615615739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7.6749999999999998</v>
      </c>
      <c r="F11" s="15">
        <f>F7/F12/1000</f>
        <v>6.9008333333333329</v>
      </c>
      <c r="G11" s="16">
        <f>G7/G12/1000</f>
        <v>6.6586881751107523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E12+'14'!F12</f>
        <v>360</v>
      </c>
      <c r="G12" s="13">
        <f>E12+'14'!G12</f>
        <v>2523.66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76.75</v>
      </c>
      <c r="F13" s="15">
        <f>F11/10*100</f>
        <v>69.008333333333326</v>
      </c>
      <c r="G13" s="16">
        <f>G11/10*100</f>
        <v>66.586881751107512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832</v>
      </c>
      <c r="F14" s="12">
        <f>E14+'14'!F14</f>
        <v>11485</v>
      </c>
      <c r="G14" s="13">
        <f>E14+'14'!G14</f>
        <v>78485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816</v>
      </c>
      <c r="F15" s="12">
        <f>E15+'14'!F15</f>
        <v>11138</v>
      </c>
      <c r="G15" s="13">
        <f>E15+'14'!G15</f>
        <v>76051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60</v>
      </c>
      <c r="F16" s="12">
        <f>E16+'14'!F16</f>
        <v>751</v>
      </c>
      <c r="G16" s="13">
        <f>E16+'14'!G16</f>
        <v>4839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766</v>
      </c>
      <c r="F17" s="12">
        <f>E17+'14'!F17</f>
        <v>10370</v>
      </c>
      <c r="G17" s="13">
        <f>E17+'14'!G17</f>
        <v>69996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600</v>
      </c>
      <c r="F18" s="12">
        <f>E18+'14'!F18</f>
        <v>8192</v>
      </c>
      <c r="G18" s="13">
        <f>E18+'14'!G18</f>
        <v>56076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E19+'14'!F19</f>
        <v>267</v>
      </c>
      <c r="G19" s="13">
        <f>E19+'14'!G19</f>
        <v>1882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4.1585233441910967</v>
      </c>
      <c r="F20" s="15">
        <f>F17*1000/F7</f>
        <v>4.1742140643239543</v>
      </c>
      <c r="G20" s="16">
        <f>G17*1000/G7</f>
        <v>4.1653711126312283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0.84147665580890341</v>
      </c>
      <c r="F21" s="19">
        <f>F26*1000/F7</f>
        <v>0.84530853761622993</v>
      </c>
      <c r="G21" s="20">
        <f>G26*1000/G7</f>
        <v>0.86644670266744783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2800.6406080347447</v>
      </c>
      <c r="F22" s="21">
        <f t="shared" ref="F22:G22" si="0">((F17*(803-130)+F31*(30))*1000)/F7</f>
        <v>2811.7457633941149</v>
      </c>
      <c r="G22" s="21">
        <f t="shared" si="0"/>
        <v>2806.249365860393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3822.266766892174</v>
      </c>
      <c r="F23" s="21">
        <f t="shared" ref="F23:G23" si="1">(F15*(803-130))*1000/(F7*0.78)</f>
        <v>3868.3310678238827</v>
      </c>
      <c r="G23" s="21">
        <f t="shared" si="1"/>
        <v>3904.8636057877457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E24+'14'!F24</f>
        <v>0</v>
      </c>
      <c r="G24" s="48">
        <f>E24+'14'!G24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155</v>
      </c>
      <c r="F26" s="32">
        <f>E26+'14'!F26</f>
        <v>2100</v>
      </c>
      <c r="G26" s="33">
        <f>E26+'14'!G26</f>
        <v>14560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4542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12</v>
      </c>
      <c r="F30" s="32">
        <f>E30+'14'!F30</f>
        <v>209</v>
      </c>
      <c r="G30" s="33">
        <f>E30+'14'!G30</f>
        <v>1642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12</v>
      </c>
      <c r="F31" s="12">
        <f>E31+'14'!F31</f>
        <v>207</v>
      </c>
      <c r="G31" s="13">
        <f>E31+'14'!G31</f>
        <v>1655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E32+'14'!F32</f>
        <v>313</v>
      </c>
      <c r="G32" s="13">
        <f>E32+'14'!G32</f>
        <v>2095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16.8</v>
      </c>
      <c r="F33" s="46">
        <v>1280</v>
      </c>
      <c r="G33" s="73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E35+'14'!F35</f>
        <v>351</v>
      </c>
      <c r="G35" s="33">
        <f>E35+'14'!G35</f>
        <v>2509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E36+'14'!F36</f>
        <v>32</v>
      </c>
      <c r="G36" s="13">
        <f>E36+'14'!G36</f>
        <v>248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E37+'14'!F37</f>
        <v>0</v>
      </c>
      <c r="G37" s="48">
        <f>E37+'14'!G37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L40"/>
  <sheetViews>
    <sheetView topLeftCell="C1" zoomScale="80" zoomScaleNormal="80" workbookViewId="0">
      <pane xSplit="2" ySplit="6" topLeftCell="E34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'15'!E6+1</f>
        <v>46219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181700</v>
      </c>
      <c r="F7" s="12">
        <f>E7+'15'!F7</f>
        <v>2666000</v>
      </c>
      <c r="G7" s="13">
        <f>E7+'15'!G7</f>
        <v>16985965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17979</v>
      </c>
      <c r="F8" s="12">
        <f>E8+'15'!F8</f>
        <v>282019</v>
      </c>
      <c r="G8" s="13">
        <f>E8+'15'!G8</f>
        <v>1884614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163721</v>
      </c>
      <c r="F9" s="12">
        <f>E9+'15'!F9</f>
        <v>2383981</v>
      </c>
      <c r="G9" s="13">
        <f>E9+'15'!G9</f>
        <v>15101351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9.8948816730875055</v>
      </c>
      <c r="F10" s="15">
        <f>F8/F7*100</f>
        <v>10.578357089272318</v>
      </c>
      <c r="G10" s="16">
        <f>G8/G7*100</f>
        <v>11.095124710312309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7.5708333333333329</v>
      </c>
      <c r="F11" s="15">
        <f>F7/F12/1000</f>
        <v>6.942708333333333</v>
      </c>
      <c r="G11" s="16">
        <f>G7/G12/1000</f>
        <v>6.6672809558575326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E12+'15'!F12</f>
        <v>384</v>
      </c>
      <c r="G12" s="13">
        <f>E12+'15'!G12</f>
        <v>2547.66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75.708333333333329</v>
      </c>
      <c r="F13" s="15">
        <f>F11/10*100</f>
        <v>69.427083333333329</v>
      </c>
      <c r="G13" s="16">
        <f>G11/10*100</f>
        <v>66.672809558575324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822</v>
      </c>
      <c r="F14" s="12">
        <f>E14+'15'!F14</f>
        <v>12307</v>
      </c>
      <c r="G14" s="13">
        <f>E14+'15'!G14</f>
        <v>79307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804</v>
      </c>
      <c r="F15" s="12">
        <f>E15+'15'!F15</f>
        <v>11942</v>
      </c>
      <c r="G15" s="13">
        <f>E15+'15'!G15</f>
        <v>76855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60</v>
      </c>
      <c r="F16" s="70">
        <f>E16+'15'!F16</f>
        <v>811</v>
      </c>
      <c r="G16" s="13">
        <f>E16+'15'!G16</f>
        <v>4899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760</v>
      </c>
      <c r="F17" s="12">
        <f>E17+'15'!F17</f>
        <v>11130</v>
      </c>
      <c r="G17" s="13">
        <f>E17+'15'!G17</f>
        <v>70756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591</v>
      </c>
      <c r="F18" s="12">
        <f>E18+'15'!F18</f>
        <v>8783</v>
      </c>
      <c r="G18" s="13">
        <f>E18+'15'!G18</f>
        <v>56667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E19+'15'!F19</f>
        <v>285</v>
      </c>
      <c r="G19" s="13">
        <f>E19+'15'!G19</f>
        <v>1900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4.1827187671986792</v>
      </c>
      <c r="F20" s="15">
        <f>F17*1000/F7</f>
        <v>4.1747936984246063</v>
      </c>
      <c r="G20" s="16">
        <f>G17*1000/G7</f>
        <v>4.1655566816486438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0.87506879471656573</v>
      </c>
      <c r="F21" s="19">
        <f>F26*1000/F7</f>
        <v>0.8473368342085521</v>
      </c>
      <c r="G21" s="20">
        <f>G26*1000/G7</f>
        <v>0.86653893376090196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2816.9510181618052</v>
      </c>
      <c r="F22" s="21">
        <f t="shared" ref="F22:G22" si="0">((F17*(803-130)+F31*(30))*1000)/F7</f>
        <v>2812.1005251312827</v>
      </c>
      <c r="G22" s="21">
        <f t="shared" si="0"/>
        <v>2806.3638421485034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3817.8739257440411</v>
      </c>
      <c r="F23" s="21">
        <f t="shared" ref="F23:G23" si="1">(F15*(803-130))*1000/(F7*0.78)</f>
        <v>3864.8921845846075</v>
      </c>
      <c r="G23" s="21">
        <f t="shared" si="1"/>
        <v>3903.93307138102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E24+'15'!F24</f>
        <v>0</v>
      </c>
      <c r="G24" s="48">
        <f>E24+'15'!G24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159</v>
      </c>
      <c r="F26" s="32">
        <f>E26+'15'!F26</f>
        <v>2259</v>
      </c>
      <c r="G26" s="33">
        <f>E26+'15'!G26</f>
        <v>14719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4355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12</v>
      </c>
      <c r="F30" s="32">
        <f>E30+'15'!F30</f>
        <v>221</v>
      </c>
      <c r="G30" s="33">
        <f>E30+'15'!G30</f>
        <v>1654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12</v>
      </c>
      <c r="F31" s="12">
        <f>E31+'15'!F31</f>
        <v>219</v>
      </c>
      <c r="G31" s="13">
        <f>E31+'15'!G31</f>
        <v>1667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E32+'15'!F32</f>
        <v>331</v>
      </c>
      <c r="G32" s="13">
        <f>E32+'15'!G32</f>
        <v>2113</v>
      </c>
    </row>
    <row r="33" spans="2:7" ht="30.95" customHeight="1">
      <c r="B33" s="67">
        <v>4</v>
      </c>
      <c r="C33" s="10" t="s">
        <v>40</v>
      </c>
      <c r="D33" s="43" t="s">
        <v>41</v>
      </c>
      <c r="E33" s="35">
        <v>16.57</v>
      </c>
      <c r="F33" s="35">
        <v>1164</v>
      </c>
      <c r="G33" s="12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5">
        <v>0</v>
      </c>
      <c r="F35" s="12">
        <f>E35+'15'!F35</f>
        <v>351</v>
      </c>
      <c r="G35" s="12">
        <f>E35+'15'!G35</f>
        <v>2509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6</v>
      </c>
      <c r="F36" s="12">
        <f>E36+'15'!F36</f>
        <v>38</v>
      </c>
      <c r="G36" s="13">
        <f>E36+'15'!G36</f>
        <v>254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E37+'15'!F37</f>
        <v>0</v>
      </c>
      <c r="G37" s="48">
        <f>E37+'15'!G37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39" right="0.7" top="0.75" bottom="0.75" header="0.3" footer="0.3"/>
  <pageSetup scale="45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L40"/>
  <sheetViews>
    <sheetView topLeftCell="C1" zoomScale="70" zoomScaleNormal="70" workbookViewId="0">
      <pane xSplit="2" ySplit="6" topLeftCell="E7" activePane="bottomRight" state="frozen"/>
      <selection pane="topRight"/>
      <selection pane="bottomLeft"/>
      <selection pane="bottomRight" activeCell="J15" sqref="J1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27" style="2" customWidth="1"/>
    <col min="5" max="5" width="45.140625" style="1" customWidth="1"/>
    <col min="6" max="6" width="44" style="1" customWidth="1"/>
    <col min="7" max="7" width="43.855468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'16'!E6+1</f>
        <v>46220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190400</v>
      </c>
      <c r="F7" s="12">
        <f>E7+'16'!F7</f>
        <v>2856400</v>
      </c>
      <c r="G7" s="13">
        <f>E7+'16'!G7</f>
        <v>17176365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18138</v>
      </c>
      <c r="F8" s="12">
        <f>E8+'16'!F8</f>
        <v>300157</v>
      </c>
      <c r="G8" s="13">
        <f>E8+'16'!G8</f>
        <v>1902752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172262</v>
      </c>
      <c r="F9" s="12">
        <f>E9+'16'!F9</f>
        <v>2556243</v>
      </c>
      <c r="G9" s="13">
        <f>E9+'16'!G9</f>
        <v>15273613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9.5262605042016801</v>
      </c>
      <c r="F10" s="15">
        <f>F8/F7*100</f>
        <v>10.508227139056155</v>
      </c>
      <c r="G10" s="16">
        <f>G8/G7*100</f>
        <v>11.077733851137886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7.9333333333333327</v>
      </c>
      <c r="F11" s="15">
        <f>F7/F12/1000</f>
        <v>7.0009803921568627</v>
      </c>
      <c r="G11" s="16">
        <f>G7/G12/1000</f>
        <v>6.6790963813256816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E12+'16'!F12</f>
        <v>408</v>
      </c>
      <c r="G12" s="13">
        <f>E12+'16'!G12</f>
        <v>2571.66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79.333333333333329</v>
      </c>
      <c r="F13" s="15">
        <f>F11/10*100</f>
        <v>70.009803921568619</v>
      </c>
      <c r="G13" s="16">
        <f>G11/10*100</f>
        <v>66.790963813256823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856</v>
      </c>
      <c r="F14" s="12">
        <f>E14+'16'!F14</f>
        <v>13163</v>
      </c>
      <c r="G14" s="13">
        <f>E14+'16'!G14</f>
        <v>80163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839</v>
      </c>
      <c r="F15" s="12">
        <f>E15+'16'!F15</f>
        <v>12781</v>
      </c>
      <c r="G15" s="13">
        <f>E15+'16'!G15</f>
        <v>77694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63</v>
      </c>
      <c r="F16" s="70">
        <f>E16+'16'!F16</f>
        <v>874</v>
      </c>
      <c r="G16" s="13">
        <f>E16+'16'!G16</f>
        <v>4962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792</v>
      </c>
      <c r="F17" s="12">
        <f>E17+'16'!F17</f>
        <v>11922</v>
      </c>
      <c r="G17" s="13">
        <f>E17+'16'!G17</f>
        <v>71548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616</v>
      </c>
      <c r="F18" s="12">
        <f>E18+'16'!F18</f>
        <v>9399</v>
      </c>
      <c r="G18" s="13">
        <f>E18+'16'!G18</f>
        <v>57283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E19+'16'!F19</f>
        <v>303</v>
      </c>
      <c r="G19" s="13">
        <f>E19+'16'!G19</f>
        <v>1918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4.1596638655462188</v>
      </c>
      <c r="F20" s="15">
        <f>F17*1000/F7</f>
        <v>4.1737851841478788</v>
      </c>
      <c r="G20" s="16">
        <f>G17*1000/G7</f>
        <v>4.1654913597842151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0.86659663865546221</v>
      </c>
      <c r="F21" s="19">
        <f>F26*1000/F7</f>
        <v>0.8486206413667553</v>
      </c>
      <c r="G21" s="20">
        <f>G26*1000/G7</f>
        <v>0.86653957341963794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2801.659663865546</v>
      </c>
      <c r="F22" s="21">
        <f t="shared" ref="F22:G22" si="0">((F17*(803-130)+F31*(30))*1000)/F7</f>
        <v>2811.4045651869487</v>
      </c>
      <c r="G22" s="21">
        <f t="shared" si="0"/>
        <v>2806.3116963338866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3802.0294656324068</v>
      </c>
      <c r="F23" s="21">
        <f t="shared" ref="F23:G23" si="1">(F15*(803-130))*1000/(F7*0.78)</f>
        <v>3860.7019235257576</v>
      </c>
      <c r="G23" s="21">
        <f t="shared" si="1"/>
        <v>3902.8034699470418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E24+'16'!F24</f>
        <v>0</v>
      </c>
      <c r="G24" s="48">
        <f>E24+'16'!G24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165</v>
      </c>
      <c r="F26" s="32">
        <f>E26+'16'!F26</f>
        <v>2424</v>
      </c>
      <c r="G26" s="33">
        <f>E26+'16'!G26</f>
        <v>14884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4387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13</v>
      </c>
      <c r="F30" s="32">
        <f>E30+'16'!F30</f>
        <v>234</v>
      </c>
      <c r="G30" s="33">
        <f>E30+'16'!G30</f>
        <v>1667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14</v>
      </c>
      <c r="F31" s="12">
        <f>E31+'16'!F31</f>
        <v>233</v>
      </c>
      <c r="G31" s="13">
        <f>E31+'16'!G31</f>
        <v>1681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20</v>
      </c>
      <c r="F32" s="12">
        <f>E32+'16'!F32</f>
        <v>351</v>
      </c>
      <c r="G32" s="13">
        <f>E32+'16'!G32</f>
        <v>2133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15</v>
      </c>
      <c r="F33" s="46">
        <v>1145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E35+'16'!F35</f>
        <v>351</v>
      </c>
      <c r="G35" s="33">
        <f>E35+'16'!G35</f>
        <v>2509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6</v>
      </c>
      <c r="F36" s="12">
        <f>E36+'16'!F36</f>
        <v>44</v>
      </c>
      <c r="G36" s="13">
        <f>E36+'16'!G36</f>
        <v>260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E37+'16'!F37</f>
        <v>0</v>
      </c>
      <c r="G37" s="48">
        <f>E37+'16'!G37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L40"/>
  <sheetViews>
    <sheetView topLeftCell="C1" zoomScale="85" zoomScaleNormal="85" workbookViewId="0">
      <pane xSplit="2" ySplit="6" topLeftCell="E34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11.285156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'17'!E6+1</f>
        <v>46221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184200</v>
      </c>
      <c r="F7" s="12">
        <f>E7+'17'!F7</f>
        <v>3040600</v>
      </c>
      <c r="G7" s="13">
        <f>E7+'17'!G7</f>
        <v>17360565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18147</v>
      </c>
      <c r="F8" s="12">
        <f>E8+'17'!F8</f>
        <v>318304</v>
      </c>
      <c r="G8" s="13">
        <f>E8+'17'!G8</f>
        <v>1920899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166053</v>
      </c>
      <c r="F9" s="12">
        <f>E9+'17'!F9</f>
        <v>2722296</v>
      </c>
      <c r="G9" s="13">
        <f>E9+'17'!G9</f>
        <v>15439666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9.8517915309446256</v>
      </c>
      <c r="F10" s="15">
        <f>F8/F7*100</f>
        <v>10.468460172334408</v>
      </c>
      <c r="G10" s="16">
        <f>G8/G7*100</f>
        <v>11.064726292030242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7.6749999999999998</v>
      </c>
      <c r="F11" s="15">
        <f>F7/F12/1000</f>
        <v>7.0384259259259263</v>
      </c>
      <c r="G11" s="16">
        <f>G7/G12/1000</f>
        <v>6.6883047086290199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E12+'17'!F12</f>
        <v>432</v>
      </c>
      <c r="G12" s="13">
        <f>E12+'17'!G12</f>
        <v>2595.66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76.75</v>
      </c>
      <c r="F13" s="15">
        <f>F11/10*100</f>
        <v>70.384259259259267</v>
      </c>
      <c r="G13" s="16">
        <f>G11/10*100</f>
        <v>66.883047086290205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828</v>
      </c>
      <c r="F14" s="12">
        <f>E14+'17'!F14</f>
        <v>13991</v>
      </c>
      <c r="G14" s="13">
        <f>E14+'17'!G14</f>
        <v>80991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815</v>
      </c>
      <c r="F15" s="12">
        <f>E15+'17'!F15</f>
        <v>13596</v>
      </c>
      <c r="G15" s="13">
        <f>E15+'17'!G15</f>
        <v>78509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60</v>
      </c>
      <c r="F16" s="70">
        <f>E16+'17'!F16</f>
        <v>934</v>
      </c>
      <c r="G16" s="13">
        <f>E16+'17'!G16</f>
        <v>5022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760</v>
      </c>
      <c r="F17" s="12">
        <f>E17+'17'!F17</f>
        <v>12682</v>
      </c>
      <c r="G17" s="13">
        <f>E17+'17'!G17</f>
        <v>72308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593</v>
      </c>
      <c r="F18" s="12">
        <f>E18+'17'!F18</f>
        <v>9992</v>
      </c>
      <c r="G18" s="13">
        <f>E18+'17'!G18</f>
        <v>57876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E19+'17'!F19</f>
        <v>320</v>
      </c>
      <c r="G19" s="13">
        <f>E19+'17'!G19</f>
        <v>1935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4.1259500542888166</v>
      </c>
      <c r="F20" s="15">
        <f>F17*1000/F7</f>
        <v>4.1708873248700913</v>
      </c>
      <c r="G20" s="16">
        <f>G17*1000/G7</f>
        <v>4.1650718164990597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0.81976112920738331</v>
      </c>
      <c r="F21" s="19">
        <f>F26*1000/F7</f>
        <v>0.84687232783003352</v>
      </c>
      <c r="G21" s="20">
        <f>G26*1000/G7</f>
        <v>0.86604324225622842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2778.3930510314876</v>
      </c>
      <c r="F22" s="21">
        <f t="shared" ref="F22:G22" si="0">((F17*(803-130)+F31*(30))*1000)/F7</f>
        <v>2809.4047227520882</v>
      </c>
      <c r="G22" s="21">
        <f t="shared" si="0"/>
        <v>2806.0154724227004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3817.5826164425512</v>
      </c>
      <c r="F23" s="21">
        <f t="shared" ref="F23:G23" si="1">(F15*(803-130))*1000/(F7*0.78)</f>
        <v>3858.0897494927622</v>
      </c>
      <c r="G23" s="21">
        <f t="shared" si="1"/>
        <v>3901.8992550660441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E24+'17'!F24</f>
        <v>0</v>
      </c>
      <c r="G24" s="48">
        <f>E24+'17'!G24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151</v>
      </c>
      <c r="F26" s="32">
        <f>E26+'17'!F26</f>
        <v>2575</v>
      </c>
      <c r="G26" s="33">
        <f>E26+'17'!G26</f>
        <v>15035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4642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11</v>
      </c>
      <c r="F30" s="32">
        <f>E30+'17'!F30</f>
        <v>245</v>
      </c>
      <c r="G30" s="33">
        <f>E30+'17'!G30</f>
        <v>1678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10</v>
      </c>
      <c r="F31" s="12">
        <f>E31+'17'!F31</f>
        <v>243</v>
      </c>
      <c r="G31" s="13">
        <f>E31+'17'!G31</f>
        <v>1691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17</v>
      </c>
      <c r="F32" s="12">
        <f>E32+'17'!F32</f>
        <v>368</v>
      </c>
      <c r="G32" s="13">
        <f>E32+'17'!G32</f>
        <v>2150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15.8</v>
      </c>
      <c r="F33" s="47">
        <v>1286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E35+'17'!F35</f>
        <v>351</v>
      </c>
      <c r="G35" s="33">
        <f>E35+'17'!G35</f>
        <v>2509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E36+'17'!F36</f>
        <v>48</v>
      </c>
      <c r="G36" s="13">
        <f>E36+'17'!G36</f>
        <v>264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E37+'17'!F37</f>
        <v>0</v>
      </c>
      <c r="G37" s="48">
        <f>E37+'17'!G37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L40"/>
  <sheetViews>
    <sheetView topLeftCell="C1" zoomScale="80" zoomScaleNormal="80" workbookViewId="0">
      <pane xSplit="2" ySplit="6" topLeftCell="E34" activePane="bottomRight" state="frozen"/>
      <selection pane="topRight"/>
      <selection pane="bottomLeft"/>
      <selection pane="bottomRight" activeCell="F32" sqref="F32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'18'!E6+1</f>
        <v>46222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186600</v>
      </c>
      <c r="F7" s="12">
        <f>E7+'18'!F7</f>
        <v>3227200</v>
      </c>
      <c r="G7" s="13">
        <f>E7+'18'!G7</f>
        <v>17547165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17626</v>
      </c>
      <c r="F8" s="12">
        <f>E8+'18'!F8</f>
        <v>335930</v>
      </c>
      <c r="G8" s="13">
        <f>E8+'18'!G8</f>
        <v>1938525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168974</v>
      </c>
      <c r="F9" s="12">
        <f>E9+'18'!F9</f>
        <v>2891270</v>
      </c>
      <c r="G9" s="13">
        <f>E9+'18'!G9</f>
        <v>15608640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9.445873526259378</v>
      </c>
      <c r="F10" s="15">
        <f>F8/F7*100</f>
        <v>10.409333168071393</v>
      </c>
      <c r="G10" s="16">
        <f>G8/G7*100</f>
        <v>11.047511093672396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7.7750000000000004</v>
      </c>
      <c r="F11" s="15">
        <f>F7/F12/1000</f>
        <v>7.0771929824561406</v>
      </c>
      <c r="G11" s="16">
        <f>G7/G12/1000</f>
        <v>6.6982604612812358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E12+'18'!F12</f>
        <v>456</v>
      </c>
      <c r="G12" s="13">
        <f>E12+'18'!G12</f>
        <v>2619.66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77.750000000000014</v>
      </c>
      <c r="F13" s="15">
        <f>F11/10*100</f>
        <v>70.771929824561411</v>
      </c>
      <c r="G13" s="16">
        <f>G11/10*100</f>
        <v>66.982604612812352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851</v>
      </c>
      <c r="F14" s="12">
        <f>E14+'18'!F14</f>
        <v>14842</v>
      </c>
      <c r="G14" s="13">
        <f>E14+'18'!G14</f>
        <v>81842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825</v>
      </c>
      <c r="F15" s="12">
        <f>E15+'18'!F15</f>
        <v>14421</v>
      </c>
      <c r="G15" s="13">
        <f>E15+'18'!G15</f>
        <v>79334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63</v>
      </c>
      <c r="F16" s="70">
        <f>E16+'18'!F16</f>
        <v>997</v>
      </c>
      <c r="G16" s="13">
        <f>E16+'18'!G16</f>
        <v>5085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785</v>
      </c>
      <c r="F17" s="12">
        <f>E17+'18'!F17</f>
        <v>13467</v>
      </c>
      <c r="G17" s="13">
        <f>E17+'18'!G17</f>
        <v>73093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611</v>
      </c>
      <c r="F18" s="12">
        <f>E18+'18'!F18</f>
        <v>10603</v>
      </c>
      <c r="G18" s="13">
        <f>E18+'18'!G18</f>
        <v>58487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E19+'18'!F19</f>
        <v>338</v>
      </c>
      <c r="G19" s="13">
        <f>E19+'18'!G19</f>
        <v>1953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4.206859592711683</v>
      </c>
      <c r="F20" s="15">
        <f>F17*1000/F7</f>
        <v>4.1729672781358449</v>
      </c>
      <c r="G20" s="16">
        <f>G17*1000/G7</f>
        <v>4.1655161959211071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0.819935691318328</v>
      </c>
      <c r="F21" s="19">
        <f>F26*1000/F7</f>
        <v>0.84531482399603375</v>
      </c>
      <c r="G21" s="20">
        <f>G26*1000/G7</f>
        <v>0.86555292550107099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2832.9849946409431</v>
      </c>
      <c r="F22" s="21">
        <f t="shared" ref="F22:G22" si="0">((F17*(803-130)+F31*(30))*1000)/F7</f>
        <v>2810.7681581556767</v>
      </c>
      <c r="G22" s="21">
        <f t="shared" si="0"/>
        <v>2806.3022716205155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3814.7209168109489</v>
      </c>
      <c r="F23" s="21">
        <f t="shared" ref="F23:G23" si="1">(F15*(803-130))*1000/(F7*0.78)</f>
        <v>3855.582119293696</v>
      </c>
      <c r="G23" s="21">
        <f t="shared" si="1"/>
        <v>3900.9721834896154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E24+'18'!F24</f>
        <v>0</v>
      </c>
      <c r="G24" s="48">
        <f>E24+'18'!G24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153</v>
      </c>
      <c r="F26" s="32">
        <f>E26+'18'!F26</f>
        <v>2728</v>
      </c>
      <c r="G26" s="33">
        <f>E26+'18'!G26</f>
        <v>15188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4630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10</v>
      </c>
      <c r="F30" s="32">
        <f>E30+'18'!F30</f>
        <v>255</v>
      </c>
      <c r="G30" s="33">
        <f>E30+'18'!G30</f>
        <v>1688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11</v>
      </c>
      <c r="F31" s="12">
        <f>E31+'18'!F31</f>
        <v>254</v>
      </c>
      <c r="G31" s="13">
        <f>E31+'18'!G31</f>
        <v>1702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E32+'18'!F32</f>
        <v>386</v>
      </c>
      <c r="G32" s="13">
        <f>E32+'18'!G32</f>
        <v>2168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15.5</v>
      </c>
      <c r="F33" s="47">
        <v>1280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E35+'18'!F35</f>
        <v>351</v>
      </c>
      <c r="G35" s="33">
        <f>E35+'18'!G35</f>
        <v>2509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E36+'18'!F36</f>
        <v>53</v>
      </c>
      <c r="G36" s="13">
        <f>E36+'18'!G36</f>
        <v>269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E37+'18'!F37</f>
        <v>0</v>
      </c>
      <c r="G37" s="48">
        <f>E37+'18'!G37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L40"/>
  <sheetViews>
    <sheetView topLeftCell="C1" zoomScale="66" zoomScaleNormal="66" workbookViewId="0">
      <pane xSplit="2" ySplit="6" topLeftCell="E31" activePane="bottomRight" state="frozen"/>
      <selection pane="topRight"/>
      <selection pane="bottomLeft"/>
      <selection pane="bottomRight" activeCell="K34" sqref="K34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'19'!E6+1</f>
        <v>46223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165500</v>
      </c>
      <c r="F7" s="12">
        <f>E7+'19'!F7</f>
        <v>3392700</v>
      </c>
      <c r="G7" s="13">
        <f>E7+'19'!G7</f>
        <v>17712665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17743</v>
      </c>
      <c r="F8" s="12">
        <f>E8+'19'!F8</f>
        <v>353673</v>
      </c>
      <c r="G8" s="13">
        <f>E8+'19'!G8</f>
        <v>1956268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147757</v>
      </c>
      <c r="F9" s="12">
        <f>E9+'19'!F9</f>
        <v>3039027</v>
      </c>
      <c r="G9" s="13">
        <f>E9+'19'!G9</f>
        <v>15756397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10.720845921450151</v>
      </c>
      <c r="F10" s="15">
        <f>F8/F7*100</f>
        <v>10.424529136086303</v>
      </c>
      <c r="G10" s="16">
        <f>G8/G7*100</f>
        <v>11.044458866014798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6.895833333333333</v>
      </c>
      <c r="F11" s="15">
        <f>F7/F12/1000</f>
        <v>7.0681250000000002</v>
      </c>
      <c r="G11" s="16">
        <f>G7/G12/1000</f>
        <v>6.700054091675935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E12+'19'!F12</f>
        <v>480</v>
      </c>
      <c r="G12" s="13">
        <f>E12+'19'!G12</f>
        <v>2643.66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68.958333333333329</v>
      </c>
      <c r="F13" s="15">
        <f>F11/10*100</f>
        <v>70.681250000000006</v>
      </c>
      <c r="G13" s="16">
        <f>G11/10*100</f>
        <v>67.000540916759348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763</v>
      </c>
      <c r="F14" s="12">
        <f>E14+'19'!F14</f>
        <v>15605</v>
      </c>
      <c r="G14" s="13">
        <f>E14+'19'!G14</f>
        <v>82605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740</v>
      </c>
      <c r="F15" s="12">
        <f>E15+'19'!F15</f>
        <v>15161</v>
      </c>
      <c r="G15" s="13">
        <f>E15+'19'!G15</f>
        <v>80074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49</v>
      </c>
      <c r="F16" s="12">
        <f>E16+'19'!F16</f>
        <v>1046</v>
      </c>
      <c r="G16" s="13">
        <f>E16+'19'!G16</f>
        <v>5134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683</v>
      </c>
      <c r="F17" s="12">
        <f>E17+'19'!F17</f>
        <v>14150</v>
      </c>
      <c r="G17" s="13">
        <f>E17+'19'!G17</f>
        <v>73776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542</v>
      </c>
      <c r="F18" s="12">
        <f>E18+'19'!F18</f>
        <v>11145</v>
      </c>
      <c r="G18" s="13">
        <f>E18+'19'!G18</f>
        <v>59029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E19+'19'!F19</f>
        <v>356</v>
      </c>
      <c r="G19" s="13">
        <f>E19+'19'!G19</f>
        <v>1971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4.1268882175226587</v>
      </c>
      <c r="F20" s="15">
        <f>F17*1000/F7</f>
        <v>4.1707194859551393</v>
      </c>
      <c r="G20" s="16">
        <f>G17*1000/G7</f>
        <v>4.1651552716657827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0.83987915407854985</v>
      </c>
      <c r="F21" s="19">
        <f>F26*1000/F7</f>
        <v>0.8450496654581896</v>
      </c>
      <c r="G21" s="20">
        <f>G26*1000/G7</f>
        <v>0.86531304013258314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2780.1148036253776</v>
      </c>
      <c r="F22" s="21">
        <f t="shared" ref="F22:G22" si="0">((F17*(803-130)+F31*(30))*1000)/F7</f>
        <v>2809.2728505320247</v>
      </c>
      <c r="G22" s="21">
        <f t="shared" si="0"/>
        <v>2806.0575864783759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3857.9285769618095</v>
      </c>
      <c r="F23" s="21">
        <f t="shared" ref="F23:G23" si="1">(F15*(803-130))*1000/(F7*0.78)</f>
        <v>3855.6965823302371</v>
      </c>
      <c r="G23" s="21">
        <f t="shared" si="1"/>
        <v>3900.5700013854344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E24+'19'!F24</f>
        <v>0</v>
      </c>
      <c r="G24" s="48">
        <f>E24+'19'!G24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139</v>
      </c>
      <c r="F26" s="32">
        <f>E26+'19'!F26</f>
        <v>2867</v>
      </c>
      <c r="G26" s="33">
        <f>E26+'19'!G26</f>
        <v>15327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4578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15</v>
      </c>
      <c r="F30" s="32">
        <f>E30+'19'!F30</f>
        <v>270</v>
      </c>
      <c r="G30" s="33">
        <f>E30+'19'!G30</f>
        <v>1703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15</v>
      </c>
      <c r="F31" s="12">
        <f>E31+'19'!F31</f>
        <v>269</v>
      </c>
      <c r="G31" s="13">
        <f>E31+'19'!G31</f>
        <v>1717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E32+'19'!F32</f>
        <v>404</v>
      </c>
      <c r="G32" s="13">
        <f>E32+'19'!G32</f>
        <v>2186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18.5</v>
      </c>
      <c r="F33" s="47">
        <v>1358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E35+'19'!F35</f>
        <v>351</v>
      </c>
      <c r="G35" s="33">
        <f>E35+'19'!G35</f>
        <v>2509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E36+'19'!F36</f>
        <v>58</v>
      </c>
      <c r="G36" s="13">
        <f>E36+'19'!G36</f>
        <v>274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E37+'19'!F37</f>
        <v>0</v>
      </c>
      <c r="G37" s="48">
        <f>E37+'19'!G37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L40"/>
  <sheetViews>
    <sheetView topLeftCell="C1" zoomScale="80" zoomScaleNormal="80" workbookViewId="0">
      <pane xSplit="2" ySplit="6" topLeftCell="E34" activePane="bottomRight" state="frozen"/>
      <selection pane="topRight"/>
      <selection pane="bottomLeft"/>
      <selection pane="bottomRight" activeCell="E38" sqref="E3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'20'!E6+1</f>
        <v>46224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177400</v>
      </c>
      <c r="F7" s="12">
        <f>E7+'20'!F7</f>
        <v>3570100</v>
      </c>
      <c r="G7" s="13">
        <f>E7+'20'!G7</f>
        <v>17890065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17627</v>
      </c>
      <c r="F8" s="12">
        <f>E8+'20'!F8</f>
        <v>371300</v>
      </c>
      <c r="G8" s="13">
        <f>E8+'20'!G8</f>
        <v>1973895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159773</v>
      </c>
      <c r="F9" s="12">
        <f>E9+'20'!F9</f>
        <v>3198800</v>
      </c>
      <c r="G9" s="13">
        <f>E9+'20'!G9</f>
        <v>15916170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9.9363021420518596</v>
      </c>
      <c r="F10" s="15">
        <f>F8/F7*100</f>
        <v>10.400268900030811</v>
      </c>
      <c r="G10" s="16">
        <f>G8/G7*100</f>
        <v>11.033470252902939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7.3916666666666666</v>
      </c>
      <c r="F11" s="15">
        <f>F7/F12/1000</f>
        <v>7.0835317460317464</v>
      </c>
      <c r="G11" s="16">
        <f>G7/G12/1000</f>
        <v>6.7062762870830621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E12+'20'!F12</f>
        <v>504</v>
      </c>
      <c r="G12" s="13">
        <f>E12+'20'!G12</f>
        <v>2667.66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73.916666666666657</v>
      </c>
      <c r="F13" s="15">
        <f>F11/10*100</f>
        <v>70.835317460317455</v>
      </c>
      <c r="G13" s="16">
        <f>G11/10*100</f>
        <v>67.06276287083061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812</v>
      </c>
      <c r="F14" s="12">
        <f>E14+'20'!F14</f>
        <v>16417</v>
      </c>
      <c r="G14" s="13">
        <f>E14+'20'!G14</f>
        <v>83417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790</v>
      </c>
      <c r="F15" s="12">
        <f>E15+'20'!F15</f>
        <v>15951</v>
      </c>
      <c r="G15" s="13">
        <f>E15+'20'!G15</f>
        <v>80864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58</v>
      </c>
      <c r="F16" s="12">
        <f>E16+'20'!F16</f>
        <v>1104</v>
      </c>
      <c r="G16" s="13">
        <f>E16+'20'!G16</f>
        <v>5192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746</v>
      </c>
      <c r="F17" s="12">
        <f>E17+'20'!F17</f>
        <v>14896</v>
      </c>
      <c r="G17" s="13">
        <f>E17+'20'!G17</f>
        <v>74522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583</v>
      </c>
      <c r="F18" s="12">
        <f>E18+'20'!F18</f>
        <v>11728</v>
      </c>
      <c r="G18" s="13">
        <f>E18+'20'!G18</f>
        <v>59612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E19+'20'!F19</f>
        <v>373</v>
      </c>
      <c r="G19" s="13">
        <f>E19+'20'!G19</f>
        <v>1988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4.2051860202931231</v>
      </c>
      <c r="F20" s="15">
        <f>F17*1000/F7</f>
        <v>4.1724321447578498</v>
      </c>
      <c r="G20" s="16">
        <f>G17*1000/G7</f>
        <v>4.1655522213027174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0.75535512965050733</v>
      </c>
      <c r="F21" s="19">
        <f>F26*1000/F7</f>
        <v>0.84059270048458024</v>
      </c>
      <c r="G21" s="20">
        <f>G26*1000/G7</f>
        <v>0.86422268448996686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2831.9503945885008</v>
      </c>
      <c r="F22" s="21">
        <f t="shared" ref="F22:G22" si="0">((F17*(803-130)+F31*(30))*1000)/F7</f>
        <v>2810.3997086916334</v>
      </c>
      <c r="G22" s="21">
        <f t="shared" si="0"/>
        <v>2806.3143426253623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3842.3235914780448</v>
      </c>
      <c r="F23" s="21">
        <f t="shared" ref="F23:G23" si="1">(F15*(803-130))*1000/(F7*0.78)</f>
        <v>3855.0320719307583</v>
      </c>
      <c r="G23" s="21">
        <f t="shared" si="1"/>
        <v>3899.9924230972856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E24+'20'!F24</f>
        <v>0</v>
      </c>
      <c r="G24" s="48">
        <f>E24+'20'!G24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134</v>
      </c>
      <c r="F26" s="32">
        <f>E26+'20'!F26</f>
        <v>3001</v>
      </c>
      <c r="G26" s="33">
        <f>E26+'20'!G26</f>
        <v>15461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4688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/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12</v>
      </c>
      <c r="F30" s="32">
        <f>E30+'20'!F30</f>
        <v>282</v>
      </c>
      <c r="G30" s="33">
        <f>E30+'20'!G30</f>
        <v>1715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11</v>
      </c>
      <c r="F31" s="12">
        <f>E31+'20'!F31</f>
        <v>280</v>
      </c>
      <c r="G31" s="13">
        <f>E31+'20'!G31</f>
        <v>1728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E32+'20'!F32</f>
        <v>422</v>
      </c>
      <c r="G32" s="13">
        <f>E32+'20'!G32</f>
        <v>2204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20</v>
      </c>
      <c r="F33" s="47">
        <v>1506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37</v>
      </c>
      <c r="F35" s="32">
        <f>E35+'20'!F35</f>
        <v>388</v>
      </c>
      <c r="G35" s="33">
        <f>E35+'20'!G35</f>
        <v>2546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1</v>
      </c>
      <c r="F36" s="12">
        <f>E36+'20'!F36</f>
        <v>59</v>
      </c>
      <c r="G36" s="13">
        <f>E36+'20'!G36</f>
        <v>275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E37+'20'!F37</f>
        <v>0</v>
      </c>
      <c r="G37" s="48">
        <f>E37+'20'!G37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L40"/>
  <sheetViews>
    <sheetView topLeftCell="C1" zoomScale="80" zoomScaleNormal="80" workbookViewId="0">
      <pane xSplit="2" ySplit="6" topLeftCell="E34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69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'21'!E6+1</f>
        <v>46225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178300</v>
      </c>
      <c r="F7" s="12">
        <f>E7+'21'!F7</f>
        <v>3748400</v>
      </c>
      <c r="G7" s="13">
        <f>E7+'21'!G7</f>
        <v>18068365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17765</v>
      </c>
      <c r="F8" s="12">
        <f>E8+'21'!F8</f>
        <v>389065</v>
      </c>
      <c r="G8" s="13">
        <f>E8+'21'!G8</f>
        <v>1991660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160535</v>
      </c>
      <c r="F9" s="12">
        <f>E9+'21'!F9</f>
        <v>3359335</v>
      </c>
      <c r="G9" s="13">
        <f>E9+'21'!G9</f>
        <v>16076705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9.9635445877734146</v>
      </c>
      <c r="F10" s="15">
        <f>F8/F7*100</f>
        <v>10.379495251307224</v>
      </c>
      <c r="G10" s="16">
        <f>G8/G7*100</f>
        <v>11.022912145066806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7.4291666666666671</v>
      </c>
      <c r="F11" s="15">
        <f>F7/F12/1000</f>
        <v>7.0992424242424237</v>
      </c>
      <c r="G11" s="16">
        <f>G7/G12/1000</f>
        <v>6.7127218890944622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E12+'21'!F12</f>
        <v>528</v>
      </c>
      <c r="G12" s="13">
        <f>E12+'21'!G12</f>
        <v>2691.66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74.291666666666671</v>
      </c>
      <c r="F13" s="15">
        <f>F11/10*100</f>
        <v>70.992424242424235</v>
      </c>
      <c r="G13" s="16">
        <f>G11/10*100</f>
        <v>67.127218890944619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817</v>
      </c>
      <c r="F14" s="12">
        <f>E14+'21'!F14</f>
        <v>17234</v>
      </c>
      <c r="G14" s="13">
        <f>E14+'21'!G14</f>
        <v>84234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793</v>
      </c>
      <c r="F15" s="12">
        <f>E15+'21'!F15</f>
        <v>16744</v>
      </c>
      <c r="G15" s="13">
        <f>E15+'21'!G15</f>
        <v>81657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56</v>
      </c>
      <c r="F16" s="12">
        <f>E16+'21'!F16</f>
        <v>1160</v>
      </c>
      <c r="G16" s="13">
        <f>E16+'21'!G16</f>
        <v>5248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743</v>
      </c>
      <c r="F17" s="12">
        <f>E17+'21'!F17</f>
        <v>15639</v>
      </c>
      <c r="G17" s="13">
        <f>E17+'21'!G17</f>
        <v>75265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585</v>
      </c>
      <c r="F18" s="12">
        <f>E18+'21'!F18</f>
        <v>12313</v>
      </c>
      <c r="G18" s="13">
        <f>E18+'21'!G18</f>
        <v>60197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E19+'21'!F19</f>
        <v>391</v>
      </c>
      <c r="G19" s="13">
        <f>E19+'21'!G19</f>
        <v>2006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4.1671340437464943</v>
      </c>
      <c r="F20" s="15">
        <f>F17*1000/F7</f>
        <v>4.172180130188881</v>
      </c>
      <c r="G20" s="16">
        <f>G17*1000/G7</f>
        <v>4.1655678308468973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0.75715086932136844</v>
      </c>
      <c r="F21" s="19">
        <f>F26*1000/F7</f>
        <v>0.83662362608046104</v>
      </c>
      <c r="G21" s="20">
        <f>G26*1000/G7</f>
        <v>0.86316609167459257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2806.8367919237239</v>
      </c>
      <c r="F22" s="21">
        <f t="shared" ref="F22:G22" si="0">((F17*(803-130)+F31*(30))*1000)/F7</f>
        <v>2810.2302315654679</v>
      </c>
      <c r="G22" s="21">
        <f t="shared" si="0"/>
        <v>2806.3194981947731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3837.4462516358199</v>
      </c>
      <c r="F23" s="21">
        <f t="shared" ref="F23:G23" si="1">(F15*(803-130))*1000/(F7*0.78)</f>
        <v>3854.195567886743</v>
      </c>
      <c r="G23" s="21">
        <f t="shared" si="1"/>
        <v>3899.3752127203879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E24+'21'!F24</f>
        <v>0</v>
      </c>
      <c r="G24" s="48">
        <f>E24+'21'!G24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135</v>
      </c>
      <c r="F26" s="32">
        <f>E26+'21'!F26</f>
        <v>3136</v>
      </c>
      <c r="G26" s="33">
        <f>E26+'21'!G26</f>
        <v>15596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4551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15</v>
      </c>
      <c r="F30" s="32">
        <f>E30+'21'!F30</f>
        <v>297</v>
      </c>
      <c r="G30" s="33">
        <f>E30+'21'!G30</f>
        <v>1730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14</v>
      </c>
      <c r="F31" s="12">
        <f>E31+'21'!F31</f>
        <v>294</v>
      </c>
      <c r="G31" s="13">
        <f>E31+'21'!G31</f>
        <v>1742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23</v>
      </c>
      <c r="F32" s="12">
        <f>E32+'21'!F32</f>
        <v>445</v>
      </c>
      <c r="G32" s="13">
        <f>E32+'21'!G32</f>
        <v>2227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19.100000000000001</v>
      </c>
      <c r="F33" s="47">
        <v>1701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47</v>
      </c>
      <c r="F35" s="32">
        <f>E35+'21'!F35</f>
        <v>435</v>
      </c>
      <c r="G35" s="33">
        <f>E35+'21'!G35</f>
        <v>2593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E36+'21'!F36</f>
        <v>59</v>
      </c>
      <c r="G36" s="13">
        <f>E36+'21'!G36</f>
        <v>275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E37+'21'!F37</f>
        <v>0</v>
      </c>
      <c r="G37" s="48">
        <f>E37+'21'!G37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I13" sqref="I13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'22'!E6+1</f>
        <v>46226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189400</v>
      </c>
      <c r="F7" s="12">
        <f>E7+'22'!F7</f>
        <v>3937800</v>
      </c>
      <c r="G7" s="13">
        <f>E7+'22'!G7</f>
        <v>18257765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18102</v>
      </c>
      <c r="F8" s="12">
        <f>E8+'22'!F8</f>
        <v>407167</v>
      </c>
      <c r="G8" s="13">
        <f>E8+'22'!G8</f>
        <v>2009762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171298</v>
      </c>
      <c r="F9" s="12">
        <f>E9+'22'!F9</f>
        <v>3530633</v>
      </c>
      <c r="G9" s="13">
        <f>E9+'22'!G9</f>
        <v>16248003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9.5575501583949318</v>
      </c>
      <c r="F10" s="15">
        <f>F8/F7*100</f>
        <v>10.339961399766368</v>
      </c>
      <c r="G10" s="16">
        <f>G8/G7*100</f>
        <v>11.007710965717873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7.8916666666666666</v>
      </c>
      <c r="F11" s="15">
        <f>F7/F12/1000</f>
        <v>7.1336956521739134</v>
      </c>
      <c r="G11" s="16">
        <f>G7/G12/1000</f>
        <v>6.7231409675732605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E12+'22'!F12</f>
        <v>552</v>
      </c>
      <c r="G12" s="13">
        <f>E12+'22'!G12</f>
        <v>2715.66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78.916666666666671</v>
      </c>
      <c r="F13" s="15">
        <f>F11/10*100</f>
        <v>71.33695652173914</v>
      </c>
      <c r="G13" s="16">
        <f>G11/10*100</f>
        <v>67.231409675732607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859</v>
      </c>
      <c r="F14" s="12">
        <f>E14+'22'!F14</f>
        <v>18093</v>
      </c>
      <c r="G14" s="13">
        <f>E14+'22'!G14</f>
        <v>85093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838</v>
      </c>
      <c r="F15" s="12">
        <f>E15+'22'!F15</f>
        <v>17582</v>
      </c>
      <c r="G15" s="13">
        <f>E15+'22'!G15</f>
        <v>82495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12">
        <f>E16+'22'!F16</f>
        <v>1221</v>
      </c>
      <c r="G16" s="13">
        <f>E16+'22'!G16</f>
        <v>5309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788</v>
      </c>
      <c r="F17" s="12">
        <f>E17+'22'!F17</f>
        <v>16427</v>
      </c>
      <c r="G17" s="13">
        <f>E17+'22'!G17</f>
        <v>76053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619</v>
      </c>
      <c r="F18" s="12">
        <f>E18+'22'!F18</f>
        <v>12932</v>
      </c>
      <c r="G18" s="13">
        <f>E18+'22'!G18</f>
        <v>60816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E19+'22'!F19</f>
        <v>409</v>
      </c>
      <c r="G19" s="13">
        <f>E19+'22'!G19</f>
        <v>2024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4.1605068637803591</v>
      </c>
      <c r="F20" s="15">
        <f>F17*1000/F7</f>
        <v>4.1716186703235305</v>
      </c>
      <c r="G20" s="16">
        <f>G17*1000/G7</f>
        <v>4.1655153300527203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0.75501583949313622</v>
      </c>
      <c r="F21" s="19">
        <f>F26*1000/F7</f>
        <v>0.83269846106963274</v>
      </c>
      <c r="G21" s="20">
        <f>G26*1000/G7</f>
        <v>0.86204417682010914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2801.9218585005278</v>
      </c>
      <c r="F22" s="21">
        <f t="shared" ref="F22:G22" si="0">((F17*(803-130)+F31*(30))*1000)/F7</f>
        <v>2809.8306160800448</v>
      </c>
      <c r="G22" s="21">
        <f t="shared" si="0"/>
        <v>2806.2738785388024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3817.5479923103999</v>
      </c>
      <c r="F23" s="21">
        <f t="shared" ref="F23:G23" si="1">(F15*(803-130))*1000/(F7*0.78)</f>
        <v>3852.4328956296044</v>
      </c>
      <c r="G23" s="21">
        <f t="shared" si="1"/>
        <v>3898.526364269022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E24+'22'!F24</f>
        <v>0</v>
      </c>
      <c r="G24" s="48">
        <f>E24+'22'!G24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143</v>
      </c>
      <c r="F26" s="32">
        <f>E26+'22'!F26</f>
        <v>3279</v>
      </c>
      <c r="G26" s="33">
        <f>E26+'22'!G26</f>
        <v>15739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4684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11</v>
      </c>
      <c r="F30" s="32">
        <f>E30+'22'!F30</f>
        <v>308</v>
      </c>
      <c r="G30" s="33">
        <f>E30+'22'!G30</f>
        <v>1741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12</v>
      </c>
      <c r="F31" s="12">
        <f>E31+'22'!F31</f>
        <v>306</v>
      </c>
      <c r="G31" s="13">
        <f>E31+'22'!G31</f>
        <v>1754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60</v>
      </c>
      <c r="F32" s="12">
        <f>E32+'22'!F32</f>
        <v>505</v>
      </c>
      <c r="G32" s="13">
        <f>E32+'22'!G32</f>
        <v>2287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18</v>
      </c>
      <c r="F33" s="47">
        <v>1360</v>
      </c>
      <c r="G33" s="48"/>
    </row>
    <row r="34" spans="2:7" ht="30.95" customHeight="1">
      <c r="B34" s="95"/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48</v>
      </c>
      <c r="F35" s="32">
        <f>E35+'22'!F35</f>
        <v>483</v>
      </c>
      <c r="G35" s="33">
        <f>E35+'22'!G35</f>
        <v>2641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E36+'22'!F36</f>
        <v>59</v>
      </c>
      <c r="G36" s="13">
        <f>E36+'22'!G36</f>
        <v>275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E37+'22'!F37</f>
        <v>0</v>
      </c>
      <c r="G37" s="48">
        <f>E37+'22'!G37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I16" sqref="I16"/>
    </sheetView>
  </sheetViews>
  <sheetFormatPr defaultColWidth="9.140625" defaultRowHeight="30.95" customHeight="1"/>
  <cols>
    <col min="1" max="1" width="7" style="1" customWidth="1"/>
    <col min="2" max="2" width="14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'23'!E6+1</f>
        <v>46227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193700</v>
      </c>
      <c r="F7" s="12">
        <f>E7+'23'!F7</f>
        <v>4131500</v>
      </c>
      <c r="G7" s="13">
        <f>E7+'23'!G7</f>
        <v>18451465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18171</v>
      </c>
      <c r="F8" s="12">
        <f>E8+'23'!F8</f>
        <v>425338</v>
      </c>
      <c r="G8" s="13">
        <f>E8+'23'!G8</f>
        <v>2027933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175529</v>
      </c>
      <c r="F9" s="12">
        <f>E9+'23'!F9</f>
        <v>3706162</v>
      </c>
      <c r="G9" s="13">
        <f>E9+'23'!G9</f>
        <v>16423532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9.3810015487867844</v>
      </c>
      <c r="F10" s="15">
        <f>F8/F7*100</f>
        <v>10.295001815321312</v>
      </c>
      <c r="G10" s="16">
        <f>G8/G7*100</f>
        <v>10.990634077023152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8.0708333333333329</v>
      </c>
      <c r="F11" s="15">
        <f>F7/F12/1000</f>
        <v>7.1727430555555554</v>
      </c>
      <c r="G11" s="16">
        <f>G7/G12/1000</f>
        <v>6.7349470372235976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E12+'23'!F12</f>
        <v>576</v>
      </c>
      <c r="G12" s="13">
        <f>E12+'23'!G12</f>
        <v>2739.66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80.708333333333329</v>
      </c>
      <c r="F13" s="15">
        <f>F11/10*100</f>
        <v>71.727430555555543</v>
      </c>
      <c r="G13" s="16">
        <f>G11/10*100</f>
        <v>67.34947037223597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875</v>
      </c>
      <c r="F14" s="12">
        <f>E14+'23'!F14</f>
        <v>18968</v>
      </c>
      <c r="G14" s="13">
        <f>E14+'23'!G14</f>
        <v>85968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851</v>
      </c>
      <c r="F15" s="12">
        <f>E15+'23'!F15</f>
        <v>18433</v>
      </c>
      <c r="G15" s="13">
        <f>E15+'23'!G15</f>
        <v>83346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63</v>
      </c>
      <c r="F16" s="12">
        <f>E16+'23'!F16</f>
        <v>1284</v>
      </c>
      <c r="G16" s="13">
        <f>E16+'23'!G16</f>
        <v>5372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806</v>
      </c>
      <c r="F17" s="12">
        <f>E17+'23'!F17</f>
        <v>17233</v>
      </c>
      <c r="G17" s="13">
        <f>E17+'23'!G17</f>
        <v>76859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631</v>
      </c>
      <c r="F18" s="12">
        <f>E18+'23'!F18</f>
        <v>13563</v>
      </c>
      <c r="G18" s="13">
        <f>E18+'23'!G18</f>
        <v>61447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E19+'23'!F19</f>
        <v>427</v>
      </c>
      <c r="G19" s="13">
        <f>E19+'23'!G19</f>
        <v>2042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4.1610738255033555</v>
      </c>
      <c r="F20" s="15">
        <f>F17*1000/F7</f>
        <v>4.1711242889991524</v>
      </c>
      <c r="G20" s="16">
        <f>G17*1000/G7</f>
        <v>4.165468703975538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0.75374290139390809</v>
      </c>
      <c r="F21" s="19">
        <f>F26*1000/F7</f>
        <v>0.82899673242163863</v>
      </c>
      <c r="G21" s="20">
        <f>G26*1000/G7</f>
        <v>0.86090725045409677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2802.4161073825503</v>
      </c>
      <c r="F22" s="21">
        <f>((F17*(803-130)+F31*(30))*1000)/F7</f>
        <v>2809.4829964903788</v>
      </c>
      <c r="G22" s="21">
        <f>((G17*(803-130)+G31*(30))*1000)/G7</f>
        <v>2806.2333803847014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3790.708603047271</v>
      </c>
      <c r="F23" s="21">
        <f t="shared" ref="F23:G23" si="0">(F15*(803-130))*1000/(F7*0.78)</f>
        <v>3849.5390325113185</v>
      </c>
      <c r="G23" s="21">
        <f t="shared" si="0"/>
        <v>3897.3945137439468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E24+'23'!F24</f>
        <v>0</v>
      </c>
      <c r="G24" s="48">
        <f>E24+'23'!G24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146</v>
      </c>
      <c r="F26" s="32">
        <f>E26+'23'!F26</f>
        <v>3425</v>
      </c>
      <c r="G26" s="33">
        <f>E26+'23'!G26</f>
        <v>15885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4717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13</v>
      </c>
      <c r="F30" s="32">
        <f>E30+'23'!F30</f>
        <v>321</v>
      </c>
      <c r="G30" s="33">
        <f>E30+'23'!G30</f>
        <v>1754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E31+'23'!F31</f>
        <v>319</v>
      </c>
      <c r="G31" s="13">
        <f>E31+'23'!G31</f>
        <v>1767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E32+'23'!F32</f>
        <v>523</v>
      </c>
      <c r="G32" s="13">
        <f>E32+'23'!G32</f>
        <v>2305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20</v>
      </c>
      <c r="F33" s="61">
        <v>1497</v>
      </c>
      <c r="G33" s="62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36</v>
      </c>
      <c r="F35" s="32">
        <f>E35+'23'!F35</f>
        <v>519</v>
      </c>
      <c r="G35" s="33">
        <f>E35+'23'!G35</f>
        <v>2677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1</v>
      </c>
      <c r="F36" s="12">
        <f>E36+'23'!F36</f>
        <v>60</v>
      </c>
      <c r="G36" s="13">
        <f>E36+'23'!G36</f>
        <v>276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E37+'23'!F37</f>
        <v>0</v>
      </c>
      <c r="G37" s="48">
        <f>E37+'23'!G37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L39"/>
  <sheetViews>
    <sheetView zoomScale="80" zoomScaleNormal="80" workbookViewId="0">
      <pane xSplit="4" ySplit="6" topLeftCell="E34" activePane="bottomRight" state="frozen"/>
      <selection pane="topRight"/>
      <selection pane="bottomLeft"/>
      <selection pane="bottomRight" activeCell="E16" sqref="E16:G1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'24'!E6+1</f>
        <v>46228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178800</v>
      </c>
      <c r="F7" s="12">
        <f>E7+'24'!F7</f>
        <v>4310300</v>
      </c>
      <c r="G7" s="13">
        <f>E7+'24'!G7</f>
        <v>18630265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17983</v>
      </c>
      <c r="F8" s="12">
        <f>E8+'24'!F8</f>
        <v>443321</v>
      </c>
      <c r="G8" s="13">
        <f>E8+'24'!G8</f>
        <v>2045916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160817</v>
      </c>
      <c r="F9" s="12">
        <f>E9+'24'!F9</f>
        <v>3866979</v>
      </c>
      <c r="G9" s="13">
        <f>E9+'24'!G9</f>
        <v>16584349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10.057606263982102</v>
      </c>
      <c r="F10" s="15">
        <f>F8/F7*100</f>
        <v>10.285154165603322</v>
      </c>
      <c r="G10" s="16">
        <f>G8/G7*100</f>
        <v>10.981679541326974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7.45</v>
      </c>
      <c r="F11" s="15">
        <f>F7/F12/1000</f>
        <v>7.1838333333333333</v>
      </c>
      <c r="G11" s="16">
        <f>G7/G12/1000</f>
        <v>6.7411566545812436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E12+'24'!F12</f>
        <v>600</v>
      </c>
      <c r="G12" s="13">
        <f>E12+'24'!G12</f>
        <v>2763.66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74.5</v>
      </c>
      <c r="F13" s="15">
        <f>F11/10*100</f>
        <v>71.838333333333338</v>
      </c>
      <c r="G13" s="16">
        <f>G11/10*100</f>
        <v>67.411566545812434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815</v>
      </c>
      <c r="F14" s="12">
        <f>E14+'24'!F14</f>
        <v>19783</v>
      </c>
      <c r="G14" s="13">
        <f>E14+'24'!G14</f>
        <v>86783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793</v>
      </c>
      <c r="F15" s="12">
        <f>E15+'24'!F15</f>
        <v>19226</v>
      </c>
      <c r="G15" s="13">
        <f>E15+'24'!G15</f>
        <v>84139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48</v>
      </c>
      <c r="F16" s="12">
        <f>E16+'24'!F16</f>
        <v>1332</v>
      </c>
      <c r="G16" s="13">
        <f>E16+'24'!G16</f>
        <v>5420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745</v>
      </c>
      <c r="F17" s="12">
        <f>E17+'24'!F17</f>
        <v>17978</v>
      </c>
      <c r="G17" s="13">
        <f>E17+'24'!G17</f>
        <v>77604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585</v>
      </c>
      <c r="F18" s="12">
        <f>E18+'24'!F18</f>
        <v>14148</v>
      </c>
      <c r="G18" s="13">
        <f>E18+'24'!G18</f>
        <v>62032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E19+'24'!F19</f>
        <v>444</v>
      </c>
      <c r="G19" s="13">
        <f>E19+'24'!G19</f>
        <v>2059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4.166666666666667</v>
      </c>
      <c r="F20" s="15">
        <f>F17*1000/F7</f>
        <v>4.1709393777695292</v>
      </c>
      <c r="G20" s="16">
        <f>G17*1000/G7</f>
        <v>4.165480201167294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0.7494407158836689</v>
      </c>
      <c r="F21" s="19">
        <f>F26*1000/F7</f>
        <v>0.82569658724450734</v>
      </c>
      <c r="G21" s="20">
        <f>G26*1000/G7</f>
        <v>0.85983747413147371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2806.5156599552574</v>
      </c>
      <c r="F22" s="21">
        <f t="shared" ref="F22:G22" si="0">((F17*(803-130)+F31*(30))*1000)/F7</f>
        <v>2809.3599053430157</v>
      </c>
      <c r="G22" s="21">
        <f t="shared" si="0"/>
        <v>2806.2360895027527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3826.7151379567485</v>
      </c>
      <c r="F23" s="21">
        <f t="shared" ref="F23:G23" si="1">(F15*(803-130))*1000/(F7*0.78)</f>
        <v>3848.5922510004361</v>
      </c>
      <c r="G23" s="21">
        <f t="shared" si="1"/>
        <v>3896.7161834898816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E24+'24'!F24</f>
        <v>0</v>
      </c>
      <c r="G24" s="48">
        <f>E24+'24'!G24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134</v>
      </c>
      <c r="F26" s="32">
        <f>E26+'24'!F26</f>
        <v>3559</v>
      </c>
      <c r="G26" s="33">
        <f>E26+'24'!G26</f>
        <v>16019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4795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15</v>
      </c>
      <c r="F30" s="32">
        <f>E30+'24'!F30</f>
        <v>336</v>
      </c>
      <c r="G30" s="33">
        <f>E30+'24'!G30</f>
        <v>1769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E31+'24'!F31</f>
        <v>333</v>
      </c>
      <c r="G31" s="13">
        <f>E31+'24'!G31</f>
        <v>1781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E32+'24'!F32</f>
        <v>541</v>
      </c>
      <c r="G32" s="13">
        <f>E32+'24'!G32</f>
        <v>2323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7">
        <v>1380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42</v>
      </c>
      <c r="F35" s="32">
        <f>E35+'24'!F35</f>
        <v>561</v>
      </c>
      <c r="G35" s="33">
        <f>E35+'24'!G35</f>
        <v>2719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E36+'24'!F36</f>
        <v>60</v>
      </c>
      <c r="G36" s="13">
        <f>E36+'24'!G36</f>
        <v>276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E37+'24'!F37</f>
        <v>0</v>
      </c>
      <c r="G37" s="48">
        <f>E37+'24'!G37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L39"/>
  <sheetViews>
    <sheetView topLeftCell="B1" zoomScale="80" zoomScaleNormal="80" workbookViewId="0">
      <pane xSplit="3" ySplit="6" topLeftCell="E31" activePane="bottomRight" state="frozen"/>
      <selection pane="topRight"/>
      <selection pane="bottomLeft"/>
      <selection pane="bottomRight" activeCell="F28" sqref="F2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'25'!E6+1</f>
        <v>46229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179300</v>
      </c>
      <c r="F7" s="12">
        <f>E7+'25'!F7</f>
        <v>4489600</v>
      </c>
      <c r="G7" s="13">
        <f>E7+'25'!G7</f>
        <v>18809565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17937</v>
      </c>
      <c r="F8" s="12">
        <f>E8+'25'!F8</f>
        <v>461258</v>
      </c>
      <c r="G8" s="13">
        <f>E8+'25'!G8</f>
        <v>2063853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161363</v>
      </c>
      <c r="F9" s="12">
        <f>E9+'25'!F9</f>
        <v>4028342</v>
      </c>
      <c r="G9" s="13">
        <f>E9+'25'!G9</f>
        <v>16745712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10.003904071388733</v>
      </c>
      <c r="F10" s="15">
        <f>F8/F7*100</f>
        <v>10.273921952957947</v>
      </c>
      <c r="G10" s="16">
        <f>G8/G7*100</f>
        <v>10.972359009897357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7.4708333333333332</v>
      </c>
      <c r="F11" s="15">
        <f>F7/F12/1000</f>
        <v>7.1948717948717951</v>
      </c>
      <c r="G11" s="16">
        <f>G7/G12/1000</f>
        <v>6.7474387120380532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E12+'25'!F12</f>
        <v>624</v>
      </c>
      <c r="G12" s="13">
        <f>E12+'25'!G12</f>
        <v>2787.66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74.708333333333329</v>
      </c>
      <c r="F13" s="15">
        <f>F11/10*100</f>
        <v>71.948717948717956</v>
      </c>
      <c r="G13" s="16">
        <f>G11/10*100</f>
        <v>67.474387120380527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811</v>
      </c>
      <c r="F14" s="12">
        <f>E14+'25'!F14</f>
        <v>20594</v>
      </c>
      <c r="G14" s="13">
        <f>E14+'25'!G14</f>
        <v>87594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793</v>
      </c>
      <c r="F15" s="12">
        <f>E15+'25'!F15</f>
        <v>20019</v>
      </c>
      <c r="G15" s="13">
        <f>E15+'25'!G15</f>
        <v>84932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12">
        <f>E16+'25'!F16</f>
        <v>1389</v>
      </c>
      <c r="G16" s="13">
        <f>E16+'25'!G16</f>
        <v>5477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744</v>
      </c>
      <c r="F17" s="12">
        <f>E17+'25'!F17</f>
        <v>18722</v>
      </c>
      <c r="G17" s="13">
        <f>E17+'25'!G17</f>
        <v>78348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583</v>
      </c>
      <c r="F18" s="12">
        <f>E18+'25'!F18</f>
        <v>14731</v>
      </c>
      <c r="G18" s="13">
        <f>E18+'25'!G18</f>
        <v>62615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E19+'25'!F19</f>
        <v>462</v>
      </c>
      <c r="G19" s="13">
        <f>E19+'25'!G19</f>
        <v>2077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4.1494701617401004</v>
      </c>
      <c r="F20" s="15">
        <f>F17*1000/F7</f>
        <v>4.1700819672131146</v>
      </c>
      <c r="G20" s="16">
        <f>G17*1000/G7</f>
        <v>4.1653275873205997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0.75292805354155046</v>
      </c>
      <c r="F21" s="19">
        <f>F26*1000/F7</f>
        <v>0.82279044903777621</v>
      </c>
      <c r="G21" s="20">
        <f>G26*1000/G7</f>
        <v>0.85881837246103243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2794.7685443390965</v>
      </c>
      <c r="F22" s="21">
        <f t="shared" ref="F22:G22" si="0">((F17*(803-130)+F31*(30))*1000)/F7</f>
        <v>2808.7771739130435</v>
      </c>
      <c r="G22" s="21">
        <f t="shared" si="0"/>
        <v>2806.1267764565528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3816.0438743260829</v>
      </c>
      <c r="F23" s="21">
        <f t="shared" ref="F23:G23" si="1">(F15*(803-130))*1000/(F7*0.78)</f>
        <v>3847.2923748560775</v>
      </c>
      <c r="G23" s="21">
        <f t="shared" si="1"/>
        <v>3895.9471840455531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E24+'25'!F24</f>
        <v>0</v>
      </c>
      <c r="G24" s="48">
        <f>E24+'25'!G24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135</v>
      </c>
      <c r="F26" s="32">
        <f>E26+'25'!F26</f>
        <v>3694</v>
      </c>
      <c r="G26" s="33">
        <f>E26+'25'!G26</f>
        <v>16154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4588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3" t="s">
        <v>38</v>
      </c>
      <c r="E30" s="32">
        <v>15</v>
      </c>
      <c r="F30" s="32">
        <f>E30+'25'!F30</f>
        <v>351</v>
      </c>
      <c r="G30" s="33">
        <f>E30+'25'!G30</f>
        <v>1784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E31+'25'!F31</f>
        <v>346</v>
      </c>
      <c r="G31" s="13">
        <f>E31+'25'!G31</f>
        <v>1794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E32+'25'!F32</f>
        <v>559</v>
      </c>
      <c r="G32" s="13">
        <f>E32+'25'!G32</f>
        <v>2341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17</v>
      </c>
      <c r="F33" s="47">
        <v>1300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47</v>
      </c>
      <c r="F35" s="32">
        <f>E35+'25'!F35</f>
        <v>608</v>
      </c>
      <c r="G35" s="33">
        <f>E35+'25'!G35</f>
        <v>2766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E36+'25'!F36</f>
        <v>60</v>
      </c>
      <c r="G36" s="13">
        <f>E36+'25'!G36</f>
        <v>276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v>0</v>
      </c>
      <c r="G37" s="48"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L39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J15" sqref="J1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'26'!E6+1</f>
        <v>46230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190700</v>
      </c>
      <c r="F7" s="12">
        <f>E7+'26'!F7</f>
        <v>4680300</v>
      </c>
      <c r="G7" s="13">
        <f>E7+'26'!G7</f>
        <v>19000265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18011</v>
      </c>
      <c r="F8" s="12">
        <f>E8+'26'!F8</f>
        <v>479269</v>
      </c>
      <c r="G8" s="13">
        <f>E8+'26'!G8</f>
        <v>2081864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172689</v>
      </c>
      <c r="F9" s="12">
        <f>E9+'26'!F9</f>
        <v>4201031</v>
      </c>
      <c r="G9" s="13">
        <f>E9+'26'!G9</f>
        <v>16918401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9.4446775039328781</v>
      </c>
      <c r="F10" s="15">
        <f>F8/F7*100</f>
        <v>10.240134179432943</v>
      </c>
      <c r="G10" s="16">
        <f>G8/G7*100</f>
        <v>10.957026125688248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7.9458333333333329</v>
      </c>
      <c r="F11" s="15">
        <f>F7/F12/1000</f>
        <v>7.2226851851851857</v>
      </c>
      <c r="G11" s="16">
        <f>G7/G12/1000</f>
        <v>6.7576680679740795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E12+'26'!F12</f>
        <v>648</v>
      </c>
      <c r="G12" s="13">
        <f>E12+'26'!G12</f>
        <v>2811.66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79.458333333333329</v>
      </c>
      <c r="F13" s="15">
        <f>F11/10*100</f>
        <v>72.226851851851862</v>
      </c>
      <c r="G13" s="16">
        <f>G11/10*100</f>
        <v>67.576680679740804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860</v>
      </c>
      <c r="F14" s="12">
        <f>E14+'26'!F14</f>
        <v>21454</v>
      </c>
      <c r="G14" s="13">
        <f>E14+'26'!G14</f>
        <v>88454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839</v>
      </c>
      <c r="F15" s="12">
        <f>E15+'26'!F15</f>
        <v>20858</v>
      </c>
      <c r="G15" s="13">
        <f>E15+'26'!G15</f>
        <v>85771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63</v>
      </c>
      <c r="F16" s="12">
        <f>E16+'26'!F16</f>
        <v>1452</v>
      </c>
      <c r="G16" s="13">
        <f>E16+'26'!G16</f>
        <v>5540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792</v>
      </c>
      <c r="F17" s="12">
        <f>E17+'26'!F17</f>
        <v>19514</v>
      </c>
      <c r="G17" s="13">
        <f>E17+'26'!G17</f>
        <v>79140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620</v>
      </c>
      <c r="F18" s="12">
        <f>E18+'26'!F18</f>
        <v>15351</v>
      </c>
      <c r="G18" s="13">
        <f>E18+'26'!G18</f>
        <v>63235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E19+'26'!F19</f>
        <v>480</v>
      </c>
      <c r="G19" s="13">
        <f>E19+'26'!G19</f>
        <v>2095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4.153120083901416</v>
      </c>
      <c r="F20" s="15">
        <f>F17*1000/F7</f>
        <v>4.1693908510138238</v>
      </c>
      <c r="G20" s="16">
        <f>G17*1000/G7</f>
        <v>4.165205064245157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0.75511274252753013</v>
      </c>
      <c r="F21" s="19">
        <f>F26*1000/F7</f>
        <v>0.82003290387368333</v>
      </c>
      <c r="G21" s="20">
        <f>G26*1000/G7</f>
        <v>0.85777750994525603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2796.9375983219716</v>
      </c>
      <c r="F22" s="21">
        <f t="shared" ref="F22:G22" si="0">((F17*(803-130)+F31*(30))*1000)/F7</f>
        <v>2808.2947674294383</v>
      </c>
      <c r="G22" s="21">
        <f t="shared" si="0"/>
        <v>2806.0345474128912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3796.0482970970647</v>
      </c>
      <c r="F23" s="21">
        <f t="shared" ref="F23:G23" si="1">(F15*(803-130))*1000/(F7*0.78)</f>
        <v>3845.2044220264206</v>
      </c>
      <c r="G23" s="21">
        <f t="shared" si="1"/>
        <v>3894.9445286751634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E24+'26'!F24</f>
        <v>0</v>
      </c>
      <c r="G24" s="48">
        <f>E24+'26'!G24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144</v>
      </c>
      <c r="F26" s="32">
        <f>E26+'26'!F26</f>
        <v>3838</v>
      </c>
      <c r="G26" s="33">
        <f>E26+'26'!G26</f>
        <v>16298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4730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3" t="s">
        <v>38</v>
      </c>
      <c r="E30" s="32">
        <v>10</v>
      </c>
      <c r="F30" s="32">
        <f>E30+'26'!F30</f>
        <v>361</v>
      </c>
      <c r="G30" s="33">
        <f>E30+'26'!G30</f>
        <v>1794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f>E31+'26'!F31</f>
        <v>358</v>
      </c>
      <c r="G31" s="13">
        <f>E31+'26'!G31</f>
        <v>1806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E32+'26'!F32</f>
        <v>577</v>
      </c>
      <c r="G32" s="13">
        <f>E32+'26'!G32</f>
        <v>2359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7">
        <v>1331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40</v>
      </c>
      <c r="F35" s="32">
        <f>E35+'26'!F35</f>
        <v>648</v>
      </c>
      <c r="G35" s="33">
        <f>E35+'26'!G35</f>
        <v>2806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1</v>
      </c>
      <c r="F36" s="12">
        <f>E36+'26'!F36</f>
        <v>61</v>
      </c>
      <c r="G36" s="13">
        <f>E36+'26'!G36</f>
        <v>277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E37+'26'!F37</f>
        <v>0</v>
      </c>
      <c r="G37" s="48">
        <f>E37+'26'!G37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L40"/>
  <sheetViews>
    <sheetView zoomScale="80" zoomScaleNormal="80" workbookViewId="0">
      <pane xSplit="4" ySplit="6" topLeftCell="E32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'27'!E6+1</f>
        <v>46231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171200</v>
      </c>
      <c r="F7" s="12">
        <f>E7+'27'!F7</f>
        <v>4851500</v>
      </c>
      <c r="G7" s="13">
        <f>E7+'27'!G7</f>
        <v>19171465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17777</v>
      </c>
      <c r="F8" s="12">
        <f>E8+'27'!F8</f>
        <v>497046</v>
      </c>
      <c r="G8" s="13">
        <f>E8+'27'!G8</f>
        <v>2099641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153423</v>
      </c>
      <c r="F9" s="12">
        <f>E9+'27'!F9</f>
        <v>4354454</v>
      </c>
      <c r="G9" s="13">
        <f>E9+'27'!G9</f>
        <v>17071824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10.383761682242991</v>
      </c>
      <c r="F10" s="15">
        <f>F8/F7*100</f>
        <v>10.245202514686179</v>
      </c>
      <c r="G10" s="16">
        <f>G8/G7*100</f>
        <v>10.951906909565858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7.1333333333333329</v>
      </c>
      <c r="F11" s="15">
        <f>F7/F12/1000</f>
        <v>7.2194940476190474</v>
      </c>
      <c r="G11" s="16">
        <f>G7/G12/1000</f>
        <v>6.760847562824881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E12+'27'!F12</f>
        <v>672</v>
      </c>
      <c r="G12" s="13">
        <f>E12+'27'!G12</f>
        <v>2835.66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71.333333333333329</v>
      </c>
      <c r="F13" s="15">
        <f>F11/10*100</f>
        <v>72.194940476190467</v>
      </c>
      <c r="G13" s="16">
        <f>G11/10*100</f>
        <v>67.608475628248812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801</v>
      </c>
      <c r="F14" s="12">
        <f>E14+'27'!F14</f>
        <v>22255</v>
      </c>
      <c r="G14" s="13">
        <f>E14+'27'!G14</f>
        <v>89255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765</v>
      </c>
      <c r="F15" s="12">
        <f>E15+'27'!F15</f>
        <v>21623</v>
      </c>
      <c r="G15" s="13">
        <f>E15+'27'!G15</f>
        <v>86536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52</v>
      </c>
      <c r="F16" s="12">
        <f>E16+'27'!F16</f>
        <v>1504</v>
      </c>
      <c r="G16" s="13">
        <f>E16+'27'!G16</f>
        <v>5592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718</v>
      </c>
      <c r="F17" s="12">
        <f>E17+'27'!F17</f>
        <v>20232</v>
      </c>
      <c r="G17" s="13">
        <f>E17+'27'!G17</f>
        <v>79858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571</v>
      </c>
      <c r="F18" s="12">
        <f>E18+'27'!F18</f>
        <v>15922</v>
      </c>
      <c r="G18" s="13">
        <f>E18+'27'!G18</f>
        <v>63806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E19+'27'!F19</f>
        <v>498</v>
      </c>
      <c r="G19" s="13">
        <f>E19+'27'!G19</f>
        <v>2113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4.19392523364486</v>
      </c>
      <c r="F20" s="15">
        <f>F17*1000/F7</f>
        <v>4.1702566216634027</v>
      </c>
      <c r="G20" s="16">
        <f>G17*1000/G7</f>
        <v>4.1654615335865044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0.75350467289719625</v>
      </c>
      <c r="F21" s="19">
        <f>F26*1000/F7</f>
        <v>0.8176852519839225</v>
      </c>
      <c r="G21" s="20">
        <f>G26*1000/G7</f>
        <v>0.85684635994171543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2825.3154205607475</v>
      </c>
      <c r="F22" s="21">
        <f t="shared" ref="F22:G22" si="0">((F17*(803-130)+F31*(30))*1000)/F7</f>
        <v>2808.8953931773676</v>
      </c>
      <c r="G22" s="21">
        <f t="shared" si="0"/>
        <v>2806.2067244209038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3855.4771746944643</v>
      </c>
      <c r="F23" s="21">
        <f t="shared" ref="F23:G23" si="1">(F15*(803-130))*1000/(F7*0.78)</f>
        <v>3845.5669274900442</v>
      </c>
      <c r="G23" s="21">
        <f t="shared" si="1"/>
        <v>3894.5920876383675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E24+'27'!F24</f>
        <v>0</v>
      </c>
      <c r="G24" s="48">
        <f>E24+'27'!G24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129</v>
      </c>
      <c r="F26" s="32">
        <f>E26+'27'!F26</f>
        <v>3967</v>
      </c>
      <c r="G26" s="33">
        <f>E26+'27'!G26</f>
        <v>16427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4750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17</v>
      </c>
      <c r="F30" s="32">
        <f>E30+'27'!F30</f>
        <v>378</v>
      </c>
      <c r="G30" s="33">
        <f>E30+'27'!G30</f>
        <v>1811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16</v>
      </c>
      <c r="F31" s="12">
        <f>E31+'27'!F31</f>
        <v>374</v>
      </c>
      <c r="G31" s="13">
        <f>E31+'27'!G31</f>
        <v>1822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E32+'27'!F32</f>
        <v>595</v>
      </c>
      <c r="G32" s="13">
        <f>E32+'27'!G32</f>
        <v>2377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22.23</v>
      </c>
      <c r="F33" s="47">
        <v>1676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44</v>
      </c>
      <c r="F35" s="32">
        <f>E35+'27'!F35</f>
        <v>692</v>
      </c>
      <c r="G35" s="33">
        <f>E35+'27'!G35</f>
        <v>2850</v>
      </c>
    </row>
    <row r="36" spans="2:7" ht="30.95" customHeight="1">
      <c r="B36" s="59">
        <v>6</v>
      </c>
      <c r="C36" s="53" t="s">
        <v>50</v>
      </c>
      <c r="D36" s="54" t="s">
        <v>43</v>
      </c>
      <c r="E36" s="60">
        <v>0</v>
      </c>
      <c r="F36" s="12">
        <f>E36+'27'!F36</f>
        <v>61</v>
      </c>
      <c r="G36" s="13">
        <f>E36+'27'!G36</f>
        <v>277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E37+'27'!F37</f>
        <v>0</v>
      </c>
      <c r="G37" s="48">
        <f>E37+'27'!G37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L40"/>
  <sheetViews>
    <sheetView zoomScale="80" zoomScaleNormal="80" workbookViewId="0">
      <pane xSplit="4" ySplit="6" topLeftCell="E34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'28'!E6+1</f>
        <v>46232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187800</v>
      </c>
      <c r="F7" s="12">
        <f>E7+'28'!F7</f>
        <v>5039300</v>
      </c>
      <c r="G7" s="13">
        <f>E7+'28'!G7</f>
        <v>19359265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18189</v>
      </c>
      <c r="F8" s="12">
        <f>E8+'28'!F8</f>
        <v>515235</v>
      </c>
      <c r="G8" s="13">
        <f>E8+'28'!G8</f>
        <v>2117830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169611</v>
      </c>
      <c r="F9" s="12">
        <f>E9+'28'!F9</f>
        <v>4524065</v>
      </c>
      <c r="G9" s="13">
        <f>E9+'28'!G9</f>
        <v>17241435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9.6853035143769972</v>
      </c>
      <c r="F10" s="15">
        <f>F8/F7*100</f>
        <v>10.22433671343242</v>
      </c>
      <c r="G10" s="16">
        <f>G8/G7*100</f>
        <v>10.939619866766638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7.8250000000000002</v>
      </c>
      <c r="F11" s="15">
        <f>F7/F12/1000</f>
        <v>7.240373563218391</v>
      </c>
      <c r="G11" s="16">
        <f>G7/G12/1000</f>
        <v>6.7697785750753594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E12+'28'!F12</f>
        <v>696</v>
      </c>
      <c r="G12" s="13">
        <f>E12+'28'!G12</f>
        <v>2859.66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78.25</v>
      </c>
      <c r="F13" s="15">
        <f>F11/10*100</f>
        <v>72.40373563218391</v>
      </c>
      <c r="G13" s="16">
        <f>G11/10*100</f>
        <v>67.697785750753596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849</v>
      </c>
      <c r="F14" s="12">
        <f>E14+'28'!F14</f>
        <v>23104</v>
      </c>
      <c r="G14" s="13">
        <f>E14+'28'!G14</f>
        <v>90104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830</v>
      </c>
      <c r="F15" s="12">
        <f>E15+'28'!F15</f>
        <v>22453</v>
      </c>
      <c r="G15" s="13">
        <f>E15+'28'!G15</f>
        <v>87366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65</v>
      </c>
      <c r="F16" s="12">
        <f>E16+'28'!F16</f>
        <v>1569</v>
      </c>
      <c r="G16" s="13">
        <f>E16+'28'!G16</f>
        <v>5657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786</v>
      </c>
      <c r="F17" s="12">
        <f>E17+'28'!F17</f>
        <v>21018</v>
      </c>
      <c r="G17" s="13">
        <f>E17+'28'!G17</f>
        <v>80644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609</v>
      </c>
      <c r="F18" s="12">
        <f>E18+'28'!F18</f>
        <v>16531</v>
      </c>
      <c r="G18" s="13">
        <f>E18+'28'!G18</f>
        <v>64415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E19+'28'!F19</f>
        <v>516</v>
      </c>
      <c r="G19" s="13">
        <f>E19+'28'!G19</f>
        <v>2131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4.1853035143769972</v>
      </c>
      <c r="F20" s="15">
        <f>F17*1000/F7</f>
        <v>4.1708173754291273</v>
      </c>
      <c r="G20" s="16">
        <f>G17*1000/G7</f>
        <v>4.1656540163069211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0.75079872204472842</v>
      </c>
      <c r="F21" s="19">
        <f>F26*1000/F7</f>
        <v>0.81519258627190283</v>
      </c>
      <c r="G21" s="20">
        <f>G26*1000/G7</f>
        <v>0.85581761497660169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2818.4664536741216</v>
      </c>
      <c r="F22" s="21">
        <f t="shared" ref="F22:G22" si="0">((F17*(803-130)+F31*(30))*1000)/F7</f>
        <v>2809.2520786617188</v>
      </c>
      <c r="G22" s="21">
        <f t="shared" si="0"/>
        <v>2806.3256533757867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3813.3174954261217</v>
      </c>
      <c r="F23" s="21">
        <f t="shared" ref="F23:G23" si="1">(F15*(803-130))*1000/(F7*0.78)</f>
        <v>3844.3650853013264</v>
      </c>
      <c r="G23" s="21">
        <f t="shared" si="1"/>
        <v>3893.8036605768307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E24+'28'!F24</f>
        <v>0</v>
      </c>
      <c r="G24" s="27">
        <f>E24+'28'!G24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141</v>
      </c>
      <c r="F26" s="32">
        <f>E26+'28'!F26</f>
        <v>4108</v>
      </c>
      <c r="G26" s="33">
        <f>E26+'28'!G26</f>
        <v>16568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4546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9</v>
      </c>
      <c r="F30" s="32">
        <f>E30+'28'!F30</f>
        <v>387</v>
      </c>
      <c r="G30" s="33">
        <f>E30+'28'!G30</f>
        <v>1820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11</v>
      </c>
      <c r="F31" s="12">
        <f>E31+'28'!F31</f>
        <v>385</v>
      </c>
      <c r="G31" s="13">
        <f>E31+'28'!G31</f>
        <v>1833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21</v>
      </c>
      <c r="F32" s="12">
        <f>E32+'28'!F32</f>
        <v>616</v>
      </c>
      <c r="G32" s="13">
        <f>E32+'28'!G32</f>
        <v>2398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18.309999999999999</v>
      </c>
      <c r="F33" s="47">
        <v>1392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50</v>
      </c>
      <c r="F35" s="32">
        <f>E35+'28'!F35</f>
        <v>742</v>
      </c>
      <c r="G35" s="33">
        <f>E35+'28'!G35</f>
        <v>2900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E36+'28'!F36</f>
        <v>61</v>
      </c>
      <c r="G36" s="13">
        <f>E36+'28'!G36</f>
        <v>277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E37+'28'!F37</f>
        <v>0</v>
      </c>
      <c r="G37" s="48">
        <f>E37+'28'!G37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L40"/>
  <sheetViews>
    <sheetView zoomScale="80" zoomScaleNormal="80" workbookViewId="0">
      <pane xSplit="4" ySplit="6" topLeftCell="E34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'29'!E6+1</f>
        <v>46233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186800</v>
      </c>
      <c r="F7" s="12">
        <f>E7+'29'!F7</f>
        <v>5226100</v>
      </c>
      <c r="G7" s="13">
        <f>E7+'29'!G7</f>
        <v>19546065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17875</v>
      </c>
      <c r="F8" s="12">
        <f>E8+'29'!F8</f>
        <v>533110</v>
      </c>
      <c r="G8" s="13">
        <f>E8+'29'!G8</f>
        <v>2135705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168925</v>
      </c>
      <c r="F9" s="12">
        <f>E9+'29'!F9</f>
        <v>4692990</v>
      </c>
      <c r="G9" s="13">
        <f>E9+'29'!G9</f>
        <v>17410360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9.5690578158458237</v>
      </c>
      <c r="F10" s="15">
        <f>F8/F7*100</f>
        <v>10.2009146399801</v>
      </c>
      <c r="G10" s="16">
        <f>G8/G7*100</f>
        <v>10.926521527478805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7.7833333333333332</v>
      </c>
      <c r="F11" s="15">
        <f>F7/F12/1000</f>
        <v>7.2584722222222222</v>
      </c>
      <c r="G11" s="16">
        <f>G7/G12/1000</f>
        <v>6.7782141445246671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E12+'29'!F12</f>
        <v>720</v>
      </c>
      <c r="G12" s="13">
        <f>E12+'29'!G12</f>
        <v>2883.66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77.833333333333329</v>
      </c>
      <c r="F13" s="15">
        <f>F11/10*100</f>
        <v>72.584722222222226</v>
      </c>
      <c r="G13" s="16">
        <f>G11/10*100</f>
        <v>67.782141445246666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845</v>
      </c>
      <c r="F14" s="12">
        <f>E14+'29'!F14</f>
        <v>23949</v>
      </c>
      <c r="G14" s="13">
        <f>E14+'29'!G14</f>
        <v>90949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826</v>
      </c>
      <c r="F15" s="12">
        <f>E15+'29'!F15</f>
        <v>23279</v>
      </c>
      <c r="G15" s="13">
        <f>E15+'29'!G15</f>
        <v>88192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66</v>
      </c>
      <c r="F16" s="12">
        <f>E16+'29'!F16</f>
        <v>1635</v>
      </c>
      <c r="G16" s="13">
        <f>E16+'29'!G16</f>
        <v>5723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778</v>
      </c>
      <c r="F17" s="12">
        <f>E17+'29'!F17</f>
        <v>21796</v>
      </c>
      <c r="G17" s="13">
        <f>E17+'29'!G17</f>
        <v>81422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605</v>
      </c>
      <c r="F18" s="12">
        <f>E18+'29'!F18</f>
        <v>17136</v>
      </c>
      <c r="G18" s="13">
        <f>E18+'29'!G18</f>
        <v>65020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E19+'29'!F19</f>
        <v>534</v>
      </c>
      <c r="G19" s="13">
        <f>E19+'29'!G19</f>
        <v>2149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4.164882226980728</v>
      </c>
      <c r="F20" s="15">
        <f>F17*1000/F7</f>
        <v>4.1706052314345303</v>
      </c>
      <c r="G20" s="16">
        <f>G17*1000/G7</f>
        <v>4.1656466403851615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0.74946466809421841</v>
      </c>
      <c r="F21" s="19">
        <f>F26*1000/F7</f>
        <v>0.81284322917663265</v>
      </c>
      <c r="G21" s="20">
        <f>G26*1000/G7</f>
        <v>0.85480120934827553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2804.8929336188435</v>
      </c>
      <c r="F22" s="21">
        <f t="shared" ref="F22:G22" si="0">((F17*(803-130)+F31*(30))*1000)/F7</f>
        <v>2809.0962668146417</v>
      </c>
      <c r="G22" s="21">
        <f t="shared" si="0"/>
        <v>2806.3119610008462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3815.2555866688631</v>
      </c>
      <c r="F23" s="21">
        <f t="shared" ref="F23:G23" si="1">(F15*(803-130))*1000/(F7*0.78)</f>
        <v>3843.3246049537356</v>
      </c>
      <c r="G23" s="21">
        <f t="shared" si="1"/>
        <v>3893.0529836397586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E24+'29'!F24</f>
        <v>0</v>
      </c>
      <c r="G24" s="27">
        <f>E24+'29'!G24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140</v>
      </c>
      <c r="F26" s="32">
        <f>E26+'29'!F26</f>
        <v>4248</v>
      </c>
      <c r="G26" s="33">
        <f>E26+'29'!G26</f>
        <v>16708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4522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11</v>
      </c>
      <c r="F30" s="32">
        <f>E30+'29'!F30</f>
        <v>398</v>
      </c>
      <c r="G30" s="33">
        <f>E30+'29'!G30</f>
        <v>1831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f>E31+'29'!F31</f>
        <v>397</v>
      </c>
      <c r="G31" s="13">
        <f>E31+'29'!G31</f>
        <v>1845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E32+'29'!F32</f>
        <v>634</v>
      </c>
      <c r="G32" s="13">
        <f>E32+'29'!G32</f>
        <v>2416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18.72</v>
      </c>
      <c r="F33" s="47">
        <v>1396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48</v>
      </c>
      <c r="F35" s="32">
        <f>E35+'29'!F35</f>
        <v>790</v>
      </c>
      <c r="G35" s="33">
        <f>E35+'29'!G35</f>
        <v>2948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E36+'29'!F36</f>
        <v>61</v>
      </c>
      <c r="G36" s="13">
        <f>E36+'29'!G36</f>
        <v>277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E37+'29'!F37</f>
        <v>0</v>
      </c>
      <c r="G37" s="48">
        <f>E37+'29'!G37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L40"/>
  <sheetViews>
    <sheetView tabSelected="1" zoomScale="80" zoomScaleNormal="80" workbookViewId="0">
      <pane xSplit="4" ySplit="6" topLeftCell="E34" activePane="bottomRight" state="frozen"/>
      <selection pane="topRight"/>
      <selection pane="bottomLeft"/>
      <selection pane="bottomRight" activeCell="E35" sqref="E35:G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8"/>
      <c r="C2" s="98"/>
      <c r="D2" s="98"/>
      <c r="E2" s="98"/>
      <c r="F2" s="98"/>
      <c r="G2" s="98"/>
      <c r="H2" s="3"/>
      <c r="I2" s="3"/>
      <c r="J2" s="3"/>
      <c r="K2" s="3"/>
      <c r="L2" s="3"/>
    </row>
    <row r="3" spans="1:12" ht="36.75" customHeight="1">
      <c r="B3" s="99" t="s">
        <v>0</v>
      </c>
      <c r="C3" s="99"/>
      <c r="D3" s="99"/>
      <c r="E3" s="99"/>
      <c r="F3" s="99"/>
      <c r="G3" s="99"/>
      <c r="H3" s="4"/>
      <c r="I3" s="4"/>
      <c r="J3" s="4"/>
      <c r="K3" s="4"/>
      <c r="L3" s="3"/>
    </row>
    <row r="4" spans="1:12" ht="30.95" customHeight="1">
      <c r="B4" s="100" t="s">
        <v>51</v>
      </c>
      <c r="C4" s="100"/>
      <c r="D4" s="100"/>
      <c r="E4" s="100"/>
      <c r="F4" s="100"/>
      <c r="G4" s="100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'30'!E6+1</f>
        <v>46234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180300</v>
      </c>
      <c r="F7" s="12">
        <f>E7+'30'!F7</f>
        <v>5406400</v>
      </c>
      <c r="G7" s="13">
        <f>E7+'30'!G7</f>
        <v>19726365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17840</v>
      </c>
      <c r="F8" s="12">
        <f>E8+'30'!F8</f>
        <v>550950</v>
      </c>
      <c r="G8" s="13">
        <f>E8+'30'!G8</f>
        <v>2153545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162460</v>
      </c>
      <c r="F9" s="12">
        <f>E9+'30'!F9</f>
        <v>4855450</v>
      </c>
      <c r="G9" s="13">
        <f>E9+'30'!G9</f>
        <v>17572820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9.8946200776483639</v>
      </c>
      <c r="F10" s="15">
        <f>F8/F7*100</f>
        <v>10.190699911216337</v>
      </c>
      <c r="G10" s="16">
        <f>G8/G7*100</f>
        <v>10.917089894666351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7.5125000000000002</v>
      </c>
      <c r="F11" s="15">
        <f>F7/F12/1000</f>
        <v>7.2666666666666666</v>
      </c>
      <c r="G11" s="16">
        <f>G7/G12/1000</f>
        <v>6.7842749840077596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E12+'30'!F12</f>
        <v>744</v>
      </c>
      <c r="G12" s="13">
        <f>E12+'30'!G12</f>
        <v>2907.66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75.125</v>
      </c>
      <c r="F13" s="15">
        <f>F11/10*100</f>
        <v>72.666666666666671</v>
      </c>
      <c r="G13" s="16">
        <f>G11/10*100</f>
        <v>67.842749840077602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824</v>
      </c>
      <c r="F14" s="12">
        <f>E14+'30'!F14</f>
        <v>24773</v>
      </c>
      <c r="G14" s="13">
        <f>E14+'30'!G14</f>
        <v>91773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796</v>
      </c>
      <c r="F15" s="12">
        <f>E15+'30'!F15</f>
        <v>24075</v>
      </c>
      <c r="G15" s="13">
        <f>E15+'30'!G15</f>
        <v>88988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57</v>
      </c>
      <c r="F16" s="12">
        <f>E16+'30'!F16</f>
        <v>1692</v>
      </c>
      <c r="G16" s="13">
        <f>E16+'30'!G16</f>
        <v>5780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751</v>
      </c>
      <c r="F17" s="12">
        <f>E17+'30'!F17</f>
        <v>22547</v>
      </c>
      <c r="G17" s="13">
        <f>E17+'30'!G17</f>
        <v>82173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593</v>
      </c>
      <c r="F18" s="12">
        <f>E18+'30'!F18</f>
        <v>17729</v>
      </c>
      <c r="G18" s="13">
        <f>E18+'30'!G18</f>
        <v>65613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0</v>
      </c>
      <c r="F19" s="12">
        <f>E19+'30'!F19</f>
        <v>534</v>
      </c>
      <c r="G19" s="13">
        <f>E19+'30'!G19</f>
        <v>2149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4.1652800887409871</v>
      </c>
      <c r="F20" s="15">
        <f>F17*1000/F7</f>
        <v>4.1704276413139985</v>
      </c>
      <c r="G20" s="16">
        <f>G17*1000/G7</f>
        <v>4.1656432900841081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0.75429839156960621</v>
      </c>
      <c r="F21" s="19">
        <f>F26*1000/F7</f>
        <v>0.81089079609351877</v>
      </c>
      <c r="G21" s="20">
        <f>G26*1000/G7</f>
        <v>0.85388260837716423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2805.2301719356628</v>
      </c>
      <c r="F22" s="21">
        <f t="shared" ref="F22:G22" si="0">((F17*(803-130)+F31*(30))*1000)/F7</f>
        <v>2808.9673350103581</v>
      </c>
      <c r="G22" s="21">
        <f t="shared" si="0"/>
        <v>2806.3020733926396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3809.2353200506277</v>
      </c>
      <c r="F23" s="21">
        <f t="shared" ref="F23:G23" si="1">(F15*(803-130))*1000/(F7*0.78)</f>
        <v>3842.1877489926469</v>
      </c>
      <c r="G23" s="21">
        <f t="shared" si="1"/>
        <v>3892.2868858439856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E24+'30'!F24</f>
        <v>0</v>
      </c>
      <c r="G24" s="27">
        <f>E24+'30'!G24</f>
        <v>1468</v>
      </c>
    </row>
    <row r="25" spans="2:8" ht="30.95" customHeight="1">
      <c r="B25" s="101" t="s">
        <v>30</v>
      </c>
      <c r="C25" s="102"/>
      <c r="D25" s="102"/>
      <c r="E25" s="102"/>
      <c r="F25" s="102"/>
      <c r="G25" s="103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136</v>
      </c>
      <c r="F26" s="32">
        <f>E26+'30'!F26</f>
        <v>4384</v>
      </c>
      <c r="G26" s="33">
        <f>E26+'30'!G26</f>
        <v>16844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4768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1" t="s">
        <v>34</v>
      </c>
      <c r="C29" s="102"/>
      <c r="D29" s="102"/>
      <c r="E29" s="102"/>
      <c r="F29" s="102"/>
      <c r="G29" s="103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12</v>
      </c>
      <c r="F30" s="32">
        <f>E30+'30'!F30</f>
        <v>410</v>
      </c>
      <c r="G30" s="33">
        <f>E30+'30'!G30</f>
        <v>1843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f>E31+'30'!F31</f>
        <v>409</v>
      </c>
      <c r="G31" s="13">
        <f>E31+'30'!G31</f>
        <v>1857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f>E32+'30'!F32</f>
        <v>651</v>
      </c>
      <c r="G32" s="13">
        <f>E32+'30'!G32</f>
        <v>2433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21</v>
      </c>
      <c r="F33" s="47">
        <v>1668</v>
      </c>
      <c r="G33" s="48"/>
    </row>
    <row r="34" spans="2:7" ht="30.95" customHeight="1">
      <c r="B34" s="95" t="s">
        <v>42</v>
      </c>
      <c r="C34" s="96"/>
      <c r="D34" s="96"/>
      <c r="E34" s="96"/>
      <c r="F34" s="96"/>
      <c r="G34" s="97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1</v>
      </c>
      <c r="F35" s="32">
        <f>E35+'30'!F35</f>
        <v>791</v>
      </c>
      <c r="G35" s="33">
        <f>E35+'30'!G35</f>
        <v>2949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32</v>
      </c>
      <c r="F36" s="12">
        <f>E36+'30'!F36</f>
        <v>93</v>
      </c>
      <c r="G36" s="13">
        <f>E36+'30'!G36</f>
        <v>309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E37+'30'!F37</f>
        <v>0</v>
      </c>
      <c r="G37" s="48">
        <f>F37+'30'!G37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Sheet1</vt:lpstr>
      <vt:lpstr>'0'!Print_Area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shishupal_2</dc:creator>
  <cp:lastModifiedBy>POWER PLANT</cp:lastModifiedBy>
  <cp:lastPrinted>2018-03-31T06:53:00Z</cp:lastPrinted>
  <dcterms:created xsi:type="dcterms:W3CDTF">2014-07-10T19:27:00Z</dcterms:created>
  <dcterms:modified xsi:type="dcterms:W3CDTF">2026-08-07T07:47:49Z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4D0260AB3DDA40C18C57D4897C40BC09</vt:lpwstr>
  </property>
  <property fmtid="{D5CDD505-2E9C-101B-9397-08002B2CF9AE}" pid="3" name="KSOProductBuildVer">
    <vt:lpwstr>1033-11.2.0.11156</vt:lpwstr>
  </property>
</Properties>
</file>