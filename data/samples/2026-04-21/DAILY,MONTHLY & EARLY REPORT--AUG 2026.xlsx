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OWER PLANT\Desktop\MIS REPORT DONT DELETE\2026\AUG-2026\"/>
    </mc:Choice>
  </mc:AlternateContent>
  <xr:revisionPtr revIDLastSave="0" documentId="13_ncr:1_{4E0CE33F-94F0-42A8-B443-26218E4876A3}" xr6:coauthVersionLast="41" xr6:coauthVersionMax="47" xr10:uidLastSave="{00000000-0000-0000-0000-000000000000}"/>
  <bookViews>
    <workbookView xWindow="-120" yWindow="-120" windowWidth="20730" windowHeight="11160" tabRatio="946" firstSheet="1" activeTab="31" xr2:uid="{00000000-000D-0000-FFFF-FFFF00000000}"/>
  </bookViews>
  <sheets>
    <sheet name="0" sheetId="114" r:id="rId1"/>
    <sheet name="1" sheetId="33" r:id="rId2"/>
    <sheet name="2" sheetId="34" r:id="rId3"/>
    <sheet name="3" sheetId="79" r:id="rId4"/>
    <sheet name="4" sheetId="80" r:id="rId5"/>
    <sheet name="5" sheetId="81" r:id="rId6"/>
    <sheet name="6" sheetId="82" r:id="rId7"/>
    <sheet name="7" sheetId="83" r:id="rId8"/>
    <sheet name="8" sheetId="84" r:id="rId9"/>
    <sheet name="9" sheetId="85" r:id="rId10"/>
    <sheet name="10" sheetId="86" r:id="rId11"/>
    <sheet name="11" sheetId="87" r:id="rId12"/>
    <sheet name="12" sheetId="88" r:id="rId13"/>
    <sheet name="13" sheetId="89" r:id="rId14"/>
    <sheet name="14" sheetId="90" r:id="rId15"/>
    <sheet name="15" sheetId="91" r:id="rId16"/>
    <sheet name="16" sheetId="92" r:id="rId17"/>
    <sheet name="17" sheetId="93" r:id="rId18"/>
    <sheet name="18" sheetId="94" r:id="rId19"/>
    <sheet name="19" sheetId="95" r:id="rId20"/>
    <sheet name="20" sheetId="96" r:id="rId21"/>
    <sheet name="21" sheetId="97" r:id="rId22"/>
    <sheet name="22" sheetId="98" r:id="rId23"/>
    <sheet name="23" sheetId="99" r:id="rId24"/>
    <sheet name="24" sheetId="101" r:id="rId25"/>
    <sheet name="25" sheetId="100" r:id="rId26"/>
    <sheet name="26" sheetId="102" r:id="rId27"/>
    <sheet name="27" sheetId="103" r:id="rId28"/>
    <sheet name="28" sheetId="104" r:id="rId29"/>
    <sheet name="29" sheetId="115" r:id="rId30"/>
    <sheet name="30" sheetId="116" r:id="rId31"/>
    <sheet name="31" sheetId="117" r:id="rId32"/>
    <sheet name="Sheet1" sheetId="118" r:id="rId33"/>
  </sheets>
  <externalReferences>
    <externalReference r:id="rId34"/>
  </externalReferences>
  <definedNames>
    <definedName name="_xlnm.Print_Area" localSheetId="0">'0'!$A$1:$H$1</definedName>
    <definedName name="_xlnm.Print_Area" localSheetId="1">'1'!$A$1:$H$41</definedName>
    <definedName name="_xlnm.Print_Area" localSheetId="10">'10'!$A$1:$H$41</definedName>
    <definedName name="_xlnm.Print_Area" localSheetId="11">'11'!$A$1:$H$41</definedName>
    <definedName name="_xlnm.Print_Area" localSheetId="12">'12'!$A$1:$H$41</definedName>
    <definedName name="_xlnm.Print_Area" localSheetId="13">'13'!$A$1:$H$41</definedName>
    <definedName name="_xlnm.Print_Area" localSheetId="14">'14'!$A$1:$H$41</definedName>
    <definedName name="_xlnm.Print_Area" localSheetId="15">'15'!$A$1:$H$41</definedName>
    <definedName name="_xlnm.Print_Area" localSheetId="16">'16'!$A$1:$H$41</definedName>
    <definedName name="_xlnm.Print_Area" localSheetId="17">'17'!$A$1:$H$41</definedName>
    <definedName name="_xlnm.Print_Area" localSheetId="18">'18'!$A$1:$H$41</definedName>
    <definedName name="_xlnm.Print_Area" localSheetId="19">'19'!$A$1:$H$41</definedName>
    <definedName name="_xlnm.Print_Area" localSheetId="2">'2'!$A$1:$H$41</definedName>
    <definedName name="_xlnm.Print_Area" localSheetId="20">'20'!$A$1:$H$41</definedName>
    <definedName name="_xlnm.Print_Area" localSheetId="21">'21'!$A$1:$H$41</definedName>
    <definedName name="_xlnm.Print_Area" localSheetId="22">'22'!$A$1:$H$41</definedName>
    <definedName name="_xlnm.Print_Area" localSheetId="23">'23'!$A$1:$H$41</definedName>
    <definedName name="_xlnm.Print_Area" localSheetId="24">'24'!$A$1:$H$41</definedName>
    <definedName name="_xlnm.Print_Area" localSheetId="25">'25'!$A$1:$H$40</definedName>
    <definedName name="_xlnm.Print_Area" localSheetId="26">'26'!$A$1:$H$40</definedName>
    <definedName name="_xlnm.Print_Area" localSheetId="27">'27'!$A$1:$H$40</definedName>
    <definedName name="_xlnm.Print_Area" localSheetId="28">'28'!$A$1:$H$41</definedName>
    <definedName name="_xlnm.Print_Area" localSheetId="29">'29'!$A$1:$H$41</definedName>
    <definedName name="_xlnm.Print_Area" localSheetId="3">'3'!$A$1:$H$41</definedName>
    <definedName name="_xlnm.Print_Area" localSheetId="30">'30'!$A$1:$H$41</definedName>
    <definedName name="_xlnm.Print_Area" localSheetId="31">'31'!$A$1:$H$41</definedName>
    <definedName name="_xlnm.Print_Area" localSheetId="4">'4'!$A$1:$H$41</definedName>
    <definedName name="_xlnm.Print_Area" localSheetId="5">'5'!$A$1:$H$41</definedName>
    <definedName name="_xlnm.Print_Area" localSheetId="6">'6'!$A$1:$H$41</definedName>
    <definedName name="_xlnm.Print_Area" localSheetId="7">'7'!$A$1:$H$41</definedName>
    <definedName name="_xlnm.Print_Area" localSheetId="8">'8'!$A$1:$H$41</definedName>
    <definedName name="_xlnm.Print_Area" localSheetId="9">'9'!$A$1:$H$41</definedName>
  </definedNames>
  <calcPr calcId="191029"/>
</workbook>
</file>

<file path=xl/calcChain.xml><?xml version="1.0" encoding="utf-8"?>
<calcChain xmlns="http://schemas.openxmlformats.org/spreadsheetml/2006/main">
  <c r="G36" i="114" l="1"/>
  <c r="F36" i="114"/>
  <c r="G35" i="114"/>
  <c r="F35" i="114"/>
  <c r="G36" i="33" l="1"/>
  <c r="F35" i="33"/>
  <c r="F36" i="33"/>
  <c r="G35" i="33"/>
  <c r="E9" i="83" l="1"/>
  <c r="E22" i="101" l="1"/>
  <c r="E22" i="97" l="1"/>
  <c r="E23" i="117" l="1"/>
  <c r="E22" i="117"/>
  <c r="E21" i="117"/>
  <c r="E20" i="117"/>
  <c r="E11" i="117"/>
  <c r="E13" i="117" s="1"/>
  <c r="E10" i="117"/>
  <c r="E9" i="117"/>
  <c r="E23" i="116"/>
  <c r="E22" i="116"/>
  <c r="E21" i="116"/>
  <c r="E20" i="116"/>
  <c r="E11" i="116"/>
  <c r="E13" i="116" s="1"/>
  <c r="E10" i="116"/>
  <c r="E9" i="116"/>
  <c r="E23" i="115"/>
  <c r="E22" i="115"/>
  <c r="E21" i="115"/>
  <c r="E20" i="115"/>
  <c r="E11" i="115"/>
  <c r="E13" i="115" s="1"/>
  <c r="E10" i="115"/>
  <c r="E9" i="115"/>
  <c r="E23" i="104"/>
  <c r="E22" i="104"/>
  <c r="E21" i="104"/>
  <c r="E20" i="104"/>
  <c r="E11" i="104"/>
  <c r="E13" i="104" s="1"/>
  <c r="E10" i="104"/>
  <c r="E9" i="104"/>
  <c r="E23" i="103"/>
  <c r="E22" i="103"/>
  <c r="E21" i="103"/>
  <c r="E20" i="103"/>
  <c r="E11" i="103"/>
  <c r="E13" i="103" s="1"/>
  <c r="E10" i="103"/>
  <c r="E9" i="103"/>
  <c r="E23" i="102"/>
  <c r="E22" i="102"/>
  <c r="E21" i="102"/>
  <c r="E20" i="102"/>
  <c r="E11" i="102"/>
  <c r="E13" i="102" s="1"/>
  <c r="E10" i="102"/>
  <c r="E9" i="102"/>
  <c r="E23" i="100"/>
  <c r="E22" i="100"/>
  <c r="E21" i="100"/>
  <c r="E20" i="100"/>
  <c r="E11" i="100"/>
  <c r="E13" i="100" s="1"/>
  <c r="E10" i="100"/>
  <c r="E9" i="100"/>
  <c r="E23" i="101"/>
  <c r="E21" i="101"/>
  <c r="E20" i="101"/>
  <c r="E11" i="101"/>
  <c r="E13" i="101" s="1"/>
  <c r="E10" i="101"/>
  <c r="E9" i="101"/>
  <c r="E23" i="99"/>
  <c r="E22" i="99"/>
  <c r="E21" i="99"/>
  <c r="E20" i="99"/>
  <c r="E11" i="99"/>
  <c r="E13" i="99" s="1"/>
  <c r="E10" i="99"/>
  <c r="E9" i="99"/>
  <c r="E23" i="98"/>
  <c r="E22" i="98"/>
  <c r="E21" i="98"/>
  <c r="E20" i="98"/>
  <c r="E11" i="98"/>
  <c r="E13" i="98" s="1"/>
  <c r="E10" i="98"/>
  <c r="E9" i="98"/>
  <c r="E23" i="97"/>
  <c r="E21" i="97"/>
  <c r="E20" i="97"/>
  <c r="E11" i="97"/>
  <c r="E13" i="97" s="1"/>
  <c r="E10" i="97"/>
  <c r="E9" i="97"/>
  <c r="E23" i="96"/>
  <c r="E22" i="96"/>
  <c r="E21" i="96"/>
  <c r="E20" i="96"/>
  <c r="E11" i="96"/>
  <c r="E13" i="96" s="1"/>
  <c r="E10" i="96"/>
  <c r="E9" i="96"/>
  <c r="E23" i="95"/>
  <c r="E22" i="95"/>
  <c r="E21" i="95"/>
  <c r="E20" i="95"/>
  <c r="E11" i="95"/>
  <c r="E13" i="95" s="1"/>
  <c r="E10" i="95"/>
  <c r="E9" i="95"/>
  <c r="E23" i="94"/>
  <c r="E22" i="94"/>
  <c r="E21" i="94"/>
  <c r="E20" i="94"/>
  <c r="E11" i="94"/>
  <c r="E13" i="94" s="1"/>
  <c r="E10" i="94"/>
  <c r="E9" i="94"/>
  <c r="E23" i="93"/>
  <c r="E22" i="93"/>
  <c r="E21" i="93"/>
  <c r="E20" i="93"/>
  <c r="E11" i="93"/>
  <c r="E13" i="93" s="1"/>
  <c r="E10" i="93"/>
  <c r="E9" i="93"/>
  <c r="E23" i="92"/>
  <c r="E22" i="92"/>
  <c r="E21" i="92"/>
  <c r="E20" i="92"/>
  <c r="E11" i="92"/>
  <c r="E13" i="92" s="1"/>
  <c r="E10" i="92"/>
  <c r="E9" i="92"/>
  <c r="E23" i="91"/>
  <c r="E22" i="91"/>
  <c r="E21" i="91"/>
  <c r="E20" i="91"/>
  <c r="E11" i="91"/>
  <c r="E13" i="91" s="1"/>
  <c r="E10" i="91"/>
  <c r="E9" i="91"/>
  <c r="E23" i="90"/>
  <c r="E22" i="90"/>
  <c r="E21" i="90"/>
  <c r="E20" i="90"/>
  <c r="E11" i="90"/>
  <c r="E13" i="90" s="1"/>
  <c r="E10" i="90"/>
  <c r="E9" i="90"/>
  <c r="E23" i="89"/>
  <c r="E22" i="89"/>
  <c r="E21" i="89"/>
  <c r="E20" i="89"/>
  <c r="E11" i="89"/>
  <c r="E13" i="89" s="1"/>
  <c r="E10" i="89"/>
  <c r="E9" i="89"/>
  <c r="E23" i="88"/>
  <c r="E22" i="88"/>
  <c r="E21" i="88"/>
  <c r="E20" i="88"/>
  <c r="E11" i="88"/>
  <c r="E13" i="88" s="1"/>
  <c r="E10" i="88"/>
  <c r="E9" i="88"/>
  <c r="E23" i="87"/>
  <c r="E22" i="87"/>
  <c r="E21" i="87"/>
  <c r="E20" i="87"/>
  <c r="E11" i="87"/>
  <c r="E13" i="87" s="1"/>
  <c r="E10" i="87"/>
  <c r="E9" i="87"/>
  <c r="E23" i="86"/>
  <c r="E22" i="86"/>
  <c r="E21" i="86"/>
  <c r="E20" i="86"/>
  <c r="E11" i="86"/>
  <c r="E13" i="86" s="1"/>
  <c r="E10" i="86"/>
  <c r="E9" i="86"/>
  <c r="E23" i="85"/>
  <c r="E22" i="85"/>
  <c r="E21" i="85"/>
  <c r="E20" i="85"/>
  <c r="E11" i="85"/>
  <c r="E13" i="85" s="1"/>
  <c r="E10" i="85"/>
  <c r="E9" i="85"/>
  <c r="E23" i="84"/>
  <c r="E22" i="84"/>
  <c r="E21" i="84"/>
  <c r="E20" i="84"/>
  <c r="E11" i="84"/>
  <c r="E13" i="84" s="1"/>
  <c r="E10" i="84"/>
  <c r="E9" i="84"/>
  <c r="E23" i="83"/>
  <c r="E22" i="83"/>
  <c r="E21" i="83"/>
  <c r="E20" i="83"/>
  <c r="E11" i="83"/>
  <c r="E13" i="83" s="1"/>
  <c r="E10" i="83"/>
  <c r="E23" i="82"/>
  <c r="E22" i="82"/>
  <c r="E21" i="82"/>
  <c r="E20" i="82"/>
  <c r="E11" i="82"/>
  <c r="E13" i="82" s="1"/>
  <c r="E10" i="82"/>
  <c r="E9" i="82"/>
  <c r="E23" i="81"/>
  <c r="E22" i="81"/>
  <c r="E21" i="81"/>
  <c r="E20" i="81"/>
  <c r="E11" i="81"/>
  <c r="E13" i="81" s="1"/>
  <c r="E10" i="81"/>
  <c r="E9" i="81"/>
  <c r="E23" i="80"/>
  <c r="E22" i="80"/>
  <c r="E21" i="80"/>
  <c r="E20" i="80"/>
  <c r="E11" i="80"/>
  <c r="E13" i="80" s="1"/>
  <c r="E10" i="80"/>
  <c r="E9" i="80"/>
  <c r="E23" i="79"/>
  <c r="E22" i="79"/>
  <c r="E21" i="79"/>
  <c r="E20" i="79"/>
  <c r="E11" i="79"/>
  <c r="E13" i="79" s="1"/>
  <c r="E10" i="79"/>
  <c r="E9" i="79"/>
  <c r="E23" i="34"/>
  <c r="E22" i="34"/>
  <c r="E21" i="34"/>
  <c r="E20" i="34"/>
  <c r="E11" i="34"/>
  <c r="E13" i="34" s="1"/>
  <c r="E10" i="34"/>
  <c r="E9" i="34"/>
  <c r="G37" i="33"/>
  <c r="G37" i="34" s="1"/>
  <c r="G37" i="79" s="1"/>
  <c r="G37" i="80" s="1"/>
  <c r="G37" i="81" s="1"/>
  <c r="G37" i="82" s="1"/>
  <c r="G37" i="83" s="1"/>
  <c r="G37" i="84" s="1"/>
  <c r="G37" i="85" s="1"/>
  <c r="G37" i="86" s="1"/>
  <c r="G37" i="87" s="1"/>
  <c r="G37" i="88" s="1"/>
  <c r="G37" i="89" s="1"/>
  <c r="G37" i="90" s="1"/>
  <c r="G37" i="91" s="1"/>
  <c r="G37" i="92" s="1"/>
  <c r="G37" i="93" s="1"/>
  <c r="G37" i="94" s="1"/>
  <c r="G37" i="95" s="1"/>
  <c r="G37" i="96" s="1"/>
  <c r="G37" i="97" s="1"/>
  <c r="G37" i="98" s="1"/>
  <c r="G37" i="99" s="1"/>
  <c r="G37" i="101" s="1"/>
  <c r="G37" i="100" s="1"/>
  <c r="F37" i="33"/>
  <c r="F37" i="34" s="1"/>
  <c r="F37" i="79" s="1"/>
  <c r="F37" i="80" s="1"/>
  <c r="F37" i="81" s="1"/>
  <c r="F37" i="82" s="1"/>
  <c r="F37" i="83" s="1"/>
  <c r="F37" i="84" s="1"/>
  <c r="F37" i="85" s="1"/>
  <c r="F37" i="86" s="1"/>
  <c r="F37" i="87" s="1"/>
  <c r="F37" i="88" s="1"/>
  <c r="F37" i="89" s="1"/>
  <c r="F37" i="90" s="1"/>
  <c r="F37" i="91" s="1"/>
  <c r="F37" i="92" s="1"/>
  <c r="F37" i="93" s="1"/>
  <c r="F37" i="94" s="1"/>
  <c r="F37" i="95" s="1"/>
  <c r="F37" i="96" s="1"/>
  <c r="F37" i="97" s="1"/>
  <c r="F37" i="98" s="1"/>
  <c r="F37" i="99" s="1"/>
  <c r="F37" i="101" s="1"/>
  <c r="F37" i="100" s="1"/>
  <c r="F37" i="103" s="1"/>
  <c r="F37" i="104" s="1"/>
  <c r="F37" i="115" s="1"/>
  <c r="F37" i="116" s="1"/>
  <c r="F37" i="117" s="1"/>
  <c r="G36" i="34"/>
  <c r="G36" i="79" s="1"/>
  <c r="G36" i="80" s="1"/>
  <c r="G36" i="81" s="1"/>
  <c r="G36" i="82" s="1"/>
  <c r="G36" i="83" s="1"/>
  <c r="G36" i="84" s="1"/>
  <c r="G36" i="85" s="1"/>
  <c r="G36" i="86" s="1"/>
  <c r="G36" i="87" s="1"/>
  <c r="G36" i="88" s="1"/>
  <c r="G36" i="89" s="1"/>
  <c r="G36" i="90" s="1"/>
  <c r="G36" i="91" s="1"/>
  <c r="G36" i="92" s="1"/>
  <c r="G36" i="93" s="1"/>
  <c r="G36" i="94" s="1"/>
  <c r="G36" i="95" s="1"/>
  <c r="G36" i="96" s="1"/>
  <c r="G36" i="97" s="1"/>
  <c r="G36" i="98" s="1"/>
  <c r="G36" i="99" s="1"/>
  <c r="G36" i="101" s="1"/>
  <c r="G36" i="100" s="1"/>
  <c r="F36" i="34"/>
  <c r="F36" i="79" s="1"/>
  <c r="F36" i="80" s="1"/>
  <c r="F36" i="81" s="1"/>
  <c r="F36" i="82" s="1"/>
  <c r="F36" i="83" s="1"/>
  <c r="F36" i="84" s="1"/>
  <c r="F36" i="85" s="1"/>
  <c r="F36" i="86" s="1"/>
  <c r="F36" i="87" s="1"/>
  <c r="F36" i="88" s="1"/>
  <c r="F36" i="89" s="1"/>
  <c r="F36" i="90" s="1"/>
  <c r="F36" i="91" s="1"/>
  <c r="F36" i="92" s="1"/>
  <c r="F36" i="93" s="1"/>
  <c r="F36" i="94" s="1"/>
  <c r="F36" i="95" s="1"/>
  <c r="F36" i="96" s="1"/>
  <c r="F36" i="97" s="1"/>
  <c r="F36" i="98" s="1"/>
  <c r="F36" i="99" s="1"/>
  <c r="F36" i="101" s="1"/>
  <c r="F36" i="100" s="1"/>
  <c r="G35" i="34"/>
  <c r="G35" i="79" s="1"/>
  <c r="G35" i="80" s="1"/>
  <c r="G35" i="81" s="1"/>
  <c r="G35" i="82" s="1"/>
  <c r="G35" i="83" s="1"/>
  <c r="G35" i="84" s="1"/>
  <c r="G35" i="85" s="1"/>
  <c r="G35" i="86" s="1"/>
  <c r="G35" i="87" s="1"/>
  <c r="G35" i="88" s="1"/>
  <c r="G35" i="89" s="1"/>
  <c r="G35" i="90" s="1"/>
  <c r="G35" i="91" s="1"/>
  <c r="G35" i="92" s="1"/>
  <c r="G35" i="93" s="1"/>
  <c r="G35" i="94" s="1"/>
  <c r="G35" i="95" s="1"/>
  <c r="G35" i="96" s="1"/>
  <c r="G35" i="97" s="1"/>
  <c r="G35" i="98" s="1"/>
  <c r="G35" i="99" s="1"/>
  <c r="G35" i="101" s="1"/>
  <c r="G35" i="100" s="1"/>
  <c r="F35" i="34"/>
  <c r="F35" i="79" s="1"/>
  <c r="F35" i="80" s="1"/>
  <c r="F35" i="81" s="1"/>
  <c r="F35" i="82" s="1"/>
  <c r="F35" i="83" s="1"/>
  <c r="F35" i="84" s="1"/>
  <c r="F35" i="85" s="1"/>
  <c r="F35" i="86" s="1"/>
  <c r="F35" i="87" s="1"/>
  <c r="F35" i="88" s="1"/>
  <c r="F35" i="89" s="1"/>
  <c r="F35" i="90" s="1"/>
  <c r="F35" i="91" s="1"/>
  <c r="F35" i="92" s="1"/>
  <c r="F35" i="93" s="1"/>
  <c r="F35" i="94" s="1"/>
  <c r="F35" i="95" s="1"/>
  <c r="F35" i="96" s="1"/>
  <c r="F35" i="97" s="1"/>
  <c r="F35" i="98" s="1"/>
  <c r="F35" i="99" s="1"/>
  <c r="F35" i="101" s="1"/>
  <c r="F35" i="100" s="1"/>
  <c r="G32" i="33"/>
  <c r="G32" i="34" s="1"/>
  <c r="G32" i="79" s="1"/>
  <c r="G32" i="80" s="1"/>
  <c r="G32" i="81" s="1"/>
  <c r="G32" i="82" s="1"/>
  <c r="G32" i="83" s="1"/>
  <c r="G32" i="84" s="1"/>
  <c r="G32" i="85" s="1"/>
  <c r="G32" i="86" s="1"/>
  <c r="G32" i="87" s="1"/>
  <c r="G32" i="88" s="1"/>
  <c r="G32" i="89" s="1"/>
  <c r="G32" i="90" s="1"/>
  <c r="G32" i="91" s="1"/>
  <c r="G32" i="92" s="1"/>
  <c r="G32" i="93" s="1"/>
  <c r="G32" i="94" s="1"/>
  <c r="G32" i="95" s="1"/>
  <c r="G32" i="96" s="1"/>
  <c r="G32" i="97" s="1"/>
  <c r="G32" i="98" s="1"/>
  <c r="G32" i="99" s="1"/>
  <c r="G32" i="101" s="1"/>
  <c r="G32" i="100" s="1"/>
  <c r="F32" i="33"/>
  <c r="F32" i="34" s="1"/>
  <c r="F32" i="79" s="1"/>
  <c r="F32" i="80" s="1"/>
  <c r="F32" i="81" s="1"/>
  <c r="F32" i="82" s="1"/>
  <c r="F32" i="83" s="1"/>
  <c r="F32" i="84" s="1"/>
  <c r="F32" i="85" s="1"/>
  <c r="F32" i="86" s="1"/>
  <c r="F32" i="87" s="1"/>
  <c r="F32" i="88" s="1"/>
  <c r="F32" i="89" s="1"/>
  <c r="F32" i="90" s="1"/>
  <c r="F32" i="91" s="1"/>
  <c r="F32" i="92" s="1"/>
  <c r="F32" i="93" s="1"/>
  <c r="F32" i="94" s="1"/>
  <c r="F32" i="95" s="1"/>
  <c r="F32" i="96" s="1"/>
  <c r="F32" i="97" s="1"/>
  <c r="F32" i="98" s="1"/>
  <c r="F32" i="99" s="1"/>
  <c r="F32" i="101" s="1"/>
  <c r="F32" i="100" s="1"/>
  <c r="G31" i="33"/>
  <c r="G31" i="34" s="1"/>
  <c r="G31" i="79" s="1"/>
  <c r="G31" i="80" s="1"/>
  <c r="G31" i="81" s="1"/>
  <c r="G31" i="82" s="1"/>
  <c r="G31" i="83" s="1"/>
  <c r="G31" i="84" s="1"/>
  <c r="G31" i="85" s="1"/>
  <c r="G31" i="86" s="1"/>
  <c r="G31" i="87" s="1"/>
  <c r="G31" i="88" s="1"/>
  <c r="G31" i="89" s="1"/>
  <c r="G31" i="90" s="1"/>
  <c r="G31" i="91" s="1"/>
  <c r="G31" i="92" s="1"/>
  <c r="G31" i="93" s="1"/>
  <c r="G31" i="94" s="1"/>
  <c r="G31" i="95" s="1"/>
  <c r="G31" i="96" s="1"/>
  <c r="G31" i="97" s="1"/>
  <c r="G31" i="98" s="1"/>
  <c r="G31" i="99" s="1"/>
  <c r="G31" i="101" s="1"/>
  <c r="G31" i="100" s="1"/>
  <c r="F31" i="33"/>
  <c r="F31" i="34" s="1"/>
  <c r="F31" i="79" s="1"/>
  <c r="F31" i="80" s="1"/>
  <c r="F31" i="81" s="1"/>
  <c r="F31" i="82" s="1"/>
  <c r="F31" i="83" s="1"/>
  <c r="F31" i="84" s="1"/>
  <c r="F31" i="85" s="1"/>
  <c r="F31" i="86" s="1"/>
  <c r="F31" i="87" s="1"/>
  <c r="F31" i="88" s="1"/>
  <c r="F31" i="89" s="1"/>
  <c r="F31" i="90" s="1"/>
  <c r="F31" i="91" s="1"/>
  <c r="F31" i="92" s="1"/>
  <c r="F31" i="93" s="1"/>
  <c r="F31" i="94" s="1"/>
  <c r="F31" i="95" s="1"/>
  <c r="F31" i="96" s="1"/>
  <c r="F31" i="97" s="1"/>
  <c r="F31" i="98" s="1"/>
  <c r="F31" i="99" s="1"/>
  <c r="F31" i="101" s="1"/>
  <c r="F31" i="100" s="1"/>
  <c r="G30" i="33"/>
  <c r="G30" i="34" s="1"/>
  <c r="G30" i="79" s="1"/>
  <c r="G30" i="80" s="1"/>
  <c r="G30" i="81" s="1"/>
  <c r="G30" i="82" s="1"/>
  <c r="G30" i="83" s="1"/>
  <c r="G30" i="84" s="1"/>
  <c r="G30" i="85" s="1"/>
  <c r="G30" i="86" s="1"/>
  <c r="G30" i="87" s="1"/>
  <c r="G30" i="88" s="1"/>
  <c r="G30" i="89" s="1"/>
  <c r="G30" i="90" s="1"/>
  <c r="G30" i="91" s="1"/>
  <c r="G30" i="92" s="1"/>
  <c r="G30" i="93" s="1"/>
  <c r="G30" i="94" s="1"/>
  <c r="G30" i="95" s="1"/>
  <c r="G30" i="96" s="1"/>
  <c r="G30" i="97" s="1"/>
  <c r="G30" i="98" s="1"/>
  <c r="G30" i="99" s="1"/>
  <c r="G30" i="101" s="1"/>
  <c r="G30" i="100" s="1"/>
  <c r="F30" i="33"/>
  <c r="F30" i="34" s="1"/>
  <c r="F30" i="79" s="1"/>
  <c r="F30" i="80" s="1"/>
  <c r="F30" i="81" s="1"/>
  <c r="F30" i="82" s="1"/>
  <c r="F30" i="83" s="1"/>
  <c r="F30" i="84" s="1"/>
  <c r="F30" i="85" s="1"/>
  <c r="F30" i="86" s="1"/>
  <c r="F30" i="87" s="1"/>
  <c r="F30" i="88" s="1"/>
  <c r="F30" i="89" s="1"/>
  <c r="F30" i="90" s="1"/>
  <c r="F30" i="91" s="1"/>
  <c r="F30" i="92" s="1"/>
  <c r="F30" i="93" s="1"/>
  <c r="F30" i="94" s="1"/>
  <c r="F30" i="95" s="1"/>
  <c r="F30" i="96" s="1"/>
  <c r="F30" i="97" s="1"/>
  <c r="F30" i="98" s="1"/>
  <c r="F30" i="99" s="1"/>
  <c r="F30" i="101" s="1"/>
  <c r="F30" i="100" s="1"/>
  <c r="G26" i="33"/>
  <c r="G26" i="34" s="1"/>
  <c r="F26" i="33"/>
  <c r="F26" i="34" s="1"/>
  <c r="F26" i="79" s="1"/>
  <c r="G24" i="33"/>
  <c r="G24" i="34" s="1"/>
  <c r="G24" i="79" s="1"/>
  <c r="G24" i="80" s="1"/>
  <c r="G24" i="81" s="1"/>
  <c r="G24" i="82" s="1"/>
  <c r="G24" i="83" s="1"/>
  <c r="G24" i="84" s="1"/>
  <c r="G24" i="85" s="1"/>
  <c r="G24" i="86" s="1"/>
  <c r="G24" i="87" s="1"/>
  <c r="G24" i="88" s="1"/>
  <c r="G24" i="89" s="1"/>
  <c r="G24" i="90" s="1"/>
  <c r="G24" i="91" s="1"/>
  <c r="G24" i="92" s="1"/>
  <c r="G24" i="93" s="1"/>
  <c r="G24" i="94" s="1"/>
  <c r="G24" i="95" s="1"/>
  <c r="G24" i="96" s="1"/>
  <c r="G24" i="97" s="1"/>
  <c r="G24" i="98" s="1"/>
  <c r="G24" i="99" s="1"/>
  <c r="G24" i="101" s="1"/>
  <c r="G24" i="100" s="1"/>
  <c r="G24" i="102" s="1"/>
  <c r="G24" i="103" s="1"/>
  <c r="G24" i="104" s="1"/>
  <c r="G24" i="115" s="1"/>
  <c r="G24" i="116" s="1"/>
  <c r="G24" i="117" s="1"/>
  <c r="F24" i="33"/>
  <c r="F24" i="34" s="1"/>
  <c r="F24" i="79" s="1"/>
  <c r="F24" i="80" s="1"/>
  <c r="F24" i="81" s="1"/>
  <c r="F24" i="82" s="1"/>
  <c r="F24" i="83" s="1"/>
  <c r="F24" i="84" s="1"/>
  <c r="F24" i="85" s="1"/>
  <c r="F24" i="86" s="1"/>
  <c r="F24" i="87" s="1"/>
  <c r="F24" i="88" s="1"/>
  <c r="F24" i="89" s="1"/>
  <c r="F24" i="90" s="1"/>
  <c r="F24" i="91" s="1"/>
  <c r="F24" i="92" s="1"/>
  <c r="F24" i="93" s="1"/>
  <c r="F24" i="94" s="1"/>
  <c r="F24" i="95" s="1"/>
  <c r="F24" i="96" s="1"/>
  <c r="F24" i="97" s="1"/>
  <c r="F24" i="98" s="1"/>
  <c r="F24" i="99" s="1"/>
  <c r="F24" i="101" s="1"/>
  <c r="F24" i="100" s="1"/>
  <c r="F24" i="102" s="1"/>
  <c r="F24" i="103" s="1"/>
  <c r="F24" i="104" s="1"/>
  <c r="F24" i="115" s="1"/>
  <c r="F24" i="116" s="1"/>
  <c r="F24" i="117" s="1"/>
  <c r="E23" i="33"/>
  <c r="E22" i="33"/>
  <c r="E21" i="33"/>
  <c r="E20" i="33"/>
  <c r="G19" i="33"/>
  <c r="G19" i="34" s="1"/>
  <c r="G19" i="79" s="1"/>
  <c r="G19" i="80" s="1"/>
  <c r="G19" i="81" s="1"/>
  <c r="G19" i="82" s="1"/>
  <c r="G19" i="83" s="1"/>
  <c r="G19" i="84" s="1"/>
  <c r="G19" i="85" s="1"/>
  <c r="G19" i="86" s="1"/>
  <c r="G19" i="87" s="1"/>
  <c r="G19" i="88" s="1"/>
  <c r="G19" i="89" s="1"/>
  <c r="G19" i="90" s="1"/>
  <c r="G19" i="91" s="1"/>
  <c r="G19" i="92" s="1"/>
  <c r="G19" i="93" s="1"/>
  <c r="G19" i="94" s="1"/>
  <c r="G19" i="95" s="1"/>
  <c r="G19" i="96" s="1"/>
  <c r="G19" i="97" s="1"/>
  <c r="G19" i="98" s="1"/>
  <c r="G19" i="99" s="1"/>
  <c r="G19" i="101" s="1"/>
  <c r="G19" i="100" s="1"/>
  <c r="G19" i="102" s="1"/>
  <c r="G19" i="103" s="1"/>
  <c r="G19" i="104" s="1"/>
  <c r="G19" i="115" s="1"/>
  <c r="G19" i="116" s="1"/>
  <c r="G19" i="117" s="1"/>
  <c r="F19" i="33"/>
  <c r="F19" i="34" s="1"/>
  <c r="F19" i="79" s="1"/>
  <c r="F19" i="80" s="1"/>
  <c r="F19" i="81" s="1"/>
  <c r="F19" i="82" s="1"/>
  <c r="F19" i="83" s="1"/>
  <c r="F19" i="84" s="1"/>
  <c r="F19" i="85" s="1"/>
  <c r="F19" i="86" s="1"/>
  <c r="F19" i="87" s="1"/>
  <c r="F19" i="88" s="1"/>
  <c r="F19" i="89" s="1"/>
  <c r="F19" i="90" s="1"/>
  <c r="F19" i="91" s="1"/>
  <c r="F19" i="92" s="1"/>
  <c r="F19" i="93" s="1"/>
  <c r="F19" i="94" s="1"/>
  <c r="F19" i="95" s="1"/>
  <c r="F19" i="96" s="1"/>
  <c r="F19" i="97" s="1"/>
  <c r="F19" i="98" s="1"/>
  <c r="F19" i="99" s="1"/>
  <c r="F19" i="101" s="1"/>
  <c r="F19" i="100" s="1"/>
  <c r="F19" i="102" s="1"/>
  <c r="F19" i="103" s="1"/>
  <c r="F19" i="104" s="1"/>
  <c r="F19" i="115" s="1"/>
  <c r="F19" i="116" s="1"/>
  <c r="F19" i="117" s="1"/>
  <c r="G18" i="33"/>
  <c r="G18" i="34" s="1"/>
  <c r="G18" i="79" s="1"/>
  <c r="G18" i="80" s="1"/>
  <c r="G18" i="81" s="1"/>
  <c r="G18" i="82" s="1"/>
  <c r="G18" i="83" s="1"/>
  <c r="G18" i="84" s="1"/>
  <c r="G18" i="85" s="1"/>
  <c r="G18" i="86" s="1"/>
  <c r="G18" i="87" s="1"/>
  <c r="G18" i="88" s="1"/>
  <c r="G18" i="89" s="1"/>
  <c r="G18" i="90" s="1"/>
  <c r="G18" i="91" s="1"/>
  <c r="G18" i="92" s="1"/>
  <c r="G18" i="93" s="1"/>
  <c r="G18" i="94" s="1"/>
  <c r="G18" i="95" s="1"/>
  <c r="G18" i="96" s="1"/>
  <c r="G18" i="97" s="1"/>
  <c r="G18" i="98" s="1"/>
  <c r="G18" i="99" s="1"/>
  <c r="G18" i="101" s="1"/>
  <c r="G18" i="100" s="1"/>
  <c r="G18" i="102" s="1"/>
  <c r="G18" i="103" s="1"/>
  <c r="G18" i="104" s="1"/>
  <c r="G18" i="115" s="1"/>
  <c r="G18" i="116" s="1"/>
  <c r="G18" i="117" s="1"/>
  <c r="F18" i="33"/>
  <c r="F18" i="34" s="1"/>
  <c r="F18" i="79" s="1"/>
  <c r="F18" i="80" s="1"/>
  <c r="F18" i="81" s="1"/>
  <c r="F18" i="82" s="1"/>
  <c r="F18" i="83" s="1"/>
  <c r="F18" i="84" s="1"/>
  <c r="F18" i="85" s="1"/>
  <c r="F18" i="86" s="1"/>
  <c r="F18" i="87" s="1"/>
  <c r="F18" i="88" s="1"/>
  <c r="F18" i="89" s="1"/>
  <c r="F18" i="90" s="1"/>
  <c r="F18" i="91" s="1"/>
  <c r="F18" i="92" s="1"/>
  <c r="F18" i="93" s="1"/>
  <c r="F18" i="94" s="1"/>
  <c r="F18" i="95" s="1"/>
  <c r="F18" i="96" s="1"/>
  <c r="F18" i="97" s="1"/>
  <c r="F18" i="98" s="1"/>
  <c r="F18" i="99" s="1"/>
  <c r="F18" i="101" s="1"/>
  <c r="F18" i="100" s="1"/>
  <c r="F18" i="102" s="1"/>
  <c r="F18" i="103" s="1"/>
  <c r="F18" i="104" s="1"/>
  <c r="F18" i="115" s="1"/>
  <c r="F18" i="116" s="1"/>
  <c r="F18" i="117" s="1"/>
  <c r="G17" i="33"/>
  <c r="F17" i="33"/>
  <c r="G16" i="33"/>
  <c r="G16" i="34" s="1"/>
  <c r="G16" i="79" s="1"/>
  <c r="G16" i="80" s="1"/>
  <c r="G16" i="81" s="1"/>
  <c r="G16" i="82" s="1"/>
  <c r="G16" i="83" s="1"/>
  <c r="G16" i="84" s="1"/>
  <c r="G16" i="85" s="1"/>
  <c r="G16" i="86" s="1"/>
  <c r="G16" i="87" s="1"/>
  <c r="G16" i="88" s="1"/>
  <c r="G16" i="89" s="1"/>
  <c r="G16" i="90" s="1"/>
  <c r="G16" i="91" s="1"/>
  <c r="G16" i="92" s="1"/>
  <c r="G16" i="93" s="1"/>
  <c r="G16" i="94" s="1"/>
  <c r="G16" i="95" s="1"/>
  <c r="G16" i="96" s="1"/>
  <c r="G16" i="97" s="1"/>
  <c r="G16" i="98" s="1"/>
  <c r="G16" i="99" s="1"/>
  <c r="G16" i="101" s="1"/>
  <c r="G16" i="100" s="1"/>
  <c r="G16" i="102" s="1"/>
  <c r="G16" i="103" s="1"/>
  <c r="G16" i="104" s="1"/>
  <c r="G16" i="115" s="1"/>
  <c r="G16" i="116" s="1"/>
  <c r="G16" i="117" s="1"/>
  <c r="F16" i="33"/>
  <c r="F16" i="34" s="1"/>
  <c r="F16" i="79" s="1"/>
  <c r="F16" i="80" s="1"/>
  <c r="F16" i="81" s="1"/>
  <c r="F16" i="82" s="1"/>
  <c r="F16" i="83" s="1"/>
  <c r="F16" i="84" s="1"/>
  <c r="F16" i="85" s="1"/>
  <c r="F16" i="86" s="1"/>
  <c r="F16" i="87" s="1"/>
  <c r="F16" i="88" s="1"/>
  <c r="F16" i="89" s="1"/>
  <c r="F16" i="90" s="1"/>
  <c r="F16" i="91" s="1"/>
  <c r="F16" i="92" s="1"/>
  <c r="F16" i="93" s="1"/>
  <c r="F16" i="94" s="1"/>
  <c r="F16" i="95" s="1"/>
  <c r="F16" i="96" s="1"/>
  <c r="F16" i="97" s="1"/>
  <c r="F16" i="98" s="1"/>
  <c r="F16" i="99" s="1"/>
  <c r="F16" i="101" s="1"/>
  <c r="F16" i="100" s="1"/>
  <c r="F16" i="102" s="1"/>
  <c r="F16" i="103" s="1"/>
  <c r="F16" i="104" s="1"/>
  <c r="F16" i="115" s="1"/>
  <c r="F16" i="116" s="1"/>
  <c r="F16" i="117" s="1"/>
  <c r="G15" i="33"/>
  <c r="G15" i="34" s="1"/>
  <c r="F15" i="33"/>
  <c r="F15" i="34" s="1"/>
  <c r="G14" i="33"/>
  <c r="G14" i="34" s="1"/>
  <c r="G14" i="79" s="1"/>
  <c r="G14" i="80" s="1"/>
  <c r="G14" i="81" s="1"/>
  <c r="G14" i="82" s="1"/>
  <c r="G14" i="83" s="1"/>
  <c r="G14" i="84" s="1"/>
  <c r="G14" i="85" s="1"/>
  <c r="G14" i="86" s="1"/>
  <c r="G14" i="87" s="1"/>
  <c r="G14" i="88" s="1"/>
  <c r="G14" i="89" s="1"/>
  <c r="G14" i="90" s="1"/>
  <c r="G14" i="91" s="1"/>
  <c r="G14" i="92" s="1"/>
  <c r="G14" i="93" s="1"/>
  <c r="G14" i="94" s="1"/>
  <c r="G14" i="95" s="1"/>
  <c r="G14" i="96" s="1"/>
  <c r="G14" i="97" s="1"/>
  <c r="G14" i="98" s="1"/>
  <c r="G14" i="99" s="1"/>
  <c r="G14" i="101" s="1"/>
  <c r="G14" i="100" s="1"/>
  <c r="G14" i="102" s="1"/>
  <c r="G14" i="103" s="1"/>
  <c r="G14" i="104" s="1"/>
  <c r="G14" i="115" s="1"/>
  <c r="G14" i="116" s="1"/>
  <c r="G14" i="117" s="1"/>
  <c r="F14" i="33"/>
  <c r="F14" i="34" s="1"/>
  <c r="F14" i="79" s="1"/>
  <c r="F14" i="80" s="1"/>
  <c r="F14" i="81" s="1"/>
  <c r="F14" i="82" s="1"/>
  <c r="F14" i="83" s="1"/>
  <c r="F14" i="84" s="1"/>
  <c r="F14" i="85" s="1"/>
  <c r="F14" i="86" s="1"/>
  <c r="F14" i="87" s="1"/>
  <c r="F14" i="88" s="1"/>
  <c r="F14" i="89" s="1"/>
  <c r="F14" i="90" s="1"/>
  <c r="F14" i="91" s="1"/>
  <c r="F14" i="92" s="1"/>
  <c r="F14" i="93" s="1"/>
  <c r="F14" i="94" s="1"/>
  <c r="F14" i="95" s="1"/>
  <c r="F14" i="96" s="1"/>
  <c r="F14" i="97" s="1"/>
  <c r="F14" i="98" s="1"/>
  <c r="F14" i="99" s="1"/>
  <c r="F14" i="101" s="1"/>
  <c r="F14" i="100" s="1"/>
  <c r="F14" i="102" s="1"/>
  <c r="F14" i="103" s="1"/>
  <c r="F14" i="104" s="1"/>
  <c r="F14" i="115" s="1"/>
  <c r="F14" i="116" s="1"/>
  <c r="F14" i="117" s="1"/>
  <c r="G12" i="33"/>
  <c r="G12" i="34" s="1"/>
  <c r="G12" i="79" s="1"/>
  <c r="G12" i="80" s="1"/>
  <c r="G12" i="81" s="1"/>
  <c r="G12" i="82" s="1"/>
  <c r="G12" i="83" s="1"/>
  <c r="G12" i="84" s="1"/>
  <c r="G12" i="85" s="1"/>
  <c r="G12" i="86" s="1"/>
  <c r="G12" i="87" s="1"/>
  <c r="G12" i="88" s="1"/>
  <c r="G12" i="89" s="1"/>
  <c r="G12" i="90" s="1"/>
  <c r="G12" i="91" s="1"/>
  <c r="G12" i="92" s="1"/>
  <c r="G12" i="93" s="1"/>
  <c r="G12" i="94" s="1"/>
  <c r="G12" i="95" s="1"/>
  <c r="G12" i="96" s="1"/>
  <c r="G12" i="97" s="1"/>
  <c r="G12" i="98" s="1"/>
  <c r="G12" i="99" s="1"/>
  <c r="G12" i="101" s="1"/>
  <c r="G12" i="100" s="1"/>
  <c r="G12" i="102" s="1"/>
  <c r="G12" i="103" s="1"/>
  <c r="G12" i="104" s="1"/>
  <c r="G12" i="115" s="1"/>
  <c r="G12" i="116" s="1"/>
  <c r="G12" i="117" s="1"/>
  <c r="F12" i="33"/>
  <c r="F12" i="34" s="1"/>
  <c r="F12" i="79" s="1"/>
  <c r="F12" i="80" s="1"/>
  <c r="F12" i="81" s="1"/>
  <c r="F12" i="82" s="1"/>
  <c r="F12" i="83" s="1"/>
  <c r="F12" i="84" s="1"/>
  <c r="F12" i="85" s="1"/>
  <c r="F12" i="86" s="1"/>
  <c r="F12" i="87" s="1"/>
  <c r="F12" i="88" s="1"/>
  <c r="F12" i="89" s="1"/>
  <c r="F12" i="90" s="1"/>
  <c r="F12" i="91" s="1"/>
  <c r="F12" i="92" s="1"/>
  <c r="F12" i="93" s="1"/>
  <c r="F12" i="94" s="1"/>
  <c r="F12" i="95" s="1"/>
  <c r="F12" i="96" s="1"/>
  <c r="F12" i="97" s="1"/>
  <c r="F12" i="98" s="1"/>
  <c r="F12" i="99" s="1"/>
  <c r="F12" i="101" s="1"/>
  <c r="F12" i="100" s="1"/>
  <c r="F12" i="102" s="1"/>
  <c r="F12" i="103" s="1"/>
  <c r="F12" i="104" s="1"/>
  <c r="F12" i="115" s="1"/>
  <c r="F12" i="116" s="1"/>
  <c r="F12" i="117" s="1"/>
  <c r="E11" i="33"/>
  <c r="E13" i="33" s="1"/>
  <c r="E10" i="33"/>
  <c r="E9" i="33"/>
  <c r="F9" i="33" s="1"/>
  <c r="G8" i="33"/>
  <c r="G8" i="34" s="1"/>
  <c r="F8" i="33"/>
  <c r="F8" i="34" s="1"/>
  <c r="F8" i="79" s="1"/>
  <c r="G7" i="33"/>
  <c r="G7" i="34" s="1"/>
  <c r="G7" i="79" s="1"/>
  <c r="F7" i="33"/>
  <c r="F7" i="34" s="1"/>
  <c r="E6" i="33"/>
  <c r="E6" i="34" s="1"/>
  <c r="E6" i="79" s="1"/>
  <c r="E6" i="80" s="1"/>
  <c r="E6" i="81" s="1"/>
  <c r="E6" i="82" s="1"/>
  <c r="E6" i="83" s="1"/>
  <c r="E6" i="84" s="1"/>
  <c r="E6" i="85" s="1"/>
  <c r="E6" i="86" s="1"/>
  <c r="E6" i="87" s="1"/>
  <c r="E6" i="88" s="1"/>
  <c r="E6" i="89" s="1"/>
  <c r="E6" i="90" s="1"/>
  <c r="E6" i="91" s="1"/>
  <c r="E6" i="92" s="1"/>
  <c r="E6" i="93" s="1"/>
  <c r="E6" i="94" s="1"/>
  <c r="E6" i="95" s="1"/>
  <c r="E6" i="96" s="1"/>
  <c r="E6" i="97" s="1"/>
  <c r="E6" i="98" s="1"/>
  <c r="E6" i="99" s="1"/>
  <c r="E6" i="101" s="1"/>
  <c r="E6" i="100" s="1"/>
  <c r="E6" i="102" s="1"/>
  <c r="E6" i="103" s="1"/>
  <c r="E6" i="104" s="1"/>
  <c r="E6" i="115" s="1"/>
  <c r="E6" i="116" s="1"/>
  <c r="E6" i="117" s="1"/>
  <c r="F36" i="102" l="1"/>
  <c r="F36" i="103" s="1"/>
  <c r="F36" i="104" s="1"/>
  <c r="F36" i="115" s="1"/>
  <c r="F36" i="116" s="1"/>
  <c r="F36" i="117" s="1"/>
  <c r="F35" i="102"/>
  <c r="F35" i="103" s="1"/>
  <c r="F35" i="104" s="1"/>
  <c r="F35" i="115" s="1"/>
  <c r="F35" i="116" s="1"/>
  <c r="F35" i="117" s="1"/>
  <c r="F32" i="102"/>
  <c r="F32" i="103" s="1"/>
  <c r="F32" i="104" s="1"/>
  <c r="F32" i="115" s="1"/>
  <c r="F32" i="116" s="1"/>
  <c r="F32" i="117" s="1"/>
  <c r="G32" i="102"/>
  <c r="G32" i="103" s="1"/>
  <c r="G32" i="104" s="1"/>
  <c r="G32" i="115" s="1"/>
  <c r="G32" i="116" s="1"/>
  <c r="G32" i="117" s="1"/>
  <c r="G31" i="102"/>
  <c r="G31" i="103" s="1"/>
  <c r="G31" i="104" s="1"/>
  <c r="G31" i="115" s="1"/>
  <c r="G31" i="116" s="1"/>
  <c r="G31" i="117" s="1"/>
  <c r="F31" i="102"/>
  <c r="F31" i="103" s="1"/>
  <c r="F31" i="104" s="1"/>
  <c r="F31" i="115" s="1"/>
  <c r="F31" i="116" s="1"/>
  <c r="F31" i="117" s="1"/>
  <c r="F30" i="102"/>
  <c r="F30" i="103" s="1"/>
  <c r="F30" i="104" s="1"/>
  <c r="F30" i="115" s="1"/>
  <c r="F30" i="116" s="1"/>
  <c r="F30" i="117" s="1"/>
  <c r="G30" i="102"/>
  <c r="G30" i="103" s="1"/>
  <c r="G30" i="104" s="1"/>
  <c r="G30" i="115" s="1"/>
  <c r="G30" i="116" s="1"/>
  <c r="G30" i="117" s="1"/>
  <c r="G36" i="102"/>
  <c r="G36" i="103" s="1"/>
  <c r="G36" i="104" s="1"/>
  <c r="G36" i="115" s="1"/>
  <c r="G36" i="116" s="1"/>
  <c r="G36" i="117" s="1"/>
  <c r="G35" i="102"/>
  <c r="G35" i="103" s="1"/>
  <c r="G35" i="104" s="1"/>
  <c r="G35" i="115" s="1"/>
  <c r="G35" i="116" s="1"/>
  <c r="G35" i="117" s="1"/>
  <c r="G37" i="103"/>
  <c r="G37" i="104" s="1"/>
  <c r="G37" i="115" s="1"/>
  <c r="G37" i="116" s="1"/>
  <c r="G37" i="117" s="1"/>
  <c r="F20" i="33"/>
  <c r="F11" i="33"/>
  <c r="F13" i="33" s="1"/>
  <c r="G9" i="33"/>
  <c r="G23" i="33"/>
  <c r="G21" i="34"/>
  <c r="F22" i="33"/>
  <c r="F17" i="34"/>
  <c r="F17" i="79" s="1"/>
  <c r="F17" i="80" s="1"/>
  <c r="F7" i="79"/>
  <c r="F21" i="79" s="1"/>
  <c r="F11" i="34"/>
  <c r="F13" i="34" s="1"/>
  <c r="F15" i="79"/>
  <c r="F23" i="34"/>
  <c r="G8" i="79"/>
  <c r="G10" i="34"/>
  <c r="G11" i="79"/>
  <c r="G13" i="79" s="1"/>
  <c r="G7" i="80"/>
  <c r="G9" i="34"/>
  <c r="G9" i="79" s="1"/>
  <c r="G9" i="80" s="1"/>
  <c r="G9" i="81" s="1"/>
  <c r="G9" i="82" s="1"/>
  <c r="G9" i="83" s="1"/>
  <c r="G9" i="84" s="1"/>
  <c r="G9" i="85" s="1"/>
  <c r="G9" i="86" s="1"/>
  <c r="G9" i="87" s="1"/>
  <c r="G9" i="88" s="1"/>
  <c r="G9" i="89" s="1"/>
  <c r="G9" i="90" s="1"/>
  <c r="G9" i="91" s="1"/>
  <c r="G9" i="92" s="1"/>
  <c r="G9" i="93" s="1"/>
  <c r="G9" i="94" s="1"/>
  <c r="G9" i="95" s="1"/>
  <c r="G9" i="96" s="1"/>
  <c r="G9" i="97" s="1"/>
  <c r="G9" i="98" s="1"/>
  <c r="G9" i="99" s="1"/>
  <c r="G9" i="101" s="1"/>
  <c r="G9" i="100" s="1"/>
  <c r="G9" i="102" s="1"/>
  <c r="G9" i="103" s="1"/>
  <c r="G9" i="104" s="1"/>
  <c r="G9" i="115" s="1"/>
  <c r="G9" i="116" s="1"/>
  <c r="G9" i="117" s="1"/>
  <c r="F9" i="34"/>
  <c r="F9" i="79" s="1"/>
  <c r="F9" i="80" s="1"/>
  <c r="F9" i="81" s="1"/>
  <c r="F9" i="82" s="1"/>
  <c r="F9" i="83" s="1"/>
  <c r="F9" i="84" s="1"/>
  <c r="F9" i="85" s="1"/>
  <c r="F9" i="86" s="1"/>
  <c r="F9" i="87" s="1"/>
  <c r="F9" i="88" s="1"/>
  <c r="F9" i="89" s="1"/>
  <c r="F9" i="90" s="1"/>
  <c r="F9" i="91" s="1"/>
  <c r="F9" i="92" s="1"/>
  <c r="F9" i="93" s="1"/>
  <c r="F9" i="94" s="1"/>
  <c r="F9" i="95" s="1"/>
  <c r="F9" i="96" s="1"/>
  <c r="F9" i="97" s="1"/>
  <c r="F9" i="98" s="1"/>
  <c r="F9" i="99" s="1"/>
  <c r="F9" i="101" s="1"/>
  <c r="F9" i="100" s="1"/>
  <c r="F9" i="102" s="1"/>
  <c r="F9" i="103" s="1"/>
  <c r="F9" i="104" s="1"/>
  <c r="F9" i="115" s="1"/>
  <c r="F9" i="116" s="1"/>
  <c r="F9" i="117" s="1"/>
  <c r="G11" i="33"/>
  <c r="G13" i="33" s="1"/>
  <c r="G11" i="34"/>
  <c r="G13" i="34" s="1"/>
  <c r="G26" i="79"/>
  <c r="F8" i="80"/>
  <c r="F26" i="80"/>
  <c r="F10" i="33"/>
  <c r="F23" i="33"/>
  <c r="G10" i="33"/>
  <c r="G23" i="34"/>
  <c r="G17" i="34"/>
  <c r="G20" i="33"/>
  <c r="F21" i="33"/>
  <c r="G22" i="33"/>
  <c r="F10" i="34"/>
  <c r="G21" i="33"/>
  <c r="F21" i="34"/>
  <c r="G15" i="79"/>
  <c r="F22" i="34" l="1"/>
  <c r="F22" i="79"/>
  <c r="F20" i="34"/>
  <c r="F20" i="79"/>
  <c r="F26" i="81"/>
  <c r="F15" i="80"/>
  <c r="F23" i="79"/>
  <c r="G23" i="79"/>
  <c r="G15" i="80"/>
  <c r="G21" i="79"/>
  <c r="G26" i="80"/>
  <c r="F7" i="80"/>
  <c r="F21" i="80" s="1"/>
  <c r="F11" i="79"/>
  <c r="F13" i="79" s="1"/>
  <c r="F8" i="81"/>
  <c r="G22" i="34"/>
  <c r="G17" i="79"/>
  <c r="G20" i="34"/>
  <c r="F17" i="81"/>
  <c r="G8" i="80"/>
  <c r="G10" i="79"/>
  <c r="G7" i="81"/>
  <c r="G11" i="80"/>
  <c r="G13" i="80" s="1"/>
  <c r="F10" i="79"/>
  <c r="F20" i="80" l="1"/>
  <c r="F10" i="80"/>
  <c r="F22" i="80"/>
  <c r="G26" i="81"/>
  <c r="G21" i="80"/>
  <c r="F23" i="80"/>
  <c r="F15" i="81"/>
  <c r="F17" i="82"/>
  <c r="G8" i="81"/>
  <c r="G10" i="80"/>
  <c r="G22" i="79"/>
  <c r="G17" i="80"/>
  <c r="G20" i="79"/>
  <c r="G15" i="81"/>
  <c r="G23" i="80"/>
  <c r="F8" i="82"/>
  <c r="G7" i="82"/>
  <c r="G11" i="81"/>
  <c r="G13" i="81" s="1"/>
  <c r="F7" i="81"/>
  <c r="F10" i="81" s="1"/>
  <c r="F11" i="80"/>
  <c r="F13" i="80" s="1"/>
  <c r="F26" i="82"/>
  <c r="F7" i="82" l="1"/>
  <c r="F20" i="82" s="1"/>
  <c r="F11" i="81"/>
  <c r="F13" i="81" s="1"/>
  <c r="G17" i="81"/>
  <c r="G20" i="80"/>
  <c r="G22" i="80"/>
  <c r="F21" i="81"/>
  <c r="G10" i="81"/>
  <c r="G8" i="82"/>
  <c r="F23" i="81"/>
  <c r="F15" i="82"/>
  <c r="F8" i="83"/>
  <c r="F20" i="81"/>
  <c r="F22" i="82"/>
  <c r="F17" i="83"/>
  <c r="F21" i="82"/>
  <c r="F26" i="83"/>
  <c r="G7" i="83"/>
  <c r="G11" i="82"/>
  <c r="G13" i="82" s="1"/>
  <c r="G23" i="81"/>
  <c r="G15" i="82"/>
  <c r="F22" i="81"/>
  <c r="G26" i="82"/>
  <c r="G21" i="81"/>
  <c r="F10" i="82" l="1"/>
  <c r="G21" i="82"/>
  <c r="G26" i="83"/>
  <c r="G7" i="84"/>
  <c r="G11" i="83"/>
  <c r="G13" i="83" s="1"/>
  <c r="F8" i="84"/>
  <c r="G17" i="82"/>
  <c r="G20" i="81"/>
  <c r="G22" i="81"/>
  <c r="G8" i="83"/>
  <c r="G10" i="82"/>
  <c r="G23" i="82"/>
  <c r="G15" i="83"/>
  <c r="F26" i="84"/>
  <c r="F15" i="83"/>
  <c r="F23" i="82"/>
  <c r="F17" i="84"/>
  <c r="F11" i="82"/>
  <c r="F13" i="82" s="1"/>
  <c r="F7" i="83"/>
  <c r="F21" i="83" s="1"/>
  <c r="F22" i="83" l="1"/>
  <c r="F20" i="83"/>
  <c r="G7" i="85"/>
  <c r="G11" i="84"/>
  <c r="G13" i="84" s="1"/>
  <c r="F17" i="85"/>
  <c r="F26" i="85"/>
  <c r="G8" i="84"/>
  <c r="G10" i="83"/>
  <c r="F8" i="85"/>
  <c r="G21" i="83"/>
  <c r="G26" i="84"/>
  <c r="F15" i="84"/>
  <c r="F23" i="83"/>
  <c r="G22" i="82"/>
  <c r="G17" i="83"/>
  <c r="G20" i="82"/>
  <c r="F7" i="84"/>
  <c r="F20" i="84" s="1"/>
  <c r="F11" i="83"/>
  <c r="F13" i="83" s="1"/>
  <c r="G23" i="83"/>
  <c r="G15" i="84"/>
  <c r="F10" i="83"/>
  <c r="F7" i="85" l="1"/>
  <c r="F10" i="85" s="1"/>
  <c r="F11" i="84"/>
  <c r="F13" i="84" s="1"/>
  <c r="F8" i="86"/>
  <c r="F17" i="86"/>
  <c r="G15" i="85"/>
  <c r="G23" i="84"/>
  <c r="F23" i="84"/>
  <c r="F15" i="85"/>
  <c r="F10" i="84"/>
  <c r="F26" i="86"/>
  <c r="G8" i="85"/>
  <c r="G10" i="84"/>
  <c r="F21" i="84"/>
  <c r="G22" i="83"/>
  <c r="G17" i="84"/>
  <c r="G20" i="83"/>
  <c r="G26" i="85"/>
  <c r="G21" i="84"/>
  <c r="F22" i="84"/>
  <c r="G7" i="86"/>
  <c r="G11" i="85"/>
  <c r="G13" i="85" s="1"/>
  <c r="F21" i="85" l="1"/>
  <c r="F22" i="85"/>
  <c r="F20" i="85"/>
  <c r="G17" i="85"/>
  <c r="G20" i="84"/>
  <c r="G22" i="84"/>
  <c r="F23" i="85"/>
  <c r="F15" i="86"/>
  <c r="F8" i="87"/>
  <c r="F17" i="87"/>
  <c r="G7" i="87"/>
  <c r="G11" i="86"/>
  <c r="G13" i="86" s="1"/>
  <c r="G23" i="85"/>
  <c r="G15" i="86"/>
  <c r="G10" i="85"/>
  <c r="G8" i="86"/>
  <c r="G26" i="86"/>
  <c r="G21" i="85"/>
  <c r="F26" i="87"/>
  <c r="F7" i="86"/>
  <c r="F22" i="86" s="1"/>
  <c r="F11" i="85"/>
  <c r="F13" i="85" s="1"/>
  <c r="F10" i="86" l="1"/>
  <c r="F21" i="86"/>
  <c r="G8" i="87"/>
  <c r="G10" i="86"/>
  <c r="G23" i="86"/>
  <c r="G15" i="87"/>
  <c r="F8" i="88"/>
  <c r="F26" i="88"/>
  <c r="G11" i="87"/>
  <c r="G13" i="87" s="1"/>
  <c r="G7" i="88"/>
  <c r="F17" i="88"/>
  <c r="F7" i="87"/>
  <c r="F21" i="87" s="1"/>
  <c r="F11" i="86"/>
  <c r="F13" i="86" s="1"/>
  <c r="G21" i="86"/>
  <c r="G26" i="87"/>
  <c r="F20" i="86"/>
  <c r="F15" i="87"/>
  <c r="F23" i="86"/>
  <c r="G17" i="86"/>
  <c r="G20" i="85"/>
  <c r="G22" i="85"/>
  <c r="F20" i="87" l="1"/>
  <c r="G23" i="87"/>
  <c r="G15" i="88"/>
  <c r="F15" i="88"/>
  <c r="F23" i="87"/>
  <c r="F17" i="89"/>
  <c r="F7" i="88"/>
  <c r="F11" i="87"/>
  <c r="F13" i="87" s="1"/>
  <c r="G11" i="88"/>
  <c r="G13" i="88" s="1"/>
  <c r="G7" i="89"/>
  <c r="F8" i="89"/>
  <c r="F26" i="89"/>
  <c r="G22" i="86"/>
  <c r="G17" i="87"/>
  <c r="G20" i="86"/>
  <c r="G26" i="88"/>
  <c r="G21" i="87"/>
  <c r="F22" i="87"/>
  <c r="F10" i="87"/>
  <c r="G8" i="88"/>
  <c r="G10" i="87"/>
  <c r="F11" i="88" l="1"/>
  <c r="F13" i="88" s="1"/>
  <c r="F7" i="89"/>
  <c r="F20" i="89" s="1"/>
  <c r="G8" i="89"/>
  <c r="G10" i="88"/>
  <c r="F26" i="90"/>
  <c r="G11" i="89"/>
  <c r="G13" i="89" s="1"/>
  <c r="G7" i="90"/>
  <c r="F15" i="89"/>
  <c r="F23" i="88"/>
  <c r="F21" i="88"/>
  <c r="F17" i="90"/>
  <c r="G15" i="89"/>
  <c r="G23" i="88"/>
  <c r="F8" i="90"/>
  <c r="F10" i="89"/>
  <c r="G26" i="89"/>
  <c r="G21" i="88"/>
  <c r="F22" i="88"/>
  <c r="G22" i="87"/>
  <c r="G17" i="88"/>
  <c r="G20" i="87"/>
  <c r="F10" i="88"/>
  <c r="F20" i="88"/>
  <c r="F21" i="89" l="1"/>
  <c r="F22" i="89"/>
  <c r="G7" i="91"/>
  <c r="G11" i="90"/>
  <c r="G13" i="90" s="1"/>
  <c r="G20" i="88"/>
  <c r="G17" i="89"/>
  <c r="G22" i="88"/>
  <c r="G15" i="90"/>
  <c r="G23" i="89"/>
  <c r="G8" i="90"/>
  <c r="G10" i="89"/>
  <c r="F7" i="90"/>
  <c r="F22" i="90" s="1"/>
  <c r="F11" i="89"/>
  <c r="F13" i="89" s="1"/>
  <c r="F17" i="91"/>
  <c r="G21" i="89"/>
  <c r="G26" i="90"/>
  <c r="F8" i="91"/>
  <c r="F15" i="90"/>
  <c r="F23" i="89"/>
  <c r="F26" i="91"/>
  <c r="F21" i="90" l="1"/>
  <c r="G26" i="91"/>
  <c r="G21" i="90"/>
  <c r="F17" i="92"/>
  <c r="G10" i="90"/>
  <c r="G8" i="91"/>
  <c r="G22" i="89"/>
  <c r="G17" i="90"/>
  <c r="G20" i="89"/>
  <c r="F23" i="90"/>
  <c r="F15" i="91"/>
  <c r="F8" i="92"/>
  <c r="F7" i="91"/>
  <c r="F10" i="91" s="1"/>
  <c r="F11" i="90"/>
  <c r="F13" i="90" s="1"/>
  <c r="G15" i="91"/>
  <c r="G23" i="90"/>
  <c r="F26" i="92"/>
  <c r="F10" i="90"/>
  <c r="F20" i="90"/>
  <c r="G7" i="92"/>
  <c r="G11" i="91"/>
  <c r="G13" i="91" s="1"/>
  <c r="F21" i="91" l="1"/>
  <c r="F23" i="91"/>
  <c r="F15" i="92"/>
  <c r="F17" i="93"/>
  <c r="G7" i="93"/>
  <c r="G11" i="92"/>
  <c r="G13" i="92" s="1"/>
  <c r="F26" i="93"/>
  <c r="F7" i="92"/>
  <c r="F22" i="92" s="1"/>
  <c r="F11" i="91"/>
  <c r="F13" i="91" s="1"/>
  <c r="G10" i="91"/>
  <c r="G8" i="92"/>
  <c r="F22" i="91"/>
  <c r="G23" i="91"/>
  <c r="G15" i="92"/>
  <c r="F8" i="93"/>
  <c r="G17" i="91"/>
  <c r="G20" i="90"/>
  <c r="G22" i="90"/>
  <c r="F20" i="91"/>
  <c r="G26" i="92"/>
  <c r="G21" i="91"/>
  <c r="F10" i="92" l="1"/>
  <c r="F21" i="92"/>
  <c r="G26" i="93"/>
  <c r="G21" i="92"/>
  <c r="G17" i="92"/>
  <c r="G20" i="91"/>
  <c r="G22" i="91"/>
  <c r="F7" i="93"/>
  <c r="F22" i="93" s="1"/>
  <c r="F11" i="92"/>
  <c r="F13" i="92" s="1"/>
  <c r="G7" i="94"/>
  <c r="G11" i="93"/>
  <c r="G13" i="93" s="1"/>
  <c r="F15" i="93"/>
  <c r="F23" i="92"/>
  <c r="G23" i="92"/>
  <c r="G15" i="93"/>
  <c r="F17" i="94"/>
  <c r="F8" i="94"/>
  <c r="G8" i="93"/>
  <c r="G10" i="92"/>
  <c r="F26" i="94"/>
  <c r="F20" i="92"/>
  <c r="F20" i="93" l="1"/>
  <c r="F10" i="93"/>
  <c r="F21" i="93"/>
  <c r="G22" i="92"/>
  <c r="G17" i="93"/>
  <c r="G20" i="92"/>
  <c r="F8" i="95"/>
  <c r="G7" i="95"/>
  <c r="G11" i="94"/>
  <c r="G13" i="94" s="1"/>
  <c r="G8" i="94"/>
  <c r="G10" i="93"/>
  <c r="F17" i="95"/>
  <c r="F15" i="94"/>
  <c r="F23" i="93"/>
  <c r="F7" i="94"/>
  <c r="F21" i="94" s="1"/>
  <c r="F11" i="93"/>
  <c r="F13" i="93" s="1"/>
  <c r="F26" i="95"/>
  <c r="G23" i="93"/>
  <c r="G15" i="94"/>
  <c r="G21" i="93"/>
  <c r="G26" i="94"/>
  <c r="F10" i="94" l="1"/>
  <c r="F22" i="94"/>
  <c r="G15" i="95"/>
  <c r="G23" i="94"/>
  <c r="G8" i="95"/>
  <c r="G10" i="94"/>
  <c r="F20" i="94"/>
  <c r="G26" i="95"/>
  <c r="G21" i="94"/>
  <c r="F17" i="96"/>
  <c r="G7" i="96"/>
  <c r="G11" i="95"/>
  <c r="G13" i="95" s="1"/>
  <c r="G22" i="93"/>
  <c r="G17" i="94"/>
  <c r="G20" i="93"/>
  <c r="F7" i="95"/>
  <c r="F21" i="95" s="1"/>
  <c r="F11" i="94"/>
  <c r="F13" i="94" s="1"/>
  <c r="F26" i="96"/>
  <c r="F23" i="94"/>
  <c r="F15" i="95"/>
  <c r="F8" i="96"/>
  <c r="F22" i="95" l="1"/>
  <c r="G7" i="97"/>
  <c r="G11" i="96"/>
  <c r="G13" i="96" s="1"/>
  <c r="G10" i="95"/>
  <c r="G8" i="96"/>
  <c r="F7" i="96"/>
  <c r="F10" i="96" s="1"/>
  <c r="F11" i="95"/>
  <c r="F13" i="95" s="1"/>
  <c r="F10" i="95"/>
  <c r="F8" i="97"/>
  <c r="F26" i="97"/>
  <c r="G17" i="95"/>
  <c r="G20" i="94"/>
  <c r="G22" i="94"/>
  <c r="F20" i="95"/>
  <c r="G26" i="96"/>
  <c r="G21" i="95"/>
  <c r="F23" i="95"/>
  <c r="F15" i="96"/>
  <c r="F17" i="97"/>
  <c r="G23" i="95"/>
  <c r="G15" i="96"/>
  <c r="F21" i="96" l="1"/>
  <c r="F20" i="96"/>
  <c r="F22" i="96"/>
  <c r="F17" i="98"/>
  <c r="G17" i="96"/>
  <c r="G20" i="95"/>
  <c r="G22" i="95"/>
  <c r="G8" i="97"/>
  <c r="G10" i="96"/>
  <c r="F23" i="96"/>
  <c r="F15" i="97"/>
  <c r="G15" i="97"/>
  <c r="G23" i="96"/>
  <c r="G26" i="97"/>
  <c r="G21" i="96"/>
  <c r="F8" i="98"/>
  <c r="F26" i="98"/>
  <c r="F7" i="97"/>
  <c r="F11" i="96"/>
  <c r="F13" i="96" s="1"/>
  <c r="G7" i="98"/>
  <c r="G11" i="97"/>
  <c r="G13" i="97" s="1"/>
  <c r="F10" i="97" l="1"/>
  <c r="F22" i="97"/>
  <c r="F8" i="99"/>
  <c r="G23" i="97"/>
  <c r="G15" i="98"/>
  <c r="F15" i="98"/>
  <c r="F23" i="97"/>
  <c r="F17" i="99"/>
  <c r="G17" i="97"/>
  <c r="G22" i="97" s="1"/>
  <c r="G22" i="96"/>
  <c r="G20" i="96"/>
  <c r="F11" i="97"/>
  <c r="F13" i="97" s="1"/>
  <c r="F7" i="98"/>
  <c r="F21" i="98" s="1"/>
  <c r="G8" i="98"/>
  <c r="G10" i="97"/>
  <c r="F20" i="97"/>
  <c r="F26" i="99"/>
  <c r="G7" i="99"/>
  <c r="G11" i="98"/>
  <c r="G13" i="98" s="1"/>
  <c r="F21" i="97"/>
  <c r="G21" i="97"/>
  <c r="G26" i="98"/>
  <c r="F20" i="98" l="1"/>
  <c r="G21" i="98"/>
  <c r="G26" i="99"/>
  <c r="G15" i="99"/>
  <c r="G23" i="98"/>
  <c r="F26" i="101"/>
  <c r="G20" i="97"/>
  <c r="G17" i="98"/>
  <c r="F8" i="101"/>
  <c r="G7" i="101"/>
  <c r="G11" i="99"/>
  <c r="G13" i="99" s="1"/>
  <c r="G8" i="99"/>
  <c r="G10" i="98"/>
  <c r="F17" i="101"/>
  <c r="F7" i="99"/>
  <c r="F21" i="99" s="1"/>
  <c r="F11" i="98"/>
  <c r="F13" i="98" s="1"/>
  <c r="F22" i="98"/>
  <c r="F15" i="99"/>
  <c r="F23" i="98"/>
  <c r="F10" i="98"/>
  <c r="F17" i="100" l="1"/>
  <c r="G15" i="101"/>
  <c r="G23" i="99"/>
  <c r="F15" i="101"/>
  <c r="F23" i="99"/>
  <c r="F22" i="99"/>
  <c r="G8" i="101"/>
  <c r="G10" i="99"/>
  <c r="F10" i="99"/>
  <c r="G26" i="101"/>
  <c r="G21" i="99"/>
  <c r="G7" i="100"/>
  <c r="G11" i="101"/>
  <c r="G13" i="101" s="1"/>
  <c r="F7" i="101"/>
  <c r="F11" i="99"/>
  <c r="F13" i="99" s="1"/>
  <c r="F8" i="100"/>
  <c r="F20" i="99"/>
  <c r="G22" i="98"/>
  <c r="G17" i="99"/>
  <c r="G20" i="98"/>
  <c r="F26" i="100"/>
  <c r="F26" i="102" s="1"/>
  <c r="F7" i="100" l="1"/>
  <c r="F20" i="100" s="1"/>
  <c r="F11" i="101"/>
  <c r="F13" i="101" s="1"/>
  <c r="G26" i="100"/>
  <c r="G26" i="102" s="1"/>
  <c r="G21" i="101"/>
  <c r="G23" i="101"/>
  <c r="G15" i="100"/>
  <c r="F8" i="102"/>
  <c r="G7" i="102"/>
  <c r="G11" i="100"/>
  <c r="G13" i="100" s="1"/>
  <c r="F23" i="101"/>
  <c r="F15" i="100"/>
  <c r="F17" i="102"/>
  <c r="F10" i="101"/>
  <c r="F20" i="101"/>
  <c r="G17" i="101"/>
  <c r="G20" i="99"/>
  <c r="G22" i="99"/>
  <c r="F21" i="101"/>
  <c r="G8" i="100"/>
  <c r="G10" i="101"/>
  <c r="F22" i="101"/>
  <c r="F22" i="100" l="1"/>
  <c r="F21" i="100"/>
  <c r="F10" i="100"/>
  <c r="G8" i="102"/>
  <c r="G10" i="100"/>
  <c r="F26" i="103"/>
  <c r="F8" i="103"/>
  <c r="F17" i="103"/>
  <c r="G23" i="100"/>
  <c r="G15" i="102"/>
  <c r="G17" i="100"/>
  <c r="G20" i="101"/>
  <c r="G22" i="101"/>
  <c r="F23" i="100"/>
  <c r="F15" i="102"/>
  <c r="G21" i="100"/>
  <c r="G7" i="103"/>
  <c r="G11" i="102"/>
  <c r="G13" i="102" s="1"/>
  <c r="F7" i="102"/>
  <c r="F11" i="100"/>
  <c r="F13" i="100" s="1"/>
  <c r="F7" i="103" l="1"/>
  <c r="F22" i="103" s="1"/>
  <c r="F11" i="102"/>
  <c r="F13" i="102" s="1"/>
  <c r="F15" i="103"/>
  <c r="F23" i="102"/>
  <c r="G20" i="100"/>
  <c r="G22" i="100"/>
  <c r="G17" i="102"/>
  <c r="F20" i="102"/>
  <c r="F26" i="104"/>
  <c r="G7" i="104"/>
  <c r="G11" i="103"/>
  <c r="G13" i="103" s="1"/>
  <c r="G15" i="103"/>
  <c r="G23" i="102"/>
  <c r="F22" i="102"/>
  <c r="F21" i="102"/>
  <c r="G26" i="103"/>
  <c r="G21" i="102"/>
  <c r="F8" i="104"/>
  <c r="F17" i="104"/>
  <c r="F10" i="102"/>
  <c r="G8" i="103"/>
  <c r="G10" i="102"/>
  <c r="F20" i="103" l="1"/>
  <c r="F21" i="103"/>
  <c r="F10" i="103"/>
  <c r="G22" i="102"/>
  <c r="G17" i="103"/>
  <c r="G20" i="102"/>
  <c r="F8" i="115"/>
  <c r="G7" i="115"/>
  <c r="G11" i="104"/>
  <c r="G13" i="104" s="1"/>
  <c r="F15" i="104"/>
  <c r="F23" i="103"/>
  <c r="G8" i="104"/>
  <c r="G10" i="103"/>
  <c r="F17" i="115"/>
  <c r="G21" i="103"/>
  <c r="G26" i="104"/>
  <c r="G23" i="103"/>
  <c r="G15" i="104"/>
  <c r="F26" i="115"/>
  <c r="F7" i="104"/>
  <c r="F22" i="104" s="1"/>
  <c r="F11" i="103"/>
  <c r="F13" i="103" s="1"/>
  <c r="F10" i="104" l="1"/>
  <c r="F21" i="104"/>
  <c r="G26" i="115"/>
  <c r="G21" i="104"/>
  <c r="F26" i="116"/>
  <c r="F23" i="104"/>
  <c r="F15" i="115"/>
  <c r="G15" i="115"/>
  <c r="G23" i="104"/>
  <c r="F17" i="116"/>
  <c r="G10" i="104"/>
  <c r="G8" i="115"/>
  <c r="G7" i="116"/>
  <c r="G11" i="115"/>
  <c r="G13" i="115" s="1"/>
  <c r="G20" i="103"/>
  <c r="G22" i="103"/>
  <c r="G17" i="104"/>
  <c r="F7" i="115"/>
  <c r="F21" i="115" s="1"/>
  <c r="F11" i="104"/>
  <c r="F13" i="104" s="1"/>
  <c r="F20" i="104"/>
  <c r="F8" i="116"/>
  <c r="F11" i="115" l="1"/>
  <c r="F13" i="115" s="1"/>
  <c r="F7" i="116"/>
  <c r="F21" i="116" s="1"/>
  <c r="F26" i="117"/>
  <c r="F10" i="115"/>
  <c r="F20" i="115"/>
  <c r="F8" i="117"/>
  <c r="G17" i="115"/>
  <c r="G20" i="104"/>
  <c r="G22" i="104"/>
  <c r="G7" i="117"/>
  <c r="G11" i="117" s="1"/>
  <c r="G13" i="117" s="1"/>
  <c r="G11" i="116"/>
  <c r="G13" i="116" s="1"/>
  <c r="F17" i="117"/>
  <c r="F23" i="115"/>
  <c r="F15" i="116"/>
  <c r="G23" i="115"/>
  <c r="G15" i="116"/>
  <c r="G10" i="115"/>
  <c r="G8" i="116"/>
  <c r="F22" i="115"/>
  <c r="G21" i="115"/>
  <c r="G26" i="116"/>
  <c r="F10" i="116" l="1"/>
  <c r="F20" i="116"/>
  <c r="F22" i="116"/>
  <c r="G15" i="117"/>
  <c r="G23" i="117" s="1"/>
  <c r="G23" i="116"/>
  <c r="G8" i="117"/>
  <c r="G10" i="117" s="1"/>
  <c r="G10" i="116"/>
  <c r="F15" i="117"/>
  <c r="F23" i="116"/>
  <c r="F7" i="117"/>
  <c r="F11" i="117" s="1"/>
  <c r="F13" i="117" s="1"/>
  <c r="F11" i="116"/>
  <c r="F13" i="116" s="1"/>
  <c r="G26" i="117"/>
  <c r="G21" i="117" s="1"/>
  <c r="G21" i="116"/>
  <c r="G20" i="115"/>
  <c r="G17" i="116"/>
  <c r="G22" i="115"/>
  <c r="F22" i="117" l="1"/>
  <c r="F20" i="117"/>
  <c r="F23" i="117"/>
  <c r="F10" i="117"/>
  <c r="G22" i="116"/>
  <c r="G17" i="117"/>
  <c r="G20" i="116"/>
  <c r="F21" i="117"/>
  <c r="G20" i="117" l="1"/>
  <c r="G22" i="117"/>
</calcChain>
</file>

<file path=xl/sharedStrings.xml><?xml version="1.0" encoding="utf-8"?>
<sst xmlns="http://schemas.openxmlformats.org/spreadsheetml/2006/main" count="2045" uniqueCount="53">
  <si>
    <t>1*10 MW CAPTIVE POWER PLANT</t>
  </si>
  <si>
    <t>Sr. NO.</t>
  </si>
  <si>
    <t xml:space="preserve">Description </t>
  </si>
  <si>
    <t xml:space="preserve">Unit </t>
  </si>
  <si>
    <t xml:space="preserve">Month to Date </t>
  </si>
  <si>
    <t xml:space="preserve">Gross Power Generation  </t>
  </si>
  <si>
    <t>kWhr</t>
  </si>
  <si>
    <t>Auxiliary power consumption</t>
  </si>
  <si>
    <t xml:space="preserve">Net Power Exported </t>
  </si>
  <si>
    <t xml:space="preserve">Auxiliary power consumption </t>
  </si>
  <si>
    <t xml:space="preserve">( % ) </t>
  </si>
  <si>
    <t xml:space="preserve">Average Power Generation </t>
  </si>
  <si>
    <t>MWhr</t>
  </si>
  <si>
    <t xml:space="preserve">Plant Running Hours </t>
  </si>
  <si>
    <t>Hrs</t>
  </si>
  <si>
    <t>PLF</t>
  </si>
  <si>
    <t xml:space="preserve">Feed Water consumption </t>
  </si>
  <si>
    <t>MT</t>
  </si>
  <si>
    <t xml:space="preserve">Boiler Steam Generation  </t>
  </si>
  <si>
    <t>Bleed steam</t>
  </si>
  <si>
    <t>Turbine steam consumption</t>
  </si>
  <si>
    <t xml:space="preserve">Condensate Generation </t>
  </si>
  <si>
    <t>Auxilairy steam consumption</t>
  </si>
  <si>
    <t xml:space="preserve">Specific steam consumption </t>
  </si>
  <si>
    <t>Kg/Kwhr</t>
  </si>
  <si>
    <t xml:space="preserve">Specific fuel consumption </t>
  </si>
  <si>
    <t>Heat Rate(TG)2880</t>
  </si>
  <si>
    <t xml:space="preserve">Kcal/Kwh </t>
  </si>
  <si>
    <t xml:space="preserve">Heat Rate ( Plant ) 3300 @ MCR </t>
  </si>
  <si>
    <t>DG Power Generation</t>
  </si>
  <si>
    <t>FUEL Report</t>
  </si>
  <si>
    <t>Coal Consumption</t>
  </si>
  <si>
    <t>GCV ( ADB )</t>
  </si>
  <si>
    <t>Kcal/kg</t>
  </si>
  <si>
    <t xml:space="preserve">WTP Report </t>
  </si>
  <si>
    <t xml:space="preserve">DM water Generation </t>
  </si>
  <si>
    <t>m3</t>
  </si>
  <si>
    <t>DM water Consumption</t>
  </si>
  <si>
    <r>
      <rPr>
        <sz val="14"/>
        <color theme="1"/>
        <rFont val="Calibri"/>
        <charset val="134"/>
        <scheme val="minor"/>
      </rPr>
      <t>m</t>
    </r>
    <r>
      <rPr>
        <vertAlign val="superscript"/>
        <sz val="14"/>
        <color theme="1"/>
        <rFont val="Calibri"/>
        <charset val="134"/>
        <scheme val="minor"/>
      </rPr>
      <t>3</t>
    </r>
  </si>
  <si>
    <t>CT Makeup Water Consumption</t>
  </si>
  <si>
    <t>Fly ash combustible/ GCV</t>
  </si>
  <si>
    <t>% / kcal/kg</t>
  </si>
  <si>
    <t>FLY ASH DISPOSAL REPORT</t>
  </si>
  <si>
    <t>nos</t>
  </si>
  <si>
    <t>Fly ash to Dumpyard(Truck)</t>
  </si>
  <si>
    <r>
      <rPr>
        <sz val="14"/>
        <color theme="1"/>
        <rFont val="Calibri"/>
        <charset val="134"/>
        <scheme val="minor"/>
      </rPr>
      <t>m</t>
    </r>
    <r>
      <rPr>
        <vertAlign val="superscript"/>
        <sz val="14"/>
        <color theme="1"/>
        <rFont val="Calibri"/>
        <charset val="134"/>
        <scheme val="minor"/>
      </rPr>
      <t>2</t>
    </r>
  </si>
  <si>
    <t>Fly ash to cement mill</t>
  </si>
  <si>
    <t>Fly ash to Coal yard(Truck)</t>
  </si>
  <si>
    <t xml:space="preserve">                     1*10 MW CAPTIVE POWER PLANT</t>
  </si>
  <si>
    <t xml:space="preserve"> </t>
  </si>
  <si>
    <t>Fly ash to Coalyard(Truck)</t>
  </si>
  <si>
    <t xml:space="preserve">Daily,Monthly &amp; Yearly Generation Report (FRM-LCL-PP-06) </t>
  </si>
  <si>
    <t xml:space="preserve"> Year to Date(APR2026-MAR2027)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</si>
</sst>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0"/>
    <numFmt numFmtId="166" formatCode="0.0"/>
  </numFmts>
  <fonts count="1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Arial"/>
      <charset val="134"/>
    </font>
    <font>
      <sz val="16"/>
      <color theme="1"/>
      <name val="Calibri"/>
      <charset val="134"/>
      <scheme val="minor"/>
    </font>
    <font>
      <b/>
      <sz val="14"/>
      <color theme="1"/>
      <name val="Arial"/>
      <charset val="134"/>
    </font>
    <font>
      <vertAlign val="superscript"/>
      <sz val="14"/>
      <color theme="1"/>
      <name val="Calibri"/>
      <charset val="134"/>
      <scheme val="minor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3" borderId="5" xfId="0" applyFont="1" applyFill="1" applyBorder="1"/>
    <xf numFmtId="2" fontId="6" fillId="3" borderId="5" xfId="0" applyNumberFormat="1" applyFont="1" applyFill="1" applyBorder="1"/>
    <xf numFmtId="2" fontId="6" fillId="3" borderId="6" xfId="0" applyNumberFormat="1" applyFont="1" applyFill="1" applyBorder="1"/>
    <xf numFmtId="1" fontId="6" fillId="2" borderId="5" xfId="0" applyNumberFormat="1" applyFont="1" applyFill="1" applyBorder="1"/>
    <xf numFmtId="0" fontId="1" fillId="2" borderId="5" xfId="0" applyFont="1" applyFill="1" applyBorder="1" applyAlignment="1">
      <alignment horizontal="center"/>
    </xf>
    <xf numFmtId="165" fontId="6" fillId="3" borderId="5" xfId="0" applyNumberFormat="1" applyFont="1" applyFill="1" applyBorder="1"/>
    <xf numFmtId="165" fontId="6" fillId="3" borderId="6" xfId="0" applyNumberFormat="1" applyFont="1" applyFill="1" applyBorder="1"/>
    <xf numFmtId="166" fontId="6" fillId="3" borderId="5" xfId="0" applyNumberFormat="1" applyFont="1" applyFill="1" applyBorder="1"/>
    <xf numFmtId="0" fontId="1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1" fontId="6" fillId="2" borderId="8" xfId="0" applyNumberFormat="1" applyFont="1" applyFill="1" applyBorder="1"/>
    <xf numFmtId="1" fontId="6" fillId="0" borderId="8" xfId="0" applyNumberFormat="1" applyFont="1" applyBorder="1"/>
    <xf numFmtId="1" fontId="6" fillId="0" borderId="9" xfId="0" applyNumberFormat="1" applyFont="1" applyBorder="1"/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right"/>
    </xf>
    <xf numFmtId="0" fontId="6" fillId="0" borderId="8" xfId="0" applyFont="1" applyBorder="1"/>
    <xf numFmtId="0" fontId="6" fillId="0" borderId="9" xfId="0" applyFont="1" applyBorder="1"/>
    <xf numFmtId="0" fontId="1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right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" fontId="6" fillId="0" borderId="5" xfId="0" applyNumberFormat="1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9" xfId="0" applyFont="1" applyBorder="1" applyAlignment="1">
      <alignment horizontal="right"/>
    </xf>
    <xf numFmtId="0" fontId="1" fillId="0" borderId="22" xfId="0" applyFont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6" fontId="6" fillId="3" borderId="6" xfId="0" applyNumberFormat="1" applyFont="1" applyFill="1" applyBorder="1"/>
    <xf numFmtId="0" fontId="5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5" fillId="0" borderId="8" xfId="0" applyFont="1" applyBorder="1" applyAlignment="1">
      <alignment horizontal="right"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2" borderId="8" xfId="0" applyFont="1" applyFill="1" applyBorder="1" applyAlignment="1">
      <alignment horizontal="right"/>
    </xf>
    <xf numFmtId="0" fontId="6" fillId="2" borderId="8" xfId="0" applyFont="1" applyFill="1" applyBorder="1"/>
    <xf numFmtId="0" fontId="1" fillId="2" borderId="5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2" xfId="0" applyFont="1" applyBorder="1"/>
    <xf numFmtId="0" fontId="9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right"/>
    </xf>
    <xf numFmtId="0" fontId="10" fillId="0" borderId="2" xfId="0" applyFont="1" applyBorder="1"/>
    <xf numFmtId="0" fontId="10" fillId="0" borderId="3" xfId="0" applyFont="1" applyBorder="1"/>
    <xf numFmtId="0" fontId="9" fillId="0" borderId="5" xfId="0" applyFont="1" applyBorder="1" applyAlignment="1">
      <alignment horizontal="right"/>
    </xf>
    <xf numFmtId="0" fontId="10" fillId="0" borderId="5" xfId="0" applyFont="1" applyBorder="1"/>
    <xf numFmtId="0" fontId="10" fillId="0" borderId="6" xfId="0" applyFont="1" applyBorder="1"/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614912</xdr:colOff>
      <xdr:row>1</xdr:row>
      <xdr:rowOff>114396</xdr:rowOff>
    </xdr:from>
    <xdr:to>
      <xdr:col>6</xdr:col>
      <xdr:colOff>1815353</xdr:colOff>
      <xdr:row>4</xdr:row>
      <xdr:rowOff>289323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5780" y="507365"/>
          <a:ext cx="1200150" cy="150114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0</xdr:rowOff>
    </xdr:from>
    <xdr:to>
      <xdr:col>5</xdr:col>
      <xdr:colOff>1472127</xdr:colOff>
      <xdr:row>1</xdr:row>
      <xdr:rowOff>95977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0"/>
          <a:ext cx="4592320" cy="48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582706</xdr:colOff>
      <xdr:row>0</xdr:row>
      <xdr:rowOff>75920</xdr:rowOff>
    </xdr:from>
    <xdr:to>
      <xdr:col>6</xdr:col>
      <xdr:colOff>2061463</xdr:colOff>
      <xdr:row>4</xdr:row>
      <xdr:rowOff>51480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7345" y="7556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390525</xdr:rowOff>
    </xdr:from>
    <xdr:to>
      <xdr:col>5</xdr:col>
      <xdr:colOff>889421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390525"/>
          <a:ext cx="4590415" cy="4845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1023938</xdr:colOff>
      <xdr:row>0</xdr:row>
      <xdr:rowOff>97631</xdr:rowOff>
    </xdr:from>
    <xdr:to>
      <xdr:col>6</xdr:col>
      <xdr:colOff>2502695</xdr:colOff>
      <xdr:row>4</xdr:row>
      <xdr:rowOff>73191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770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80959</xdr:colOff>
      <xdr:row>0</xdr:row>
      <xdr:rowOff>390525</xdr:rowOff>
    </xdr:from>
    <xdr:to>
      <xdr:col>5</xdr:col>
      <xdr:colOff>1285873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404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1000124</xdr:colOff>
      <xdr:row>0</xdr:row>
      <xdr:rowOff>109538</xdr:rowOff>
    </xdr:from>
    <xdr:to>
      <xdr:col>6</xdr:col>
      <xdr:colOff>2478881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4590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991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940593</xdr:colOff>
      <xdr:row>0</xdr:row>
      <xdr:rowOff>109538</xdr:rowOff>
    </xdr:from>
    <xdr:to>
      <xdr:col>6</xdr:col>
      <xdr:colOff>2419350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8385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276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750093</xdr:colOff>
      <xdr:row>0</xdr:row>
      <xdr:rowOff>0</xdr:rowOff>
    </xdr:from>
    <xdr:to>
      <xdr:col>6</xdr:col>
      <xdr:colOff>2228850</xdr:colOff>
      <xdr:row>4</xdr:row>
      <xdr:rowOff>214313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6410" y="0"/>
          <a:ext cx="1478915" cy="1547495"/>
        </a:xfrm>
        <a:prstGeom prst="rect">
          <a:avLst/>
        </a:prstGeom>
      </xdr:spPr>
    </xdr:pic>
    <xdr:clientData/>
  </xdr:twoCellAnchor>
  <xdr:twoCellAnchor editAs="oneCell">
    <xdr:from>
      <xdr:col>2</xdr:col>
      <xdr:colOff>2819404</xdr:colOff>
      <xdr:row>0</xdr:row>
      <xdr:rowOff>221457</xdr:rowOff>
    </xdr:from>
    <xdr:to>
      <xdr:col>5</xdr:col>
      <xdr:colOff>1059662</xdr:colOff>
      <xdr:row>2</xdr:row>
      <xdr:rowOff>73006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5" y="220980"/>
          <a:ext cx="4592955" cy="480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928688</xdr:colOff>
      <xdr:row>0</xdr:row>
      <xdr:rowOff>121444</xdr:rowOff>
    </xdr:from>
    <xdr:to>
      <xdr:col>6</xdr:col>
      <xdr:colOff>2407445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347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45241</xdr:colOff>
      <xdr:row>0</xdr:row>
      <xdr:rowOff>390525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848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904875</xdr:colOff>
      <xdr:row>0</xdr:row>
      <xdr:rowOff>145256</xdr:rowOff>
    </xdr:from>
    <xdr:to>
      <xdr:col>6</xdr:col>
      <xdr:colOff>2383632</xdr:colOff>
      <xdr:row>4</xdr:row>
      <xdr:rowOff>120816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300" y="144780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721064</xdr:colOff>
      <xdr:row>1</xdr:row>
      <xdr:rowOff>33337</xdr:rowOff>
    </xdr:from>
    <xdr:to>
      <xdr:col>5</xdr:col>
      <xdr:colOff>1583604</xdr:colOff>
      <xdr:row>2</xdr:row>
      <xdr:rowOff>15548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6085"/>
          <a:ext cx="4243705" cy="4489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156485</xdr:rowOff>
    </xdr:from>
    <xdr:to>
      <xdr:col>6</xdr:col>
      <xdr:colOff>2428874</xdr:colOff>
      <xdr:row>4</xdr:row>
      <xdr:rowOff>61284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980" y="156210"/>
          <a:ext cx="1416685" cy="1624330"/>
        </a:xfrm>
        <a:prstGeom prst="rect">
          <a:avLst/>
        </a:prstGeom>
      </xdr:spPr>
    </xdr:pic>
    <xdr:clientData/>
  </xdr:twoCellAnchor>
  <xdr:twoCellAnchor editAs="oneCell">
    <xdr:from>
      <xdr:col>3</xdr:col>
      <xdr:colOff>88103</xdr:colOff>
      <xdr:row>0</xdr:row>
      <xdr:rowOff>390525</xdr:rowOff>
    </xdr:from>
    <xdr:to>
      <xdr:col>5</xdr:col>
      <xdr:colOff>1293017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340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997325</xdr:colOff>
      <xdr:row>0</xdr:row>
      <xdr:rowOff>31097</xdr:rowOff>
    </xdr:from>
    <xdr:to>
      <xdr:col>6</xdr:col>
      <xdr:colOff>1609307</xdr:colOff>
      <xdr:row>4</xdr:row>
      <xdr:rowOff>6657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3048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4</xdr:col>
      <xdr:colOff>168380</xdr:colOff>
      <xdr:row>1</xdr:row>
      <xdr:rowOff>20731</xdr:rowOff>
    </xdr:from>
    <xdr:to>
      <xdr:col>5</xdr:col>
      <xdr:colOff>2117911</xdr:colOff>
      <xdr:row>2</xdr:row>
      <xdr:rowOff>38267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292" y="412937"/>
          <a:ext cx="4257943" cy="4881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952500</xdr:colOff>
      <xdr:row>0</xdr:row>
      <xdr:rowOff>75921</xdr:rowOff>
    </xdr:from>
    <xdr:to>
      <xdr:col>6</xdr:col>
      <xdr:colOff>2431257</xdr:colOff>
      <xdr:row>4</xdr:row>
      <xdr:rowOff>51481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5" y="75565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15967</xdr:colOff>
      <xdr:row>0</xdr:row>
      <xdr:rowOff>390525</xdr:rowOff>
    </xdr:from>
    <xdr:to>
      <xdr:col>5</xdr:col>
      <xdr:colOff>1218079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600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85725</xdr:rowOff>
    </xdr:from>
    <xdr:to>
      <xdr:col>6</xdr:col>
      <xdr:colOff>2490788</xdr:colOff>
      <xdr:row>4</xdr:row>
      <xdr:rowOff>61285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8572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97632</xdr:rowOff>
    </xdr:from>
    <xdr:to>
      <xdr:col>6</xdr:col>
      <xdr:colOff>2490788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1071562</xdr:colOff>
      <xdr:row>0</xdr:row>
      <xdr:rowOff>204788</xdr:rowOff>
    </xdr:from>
    <xdr:to>
      <xdr:col>6</xdr:col>
      <xdr:colOff>2550319</xdr:colOff>
      <xdr:row>4</xdr:row>
      <xdr:rowOff>180348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9695" y="20447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278959</xdr:rowOff>
    </xdr:from>
    <xdr:to>
      <xdr:col>6</xdr:col>
      <xdr:colOff>2440781</xdr:colOff>
      <xdr:row>4</xdr:row>
      <xdr:rowOff>59531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278765"/>
          <a:ext cx="1356995" cy="14998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1238249</xdr:colOff>
      <xdr:row>0</xdr:row>
      <xdr:rowOff>385090</xdr:rowOff>
    </xdr:from>
    <xdr:to>
      <xdr:col>6</xdr:col>
      <xdr:colOff>2538412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6065" y="384810"/>
          <a:ext cx="1300480" cy="14909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1119187</xdr:colOff>
      <xdr:row>0</xdr:row>
      <xdr:rowOff>133350</xdr:rowOff>
    </xdr:from>
    <xdr:to>
      <xdr:col>6</xdr:col>
      <xdr:colOff>2597944</xdr:colOff>
      <xdr:row>4</xdr:row>
      <xdr:rowOff>108910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7320" y="133350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1095374</xdr:colOff>
      <xdr:row>0</xdr:row>
      <xdr:rowOff>157163</xdr:rowOff>
    </xdr:from>
    <xdr:to>
      <xdr:col>6</xdr:col>
      <xdr:colOff>2574131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196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4</xdr:col>
      <xdr:colOff>2995268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1131093</xdr:colOff>
      <xdr:row>0</xdr:row>
      <xdr:rowOff>157163</xdr:rowOff>
    </xdr:from>
    <xdr:to>
      <xdr:col>6</xdr:col>
      <xdr:colOff>2609850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938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121444</xdr:rowOff>
    </xdr:from>
    <xdr:to>
      <xdr:col>6</xdr:col>
      <xdr:colOff>2562226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1035843</xdr:colOff>
      <xdr:row>0</xdr:row>
      <xdr:rowOff>180976</xdr:rowOff>
    </xdr:from>
    <xdr:to>
      <xdr:col>6</xdr:col>
      <xdr:colOff>2514600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4135" y="18097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252413</xdr:rowOff>
    </xdr:from>
    <xdr:to>
      <xdr:col>6</xdr:col>
      <xdr:colOff>2483306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252095"/>
          <a:ext cx="1387475" cy="165798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169069</xdr:rowOff>
    </xdr:from>
    <xdr:to>
      <xdr:col>6</xdr:col>
      <xdr:colOff>2621755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168910"/>
          <a:ext cx="1525905" cy="1741170"/>
        </a:xfrm>
        <a:prstGeom prst="rect">
          <a:avLst/>
        </a:prstGeom>
      </xdr:spPr>
    </xdr:pic>
    <xdr:clientData/>
  </xdr:twoCellAnchor>
  <xdr:twoCellAnchor editAs="oneCell">
    <xdr:from>
      <xdr:col>3</xdr:col>
      <xdr:colOff>297655</xdr:colOff>
      <xdr:row>1</xdr:row>
      <xdr:rowOff>24179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0580" y="417195"/>
          <a:ext cx="4333875" cy="4578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1083468</xdr:colOff>
      <xdr:row>0</xdr:row>
      <xdr:rowOff>119062</xdr:rowOff>
    </xdr:from>
    <xdr:to>
      <xdr:col>6</xdr:col>
      <xdr:colOff>2562225</xdr:colOff>
      <xdr:row>4</xdr:row>
      <xdr:rowOff>94622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187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121444</xdr:rowOff>
    </xdr:from>
    <xdr:to>
      <xdr:col>6</xdr:col>
      <xdr:colOff>2645569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1107280</xdr:colOff>
      <xdr:row>0</xdr:row>
      <xdr:rowOff>192882</xdr:rowOff>
    </xdr:from>
    <xdr:to>
      <xdr:col>6</xdr:col>
      <xdr:colOff>2586037</xdr:colOff>
      <xdr:row>4</xdr:row>
      <xdr:rowOff>168442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5255" y="19240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97632</xdr:rowOff>
    </xdr:from>
    <xdr:to>
      <xdr:col>6</xdr:col>
      <xdr:colOff>2645569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5</xdr:col>
      <xdr:colOff>1416839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1142999</xdr:colOff>
      <xdr:row>0</xdr:row>
      <xdr:rowOff>145257</xdr:rowOff>
    </xdr:from>
    <xdr:to>
      <xdr:col>6</xdr:col>
      <xdr:colOff>2621756</xdr:colOff>
      <xdr:row>4</xdr:row>
      <xdr:rowOff>120817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0815" y="14478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1309688</xdr:colOff>
      <xdr:row>0</xdr:row>
      <xdr:rowOff>297656</xdr:rowOff>
    </xdr:from>
    <xdr:to>
      <xdr:col>6</xdr:col>
      <xdr:colOff>2609850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7820" y="297180"/>
          <a:ext cx="1300480" cy="1495425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1262062</xdr:colOff>
      <xdr:row>0</xdr:row>
      <xdr:rowOff>226219</xdr:rowOff>
    </xdr:from>
    <xdr:to>
      <xdr:col>6</xdr:col>
      <xdr:colOff>2621755</xdr:colOff>
      <xdr:row>3</xdr:row>
      <xdr:rowOff>358942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0195" y="226060"/>
          <a:ext cx="135953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1333501</xdr:colOff>
      <xdr:row>0</xdr:row>
      <xdr:rowOff>309563</xdr:rowOff>
    </xdr:from>
    <xdr:to>
      <xdr:col>6</xdr:col>
      <xdr:colOff>2657475</xdr:colOff>
      <xdr:row>4</xdr:row>
      <xdr:rowOff>49380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50" y="309245"/>
          <a:ext cx="132397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152395</xdr:colOff>
      <xdr:row>0</xdr:row>
      <xdr:rowOff>390525</xdr:rowOff>
    </xdr:from>
    <xdr:to>
      <xdr:col>5</xdr:col>
      <xdr:colOff>1357309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16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1333501</xdr:colOff>
      <xdr:row>0</xdr:row>
      <xdr:rowOff>309563</xdr:rowOff>
    </xdr:from>
    <xdr:to>
      <xdr:col>6</xdr:col>
      <xdr:colOff>2657475</xdr:colOff>
      <xdr:row>4</xdr:row>
      <xdr:rowOff>49380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50" y="309245"/>
          <a:ext cx="132397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152395</xdr:colOff>
      <xdr:row>0</xdr:row>
      <xdr:rowOff>390525</xdr:rowOff>
    </xdr:from>
    <xdr:to>
      <xdr:col>5</xdr:col>
      <xdr:colOff>1357309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165" y="390525"/>
          <a:ext cx="4586605" cy="4845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WER%20PLANT/Desktop/MIS%20REPORT%20DONT%20DELETE/2026/JULY-2026/DAILY,MONTHLY%20&amp;%20EARLY%20REPORT-JULY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35">
          <cell r="F35">
            <v>790</v>
          </cell>
          <cell r="G35">
            <v>2948</v>
          </cell>
        </row>
        <row r="36">
          <cell r="F36">
            <v>61</v>
          </cell>
          <cell r="G36">
            <v>277</v>
          </cell>
        </row>
      </sheetData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9"/>
  <sheetViews>
    <sheetView zoomScale="85" zoomScaleNormal="85" workbookViewId="0">
      <pane xSplit="4" ySplit="1" topLeftCell="E29" activePane="bottomRight" state="frozen"/>
      <selection pane="topRight"/>
      <selection pane="bottomLeft"/>
      <selection pane="bottomRight" activeCell="E35" sqref="E35:G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5" width="25.7109375" style="1" customWidth="1"/>
    <col min="6" max="6" width="26.28515625" style="1" customWidth="1"/>
    <col min="7" max="7" width="39.5703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91"/>
      <c r="C5" s="91"/>
      <c r="D5" s="91"/>
      <c r="E5" s="91"/>
      <c r="F5" s="91"/>
      <c r="G5" s="91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v>46234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180300</v>
      </c>
      <c r="F7" s="12">
        <v>5406400</v>
      </c>
      <c r="G7" s="13">
        <v>19726365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17840</v>
      </c>
      <c r="F8" s="12">
        <v>550950</v>
      </c>
      <c r="G8" s="13">
        <v>2153545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v>162460</v>
      </c>
      <c r="F9" s="12">
        <v>4855450</v>
      </c>
      <c r="G9" s="13">
        <v>17572820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v>9.8946200776483639</v>
      </c>
      <c r="F10" s="15">
        <v>10.190699911216337</v>
      </c>
      <c r="G10" s="16">
        <v>10.917089894666351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v>7.5125000000000002</v>
      </c>
      <c r="F11" s="15">
        <v>7.2666666666666666</v>
      </c>
      <c r="G11" s="16">
        <v>6.7842749840077596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v>744</v>
      </c>
      <c r="G12" s="13">
        <v>2907.66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v>75.125</v>
      </c>
      <c r="F13" s="15">
        <v>72.666666666666671</v>
      </c>
      <c r="G13" s="16">
        <v>67.842749840077602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824</v>
      </c>
      <c r="F14" s="12">
        <v>24773</v>
      </c>
      <c r="G14" s="13">
        <v>91773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796</v>
      </c>
      <c r="F15" s="12">
        <v>24075</v>
      </c>
      <c r="G15" s="13">
        <v>88988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12">
        <v>1692</v>
      </c>
      <c r="G16" s="13">
        <v>5780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751</v>
      </c>
      <c r="F17" s="12">
        <v>22547</v>
      </c>
      <c r="G17" s="13">
        <v>82173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593</v>
      </c>
      <c r="F18" s="12">
        <v>17729</v>
      </c>
      <c r="G18" s="13">
        <v>65613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v>534</v>
      </c>
      <c r="G19" s="13">
        <v>2149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v>4.1652800887409871</v>
      </c>
      <c r="F20" s="15">
        <v>4.1704276413139985</v>
      </c>
      <c r="G20" s="16">
        <v>4.1656432900841081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v>0.75429839156960621</v>
      </c>
      <c r="F21" s="19">
        <v>0.81089079609351877</v>
      </c>
      <c r="G21" s="20">
        <v>0.85388260837716423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v>2805.2301719356628</v>
      </c>
      <c r="F22" s="21">
        <v>2808.9673350103581</v>
      </c>
      <c r="G22" s="21">
        <v>2806.3020733926396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v>3809.2353200506277</v>
      </c>
      <c r="F23" s="21">
        <v>3842.1877489926469</v>
      </c>
      <c r="G23" s="21">
        <v>3892.2868858439856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v>0</v>
      </c>
      <c r="G24" s="27"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136</v>
      </c>
      <c r="F26" s="32">
        <v>4384</v>
      </c>
      <c r="G26" s="33">
        <v>16844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4768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12</v>
      </c>
      <c r="F30" s="32">
        <v>410</v>
      </c>
      <c r="G30" s="33">
        <v>1843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v>409</v>
      </c>
      <c r="G31" s="13">
        <v>1857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v>651</v>
      </c>
      <c r="G32" s="13">
        <v>2433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21</v>
      </c>
      <c r="F33" s="47">
        <v>1668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93" t="s">
        <v>46</v>
      </c>
      <c r="D35" s="94" t="s">
        <v>17</v>
      </c>
      <c r="E35" s="95">
        <v>1</v>
      </c>
      <c r="F35" s="96">
        <f>E35+'[1]30'!F35</f>
        <v>791</v>
      </c>
      <c r="G35" s="97">
        <f>E35+'[1]30'!G35</f>
        <v>2949</v>
      </c>
    </row>
    <row r="36" spans="2:7" ht="30.95" customHeight="1">
      <c r="B36" s="52">
        <v>6</v>
      </c>
      <c r="C36" s="53" t="s">
        <v>50</v>
      </c>
      <c r="D36" s="54" t="s">
        <v>43</v>
      </c>
      <c r="E36" s="98">
        <v>32</v>
      </c>
      <c r="F36" s="99">
        <f>E36+'[1]30'!F36</f>
        <v>93</v>
      </c>
      <c r="G36" s="100">
        <f>E36+'[1]30'!G36</f>
        <v>309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v>0</v>
      </c>
      <c r="G37" s="48"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40"/>
  <sheetViews>
    <sheetView zoomScale="85" zoomScaleNormal="85" workbookViewId="0">
      <pane xSplit="4" ySplit="6" topLeftCell="E19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6" width="34.42578125" style="1" customWidth="1"/>
    <col min="7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75" customHeight="1">
      <c r="B6" s="6" t="s">
        <v>1</v>
      </c>
      <c r="C6" s="7" t="s">
        <v>2</v>
      </c>
      <c r="D6" s="7" t="s">
        <v>3</v>
      </c>
      <c r="E6" s="8">
        <f>'0'!E6+1</f>
        <v>46235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178900</v>
      </c>
      <c r="F7" s="12">
        <f>E7</f>
        <v>178900</v>
      </c>
      <c r="G7" s="13">
        <f>E7+'0'!G7</f>
        <v>19905265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18109</v>
      </c>
      <c r="F8" s="12">
        <f t="shared" ref="F8:F9" si="0">E8</f>
        <v>18109</v>
      </c>
      <c r="G8" s="13">
        <f>E8+'0'!G8</f>
        <v>2171654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160791</v>
      </c>
      <c r="F9" s="12">
        <f t="shared" si="0"/>
        <v>160791</v>
      </c>
      <c r="G9" s="13">
        <f>E9+'0'!G9</f>
        <v>17733611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10.1224147568474</v>
      </c>
      <c r="F10" s="15">
        <f>F8/F7*100</f>
        <v>10.1224147568474</v>
      </c>
      <c r="G10" s="16">
        <f>G8/G7*100</f>
        <v>10.909947694743074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7.4541666666666666</v>
      </c>
      <c r="F11" s="15">
        <f>F7/F12/1000</f>
        <v>7.4541666666666666</v>
      </c>
      <c r="G11" s="16">
        <f>G7/G12/1000</f>
        <v>6.7897590443639446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</f>
        <v>24</v>
      </c>
      <c r="G12" s="13">
        <f>E12+'0'!G12</f>
        <v>2931.66</v>
      </c>
    </row>
    <row r="13" spans="1:12" ht="30.75" customHeight="1">
      <c r="B13" s="9">
        <v>6</v>
      </c>
      <c r="C13" s="10" t="s">
        <v>15</v>
      </c>
      <c r="D13" s="11" t="s">
        <v>10</v>
      </c>
      <c r="E13" s="15">
        <f>E11/10*100</f>
        <v>74.541666666666657</v>
      </c>
      <c r="F13" s="15">
        <f>F11/10*100</f>
        <v>74.541666666666657</v>
      </c>
      <c r="G13" s="16">
        <f>G11/10*100</f>
        <v>67.897590443639444</v>
      </c>
    </row>
    <row r="14" spans="1:12" ht="30.75" customHeight="1">
      <c r="B14" s="9">
        <v>7</v>
      </c>
      <c r="C14" s="10" t="s">
        <v>16</v>
      </c>
      <c r="D14" s="11" t="s">
        <v>17</v>
      </c>
      <c r="E14" s="12">
        <v>808</v>
      </c>
      <c r="F14" s="12">
        <f>E14</f>
        <v>808</v>
      </c>
      <c r="G14" s="13">
        <f>E14+'0'!G14</f>
        <v>92581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790</v>
      </c>
      <c r="F15" s="12">
        <f t="shared" ref="F15:F19" si="1">E15</f>
        <v>790</v>
      </c>
      <c r="G15" s="13">
        <f>E15+'0'!G15</f>
        <v>89778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51</v>
      </c>
      <c r="F16" s="12">
        <f t="shared" si="1"/>
        <v>51</v>
      </c>
      <c r="G16" s="13">
        <f>E16+'0'!G16</f>
        <v>5831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745</v>
      </c>
      <c r="F17" s="12">
        <f t="shared" si="1"/>
        <v>745</v>
      </c>
      <c r="G17" s="13">
        <f>E17+'0'!G17</f>
        <v>82918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586</v>
      </c>
      <c r="F18" s="12">
        <f t="shared" si="1"/>
        <v>586</v>
      </c>
      <c r="G18" s="13">
        <f>E18+'0'!G18</f>
        <v>66199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 t="shared" si="1"/>
        <v>18</v>
      </c>
      <c r="G19" s="13">
        <f>E19+'0'!G19</f>
        <v>2167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4.1643376187814418</v>
      </c>
      <c r="F20" s="15">
        <f>F17*1000/F7</f>
        <v>4.1643376187814418</v>
      </c>
      <c r="G20" s="16">
        <f>G17*1000/G7</f>
        <v>4.1656315552694227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0.76579094466182229</v>
      </c>
      <c r="F21" s="19">
        <f>F26*1000/F7</f>
        <v>0.76579094466182229</v>
      </c>
      <c r="G21" s="20">
        <f>G26*1000/G7</f>
        <v>0.85309087821739626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2805.1145891559531</v>
      </c>
      <c r="F22" s="21">
        <f>((F17*(803-130)+F31*(30))*1000)/F7</f>
        <v>2805.1145891559531</v>
      </c>
      <c r="G22" s="78">
        <f>((G17*(803-130)+G31*(30))*1000)/G7</f>
        <v>2806.2914007927047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3810.1073511917557</v>
      </c>
      <c r="F23" s="21">
        <f t="shared" ref="F23:G23" si="2">(F15*(803-130))*1000/(F7*0.78)</f>
        <v>3810.1073511917557</v>
      </c>
      <c r="G23" s="21">
        <f t="shared" si="2"/>
        <v>3891.5482913691426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</f>
        <v>0</v>
      </c>
      <c r="G24" s="13">
        <f>E24+'0'!G24</f>
        <v>1468</v>
      </c>
    </row>
    <row r="25" spans="2:8" ht="30.95" customHeight="1">
      <c r="B25" s="113" t="s">
        <v>30</v>
      </c>
      <c r="C25" s="114"/>
      <c r="D25" s="114"/>
      <c r="E25" s="114"/>
      <c r="F25" s="114"/>
      <c r="G25" s="115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137</v>
      </c>
      <c r="F26" s="32">
        <f>E26</f>
        <v>137</v>
      </c>
      <c r="G26" s="13">
        <f>E26+'0'!G26</f>
        <v>16981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4780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13" t="s">
        <v>34</v>
      </c>
      <c r="C29" s="114"/>
      <c r="D29" s="114"/>
      <c r="E29" s="114"/>
      <c r="F29" s="114"/>
      <c r="G29" s="115"/>
    </row>
    <row r="30" spans="2:8" ht="30.95" customHeight="1">
      <c r="B30" s="29">
        <v>1</v>
      </c>
      <c r="C30" s="30" t="s">
        <v>35</v>
      </c>
      <c r="D30" s="42" t="s">
        <v>45</v>
      </c>
      <c r="E30" s="32">
        <v>14</v>
      </c>
      <c r="F30" s="32">
        <f>E30</f>
        <v>14</v>
      </c>
      <c r="G30" s="13">
        <f>E30+'0'!G30</f>
        <v>1857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 t="shared" ref="F31:F32" si="3">E31</f>
        <v>15</v>
      </c>
      <c r="G31" s="13">
        <f>E31+'0'!G31</f>
        <v>1872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21</v>
      </c>
      <c r="F32" s="12">
        <f t="shared" si="3"/>
        <v>21</v>
      </c>
      <c r="G32" s="13">
        <f>E32+'0'!G32</f>
        <v>2454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22</v>
      </c>
      <c r="F33" s="47">
        <v>1653</v>
      </c>
      <c r="G33" s="48"/>
    </row>
    <row r="34" spans="2:7" ht="30.95" customHeight="1" thickBot="1">
      <c r="B34" s="110" t="s">
        <v>42</v>
      </c>
      <c r="C34" s="111"/>
      <c r="D34" s="111"/>
      <c r="E34" s="111"/>
      <c r="F34" s="111"/>
      <c r="G34" s="112"/>
    </row>
    <row r="35" spans="2:7" ht="30.95" customHeight="1" thickBot="1">
      <c r="B35" s="49">
        <v>5</v>
      </c>
      <c r="C35" s="50" t="s">
        <v>46</v>
      </c>
      <c r="D35" s="77" t="s">
        <v>17</v>
      </c>
      <c r="E35" s="95">
        <v>44</v>
      </c>
      <c r="F35" s="47">
        <f t="shared" ref="F35:F37" si="4">E35</f>
        <v>44</v>
      </c>
      <c r="G35" s="13">
        <f>E35+'0'!G35</f>
        <v>2993</v>
      </c>
    </row>
    <row r="36" spans="2:7" ht="30.95" customHeight="1" thickBot="1">
      <c r="B36" s="52">
        <v>6</v>
      </c>
      <c r="C36" s="53" t="s">
        <v>47</v>
      </c>
      <c r="D36" s="54" t="s">
        <v>43</v>
      </c>
      <c r="E36" s="98">
        <v>0</v>
      </c>
      <c r="F36" s="47">
        <f t="shared" si="4"/>
        <v>0</v>
      </c>
      <c r="G36" s="13">
        <f>E36+'0'!G36</f>
        <v>309</v>
      </c>
    </row>
    <row r="37" spans="2:7" ht="30.95" customHeight="1" thickBot="1">
      <c r="B37" s="44">
        <v>7</v>
      </c>
      <c r="C37" s="56" t="s">
        <v>44</v>
      </c>
      <c r="D37" s="57" t="s">
        <v>43</v>
      </c>
      <c r="E37" s="58">
        <v>0</v>
      </c>
      <c r="F37" s="47">
        <f t="shared" si="4"/>
        <v>0</v>
      </c>
      <c r="G37" s="13">
        <f>E37+'0'!G37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7" orientation="portrait"/>
  <ignoredErrors>
    <ignoredError sqref="F1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E35" sqref="E3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.28515625" style="1" customWidth="1"/>
    <col min="7" max="7" width="39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'1'!E6+1</f>
        <v>46236</v>
      </c>
      <c r="F6" s="42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185651</v>
      </c>
      <c r="F7" s="12">
        <f>E7+'1'!F7</f>
        <v>364551</v>
      </c>
      <c r="G7" s="13">
        <f>E7+'1'!G7</f>
        <v>20090916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18409</v>
      </c>
      <c r="F8" s="12">
        <f>E8+'1'!F8</f>
        <v>36518</v>
      </c>
      <c r="G8" s="13">
        <f>E8+'1'!G8</f>
        <v>2190063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167242</v>
      </c>
      <c r="F9" s="12">
        <f>E9+'1'!F9</f>
        <v>328033</v>
      </c>
      <c r="G9" s="13">
        <f>E9+'1'!G9</f>
        <v>17900853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9.9159175011176881</v>
      </c>
      <c r="F10" s="15">
        <f>F8/F7*100</f>
        <v>10.017254101620898</v>
      </c>
      <c r="G10" s="16">
        <f>G8/G7*100</f>
        <v>10.900762314669974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7.7354583333333329</v>
      </c>
      <c r="F11" s="15">
        <f>F7/F12/1000</f>
        <v>7.5948124999999997</v>
      </c>
      <c r="G11" s="16">
        <f>G7/G12/1000</f>
        <v>6.797438135644831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E12+'1'!F12</f>
        <v>48</v>
      </c>
      <c r="G12" s="13">
        <f>E12+'1'!G12</f>
        <v>2955.66</v>
      </c>
    </row>
    <row r="13" spans="1:12" ht="30.95" customHeight="1">
      <c r="B13" s="9">
        <v>7</v>
      </c>
      <c r="C13" s="10" t="s">
        <v>15</v>
      </c>
      <c r="D13" s="11" t="s">
        <v>10</v>
      </c>
      <c r="E13" s="15">
        <f>E11/10*100</f>
        <v>77.354583333333323</v>
      </c>
      <c r="F13" s="15">
        <f>F11/10*100</f>
        <v>75.948125000000005</v>
      </c>
      <c r="G13" s="16">
        <f>G11/10*100</f>
        <v>67.974381356448305</v>
      </c>
    </row>
    <row r="14" spans="1:12" ht="30.95" customHeight="1">
      <c r="B14" s="9">
        <v>8</v>
      </c>
      <c r="C14" s="10" t="s">
        <v>16</v>
      </c>
      <c r="D14" s="11" t="s">
        <v>17</v>
      </c>
      <c r="E14" s="12">
        <v>826</v>
      </c>
      <c r="F14" s="12">
        <f>E14+'1'!F14</f>
        <v>1634</v>
      </c>
      <c r="G14" s="13">
        <f>E14+'1'!G14</f>
        <v>93407</v>
      </c>
    </row>
    <row r="15" spans="1:12" ht="30.95" customHeight="1">
      <c r="B15" s="9">
        <v>9</v>
      </c>
      <c r="C15" s="10" t="s">
        <v>18</v>
      </c>
      <c r="D15" s="11" t="s">
        <v>17</v>
      </c>
      <c r="E15" s="12">
        <v>820</v>
      </c>
      <c r="F15" s="12">
        <f>E15+'1'!F15</f>
        <v>1610</v>
      </c>
      <c r="G15" s="13">
        <f>E15+'1'!G15</f>
        <v>90598</v>
      </c>
    </row>
    <row r="16" spans="1:12" ht="30.95" customHeight="1">
      <c r="B16" s="9">
        <v>10</v>
      </c>
      <c r="C16" s="10" t="s">
        <v>19</v>
      </c>
      <c r="D16" s="90" t="s">
        <v>17</v>
      </c>
      <c r="E16" s="12">
        <v>58</v>
      </c>
      <c r="F16" s="12">
        <f>E16+'1'!F16</f>
        <v>109</v>
      </c>
      <c r="G16" s="13">
        <f>E16+'1'!G16</f>
        <v>5889</v>
      </c>
    </row>
    <row r="17" spans="2:8" ht="30.95" customHeight="1">
      <c r="B17" s="9">
        <v>11</v>
      </c>
      <c r="C17" s="10" t="s">
        <v>20</v>
      </c>
      <c r="D17" s="11" t="s">
        <v>17</v>
      </c>
      <c r="E17" s="12">
        <v>761</v>
      </c>
      <c r="F17" s="12">
        <f>E17+'1'!F17</f>
        <v>1506</v>
      </c>
      <c r="G17" s="13">
        <f>E17+'1'!G17</f>
        <v>83679</v>
      </c>
    </row>
    <row r="18" spans="2:8" ht="30.95" customHeight="1">
      <c r="B18" s="9">
        <v>12</v>
      </c>
      <c r="C18" s="10" t="s">
        <v>21</v>
      </c>
      <c r="D18" s="11" t="s">
        <v>17</v>
      </c>
      <c r="E18" s="12">
        <v>597</v>
      </c>
      <c r="F18" s="12">
        <f>E18+'1'!F18</f>
        <v>1183</v>
      </c>
      <c r="G18" s="13">
        <f>E18+'1'!G18</f>
        <v>66796</v>
      </c>
    </row>
    <row r="19" spans="2:8" ht="30.95" customHeight="1">
      <c r="B19" s="9">
        <v>13</v>
      </c>
      <c r="C19" s="10" t="s">
        <v>22</v>
      </c>
      <c r="D19" s="18" t="s">
        <v>17</v>
      </c>
      <c r="E19" s="12">
        <v>17</v>
      </c>
      <c r="F19" s="12">
        <f>E19+'1'!F19</f>
        <v>35</v>
      </c>
      <c r="G19" s="13">
        <f>E19+'1'!G19</f>
        <v>2184</v>
      </c>
    </row>
    <row r="20" spans="2:8" ht="30.95" customHeight="1">
      <c r="B20" s="9">
        <v>14</v>
      </c>
      <c r="C20" s="10" t="s">
        <v>23</v>
      </c>
      <c r="D20" s="11" t="s">
        <v>24</v>
      </c>
      <c r="E20" s="15">
        <f>E17*1000/E7</f>
        <v>4.0990891511491991</v>
      </c>
      <c r="F20" s="15">
        <f>F17*1000/F7</f>
        <v>4.1311092275154913</v>
      </c>
      <c r="G20" s="16">
        <f>G17*1000/G7</f>
        <v>4.1650166672340871</v>
      </c>
    </row>
    <row r="21" spans="2:8" ht="30.95" customHeight="1">
      <c r="B21" s="9">
        <v>15</v>
      </c>
      <c r="C21" s="10" t="s">
        <v>25</v>
      </c>
      <c r="D21" s="11" t="s">
        <v>24</v>
      </c>
      <c r="E21" s="19">
        <f>E26*1000/E7</f>
        <v>0.74333022714663533</v>
      </c>
      <c r="F21" s="19">
        <f>F26*1000/F7</f>
        <v>0.75435261458616221</v>
      </c>
      <c r="G21" s="20">
        <f>G26*1000/G7</f>
        <v>0.8520766300550956</v>
      </c>
    </row>
    <row r="22" spans="2:8" ht="30.95" customHeight="1">
      <c r="B22" s="9">
        <v>16</v>
      </c>
      <c r="C22" s="10" t="s">
        <v>26</v>
      </c>
      <c r="D22" s="11" t="s">
        <v>27</v>
      </c>
      <c r="E22" s="21">
        <f>((E17*(803-130)+E31*(30))*1000)/E7</f>
        <v>2760.6261210550979</v>
      </c>
      <c r="F22" s="21">
        <f t="shared" ref="F22:G22" si="0">((F17*(803-130)+F31*(30))*1000)/F7</f>
        <v>2782.4584214554343</v>
      </c>
      <c r="G22" s="21">
        <f t="shared" si="0"/>
        <v>2805.8694287507847</v>
      </c>
    </row>
    <row r="23" spans="2:8" ht="30.95" customHeight="1">
      <c r="B23" s="9">
        <v>17</v>
      </c>
      <c r="C23" s="10" t="s">
        <v>28</v>
      </c>
      <c r="D23" s="11" t="s">
        <v>27</v>
      </c>
      <c r="E23" s="21">
        <f>(E15*(803-130))*1000/(E7*0.78)</f>
        <v>3810.9830839199385</v>
      </c>
      <c r="F23" s="21">
        <f t="shared" ref="F23:G23" si="1">(F15*(803-130))*1000/(F7*0.78)</f>
        <v>3810.5533262589474</v>
      </c>
      <c r="G23" s="21">
        <f t="shared" si="1"/>
        <v>3890.803824997965</v>
      </c>
    </row>
    <row r="24" spans="2:8" ht="30.95" customHeight="1">
      <c r="B24" s="9">
        <v>18</v>
      </c>
      <c r="C24" s="23" t="s">
        <v>29</v>
      </c>
      <c r="D24" s="24" t="s">
        <v>6</v>
      </c>
      <c r="E24" s="25">
        <v>0</v>
      </c>
      <c r="F24" s="47">
        <f>E24+'1'!F24</f>
        <v>0</v>
      </c>
      <c r="G24" s="48">
        <f>E24+'1'!G24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E26+'1'!F26</f>
        <v>275</v>
      </c>
      <c r="G26" s="33">
        <f>E26+'1'!G26</f>
        <v>17119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4604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11</v>
      </c>
      <c r="F30" s="32">
        <f>E30+'1'!F30</f>
        <v>25</v>
      </c>
      <c r="G30" s="33">
        <f>E30+'1'!G30</f>
        <v>1868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>E31+'1'!F31</f>
        <v>27</v>
      </c>
      <c r="G31" s="13">
        <f>E31+'1'!G31</f>
        <v>1884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E32+'1'!F32</f>
        <v>39</v>
      </c>
      <c r="G32" s="13">
        <f>E32+'1'!G32</f>
        <v>2472</v>
      </c>
    </row>
    <row r="33" spans="2:7" ht="30.95" customHeight="1">
      <c r="B33" s="44">
        <v>4</v>
      </c>
      <c r="C33" s="23" t="s">
        <v>40</v>
      </c>
      <c r="D33" s="45" t="s">
        <v>41</v>
      </c>
      <c r="E33" s="47">
        <v>22</v>
      </c>
      <c r="F33" s="47">
        <v>1614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47</v>
      </c>
      <c r="F35" s="32">
        <f>E35+'1'!F35</f>
        <v>91</v>
      </c>
      <c r="G35" s="33">
        <f>E35+'1'!G35</f>
        <v>3040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E36+'1'!F36</f>
        <v>0</v>
      </c>
      <c r="G36" s="13">
        <f>E36+'1'!G36</f>
        <v>309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E37+'1'!F37</f>
        <v>0</v>
      </c>
      <c r="G37" s="48">
        <f>E37+'1'!G37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16" sqref="E1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39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'2'!E6+1</f>
        <v>46237</v>
      </c>
      <c r="F6" s="42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176600</v>
      </c>
      <c r="F7" s="12">
        <f>E7+'2'!F7</f>
        <v>541151</v>
      </c>
      <c r="G7" s="13">
        <f>E7+'2'!G7</f>
        <v>20267516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17918</v>
      </c>
      <c r="F8" s="12">
        <f>E8+'2'!F8</f>
        <v>54436</v>
      </c>
      <c r="G8" s="13">
        <f>E8+'2'!G8</f>
        <v>2207981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158682</v>
      </c>
      <c r="F9" s="12">
        <f>E9+'2'!F9</f>
        <v>486715</v>
      </c>
      <c r="G9" s="13">
        <f>E9+'2'!G9</f>
        <v>18059535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10.146092865232163</v>
      </c>
      <c r="F10" s="15">
        <f>F8/F7*100</f>
        <v>10.059299530075709</v>
      </c>
      <c r="G10" s="16">
        <f>G8/G7*100</f>
        <v>10.894186539682513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7.3583333333333334</v>
      </c>
      <c r="F11" s="15">
        <f>F7/F12/1000</f>
        <v>7.5159861111111113</v>
      </c>
      <c r="G11" s="16">
        <f>G7/G12/1000</f>
        <v>6.8019559278575406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E12+'2'!F12</f>
        <v>72</v>
      </c>
      <c r="G12" s="13">
        <f>E12+'2'!G12</f>
        <v>2979.66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73.583333333333329</v>
      </c>
      <c r="F13" s="15">
        <f>F11/10*100</f>
        <v>75.159861111111113</v>
      </c>
      <c r="G13" s="16">
        <f>G11/10*100</f>
        <v>68.0195592785754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818</v>
      </c>
      <c r="F14" s="12">
        <f>E14+'2'!F14</f>
        <v>2452</v>
      </c>
      <c r="G14" s="13">
        <f>E14+'2'!G14</f>
        <v>94225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788</v>
      </c>
      <c r="F15" s="12">
        <f>E15+'2'!F15</f>
        <v>2398</v>
      </c>
      <c r="G15" s="13">
        <f>E15+'2'!G15</f>
        <v>91386</v>
      </c>
    </row>
    <row r="16" spans="1:12" ht="30.95" customHeight="1">
      <c r="B16" s="9">
        <v>9</v>
      </c>
      <c r="C16" s="10" t="s">
        <v>19</v>
      </c>
      <c r="D16" s="90" t="s">
        <v>17</v>
      </c>
      <c r="E16" s="12">
        <v>60</v>
      </c>
      <c r="F16" s="70">
        <f>E16+'2'!F16</f>
        <v>169</v>
      </c>
      <c r="G16" s="13">
        <f>E16+'2'!G16</f>
        <v>5949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746</v>
      </c>
      <c r="F17" s="12">
        <f>E17+'2'!F17</f>
        <v>2252</v>
      </c>
      <c r="G17" s="13">
        <f>E17+'2'!G17</f>
        <v>84425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589</v>
      </c>
      <c r="F18" s="12">
        <f>E18+'2'!F18</f>
        <v>1772</v>
      </c>
      <c r="G18" s="13">
        <f>E18+'2'!G18</f>
        <v>67385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E19+'2'!F19</f>
        <v>53</v>
      </c>
      <c r="G19" s="13">
        <f>E19+'2'!G19</f>
        <v>2202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4.2242355605889017</v>
      </c>
      <c r="F20" s="15">
        <f>F17*1000/F7</f>
        <v>4.161500209738132</v>
      </c>
      <c r="G20" s="16">
        <f>G17*1000/G7</f>
        <v>4.1655326681375264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0.74745186862967161</v>
      </c>
      <c r="F21" s="19">
        <f>F26*1000/F7</f>
        <v>0.7521006151702575</v>
      </c>
      <c r="G21" s="20">
        <f>G26*1000/G7</f>
        <v>0.85116498736204282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2846.1381653454132</v>
      </c>
      <c r="F22" s="21">
        <f t="shared" ref="F22:G22" si="0">((F17*(803-130)+F31*(30))*1000)/F7</f>
        <v>2803.239761175716</v>
      </c>
      <c r="G22" s="21">
        <f t="shared" si="0"/>
        <v>2806.220308398918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3849.9578941255045</v>
      </c>
      <c r="F23" s="21">
        <f t="shared" ref="F23:G23" si="1">(F15*(803-130))*1000/(F7*0.78)</f>
        <v>3823.4126699268591</v>
      </c>
      <c r="G23" s="21">
        <f t="shared" si="1"/>
        <v>3890.4479159959901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E24+'2'!F24</f>
        <v>0</v>
      </c>
      <c r="G24" s="48">
        <f>E24+'2'!G24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132</v>
      </c>
      <c r="F26" s="32">
        <f>E26+'2'!F26</f>
        <v>407</v>
      </c>
      <c r="G26" s="33">
        <f>E26+'2'!G26</f>
        <v>17251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4636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18</v>
      </c>
      <c r="F30" s="32">
        <f>E30+'2'!F30</f>
        <v>43</v>
      </c>
      <c r="G30" s="33">
        <f>E30+'2'!G30</f>
        <v>1886</v>
      </c>
    </row>
    <row r="31" spans="2:8" ht="30.95" customHeight="1">
      <c r="B31" s="34">
        <v>2</v>
      </c>
      <c r="C31" s="10" t="s">
        <v>37</v>
      </c>
      <c r="D31" s="43" t="s">
        <v>38</v>
      </c>
      <c r="E31" s="35">
        <v>19</v>
      </c>
      <c r="F31" s="12">
        <f>E31+'2'!F31</f>
        <v>46</v>
      </c>
      <c r="G31" s="13">
        <f>E31+'2'!G31</f>
        <v>1903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E32+'2'!F32</f>
        <v>57</v>
      </c>
      <c r="G32" s="13">
        <f>E32+'2'!G32</f>
        <v>2490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22</v>
      </c>
      <c r="F33" s="47">
        <v>1612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46</v>
      </c>
      <c r="F35" s="32">
        <f>E35+'2'!F35</f>
        <v>137</v>
      </c>
      <c r="G35" s="33">
        <f>E35+'2'!G35</f>
        <v>3086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E36+'2'!F36</f>
        <v>0</v>
      </c>
      <c r="G36" s="13">
        <f>E36+'2'!G36</f>
        <v>309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E37+'2'!F37</f>
        <v>0</v>
      </c>
      <c r="G37" s="48">
        <f>E37+'2'!G37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L40"/>
  <sheetViews>
    <sheetView topLeftCell="B1" zoomScale="80" zoomScaleNormal="80" workbookViewId="0">
      <pane xSplit="3" ySplit="6" topLeftCell="E13" activePane="bottomRight" state="frozen"/>
      <selection pane="topRight"/>
      <selection pane="bottomLeft"/>
      <selection pane="bottomRight" activeCell="E27" sqref="E27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39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'3'!E6+1</f>
        <v>46238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182500</v>
      </c>
      <c r="F7" s="12">
        <f>E7+'3'!F7</f>
        <v>723651</v>
      </c>
      <c r="G7" s="13">
        <f>E7+'3'!G7</f>
        <v>20450016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18031</v>
      </c>
      <c r="F8" s="12">
        <f>E8+'3'!F8</f>
        <v>72467</v>
      </c>
      <c r="G8" s="13">
        <f>E8+'3'!G8</f>
        <v>2226012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164469</v>
      </c>
      <c r="F9" s="12">
        <f>E9+'3'!F9</f>
        <v>651184</v>
      </c>
      <c r="G9" s="13">
        <f>E9+'3'!G9</f>
        <v>18224004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9.879999999999999</v>
      </c>
      <c r="F10" s="15">
        <f>F8/F7*100</f>
        <v>10.014081373479758</v>
      </c>
      <c r="G10" s="16">
        <f>G8/G7*100</f>
        <v>10.88513573779111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7.604166666666667</v>
      </c>
      <c r="F11" s="15">
        <f>F7/F12/1000</f>
        <v>7.5380312500000004</v>
      </c>
      <c r="G11" s="16">
        <f>G7/G12/1000</f>
        <v>6.8083657937316477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E12+'3'!F12</f>
        <v>96</v>
      </c>
      <c r="G12" s="13">
        <f>E12+'3'!G12</f>
        <v>3003.66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76.041666666666671</v>
      </c>
      <c r="F13" s="15">
        <f>F11/10*100</f>
        <v>75.380312500000002</v>
      </c>
      <c r="G13" s="16">
        <f>G11/10*100</f>
        <v>68.083657937316474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831</v>
      </c>
      <c r="F14" s="12">
        <f>E14+'3'!F14</f>
        <v>3283</v>
      </c>
      <c r="G14" s="13">
        <f>E14+'3'!G14</f>
        <v>95056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807</v>
      </c>
      <c r="F15" s="12">
        <f>E15+'3'!F15</f>
        <v>3205</v>
      </c>
      <c r="G15" s="13">
        <f>E15+'3'!G15</f>
        <v>92193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70">
        <f>E16+'3'!F16</f>
        <v>230</v>
      </c>
      <c r="G16" s="13">
        <f>E16+'3'!G16</f>
        <v>6010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762</v>
      </c>
      <c r="F17" s="12">
        <f>E17+'3'!F17</f>
        <v>3014</v>
      </c>
      <c r="G17" s="13">
        <f>E17+'3'!G17</f>
        <v>85187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598</v>
      </c>
      <c r="F18" s="12">
        <f>E18+'3'!F18</f>
        <v>2370</v>
      </c>
      <c r="G18" s="13">
        <f>E18+'3'!G18</f>
        <v>67983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E19+'3'!F19</f>
        <v>71</v>
      </c>
      <c r="G19" s="13">
        <f>E19+'3'!G19</f>
        <v>2220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4.1753424657534248</v>
      </c>
      <c r="F20" s="15">
        <f>F17*1000/F7</f>
        <v>4.1649911352295517</v>
      </c>
      <c r="G20" s="16">
        <f>G17*1000/G7</f>
        <v>4.1656202127176822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0.75068493150684934</v>
      </c>
      <c r="F21" s="19">
        <f>F26*1000/F7</f>
        <v>0.75174358910579819</v>
      </c>
      <c r="G21" s="20">
        <f>G26*1000/G7</f>
        <v>0.85026828340867799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2812.4712328767123</v>
      </c>
      <c r="F22" s="21">
        <f t="shared" ref="F22:G22" si="0">((F17*(803-130)+F31*(30))*1000)/F7</f>
        <v>2805.5678773331342</v>
      </c>
      <c r="G22" s="21">
        <f t="shared" si="0"/>
        <v>2806.2760928891203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3815.3213909378292</v>
      </c>
      <c r="F23" s="21">
        <f t="shared" ref="F23:G23" si="1">(F15*(803-130))*1000/(F7*0.78)</f>
        <v>3821.3721028365103</v>
      </c>
      <c r="G23" s="21">
        <f t="shared" si="1"/>
        <v>3889.7774719815152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E24+'3'!F24</f>
        <v>0</v>
      </c>
      <c r="G24" s="48">
        <f>E24+'3'!G24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137</v>
      </c>
      <c r="F26" s="32">
        <f>E26+'3'!F26</f>
        <v>544</v>
      </c>
      <c r="G26" s="33">
        <f>E26+'3'!G26</f>
        <v>17388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4623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17</v>
      </c>
      <c r="F30" s="32">
        <f>E30+'3'!F30</f>
        <v>60</v>
      </c>
      <c r="G30" s="33">
        <f>E30+'3'!G30</f>
        <v>1903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E31+'3'!F31</f>
        <v>61</v>
      </c>
      <c r="G31" s="13">
        <f>E31+'3'!G31</f>
        <v>1918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23</v>
      </c>
      <c r="F32" s="12">
        <f>E32+'3'!F32</f>
        <v>80</v>
      </c>
      <c r="G32" s="13">
        <f>E32+'3'!G32</f>
        <v>2513</v>
      </c>
    </row>
    <row r="33" spans="2:7" ht="30.95" customHeight="1">
      <c r="B33" s="44">
        <v>4</v>
      </c>
      <c r="C33" s="23" t="s">
        <v>40</v>
      </c>
      <c r="D33" s="45" t="s">
        <v>41</v>
      </c>
      <c r="E33" s="88">
        <v>19.78</v>
      </c>
      <c r="F33" s="89">
        <v>1518</v>
      </c>
      <c r="G33" s="48"/>
    </row>
    <row r="34" spans="2:7" ht="30.95" customHeight="1">
      <c r="B34" s="101"/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25</v>
      </c>
      <c r="F35" s="32">
        <f>E35+'3'!F35</f>
        <v>162</v>
      </c>
      <c r="G35" s="33">
        <f>E35+'3'!G35</f>
        <v>3111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E36+'3'!F36</f>
        <v>2</v>
      </c>
      <c r="G36" s="13">
        <f>E36+'3'!G36</f>
        <v>311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E37+'3'!F37</f>
        <v>0</v>
      </c>
      <c r="G37" s="48">
        <f>E37+'3'!G37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0"/>
  <sheetViews>
    <sheetView zoomScale="80" zoomScaleNormal="80" workbookViewId="0">
      <pane xSplit="4" ySplit="6" topLeftCell="E10" activePane="bottomRight" state="frozen"/>
      <selection pane="topRight"/>
      <selection pane="bottomLeft"/>
      <selection pane="bottomRight" activeCell="J32" sqref="J32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2.7109375" style="1" customWidth="1"/>
    <col min="6" max="6" width="35.28515625" style="1" customWidth="1"/>
    <col min="7" max="7" width="36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1" spans="1:12" ht="20.25" customHeight="1"/>
    <row r="2" spans="1:12" ht="29.2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29.2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26.2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24.7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'4'!E6+1</f>
        <v>46239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183200</v>
      </c>
      <c r="F7" s="12">
        <f>E7+'4'!F7</f>
        <v>906851</v>
      </c>
      <c r="G7" s="13">
        <f>E7+'4'!G7</f>
        <v>20633216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18232</v>
      </c>
      <c r="F8" s="12">
        <f>E8+'4'!F8</f>
        <v>90699</v>
      </c>
      <c r="G8" s="13">
        <f>E8+'4'!G8</f>
        <v>2244244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164968</v>
      </c>
      <c r="F9" s="12">
        <f>E9+'4'!F9</f>
        <v>816152</v>
      </c>
      <c r="G9" s="13">
        <f>E9+'4'!G9</f>
        <v>18388972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9.9519650655021827</v>
      </c>
      <c r="F10" s="15">
        <f>F8/F7*100</f>
        <v>10.001532776608284</v>
      </c>
      <c r="G10" s="16">
        <f>G8/G7*100</f>
        <v>10.876850220537602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7.6333333333333329</v>
      </c>
      <c r="F11" s="15">
        <f>F7/F12/1000</f>
        <v>7.5570916666666665</v>
      </c>
      <c r="G11" s="16">
        <f>G7/G12/1000</f>
        <v>6.8149052403506341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E12+'4'!F12</f>
        <v>120</v>
      </c>
      <c r="G12" s="13">
        <f>E12+'4'!G12</f>
        <v>3027.66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76.333333333333329</v>
      </c>
      <c r="F13" s="15">
        <f>F11/10*100</f>
        <v>75.570916666666662</v>
      </c>
      <c r="G13" s="16">
        <f>G11/10*100</f>
        <v>68.149052403506332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828</v>
      </c>
      <c r="F14" s="12">
        <f>E14+'4'!F14</f>
        <v>4111</v>
      </c>
      <c r="G14" s="13">
        <f>E14+'4'!G14</f>
        <v>95884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810</v>
      </c>
      <c r="F15" s="12">
        <f>E15+'4'!F15</f>
        <v>4015</v>
      </c>
      <c r="G15" s="13">
        <f>E15+'4'!G15</f>
        <v>93003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62</v>
      </c>
      <c r="F16" s="70">
        <f>E16+'4'!F16</f>
        <v>292</v>
      </c>
      <c r="G16" s="13">
        <f>E16+'4'!G16</f>
        <v>6072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761</v>
      </c>
      <c r="F17" s="12">
        <f>E17+'4'!F17</f>
        <v>3775</v>
      </c>
      <c r="G17" s="13">
        <f>E17+'4'!G17</f>
        <v>85948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596</v>
      </c>
      <c r="F18" s="12">
        <f>E18+'4'!F18</f>
        <v>2966</v>
      </c>
      <c r="G18" s="13">
        <f>E18+'4'!G18</f>
        <v>68579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E19+'4'!F19</f>
        <v>89</v>
      </c>
      <c r="G19" s="13">
        <f>E19+'4'!G19</f>
        <v>2238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4.1539301310043673</v>
      </c>
      <c r="F20" s="15">
        <f>F17*1000/F7</f>
        <v>4.1627566160262273</v>
      </c>
      <c r="G20" s="16">
        <f>G17*1000/G7</f>
        <v>4.1655164177993385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0.75327510917030571</v>
      </c>
      <c r="F21" s="19">
        <f>F26*1000/F7</f>
        <v>0.75205298334566539</v>
      </c>
      <c r="G21" s="20">
        <f>G26*1000/G7</f>
        <v>0.84940709194339847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2797.7237991266375</v>
      </c>
      <c r="F22" s="21">
        <f t="shared" ref="F22:G22" si="0">((F17*(803-130)+F31*(30))*1000)/F7</f>
        <v>2803.9832342909694</v>
      </c>
      <c r="G22" s="21">
        <f t="shared" si="0"/>
        <v>2806.2001580364399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3814.8723547195164</v>
      </c>
      <c r="F23" s="21">
        <f t="shared" ref="F23:G23" si="1">(F15*(803-130))*1000/(F7*0.78)</f>
        <v>3820.0590383363515</v>
      </c>
      <c r="G23" s="21">
        <f t="shared" si="1"/>
        <v>3889.1123978853393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E24+'4'!F24</f>
        <v>0</v>
      </c>
      <c r="G24" s="48">
        <f>E24+'4'!G24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E26+'4'!F26</f>
        <v>682</v>
      </c>
      <c r="G26" s="33">
        <f>E26+'4'!G26</f>
        <v>17526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4729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12</v>
      </c>
      <c r="F30" s="32">
        <f>E30+'4'!F30</f>
        <v>72</v>
      </c>
      <c r="G30" s="33">
        <f>E30+'4'!G30</f>
        <v>1915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E31+'4'!F31</f>
        <v>74</v>
      </c>
      <c r="G31" s="13">
        <f>E31+'4'!G31</f>
        <v>1931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23</v>
      </c>
      <c r="F32" s="12">
        <f>E32+'4'!F32</f>
        <v>103</v>
      </c>
      <c r="G32" s="13">
        <f>E32+'4'!G32</f>
        <v>2536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21.64</v>
      </c>
      <c r="F33" s="47">
        <v>1572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15</v>
      </c>
      <c r="F35" s="32">
        <f>E35+'4'!F35</f>
        <v>177</v>
      </c>
      <c r="G35" s="33">
        <f>E35+'4'!G35</f>
        <v>3126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E36+'4'!F36</f>
        <v>5</v>
      </c>
      <c r="G36" s="13">
        <f>E36+'4'!G36</f>
        <v>314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E37+'4'!F37</f>
        <v>0</v>
      </c>
      <c r="G37" s="48">
        <f>E37+'4'!G37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39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'5'!E6+1</f>
        <v>46240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167800</v>
      </c>
      <c r="F7" s="12">
        <f>E7+'5'!F7</f>
        <v>1074651</v>
      </c>
      <c r="G7" s="13">
        <f>E7+'5'!G7</f>
        <v>20801016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18139</v>
      </c>
      <c r="F8" s="12">
        <f>E8+'5'!F8</f>
        <v>108838</v>
      </c>
      <c r="G8" s="13">
        <f>E8+'5'!G8</f>
        <v>2262383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149661</v>
      </c>
      <c r="F9" s="12">
        <f>E9+'5'!F9</f>
        <v>965813</v>
      </c>
      <c r="G9" s="13">
        <f>E9+'5'!G9</f>
        <v>18538633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10.80989272943981</v>
      </c>
      <c r="F10" s="15">
        <f>F8/F7*100</f>
        <v>10.127753103100448</v>
      </c>
      <c r="G10" s="16">
        <f>G8/G7*100</f>
        <v>10.876310080238389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6.9916666666666671</v>
      </c>
      <c r="F11" s="15">
        <f>F7/F12/1000</f>
        <v>7.4628541666666672</v>
      </c>
      <c r="G11" s="16">
        <f>G7/G12/1000</f>
        <v>6.8162953933269108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E12+'5'!F12</f>
        <v>144</v>
      </c>
      <c r="G12" s="13">
        <f>E12+'5'!G12</f>
        <v>3051.66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69.916666666666671</v>
      </c>
      <c r="F13" s="15">
        <f>F11/10*100</f>
        <v>74.628541666666663</v>
      </c>
      <c r="G13" s="16">
        <f>G11/10*100</f>
        <v>68.162953933269108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768</v>
      </c>
      <c r="F14" s="12">
        <f>E14+'5'!F14</f>
        <v>4879</v>
      </c>
      <c r="G14" s="13">
        <f>E14+'5'!G14</f>
        <v>96652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748</v>
      </c>
      <c r="F15" s="12">
        <f>E15+'5'!F15</f>
        <v>4763</v>
      </c>
      <c r="G15" s="13">
        <f>E15+'5'!G15</f>
        <v>93751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54</v>
      </c>
      <c r="F16" s="12">
        <f>E16+'5'!F16</f>
        <v>346</v>
      </c>
      <c r="G16" s="13">
        <f>E16+'5'!G16</f>
        <v>6126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703</v>
      </c>
      <c r="F17" s="12">
        <f>E17+'5'!F17</f>
        <v>4478</v>
      </c>
      <c r="G17" s="13">
        <f>E17+'5'!G17</f>
        <v>86651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551</v>
      </c>
      <c r="F18" s="12">
        <f>E18+'5'!F18</f>
        <v>3517</v>
      </c>
      <c r="G18" s="13">
        <f>E18+'5'!G18</f>
        <v>69130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E19+'5'!F19</f>
        <v>107</v>
      </c>
      <c r="G19" s="13">
        <f>E19+'5'!G19</f>
        <v>2256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4.1895113230035754</v>
      </c>
      <c r="F20" s="15">
        <f>F17*1000/F7</f>
        <v>4.16693419538064</v>
      </c>
      <c r="G20" s="16">
        <f>G17*1000/G7</f>
        <v>4.1657099826277717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0.73301549463647198</v>
      </c>
      <c r="F21" s="19">
        <f>F26*1000/F7</f>
        <v>0.74908039912492519</v>
      </c>
      <c r="G21" s="20">
        <f>G26*1000/G7</f>
        <v>0.84846817097780225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2821.8653158522052</v>
      </c>
      <c r="F22" s="21">
        <f t="shared" ref="F22:G22" si="0">((F17*(803-130)+F31*(30))*1000)/F7</f>
        <v>2806.7754089467185</v>
      </c>
      <c r="G22" s="21">
        <f t="shared" si="0"/>
        <v>2806.3265275119252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3846.184407567006</v>
      </c>
      <c r="F23" s="21">
        <f t="shared" ref="F23:G23" si="1">(F15*(803-130))*1000/(F7*0.78)</f>
        <v>3824.1383505566946</v>
      </c>
      <c r="G23" s="21">
        <f t="shared" si="1"/>
        <v>3888.7661014940759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47">
        <f>E24+'5'!F24</f>
        <v>0</v>
      </c>
      <c r="G24" s="48">
        <f>E24+'5'!G24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123</v>
      </c>
      <c r="F26" s="32">
        <f>E26+'5'!F26</f>
        <v>805</v>
      </c>
      <c r="G26" s="33">
        <f>E26+'5'!G26</f>
        <v>17649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4601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13</v>
      </c>
      <c r="F30" s="32">
        <f>E30+'5'!F30</f>
        <v>85</v>
      </c>
      <c r="G30" s="33">
        <f>E30+'5'!G30</f>
        <v>1928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E31+'5'!F31</f>
        <v>87</v>
      </c>
      <c r="G31" s="13">
        <f>E31+'5'!G31</f>
        <v>1944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54</v>
      </c>
      <c r="F32" s="12">
        <f>E32+'5'!F32</f>
        <v>157</v>
      </c>
      <c r="G32" s="13">
        <f>E32+'5'!G32</f>
        <v>2590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17.28</v>
      </c>
      <c r="F33" s="47">
        <v>1396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E35+'5'!F35</f>
        <v>177</v>
      </c>
      <c r="G35" s="33">
        <f>E35+'5'!G35</f>
        <v>3126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E36+'5'!F36</f>
        <v>9</v>
      </c>
      <c r="G36" s="13">
        <f>E36+'5'!G36</f>
        <v>318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E37+'5'!F37</f>
        <v>0</v>
      </c>
      <c r="G37" s="48">
        <f>E37+'5'!G37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48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'6'!E6+1</f>
        <v>46241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190900</v>
      </c>
      <c r="F7" s="12">
        <f>E7+'6'!F7</f>
        <v>1265551</v>
      </c>
      <c r="G7" s="13">
        <f>E7+'6'!G7</f>
        <v>20991916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18474</v>
      </c>
      <c r="F8" s="12">
        <f>E8+'6'!F8</f>
        <v>127312</v>
      </c>
      <c r="G8" s="13">
        <f>E8+'6'!G8</f>
        <v>2280857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172426</v>
      </c>
      <c r="F9" s="12">
        <f>E9+'6'!F9</f>
        <v>1138239</v>
      </c>
      <c r="G9" s="13">
        <f>E9+'6'!G9</f>
        <v>18711059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9.6773179675222636</v>
      </c>
      <c r="F10" s="15">
        <f>F8/F7*100</f>
        <v>10.05980794136309</v>
      </c>
      <c r="G10" s="16">
        <f>G8/G7*100</f>
        <v>10.865406473615844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7.9541666666666666</v>
      </c>
      <c r="F11" s="15">
        <f>F7/F12/1000</f>
        <v>7.5330416666666666</v>
      </c>
      <c r="G11" s="16">
        <f>G7/G12/1000</f>
        <v>6.8251744341052012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E12+'6'!F12</f>
        <v>168</v>
      </c>
      <c r="G12" s="13">
        <f>E12+'6'!G12</f>
        <v>3075.66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79.541666666666671</v>
      </c>
      <c r="F13" s="15">
        <f>F11/10*100</f>
        <v>75.330416666666665</v>
      </c>
      <c r="G13" s="16">
        <f>G11/10*100</f>
        <v>68.251744341052017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861</v>
      </c>
      <c r="F14" s="12">
        <f>E14+'6'!F14</f>
        <v>5740</v>
      </c>
      <c r="G14" s="13">
        <f>E14+'6'!G14</f>
        <v>97513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840</v>
      </c>
      <c r="F15" s="12">
        <f>E15+'6'!F15</f>
        <v>5603</v>
      </c>
      <c r="G15" s="13">
        <f>E15+'6'!G15</f>
        <v>94591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64</v>
      </c>
      <c r="F16" s="12">
        <f>E16+'6'!F16</f>
        <v>410</v>
      </c>
      <c r="G16" s="13">
        <f>E16+'6'!G16</f>
        <v>6190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795</v>
      </c>
      <c r="F17" s="12">
        <f>E17+'6'!F17</f>
        <v>5273</v>
      </c>
      <c r="G17" s="13">
        <f>E17+'6'!G17</f>
        <v>87446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621</v>
      </c>
      <c r="F18" s="12">
        <f>E18+'6'!F18</f>
        <v>4138</v>
      </c>
      <c r="G18" s="13">
        <f>E18+'6'!G18</f>
        <v>69751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E19+'6'!F19</f>
        <v>125</v>
      </c>
      <c r="G19" s="13">
        <f>E19+'6'!G19</f>
        <v>2274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4.1644840230487166</v>
      </c>
      <c r="F20" s="15">
        <f>F17*1000/F7</f>
        <v>4.1665646030859289</v>
      </c>
      <c r="G20" s="16">
        <f>G17*1000/G7</f>
        <v>4.1656988337796319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0.75955997904662131</v>
      </c>
      <c r="F21" s="19">
        <f>F26*1000/F7</f>
        <v>0.75066117446076852</v>
      </c>
      <c r="G21" s="20">
        <f>G26*1000/G7</f>
        <v>0.84765964193073184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2804.2692509167105</v>
      </c>
      <c r="F22" s="21">
        <f t="shared" ref="F22:G22" si="0">((F17*(803-130)+F31*(30))*1000)/F7</f>
        <v>2806.3973715796519</v>
      </c>
      <c r="G22" s="21">
        <f t="shared" si="0"/>
        <v>2806.3078186860121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3796.5910464600879</v>
      </c>
      <c r="F23" s="21">
        <f t="shared" ref="F23:G23" si="1">(F15*(803-130))*1000/(F7*0.78)</f>
        <v>3819.9830218879629</v>
      </c>
      <c r="G23" s="21">
        <f t="shared" si="1"/>
        <v>3887.927863669287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E24+'6'!F24</f>
        <v>0</v>
      </c>
      <c r="G24" s="48">
        <f>E24+'6'!G24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145</v>
      </c>
      <c r="F26" s="32">
        <f>E26+'6'!F26</f>
        <v>950</v>
      </c>
      <c r="G26" s="33">
        <f>E26+'6'!G26</f>
        <v>17794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4646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/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11</v>
      </c>
      <c r="F30" s="32">
        <f>E30+'6'!F30</f>
        <v>96</v>
      </c>
      <c r="G30" s="33">
        <f>E30+'6'!G30</f>
        <v>1939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10</v>
      </c>
      <c r="F31" s="12">
        <f>E31+'6'!F31</f>
        <v>97</v>
      </c>
      <c r="G31" s="13">
        <f>E31+'6'!G31</f>
        <v>1954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E32+'6'!F32</f>
        <v>175</v>
      </c>
      <c r="G32" s="13">
        <f>E32+'6'!G32</f>
        <v>2608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6">
        <v>1387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77" t="s">
        <v>17</v>
      </c>
      <c r="E35" s="79">
        <v>0</v>
      </c>
      <c r="F35" s="80">
        <f>E35+'6'!F35</f>
        <v>177</v>
      </c>
      <c r="G35" s="81">
        <f>E35+'6'!G35</f>
        <v>3126</v>
      </c>
    </row>
    <row r="36" spans="2:7" ht="30.95" customHeight="1">
      <c r="B36" s="52">
        <v>6</v>
      </c>
      <c r="C36" s="53" t="s">
        <v>47</v>
      </c>
      <c r="D36" s="54" t="s">
        <v>43</v>
      </c>
      <c r="E36" s="82">
        <v>5</v>
      </c>
      <c r="F36" s="83">
        <f>E36+'6'!F36</f>
        <v>14</v>
      </c>
      <c r="G36" s="84">
        <f>E36+'6'!G36</f>
        <v>323</v>
      </c>
    </row>
    <row r="37" spans="2:7" ht="30.95" customHeight="1">
      <c r="B37" s="44">
        <v>7</v>
      </c>
      <c r="C37" s="56" t="s">
        <v>44</v>
      </c>
      <c r="D37" s="57" t="s">
        <v>43</v>
      </c>
      <c r="E37" s="85">
        <v>0</v>
      </c>
      <c r="F37" s="86">
        <f>E37+'6'!F37</f>
        <v>0</v>
      </c>
      <c r="G37" s="87">
        <f>E37+'6'!G37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J6" sqref="J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'7'!E6+1</f>
        <v>46242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180000</v>
      </c>
      <c r="F7" s="12">
        <f>E7+'7'!F7</f>
        <v>1445551</v>
      </c>
      <c r="G7" s="13">
        <f>E7+'7'!G7</f>
        <v>21171916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18256</v>
      </c>
      <c r="F8" s="12">
        <f>E8+'7'!F8</f>
        <v>145568</v>
      </c>
      <c r="G8" s="13">
        <f>E8+'7'!G8</f>
        <v>2299113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161744</v>
      </c>
      <c r="F9" s="12">
        <f>E9+'7'!F9</f>
        <v>1299983</v>
      </c>
      <c r="G9" s="13">
        <f>E9+'7'!G9</f>
        <v>18872803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10.142222222222221</v>
      </c>
      <c r="F10" s="15">
        <f>F8/F7*100</f>
        <v>10.070070167015899</v>
      </c>
      <c r="G10" s="16">
        <f>G8/G7*100</f>
        <v>10.859258085097258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7.5</v>
      </c>
      <c r="F11" s="15">
        <f>F7/F12/1000</f>
        <v>7.528911458333333</v>
      </c>
      <c r="G11" s="16">
        <f>G7/G12/1000</f>
        <v>6.8303994631669287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E12+'7'!F12</f>
        <v>192</v>
      </c>
      <c r="G12" s="13">
        <f>E12+'7'!G12</f>
        <v>3099.66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75</v>
      </c>
      <c r="F13" s="15">
        <f>F11/10*100</f>
        <v>75.28911458333333</v>
      </c>
      <c r="G13" s="16">
        <f>G11/10*100</f>
        <v>68.303994631669283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819</v>
      </c>
      <c r="F14" s="12">
        <f>E14+'7'!F14</f>
        <v>6559</v>
      </c>
      <c r="G14" s="13">
        <f>E14+'7'!G14</f>
        <v>98332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799</v>
      </c>
      <c r="F15" s="12">
        <f>E15+'7'!F15</f>
        <v>6402</v>
      </c>
      <c r="G15" s="13">
        <f>E15+'7'!G15</f>
        <v>95390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60</v>
      </c>
      <c r="F16" s="12">
        <f>E16+'7'!F16</f>
        <v>470</v>
      </c>
      <c r="G16" s="13">
        <f>E16+'7'!G16</f>
        <v>6250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751</v>
      </c>
      <c r="F17" s="12">
        <f>E17+'7'!F17</f>
        <v>6024</v>
      </c>
      <c r="G17" s="13">
        <f>E17+'7'!G17</f>
        <v>88197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589</v>
      </c>
      <c r="F18" s="12">
        <f>E18+'7'!F18</f>
        <v>4727</v>
      </c>
      <c r="G18" s="13">
        <f>E18+'7'!G18</f>
        <v>70340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E19+'7'!F19</f>
        <v>142</v>
      </c>
      <c r="G19" s="13">
        <f>E19+'7'!G19</f>
        <v>2291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4.1722222222222225</v>
      </c>
      <c r="F20" s="15">
        <f>F17*1000/F7</f>
        <v>4.167269089779607</v>
      </c>
      <c r="G20" s="16">
        <f>G17*1000/G7</f>
        <v>4.1657542945097648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0.75555555555555554</v>
      </c>
      <c r="F21" s="19">
        <f>F26*1000/F7</f>
        <v>0.75127062275907253</v>
      </c>
      <c r="G21" s="20">
        <f>G26*1000/G7</f>
        <v>0.84687658877921113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2810.4055555555556</v>
      </c>
      <c r="F22" s="21">
        <f t="shared" ref="F22:G22" si="0">((F17*(803-130)+F31*(30))*1000)/F7</f>
        <v>2806.8964706191618</v>
      </c>
      <c r="G22" s="21">
        <f t="shared" si="0"/>
        <v>2806.3426569423382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3829.9643874643875</v>
      </c>
      <c r="F23" s="21">
        <f t="shared" ref="F23:G23" si="1">(F15*(803-130))*1000/(F7*0.78)</f>
        <v>3821.2259014568999</v>
      </c>
      <c r="G23" s="21">
        <f t="shared" si="1"/>
        <v>3887.4350681321762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E24+'7'!F24</f>
        <v>0</v>
      </c>
      <c r="G24" s="48">
        <f>E24+'7'!G24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136</v>
      </c>
      <c r="F26" s="32">
        <f>E26+'7'!F26</f>
        <v>1086</v>
      </c>
      <c r="G26" s="33">
        <f>E26+'7'!G26</f>
        <v>17930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4244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13</v>
      </c>
      <c r="F30" s="32">
        <f>E30+'7'!F30</f>
        <v>109</v>
      </c>
      <c r="G30" s="33">
        <f>E30+'7'!G30</f>
        <v>1952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E31+'7'!F31</f>
        <v>112</v>
      </c>
      <c r="G31" s="13">
        <f>E31+'7'!G31</f>
        <v>1969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E32+'7'!F32</f>
        <v>193</v>
      </c>
      <c r="G32" s="13">
        <f>E32+'7'!G32</f>
        <v>2626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17</v>
      </c>
      <c r="F33" s="46">
        <v>1354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40</v>
      </c>
      <c r="F35" s="32">
        <f>E35+'7'!F35</f>
        <v>217</v>
      </c>
      <c r="G35" s="33">
        <f>E35+'7'!G35</f>
        <v>3166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1</v>
      </c>
      <c r="F36" s="12">
        <f>E36+'7'!F36</f>
        <v>15</v>
      </c>
      <c r="G36" s="13">
        <f>E36+'7'!G36</f>
        <v>324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E37+'7'!F37</f>
        <v>0</v>
      </c>
      <c r="G37" s="48">
        <f>E37+'7'!G37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40"/>
  <sheetViews>
    <sheetView zoomScale="85" zoomScaleNormal="85" workbookViewId="0">
      <pane xSplit="4" ySplit="6" topLeftCell="E7" activePane="bottomRight" state="frozen"/>
      <selection pane="topRight"/>
      <selection pane="bottomLeft"/>
      <selection pane="bottomRight" activeCell="F35" sqref="F35"/>
    </sheetView>
  </sheetViews>
  <sheetFormatPr defaultColWidth="9.140625" defaultRowHeight="30.95" customHeight="1"/>
  <cols>
    <col min="1" max="1" width="6.28515625" style="1" customWidth="1"/>
    <col min="2" max="2" width="10.140625" style="1" customWidth="1"/>
    <col min="3" max="3" width="29.42578125" style="1" customWidth="1"/>
    <col min="4" max="4" width="14.5703125" style="2" customWidth="1"/>
    <col min="5" max="5" width="34.5703125" style="1" customWidth="1"/>
    <col min="6" max="6" width="37.28515625" style="1" customWidth="1"/>
    <col min="7" max="7" width="38.28515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'8'!E6+1</f>
        <v>46243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179600</v>
      </c>
      <c r="F7" s="12">
        <f>E7+'8'!F7</f>
        <v>1625151</v>
      </c>
      <c r="G7" s="13">
        <f>E7+'8'!G7</f>
        <v>21351516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18251</v>
      </c>
      <c r="F8" s="12">
        <f>E8+'8'!F8</f>
        <v>163819</v>
      </c>
      <c r="G8" s="13">
        <f>E8+'8'!G8</f>
        <v>2317364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161349</v>
      </c>
      <c r="F9" s="12">
        <f>E9+'8'!F9</f>
        <v>1461332</v>
      </c>
      <c r="G9" s="13">
        <f>E9+'8'!G9</f>
        <v>19034152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10.162026726057906</v>
      </c>
      <c r="F10" s="15">
        <f>F8/F7*100</f>
        <v>10.08023254454509</v>
      </c>
      <c r="G10" s="16">
        <f>G8/G7*100</f>
        <v>10.853393267250906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7.4833333333333334</v>
      </c>
      <c r="F11" s="15">
        <f>F7/F12/1000</f>
        <v>7.5238472222222228</v>
      </c>
      <c r="G11" s="16">
        <f>G7/G12/1000</f>
        <v>6.8354161464435954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E12+'8'!F12</f>
        <v>216</v>
      </c>
      <c r="G12" s="13">
        <f>E12+'8'!G12</f>
        <v>3123.66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74.833333333333329</v>
      </c>
      <c r="F13" s="15">
        <f>F11/10*100</f>
        <v>75.238472222222228</v>
      </c>
      <c r="G13" s="16">
        <f>G11/10*100</f>
        <v>68.354161464435961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809</v>
      </c>
      <c r="F14" s="12">
        <f>E14+'8'!F14</f>
        <v>7368</v>
      </c>
      <c r="G14" s="13">
        <f>E14+'8'!G14</f>
        <v>99141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792</v>
      </c>
      <c r="F15" s="12">
        <f>E15+'8'!F15</f>
        <v>7194</v>
      </c>
      <c r="G15" s="13">
        <f>E15+'8'!G15</f>
        <v>96182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59</v>
      </c>
      <c r="F16" s="12">
        <f>E16+'8'!F16</f>
        <v>529</v>
      </c>
      <c r="G16" s="13">
        <f>E16+'8'!G16</f>
        <v>6309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743</v>
      </c>
      <c r="F17" s="12">
        <f>E17+'8'!F17</f>
        <v>6767</v>
      </c>
      <c r="G17" s="13">
        <f>E17+'8'!G17</f>
        <v>88940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582</v>
      </c>
      <c r="F18" s="12">
        <f>E18+'8'!F18</f>
        <v>5309</v>
      </c>
      <c r="G18" s="13">
        <f>E18+'8'!G18</f>
        <v>70922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E19+'8'!F19</f>
        <v>160</v>
      </c>
      <c r="G19" s="13">
        <f>E19+'8'!G19</f>
        <v>2309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4.1369710467706016</v>
      </c>
      <c r="F20" s="15">
        <f>F17*1000/F7</f>
        <v>4.163920767977868</v>
      </c>
      <c r="G20" s="16">
        <f>G17*1000/G7</f>
        <v>4.1655121818984657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0.75167037861915365</v>
      </c>
      <c r="F21" s="19">
        <f>F26*1000/F7</f>
        <v>0.75131480090157776</v>
      </c>
      <c r="G21" s="20">
        <f>G26*1000/G7</f>
        <v>0.8460757540588687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2786.3530066815147</v>
      </c>
      <c r="F22" s="21">
        <f t="shared" ref="F22:G22" si="0">((F17*(803-130)+F31*(30))*1000)/F7</f>
        <v>2804.6261547388522</v>
      </c>
      <c r="G22" s="78">
        <f t="shared" si="0"/>
        <v>2806.1745123859123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3804.8655131060477</v>
      </c>
      <c r="F23" s="21">
        <f t="shared" ref="F23:G23" si="1">(F15*(803-130))*1000/(F7*0.78)</f>
        <v>3819.4178690046456</v>
      </c>
      <c r="G23" s="21">
        <f t="shared" si="1"/>
        <v>3886.7405276563295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E24+'8'!F24</f>
        <v>0</v>
      </c>
      <c r="G24" s="48">
        <f>E24+'8'!G24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135</v>
      </c>
      <c r="F26" s="32">
        <f>E26+'8'!F26</f>
        <v>1221</v>
      </c>
      <c r="G26" s="33">
        <f>E26+'8'!G26</f>
        <v>18065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4132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13</v>
      </c>
      <c r="F30" s="32">
        <f>E30+'8'!F30</f>
        <v>122</v>
      </c>
      <c r="G30" s="33">
        <f>E30+'8'!G30</f>
        <v>1965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E31+'8'!F31</f>
        <v>125</v>
      </c>
      <c r="G31" s="13">
        <f>E31+'8'!G31</f>
        <v>1982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19</v>
      </c>
      <c r="F32" s="12">
        <f>E32+'8'!F32</f>
        <v>212</v>
      </c>
      <c r="G32" s="13">
        <f>E32+'8'!G32</f>
        <v>2645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17</v>
      </c>
      <c r="F33" s="46">
        <v>1313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54</v>
      </c>
      <c r="F35" s="32">
        <f>E35+'8'!F35</f>
        <v>271</v>
      </c>
      <c r="G35" s="33">
        <f>E35+'8'!G35</f>
        <v>3220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E36+'8'!F36</f>
        <v>15</v>
      </c>
      <c r="G36" s="13">
        <f>E36+'8'!G36</f>
        <v>324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E37+'8'!F37</f>
        <v>0</v>
      </c>
      <c r="G37" s="48">
        <f>E37+'8'!G37</f>
        <v>0</v>
      </c>
    </row>
    <row r="38" spans="2:7" ht="30.95" customHeight="1">
      <c r="D38" s="1"/>
      <c r="G38" s="1" t="s">
        <v>49</v>
      </c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45" top="0.75" bottom="0.75" header="0.3" footer="0.3"/>
  <pageSetup scale="4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40"/>
  <sheetViews>
    <sheetView topLeftCell="C1" zoomScale="85" zoomScaleNormal="85" workbookViewId="0">
      <pane xSplit="2" ySplit="6" topLeftCell="E7" activePane="bottomRight" state="frozen"/>
      <selection pane="topRight"/>
      <selection pane="bottomLeft"/>
      <selection pane="bottomRight" activeCell="F39" sqref="F39"/>
    </sheetView>
  </sheetViews>
  <sheetFormatPr defaultColWidth="9.140625" defaultRowHeight="30.95" customHeight="1"/>
  <cols>
    <col min="1" max="1" width="6.7109375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6" width="38.7109375" style="1" customWidth="1"/>
    <col min="7" max="7" width="38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'9'!E6+1</f>
        <v>46244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164700</v>
      </c>
      <c r="F7" s="36">
        <f>E7+'9'!F7</f>
        <v>1789851</v>
      </c>
      <c r="G7" s="13">
        <f>E7+'9'!G7</f>
        <v>21516216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18095</v>
      </c>
      <c r="F8" s="12">
        <f>E8+'9'!F8</f>
        <v>181914</v>
      </c>
      <c r="G8" s="13">
        <f>E8+'9'!G8</f>
        <v>2335459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146605</v>
      </c>
      <c r="F9" s="12">
        <f>E9+'9'!F9</f>
        <v>1607937</v>
      </c>
      <c r="G9" s="13">
        <f>E9+'9'!G9</f>
        <v>19180757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10.986642380085003</v>
      </c>
      <c r="F10" s="15">
        <f>F8/F7*100</f>
        <v>10.163639319697561</v>
      </c>
      <c r="G10" s="16">
        <f>G8/G7*100</f>
        <v>10.854413248128761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6.8624999999999998</v>
      </c>
      <c r="F11" s="15">
        <f>F7/F12/1000</f>
        <v>7.4577124999999995</v>
      </c>
      <c r="G11" s="16">
        <f>G7/G12/1000</f>
        <v>6.835622653018433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E12+'9'!F12</f>
        <v>240</v>
      </c>
      <c r="G12" s="13">
        <f>E12+'9'!G12</f>
        <v>3147.66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68.625</v>
      </c>
      <c r="F13" s="15">
        <f>F11/10*100</f>
        <v>74.577124999999995</v>
      </c>
      <c r="G13" s="16">
        <f>G11/10*100</f>
        <v>68.35622653018433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769</v>
      </c>
      <c r="F14" s="12">
        <f>E14+'9'!F14</f>
        <v>8137</v>
      </c>
      <c r="G14" s="13">
        <f>E14+'9'!G14</f>
        <v>99910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736</v>
      </c>
      <c r="F15" s="12">
        <f>E15+'9'!F15</f>
        <v>7930</v>
      </c>
      <c r="G15" s="13">
        <f>E15+'9'!G15</f>
        <v>96918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50</v>
      </c>
      <c r="F16" s="70">
        <f>E16+'9'!F16</f>
        <v>579</v>
      </c>
      <c r="G16" s="13">
        <f>E16+'9'!G16</f>
        <v>6359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687</v>
      </c>
      <c r="F17" s="12">
        <f>E17+'9'!F17</f>
        <v>7454</v>
      </c>
      <c r="G17" s="13">
        <f>E17+'9'!G17</f>
        <v>89627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550</v>
      </c>
      <c r="F18" s="12">
        <f>E18+'9'!F18</f>
        <v>5859</v>
      </c>
      <c r="G18" s="13">
        <f>E18+'9'!G18</f>
        <v>71472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E19+'9'!F19</f>
        <v>177</v>
      </c>
      <c r="G19" s="13">
        <f>E19+'9'!G19</f>
        <v>2326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4.1712204007285978</v>
      </c>
      <c r="F20" s="15">
        <f>F17*1000/F7</f>
        <v>4.1645924716638421</v>
      </c>
      <c r="G20" s="16">
        <f>G17*1000/G7</f>
        <v>4.1655558765537579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0.75895567698846389</v>
      </c>
      <c r="F21" s="19">
        <f>F26*1000/F7</f>
        <v>0.75201790540106406</v>
      </c>
      <c r="G21" s="20">
        <f>G26*1000/G7</f>
        <v>0.84540887672813847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2810.8743169398908</v>
      </c>
      <c r="F22" s="21">
        <f t="shared" ref="F22:G22" si="0">((F17*(803-130)+F31*(30))*1000)/F7</f>
        <v>2805.201103332065</v>
      </c>
      <c r="G22" s="78">
        <f t="shared" si="0"/>
        <v>2806.2104879408162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3855.712795603506</v>
      </c>
      <c r="F23" s="21">
        <f t="shared" ref="F23:G23" si="1">(F15*(803-130))*1000/(F7*0.78)</f>
        <v>3822.7576857887425</v>
      </c>
      <c r="G23" s="21">
        <f t="shared" si="1"/>
        <v>3886.5030199333592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E24+'9'!F24</f>
        <v>0</v>
      </c>
      <c r="G24" s="48">
        <f>E24+'9'!G24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125</v>
      </c>
      <c r="F26" s="32">
        <f>E26+'9'!F26</f>
        <v>1346</v>
      </c>
      <c r="G26" s="33">
        <f>E26+'9'!G26</f>
        <v>18190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4131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22</v>
      </c>
      <c r="F30" s="32">
        <f>E30+'9'!F30</f>
        <v>144</v>
      </c>
      <c r="G30" s="33">
        <f>E30+'9'!G30</f>
        <v>1987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20</v>
      </c>
      <c r="F31" s="12">
        <f>E31+'9'!F31</f>
        <v>145</v>
      </c>
      <c r="G31" s="13">
        <f>E31+'9'!G31</f>
        <v>2002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19</v>
      </c>
      <c r="F32" s="12">
        <f>E32+'9'!F32</f>
        <v>231</v>
      </c>
      <c r="G32" s="13">
        <f>E32+'9'!G32</f>
        <v>2664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16</v>
      </c>
      <c r="F33" s="35">
        <v>1287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47</v>
      </c>
      <c r="F35" s="32">
        <f>E35+'9'!F35</f>
        <v>318</v>
      </c>
      <c r="G35" s="33">
        <f>E35+'9'!G35</f>
        <v>3267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E36+'9'!F36</f>
        <v>15</v>
      </c>
      <c r="G36" s="13">
        <f>E36+'9'!G36</f>
        <v>324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E37+'9'!F37</f>
        <v>0</v>
      </c>
      <c r="G37" s="48">
        <f>E37+'9'!G37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45" right="0.45" top="0.75" bottom="0.75" header="0.3" footer="0.3"/>
  <pageSetup scale="5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'10'!E6+1</f>
        <v>46245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138500</v>
      </c>
      <c r="F7" s="12">
        <f>E7+'10'!F7</f>
        <v>1928351</v>
      </c>
      <c r="G7" s="13">
        <f>E7+'10'!G7</f>
        <v>21654716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17702</v>
      </c>
      <c r="F8" s="12">
        <f>E8+'10'!F8</f>
        <v>199616</v>
      </c>
      <c r="G8" s="13">
        <f>E8+'10'!G8</f>
        <v>2353161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120798</v>
      </c>
      <c r="F9" s="12">
        <f>E9+'10'!F9</f>
        <v>1728735</v>
      </c>
      <c r="G9" s="13">
        <f>E9+'10'!G9</f>
        <v>19301555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12.781227436823105</v>
      </c>
      <c r="F10" s="15">
        <f>F8/F7*100</f>
        <v>10.351642413647722</v>
      </c>
      <c r="G10" s="16">
        <f>G8/G7*100</f>
        <v>10.866736834599909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5.770833333333333</v>
      </c>
      <c r="F11" s="15">
        <f>F7/F12/1000</f>
        <v>7.3043598484848484</v>
      </c>
      <c r="G11" s="16">
        <f>G7/G12/1000</f>
        <v>6.8275653758599599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E12+'10'!F12</f>
        <v>264</v>
      </c>
      <c r="G12" s="13">
        <f>E12+'10'!G12</f>
        <v>3171.66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57.708333333333329</v>
      </c>
      <c r="F13" s="15">
        <f>F11/10*100</f>
        <v>73.043598484848488</v>
      </c>
      <c r="G13" s="16">
        <f>G11/10*100</f>
        <v>68.275653758599603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674</v>
      </c>
      <c r="F14" s="12">
        <f>E14+'10'!F14</f>
        <v>8811</v>
      </c>
      <c r="G14" s="13">
        <f>E14+'10'!G14</f>
        <v>100584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654</v>
      </c>
      <c r="F15" s="12">
        <f>E15+'10'!F15</f>
        <v>8584</v>
      </c>
      <c r="G15" s="13">
        <f>E15+'10'!G15</f>
        <v>97572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34</v>
      </c>
      <c r="F16" s="70">
        <f>E16+'10'!F16</f>
        <v>613</v>
      </c>
      <c r="G16" s="13">
        <f>E16+'10'!G16</f>
        <v>6393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582</v>
      </c>
      <c r="F17" s="12">
        <f>E17+'10'!F17</f>
        <v>8036</v>
      </c>
      <c r="G17" s="13">
        <f>E17+'10'!G17</f>
        <v>90209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475</v>
      </c>
      <c r="F18" s="12">
        <f>E18+'10'!F18</f>
        <v>6334</v>
      </c>
      <c r="G18" s="13">
        <f>E18+'10'!G18</f>
        <v>71947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E19+'10'!F19</f>
        <v>195</v>
      </c>
      <c r="G19" s="13">
        <f>E19+'10'!G19</f>
        <v>2344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4.2021660649819497</v>
      </c>
      <c r="F20" s="15">
        <f>F17*1000/F7</f>
        <v>4.1672911207555057</v>
      </c>
      <c r="G20" s="16">
        <f>G17*1000/G7</f>
        <v>4.1657900292943113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0.75812274368231047</v>
      </c>
      <c r="F21" s="19">
        <f>F26*1000/F7</f>
        <v>0.75245637334696847</v>
      </c>
      <c r="G21" s="20">
        <f>G26*1000/G7</f>
        <v>0.8448506089851282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2831.5234657039709</v>
      </c>
      <c r="F22" s="21">
        <f t="shared" ref="F22:G22" si="0">((F17*(803-130)+F31*(30))*1000)/F7</f>
        <v>2807.0916549943449</v>
      </c>
      <c r="G22" s="21">
        <f t="shared" si="0"/>
        <v>2806.372385581044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4074.2571507914467</v>
      </c>
      <c r="F23" s="21">
        <f t="shared" ref="F23:G23" si="1">(F15*(803-130))*1000/(F7*0.78)</f>
        <v>3840.8211378796091</v>
      </c>
      <c r="G23" s="21">
        <f t="shared" si="1"/>
        <v>3887.7038644571962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E24+'10'!F24</f>
        <v>0</v>
      </c>
      <c r="G24" s="48">
        <f>E24+'10'!G24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105</v>
      </c>
      <c r="F26" s="32">
        <f>E26+'10'!F26</f>
        <v>1451</v>
      </c>
      <c r="G26" s="33">
        <f>E26+'10'!G26</f>
        <v>18295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4041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13" t="s">
        <v>34</v>
      </c>
      <c r="C29" s="114"/>
      <c r="D29" s="114"/>
      <c r="E29" s="114"/>
      <c r="F29" s="114"/>
      <c r="G29" s="115"/>
    </row>
    <row r="30" spans="2:8" ht="30.95" customHeight="1">
      <c r="B30" s="74">
        <v>1</v>
      </c>
      <c r="C30" s="75" t="s">
        <v>35</v>
      </c>
      <c r="D30" s="76" t="s">
        <v>38</v>
      </c>
      <c r="E30" s="71">
        <v>15</v>
      </c>
      <c r="F30" s="71">
        <f>E30+'10'!F30</f>
        <v>159</v>
      </c>
      <c r="G30" s="72">
        <f>E30+'10'!G30</f>
        <v>2002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16</v>
      </c>
      <c r="F31" s="12">
        <f>E31+'10'!F31</f>
        <v>161</v>
      </c>
      <c r="G31" s="13">
        <f>E31+'10'!G31</f>
        <v>2018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E32+'10'!F32</f>
        <v>249</v>
      </c>
      <c r="G32" s="13">
        <f>E32+'10'!G32</f>
        <v>2682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15.8</v>
      </c>
      <c r="F33" s="35">
        <v>1299</v>
      </c>
      <c r="G33" s="73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20</v>
      </c>
      <c r="F35" s="32">
        <f>E35+'10'!F35</f>
        <v>338</v>
      </c>
      <c r="G35" s="33">
        <f>E35+'10'!G35</f>
        <v>3287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E36+'10'!F36</f>
        <v>17</v>
      </c>
      <c r="G36" s="13">
        <f>E36+'10'!G36</f>
        <v>326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E37+'10'!F37</f>
        <v>0</v>
      </c>
      <c r="G37" s="48">
        <f>E37+'10'!G37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J15" sqref="J1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'11'!E6+1</f>
        <v>46246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163400</v>
      </c>
      <c r="F7" s="12">
        <f>E7+'11'!F7</f>
        <v>2091751</v>
      </c>
      <c r="G7" s="13">
        <f>E7+'11'!G7</f>
        <v>21818116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18035</v>
      </c>
      <c r="F8" s="12">
        <f>E8+'11'!F8</f>
        <v>217651</v>
      </c>
      <c r="G8" s="13">
        <f>E8+'11'!G8</f>
        <v>2371196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145365</v>
      </c>
      <c r="F9" s="12">
        <f>E9+'11'!F9</f>
        <v>1874100</v>
      </c>
      <c r="G9" s="13">
        <f>E9+'11'!G9</f>
        <v>19446920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11.037331701346389</v>
      </c>
      <c r="F10" s="15">
        <f>F8/F7*100</f>
        <v>10.405205973368723</v>
      </c>
      <c r="G10" s="16">
        <f>G8/G7*100</f>
        <v>10.868014451843596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6.8083333333333327</v>
      </c>
      <c r="F11" s="15">
        <f>F7/F12/1000</f>
        <v>7.2630243055555557</v>
      </c>
      <c r="G11" s="16">
        <f>G7/G12/1000</f>
        <v>6.8274209396494001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E12+'11'!F12</f>
        <v>288</v>
      </c>
      <c r="G12" s="13">
        <f>E12+'11'!G12</f>
        <v>3195.66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68.083333333333329</v>
      </c>
      <c r="F13" s="15">
        <f>F11/10*100</f>
        <v>72.630243055555553</v>
      </c>
      <c r="G13" s="16">
        <f>G11/10*100</f>
        <v>68.274209396494001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754</v>
      </c>
      <c r="F14" s="12">
        <f>E14+'11'!F14</f>
        <v>9565</v>
      </c>
      <c r="G14" s="13">
        <f>E14+'11'!G14</f>
        <v>101338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730</v>
      </c>
      <c r="F15" s="12">
        <f>E15+'11'!F15</f>
        <v>9314</v>
      </c>
      <c r="G15" s="13">
        <f>E15+'11'!G15</f>
        <v>98302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70">
        <f>E16+'11'!F16</f>
        <v>670</v>
      </c>
      <c r="G16" s="13">
        <f>E16+'11'!G16</f>
        <v>6450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684</v>
      </c>
      <c r="F17" s="12">
        <f>E17+'11'!F17</f>
        <v>8720</v>
      </c>
      <c r="G17" s="13">
        <f>E17+'11'!G17</f>
        <v>90893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537</v>
      </c>
      <c r="F18" s="12">
        <f>E18+'11'!F18</f>
        <v>6871</v>
      </c>
      <c r="G18" s="13">
        <f>E18+'11'!G18</f>
        <v>72484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E19+'11'!F19</f>
        <v>213</v>
      </c>
      <c r="G19" s="13">
        <f>E19+'11'!G19</f>
        <v>2362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4.1860465116279073</v>
      </c>
      <c r="F20" s="15">
        <f>F17*1000/F7</f>
        <v>4.1687562238526477</v>
      </c>
      <c r="G20" s="16">
        <f>G17*1000/G7</f>
        <v>4.1659417339242308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0.75275397796817622</v>
      </c>
      <c r="F21" s="19">
        <f>F26*1000/F7</f>
        <v>0.7524796211403747</v>
      </c>
      <c r="G21" s="20">
        <f>G26*1000/G7</f>
        <v>0.84416087988532096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2819.7796817625458</v>
      </c>
      <c r="F22" s="21">
        <f t="shared" ref="F22:G22" si="0">((F17*(803-130)+F31*(30))*1000)/F7</f>
        <v>2808.0827976178807</v>
      </c>
      <c r="G22" s="21">
        <f t="shared" si="0"/>
        <v>2806.4727953595993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3854.7060854282395</v>
      </c>
      <c r="F23" s="21">
        <f t="shared" ref="F23:G23" si="1">(F15*(803-130))*1000/(F7*0.78)</f>
        <v>3841.9057796125144</v>
      </c>
      <c r="G23" s="21">
        <f t="shared" si="1"/>
        <v>3887.4567378449196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E24+'11'!F24</f>
        <v>0</v>
      </c>
      <c r="G24" s="48">
        <f>E24+'11'!G24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123</v>
      </c>
      <c r="F26" s="32">
        <f>E26+'11'!F26</f>
        <v>1574</v>
      </c>
      <c r="G26" s="33">
        <f>E26+'11'!G26</f>
        <v>18418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4160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15</v>
      </c>
      <c r="F30" s="32">
        <f>E30+'11'!F30</f>
        <v>174</v>
      </c>
      <c r="G30" s="33">
        <f>E30+'11'!G30</f>
        <v>2017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14</v>
      </c>
      <c r="F31" s="12">
        <f>E31+'11'!F31</f>
        <v>175</v>
      </c>
      <c r="G31" s="13">
        <f>E31+'11'!G31</f>
        <v>2032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E32+'11'!F32</f>
        <v>267</v>
      </c>
      <c r="G32" s="13">
        <f>E32+'11'!G32</f>
        <v>2700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15.7</v>
      </c>
      <c r="F33" s="46">
        <v>1277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46</v>
      </c>
      <c r="F35" s="32">
        <f>E35+'11'!F35</f>
        <v>384</v>
      </c>
      <c r="G35" s="33">
        <f>E35+'11'!G35</f>
        <v>3333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E36+'11'!F36</f>
        <v>17</v>
      </c>
      <c r="G36" s="13">
        <f>E36+'11'!G36</f>
        <v>326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E37+'11'!F37</f>
        <v>0</v>
      </c>
      <c r="G37" s="48">
        <f>E37+'11'!G37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L40"/>
  <sheetViews>
    <sheetView topLeftCell="C1" zoomScale="85" zoomScaleNormal="85" workbookViewId="0">
      <pane xSplit="2" ySplit="6" topLeftCell="E7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'12'!E6+1</f>
        <v>46247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161400</v>
      </c>
      <c r="F7" s="12">
        <f>E7+'12'!F7</f>
        <v>2253151</v>
      </c>
      <c r="G7" s="13">
        <f>E7+'12'!G7</f>
        <v>21979516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17860</v>
      </c>
      <c r="F8" s="12">
        <f>E8+'12'!F8</f>
        <v>235511</v>
      </c>
      <c r="G8" s="13">
        <f>E8+'12'!G8</f>
        <v>2389056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143540</v>
      </c>
      <c r="F9" s="12">
        <f>E9+'12'!F9</f>
        <v>2017640</v>
      </c>
      <c r="G9" s="13">
        <f>E9+'12'!G9</f>
        <v>19590460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11.065675340768276</v>
      </c>
      <c r="F10" s="15">
        <f>F8/F7*100</f>
        <v>10.45251738565236</v>
      </c>
      <c r="G10" s="16">
        <f>G8/G7*100</f>
        <v>10.869465915446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6.7249999999999996</v>
      </c>
      <c r="F11" s="15">
        <f>F7/F12/1000</f>
        <v>7.2216378205128207</v>
      </c>
      <c r="G11" s="16">
        <f>G7/G12/1000</f>
        <v>6.8266574731493392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E12+'12'!F12</f>
        <v>312</v>
      </c>
      <c r="G12" s="13">
        <f>E12+'12'!G12</f>
        <v>3219.66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67.25</v>
      </c>
      <c r="F13" s="15">
        <f>F11/10*100</f>
        <v>72.216378205128208</v>
      </c>
      <c r="G13" s="16">
        <f>G11/10*100</f>
        <v>68.266574731493392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751</v>
      </c>
      <c r="F14" s="12">
        <f>E14+'12'!F14</f>
        <v>10316</v>
      </c>
      <c r="G14" s="13">
        <f>E14+'12'!G14</f>
        <v>102089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717</v>
      </c>
      <c r="F15" s="12">
        <f>E15+'12'!F15</f>
        <v>10031</v>
      </c>
      <c r="G15" s="13">
        <f>E15+'12'!G15</f>
        <v>99019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12">
        <f>E16+'12'!F16</f>
        <v>727</v>
      </c>
      <c r="G16" s="13">
        <f>E16+'12'!G16</f>
        <v>6507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679</v>
      </c>
      <c r="F17" s="12">
        <f>E17+'12'!F17</f>
        <v>9399</v>
      </c>
      <c r="G17" s="13">
        <f>E17+'12'!G17</f>
        <v>91572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535</v>
      </c>
      <c r="F18" s="12">
        <f>E18+'12'!F18</f>
        <v>7406</v>
      </c>
      <c r="G18" s="13">
        <f>E18+'12'!G18</f>
        <v>73019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E19+'12'!F19</f>
        <v>231</v>
      </c>
      <c r="G19" s="13">
        <f>E19+'12'!G19</f>
        <v>2380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4.2069392812887241</v>
      </c>
      <c r="F20" s="15">
        <f>F17*1000/F7</f>
        <v>4.1714913913892149</v>
      </c>
      <c r="G20" s="16">
        <f>G17*1000/G7</f>
        <v>4.1662427871478149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0.75588599752168528</v>
      </c>
      <c r="F21" s="19">
        <f>F26*1000/F7</f>
        <v>0.75272363015172972</v>
      </c>
      <c r="G21" s="20">
        <f>G26*1000/G7</f>
        <v>0.8435126596964192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2835.1734820322181</v>
      </c>
      <c r="F22" s="21">
        <f t="shared" ref="F22:G22" si="0">((F17*(803-130)+F31*(30))*1000)/F7</f>
        <v>2810.0233850283448</v>
      </c>
      <c r="G22" s="21">
        <f t="shared" si="0"/>
        <v>2806.6835502656199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3832.9758840911259</v>
      </c>
      <c r="F23" s="21">
        <f t="shared" ref="F23:G23" si="1">(F15*(803-130))*1000/(F7*0.78)</f>
        <v>3841.2661042702262</v>
      </c>
      <c r="G23" s="21">
        <f t="shared" si="1"/>
        <v>3887.0566739947485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E24+'12'!F24</f>
        <v>0</v>
      </c>
      <c r="G24" s="48">
        <f>E24+'12'!G24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122</v>
      </c>
      <c r="F26" s="32">
        <f>E26+'12'!F26</f>
        <v>1696</v>
      </c>
      <c r="G26" s="33">
        <f>E26+'12'!G26</f>
        <v>18540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4211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21</v>
      </c>
      <c r="F30" s="32">
        <f>E30+'12'!F30</f>
        <v>195</v>
      </c>
      <c r="G30" s="33">
        <f>E30+'12'!G30</f>
        <v>2038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21</v>
      </c>
      <c r="F31" s="12">
        <f>E31+'12'!F31</f>
        <v>196</v>
      </c>
      <c r="G31" s="13">
        <f>E31+'12'!G31</f>
        <v>2053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E32+'12'!F32</f>
        <v>285</v>
      </c>
      <c r="G32" s="13">
        <f>E32+'12'!G32</f>
        <v>2718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15.17</v>
      </c>
      <c r="F33" s="46">
        <v>1170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15</v>
      </c>
      <c r="F35" s="32">
        <f>E35+'12'!F35</f>
        <v>399</v>
      </c>
      <c r="G35" s="33">
        <f>E35+'12'!G35</f>
        <v>3348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E36+'12'!F36</f>
        <v>20</v>
      </c>
      <c r="G36" s="13">
        <f>E36+'12'!G36</f>
        <v>329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E37+'12'!F37</f>
        <v>0</v>
      </c>
      <c r="G37" s="48">
        <f>E37+'12'!G37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G31" sqref="G31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'13'!E6+1</f>
        <v>46248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183700</v>
      </c>
      <c r="F7" s="12">
        <f>E7+'13'!F7</f>
        <v>2436851</v>
      </c>
      <c r="G7" s="13">
        <f>E7+'13'!G7</f>
        <v>22163216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18343</v>
      </c>
      <c r="F8" s="12">
        <f>E8+'13'!F8</f>
        <v>253854</v>
      </c>
      <c r="G8" s="13">
        <f>E8+'13'!G8</f>
        <v>2407399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165357</v>
      </c>
      <c r="F9" s="12">
        <f>E9+'13'!F9</f>
        <v>2182997</v>
      </c>
      <c r="G9" s="13">
        <f>E9+'13'!G9</f>
        <v>19755817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9.9853021230266741</v>
      </c>
      <c r="F10" s="15">
        <f>F8/F7*100</f>
        <v>10.41729674896003</v>
      </c>
      <c r="G10" s="16">
        <f>G8/G7*100</f>
        <v>10.862137516504825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7.6541666666666668</v>
      </c>
      <c r="F11" s="15">
        <f>F7/F12/1000</f>
        <v>7.2525327380952387</v>
      </c>
      <c r="G11" s="16">
        <f>G7/G12/1000</f>
        <v>6.8327802544039757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E12+'13'!F12</f>
        <v>336</v>
      </c>
      <c r="G12" s="13">
        <f>E12+'13'!G12</f>
        <v>3243.66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76.541666666666657</v>
      </c>
      <c r="F13" s="15">
        <f>F11/10*100</f>
        <v>72.52532738095239</v>
      </c>
      <c r="G13" s="16">
        <f>G11/10*100</f>
        <v>68.327802544039756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833</v>
      </c>
      <c r="F14" s="12">
        <f>E14+'13'!F14</f>
        <v>11149</v>
      </c>
      <c r="G14" s="13">
        <f>E14+'13'!G14</f>
        <v>102922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816</v>
      </c>
      <c r="F15" s="12">
        <f>E15+'13'!F15</f>
        <v>10847</v>
      </c>
      <c r="G15" s="13">
        <f>E15+'13'!G15</f>
        <v>99835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68</v>
      </c>
      <c r="F16" s="12">
        <f>E16+'13'!F16</f>
        <v>795</v>
      </c>
      <c r="G16" s="13">
        <f>E16+'13'!G16</f>
        <v>6575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767</v>
      </c>
      <c r="F17" s="12">
        <f>E17+'13'!F17</f>
        <v>10166</v>
      </c>
      <c r="G17" s="13">
        <f>E17+'13'!G17</f>
        <v>92339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596</v>
      </c>
      <c r="F18" s="12">
        <f>E18+'13'!F18</f>
        <v>8002</v>
      </c>
      <c r="G18" s="13">
        <f>E18+'13'!G18</f>
        <v>73615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E19+'13'!F19</f>
        <v>248</v>
      </c>
      <c r="G19" s="13">
        <f>E19+'13'!G19</f>
        <v>2397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4.175285792052259</v>
      </c>
      <c r="F20" s="15">
        <f>F17*1000/F7</f>
        <v>4.1717774291493406</v>
      </c>
      <c r="G20" s="16">
        <f>G17*1000/G7</f>
        <v>4.1663177401691165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0.75122482308111049</v>
      </c>
      <c r="F21" s="19">
        <f>F26*1000/F7</f>
        <v>0.75261064381860032</v>
      </c>
      <c r="G21" s="20">
        <f>G26*1000/G7</f>
        <v>0.84274773119568924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2811.6004354926513</v>
      </c>
      <c r="F22" s="21">
        <f t="shared" ref="F22:G22" si="0">((F17*(803-130)+F31*(30))*1000)/F7</f>
        <v>2810.1422696750847</v>
      </c>
      <c r="G22" s="21">
        <f t="shared" si="0"/>
        <v>2806.7243039096852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3832.6703236882877</v>
      </c>
      <c r="F23" s="21">
        <f t="shared" ref="F23:G23" si="1">(F15*(803-130))*1000/(F7*0.78)</f>
        <v>3840.6181184504521</v>
      </c>
      <c r="G23" s="21">
        <f t="shared" si="1"/>
        <v>3886.605892278264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E24+'13'!F24</f>
        <v>0</v>
      </c>
      <c r="G24" s="48">
        <f>E24+'13'!G24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E26+'13'!F26</f>
        <v>1834</v>
      </c>
      <c r="G26" s="33">
        <f>E26+'13'!G26</f>
        <v>18678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4230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10</v>
      </c>
      <c r="F30" s="32">
        <f>E30+'13'!F30</f>
        <v>205</v>
      </c>
      <c r="G30" s="33">
        <f>E30+'13'!G30</f>
        <v>2048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10</v>
      </c>
      <c r="F31" s="12">
        <f>E31+'13'!F31</f>
        <v>206</v>
      </c>
      <c r="G31" s="13">
        <f>E31+'13'!G31</f>
        <v>2063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E32+'13'!F32</f>
        <v>303</v>
      </c>
      <c r="G32" s="13">
        <f>E32+'13'!G32</f>
        <v>2736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</v>
      </c>
      <c r="F33" s="46">
        <v>1345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E35+'13'!F35</f>
        <v>399</v>
      </c>
      <c r="G35" s="33">
        <f>E35+'13'!G35</f>
        <v>3348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E36+'13'!F36</f>
        <v>24</v>
      </c>
      <c r="G36" s="13">
        <f>E36+'13'!G36</f>
        <v>333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E37+'13'!F37</f>
        <v>0</v>
      </c>
      <c r="G37" s="48">
        <f>E37+'13'!G37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I36" sqref="I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'14'!E6+1</f>
        <v>46249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180900</v>
      </c>
      <c r="F7" s="12">
        <f>E7+'14'!F7</f>
        <v>2617751</v>
      </c>
      <c r="G7" s="13">
        <f>E7+'14'!G7</f>
        <v>22344116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18333</v>
      </c>
      <c r="F8" s="12">
        <f>E8+'14'!F8</f>
        <v>272187</v>
      </c>
      <c r="G8" s="13">
        <f>E8+'14'!G8</f>
        <v>2425732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162567</v>
      </c>
      <c r="F9" s="12">
        <f>E9+'14'!F9</f>
        <v>2345564</v>
      </c>
      <c r="G9" s="13">
        <f>E9+'14'!G9</f>
        <v>19918384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10.134328358208954</v>
      </c>
      <c r="F10" s="15">
        <f>F8/F7*100</f>
        <v>10.397742184035074</v>
      </c>
      <c r="G10" s="16">
        <f>G8/G7*100</f>
        <v>10.856245107213013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7.5374999999999996</v>
      </c>
      <c r="F11" s="15">
        <f>F7/F12/1000</f>
        <v>7.2715305555555547</v>
      </c>
      <c r="G11" s="16">
        <f>G7/G12/1000</f>
        <v>6.8379562133147278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E12+'14'!F12</f>
        <v>360</v>
      </c>
      <c r="G12" s="13">
        <f>E12+'14'!G12</f>
        <v>3267.66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75.374999999999986</v>
      </c>
      <c r="F13" s="15">
        <f>F11/10*100</f>
        <v>72.715305555555545</v>
      </c>
      <c r="G13" s="16">
        <f>G11/10*100</f>
        <v>68.379562133147274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821</v>
      </c>
      <c r="F14" s="12">
        <f>E14+'14'!F14</f>
        <v>11970</v>
      </c>
      <c r="G14" s="13">
        <f>E14+'14'!G14</f>
        <v>103743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803</v>
      </c>
      <c r="F15" s="12">
        <f>E15+'14'!F15</f>
        <v>11650</v>
      </c>
      <c r="G15" s="13">
        <f>E15+'14'!G15</f>
        <v>100638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66</v>
      </c>
      <c r="F16" s="12">
        <f>E16+'14'!F16</f>
        <v>861</v>
      </c>
      <c r="G16" s="13">
        <f>E16+'14'!G16</f>
        <v>6641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754</v>
      </c>
      <c r="F17" s="12">
        <f>E17+'14'!F17</f>
        <v>10920</v>
      </c>
      <c r="G17" s="13">
        <f>E17+'14'!G17</f>
        <v>93093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585</v>
      </c>
      <c r="F18" s="12">
        <f>E18+'14'!F18</f>
        <v>8587</v>
      </c>
      <c r="G18" s="13">
        <f>E18+'14'!G18</f>
        <v>74200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E19+'14'!F19</f>
        <v>266</v>
      </c>
      <c r="G19" s="13">
        <f>E19+'14'!G19</f>
        <v>2415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4.1680486456605861</v>
      </c>
      <c r="F20" s="15">
        <f>F17*1000/F7</f>
        <v>4.1715197511146016</v>
      </c>
      <c r="G20" s="16">
        <f>G17*1000/G7</f>
        <v>4.1663317537377624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0.7517965726920951</v>
      </c>
      <c r="F21" s="19">
        <f>F26*1000/F7</f>
        <v>0.75255438733477709</v>
      </c>
      <c r="G21" s="20">
        <f>G26*1000/G7</f>
        <v>0.84201138232544082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2806.9209508015479</v>
      </c>
      <c r="F22" s="21">
        <f t="shared" ref="F22:G22" si="0">((F17*(803-130)+F31*(30))*1000)/F7</f>
        <v>2809.9196600440609</v>
      </c>
      <c r="G22" s="21">
        <f t="shared" si="0"/>
        <v>2806.7258959808478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3829.9882354608721</v>
      </c>
      <c r="F23" s="21">
        <f t="shared" ref="F23:G23" si="1">(F15*(803-130))*1000/(F7*0.78)</f>
        <v>3839.8835390986287</v>
      </c>
      <c r="G23" s="21">
        <f t="shared" si="1"/>
        <v>3886.1475105674695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E24+'14'!F24</f>
        <v>0</v>
      </c>
      <c r="G24" s="48">
        <f>E24+'14'!G24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136</v>
      </c>
      <c r="F26" s="32">
        <f>E26+'14'!F26</f>
        <v>1970</v>
      </c>
      <c r="G26" s="33">
        <f>E26+'14'!G26</f>
        <v>18814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4197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11</v>
      </c>
      <c r="F30" s="32">
        <f>E30+'14'!F30</f>
        <v>216</v>
      </c>
      <c r="G30" s="33">
        <f>E30+'14'!G30</f>
        <v>2059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11</v>
      </c>
      <c r="F31" s="12">
        <f>E31+'14'!F31</f>
        <v>217</v>
      </c>
      <c r="G31" s="13">
        <f>E31+'14'!G31</f>
        <v>2074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E32+'14'!F32</f>
        <v>321</v>
      </c>
      <c r="G32" s="13">
        <f>E32+'14'!G32</f>
        <v>2754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17</v>
      </c>
      <c r="F33" s="46">
        <v>1287</v>
      </c>
      <c r="G33" s="73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E35+'14'!F35</f>
        <v>399</v>
      </c>
      <c r="G35" s="33">
        <f>E35+'14'!G35</f>
        <v>3348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6</v>
      </c>
      <c r="F36" s="12">
        <f>E36+'14'!F36</f>
        <v>30</v>
      </c>
      <c r="G36" s="13">
        <f>E36+'14'!G36</f>
        <v>339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E37+'14'!F37</f>
        <v>0</v>
      </c>
      <c r="G37" s="48">
        <f>E37+'14'!G37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K33" sqref="K33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'15'!E6+1</f>
        <v>46250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171500</v>
      </c>
      <c r="F7" s="12">
        <f>E7+'15'!F7</f>
        <v>2789251</v>
      </c>
      <c r="G7" s="13">
        <f>E7+'15'!G7</f>
        <v>22515616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17843</v>
      </c>
      <c r="F8" s="12">
        <f>E8+'15'!F8</f>
        <v>290030</v>
      </c>
      <c r="G8" s="13">
        <f>E8+'15'!G8</f>
        <v>2443575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153657</v>
      </c>
      <c r="F9" s="12">
        <f>E9+'15'!F9</f>
        <v>2499221</v>
      </c>
      <c r="G9" s="13">
        <f>E9+'15'!G9</f>
        <v>20072041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10.404081632653062</v>
      </c>
      <c r="F10" s="15">
        <f>F8/F7*100</f>
        <v>10.39813197162966</v>
      </c>
      <c r="G10" s="16">
        <f>G8/G7*100</f>
        <v>10.852801007087704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7.145833333333333</v>
      </c>
      <c r="F11" s="15">
        <f>F7/F12/1000</f>
        <v>7.2636744791666672</v>
      </c>
      <c r="G11" s="16">
        <f>G7/G12/1000</f>
        <v>6.8402009928121377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E12+'15'!F12</f>
        <v>384</v>
      </c>
      <c r="G12" s="13">
        <f>E12+'15'!G12</f>
        <v>3291.66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71.458333333333329</v>
      </c>
      <c r="F13" s="15">
        <f>F11/10*100</f>
        <v>72.636744791666672</v>
      </c>
      <c r="G13" s="16">
        <f>G11/10*100</f>
        <v>68.402009928121373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784</v>
      </c>
      <c r="F14" s="12">
        <f>E14+'15'!F14</f>
        <v>12754</v>
      </c>
      <c r="G14" s="13">
        <f>E14+'15'!G14</f>
        <v>104527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765</v>
      </c>
      <c r="F15" s="12">
        <f>E15+'15'!F15</f>
        <v>12415</v>
      </c>
      <c r="G15" s="13">
        <f>E15+'15'!G15</f>
        <v>101403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62</v>
      </c>
      <c r="F16" s="70">
        <f>E16+'15'!F16</f>
        <v>923</v>
      </c>
      <c r="G16" s="13">
        <f>E16+'15'!G16</f>
        <v>6703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716</v>
      </c>
      <c r="F17" s="12">
        <f>E17+'15'!F17</f>
        <v>11636</v>
      </c>
      <c r="G17" s="13">
        <f>E17+'15'!G17</f>
        <v>93809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559</v>
      </c>
      <c r="F18" s="12">
        <f>E18+'15'!F18</f>
        <v>9146</v>
      </c>
      <c r="G18" s="13">
        <f>E18+'15'!G18</f>
        <v>74759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E19+'15'!F19</f>
        <v>284</v>
      </c>
      <c r="G19" s="13">
        <f>E19+'15'!G19</f>
        <v>2433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4.1749271137026236</v>
      </c>
      <c r="F20" s="15">
        <f>F17*1000/F7</f>
        <v>4.1717292563487476</v>
      </c>
      <c r="G20" s="16">
        <f>G17*1000/G7</f>
        <v>4.1663972240421936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0.75801749271137031</v>
      </c>
      <c r="F21" s="19">
        <f>F26*1000/F7</f>
        <v>0.7528902920533147</v>
      </c>
      <c r="G21" s="20">
        <f>G26*1000/G7</f>
        <v>0.84137160626651297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2812</v>
      </c>
      <c r="F22" s="21">
        <f t="shared" ref="F22:G22" si="0">((F17*(803-130)+F31*(30))*1000)/F7</f>
        <v>2810.0475719108822</v>
      </c>
      <c r="G22" s="21">
        <f t="shared" si="0"/>
        <v>2806.7660684921966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3848.7328997533077</v>
      </c>
      <c r="F23" s="21">
        <f t="shared" ref="F23:G23" si="1">(F15*(803-130))*1000/(F7*0.78)</f>
        <v>3840.4276512463975</v>
      </c>
      <c r="G23" s="21">
        <f t="shared" si="1"/>
        <v>3885.8625258815241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E24+'15'!F24</f>
        <v>0</v>
      </c>
      <c r="G24" s="48">
        <f>E24+'15'!G24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130</v>
      </c>
      <c r="F26" s="32">
        <f>E26+'15'!F26</f>
        <v>2100</v>
      </c>
      <c r="G26" s="33">
        <f>E26+'15'!G26</f>
        <v>18944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4188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14</v>
      </c>
      <c r="F30" s="32">
        <f>E30+'15'!F30</f>
        <v>230</v>
      </c>
      <c r="G30" s="33">
        <f>E30+'15'!G30</f>
        <v>2073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13</v>
      </c>
      <c r="F31" s="12">
        <f>E31+'15'!F31</f>
        <v>230</v>
      </c>
      <c r="G31" s="13">
        <f>E31+'15'!G31</f>
        <v>2087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E32+'15'!F32</f>
        <v>338</v>
      </c>
      <c r="G32" s="13">
        <f>E32+'15'!G32</f>
        <v>2771</v>
      </c>
    </row>
    <row r="33" spans="2:7" ht="30.95" customHeight="1">
      <c r="B33" s="67">
        <v>4</v>
      </c>
      <c r="C33" s="10" t="s">
        <v>40</v>
      </c>
      <c r="D33" s="43" t="s">
        <v>41</v>
      </c>
      <c r="E33" s="35">
        <v>17</v>
      </c>
      <c r="F33" s="35">
        <v>1298</v>
      </c>
      <c r="G33" s="12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5">
        <v>0</v>
      </c>
      <c r="F35" s="12">
        <f>E35+'15'!F35</f>
        <v>399</v>
      </c>
      <c r="G35" s="12">
        <f>E35+'15'!G35</f>
        <v>3348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E36+'15'!F36</f>
        <v>35</v>
      </c>
      <c r="G36" s="13">
        <f>E36+'15'!G36</f>
        <v>344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E37+'15'!F37</f>
        <v>0</v>
      </c>
      <c r="G37" s="48">
        <f>E37+'15'!G37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39" right="0.7" top="0.75" bottom="0.75" header="0.3" footer="0.3"/>
  <pageSetup scale="45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L40"/>
  <sheetViews>
    <sheetView topLeftCell="C1" zoomScale="70" zoomScaleNormal="70" workbookViewId="0">
      <pane xSplit="2" ySplit="6" topLeftCell="E7" activePane="bottomRight" state="frozen"/>
      <selection pane="topRight"/>
      <selection pane="bottomLeft"/>
      <selection pane="bottomRight" activeCell="E28" sqref="E2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27" style="2" customWidth="1"/>
    <col min="5" max="5" width="45.140625" style="1" customWidth="1"/>
    <col min="6" max="6" width="44" style="1" customWidth="1"/>
    <col min="7" max="7" width="43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'16'!E6+1</f>
        <v>46251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180300</v>
      </c>
      <c r="F7" s="12">
        <f>E7+'16'!F7</f>
        <v>2969551</v>
      </c>
      <c r="G7" s="13">
        <f>E7+'16'!G7</f>
        <v>22695916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18170</v>
      </c>
      <c r="F8" s="12">
        <f>E8+'16'!F8</f>
        <v>308200</v>
      </c>
      <c r="G8" s="13">
        <f>E8+'16'!G8</f>
        <v>2461745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162130</v>
      </c>
      <c r="F9" s="12">
        <f>E9+'16'!F9</f>
        <v>2661351</v>
      </c>
      <c r="G9" s="13">
        <f>E9+'16'!G9</f>
        <v>20234171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10.077648363838048</v>
      </c>
      <c r="F10" s="15">
        <f>F8/F7*100</f>
        <v>10.378673408875617</v>
      </c>
      <c r="G10" s="16">
        <f>G8/G7*100</f>
        <v>10.846643070057185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7.5125000000000002</v>
      </c>
      <c r="F11" s="15">
        <f>F7/F12/1000</f>
        <v>7.2783112745098046</v>
      </c>
      <c r="G11" s="16">
        <f>G7/G12/1000</f>
        <v>6.8450673470741874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E12+'16'!F12</f>
        <v>408</v>
      </c>
      <c r="G12" s="13">
        <f>E12+'16'!G12</f>
        <v>3315.66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75.125</v>
      </c>
      <c r="F13" s="15">
        <f>F11/10*100</f>
        <v>72.783112745098038</v>
      </c>
      <c r="G13" s="16">
        <f>G11/10*100</f>
        <v>68.450673470741876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819</v>
      </c>
      <c r="F14" s="12">
        <f>E14+'16'!F14</f>
        <v>13573</v>
      </c>
      <c r="G14" s="13">
        <f>E14+'16'!G14</f>
        <v>105346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802</v>
      </c>
      <c r="F15" s="12">
        <f>E15+'16'!F15</f>
        <v>13217</v>
      </c>
      <c r="G15" s="13">
        <f>E15+'16'!G15</f>
        <v>102205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66</v>
      </c>
      <c r="F16" s="70">
        <f>E16+'16'!F16</f>
        <v>989</v>
      </c>
      <c r="G16" s="13">
        <f>E16+'16'!G16</f>
        <v>6769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753</v>
      </c>
      <c r="F17" s="12">
        <f>E17+'16'!F17</f>
        <v>12389</v>
      </c>
      <c r="G17" s="13">
        <f>E17+'16'!G17</f>
        <v>94562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585</v>
      </c>
      <c r="F18" s="12">
        <f>E18+'16'!F18</f>
        <v>9731</v>
      </c>
      <c r="G18" s="13">
        <f>E18+'16'!G18</f>
        <v>75344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E19+'16'!F19</f>
        <v>301</v>
      </c>
      <c r="G19" s="13">
        <f>E19+'16'!G19</f>
        <v>2450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4.1763727121464225</v>
      </c>
      <c r="F20" s="15">
        <f>F17*1000/F7</f>
        <v>4.1720111895704095</v>
      </c>
      <c r="G20" s="16">
        <f>G17*1000/G7</f>
        <v>4.1664764709210242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0.72656683305601777</v>
      </c>
      <c r="F21" s="19">
        <f>F26*1000/F7</f>
        <v>0.75129203034398129</v>
      </c>
      <c r="G21" s="20">
        <f>G26*1000/G7</f>
        <v>0.84045957871892019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2812.6955074875209</v>
      </c>
      <c r="F22" s="21">
        <f t="shared" ref="F22:G22" si="0">((F17*(803-130)+F31*(30))*1000)/F7</f>
        <v>2810.2083446285314</v>
      </c>
      <c r="G22" s="21">
        <f t="shared" si="0"/>
        <v>2806.8131729074075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3837.9481490962357</v>
      </c>
      <c r="F23" s="21">
        <f t="shared" ref="F23:G23" si="1">(F15*(803-130))*1000/(F7*0.78)</f>
        <v>3840.2771051747272</v>
      </c>
      <c r="G23" s="21">
        <f t="shared" si="1"/>
        <v>3885.4818863808146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E24+'16'!F24</f>
        <v>0</v>
      </c>
      <c r="G24" s="48">
        <f>E24+'16'!G24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131</v>
      </c>
      <c r="F26" s="32">
        <f>E26+'16'!F26</f>
        <v>2231</v>
      </c>
      <c r="G26" s="33">
        <f>E26+'16'!G26</f>
        <v>19075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5270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11</v>
      </c>
      <c r="F30" s="32">
        <f>E30+'16'!F30</f>
        <v>241</v>
      </c>
      <c r="G30" s="33">
        <f>E30+'16'!G30</f>
        <v>2084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12</v>
      </c>
      <c r="F31" s="12">
        <f>E31+'16'!F31</f>
        <v>242</v>
      </c>
      <c r="G31" s="13">
        <f>E31+'16'!G31</f>
        <v>2099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E32+'16'!F32</f>
        <v>356</v>
      </c>
      <c r="G32" s="13">
        <f>E32+'16'!G32</f>
        <v>2789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20</v>
      </c>
      <c r="F33" s="46">
        <v>1509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28</v>
      </c>
      <c r="F35" s="32">
        <f>E35+'16'!F35</f>
        <v>427</v>
      </c>
      <c r="G35" s="33">
        <f>E35+'16'!G35</f>
        <v>3376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E36+'16'!F36</f>
        <v>39</v>
      </c>
      <c r="G36" s="13">
        <f>E36+'16'!G36</f>
        <v>348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E37+'16'!F37</f>
        <v>0</v>
      </c>
      <c r="G37" s="48">
        <f>E37+'16'!G37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L40"/>
  <sheetViews>
    <sheetView topLeftCell="C1" zoomScale="85" zoomScaleNormal="85" workbookViewId="0">
      <pane xSplit="2" ySplit="6" topLeftCell="E19" activePane="bottomRight" state="frozen"/>
      <selection pane="topRight"/>
      <selection pane="bottomLeft"/>
      <selection pane="bottomRight" activeCell="J3" sqref="J3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11.285156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'17'!E6+1</f>
        <v>46252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179800</v>
      </c>
      <c r="F7" s="12">
        <f>E7+'17'!F7</f>
        <v>3149351</v>
      </c>
      <c r="G7" s="13">
        <f>E7+'17'!G7</f>
        <v>22875716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18195</v>
      </c>
      <c r="F8" s="12">
        <f>E8+'17'!F8</f>
        <v>326395</v>
      </c>
      <c r="G8" s="13">
        <f>E8+'17'!G8</f>
        <v>2479940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161605</v>
      </c>
      <c r="F9" s="12">
        <f>E9+'17'!F9</f>
        <v>2822956</v>
      </c>
      <c r="G9" s="13">
        <f>E9+'17'!G9</f>
        <v>20395776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10.119577308120133</v>
      </c>
      <c r="F10" s="15">
        <f>F8/F7*100</f>
        <v>10.363881320310121</v>
      </c>
      <c r="G10" s="16">
        <f>G8/G7*100</f>
        <v>10.840928432578897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7.4916666666666671</v>
      </c>
      <c r="F11" s="15">
        <f>F7/F12/1000</f>
        <v>7.2901643518518524</v>
      </c>
      <c r="G11" s="16">
        <f>G7/G12/1000</f>
        <v>6.849714042746867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E12+'17'!F12</f>
        <v>432</v>
      </c>
      <c r="G12" s="13">
        <f>E12+'17'!G12</f>
        <v>3339.66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74.916666666666671</v>
      </c>
      <c r="F13" s="15">
        <f>F11/10*100</f>
        <v>72.901643518518526</v>
      </c>
      <c r="G13" s="16">
        <f>G11/10*100</f>
        <v>68.497140427468679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817</v>
      </c>
      <c r="F14" s="12">
        <f>E14+'17'!F14</f>
        <v>14390</v>
      </c>
      <c r="G14" s="13">
        <f>E14+'17'!G14</f>
        <v>106163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795</v>
      </c>
      <c r="F15" s="12">
        <f>E15+'17'!F15</f>
        <v>14012</v>
      </c>
      <c r="G15" s="13">
        <f>E15+'17'!G15</f>
        <v>103000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66</v>
      </c>
      <c r="F16" s="70">
        <f>E16+'17'!F16</f>
        <v>1055</v>
      </c>
      <c r="G16" s="13">
        <f>E16+'17'!G16</f>
        <v>6835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749</v>
      </c>
      <c r="F17" s="12">
        <f>E17+'17'!F17</f>
        <v>13138</v>
      </c>
      <c r="G17" s="13">
        <f>E17+'17'!G17</f>
        <v>95311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583</v>
      </c>
      <c r="F18" s="12">
        <f>E18+'17'!F18</f>
        <v>10314</v>
      </c>
      <c r="G18" s="13">
        <f>E18+'17'!G18</f>
        <v>75927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E19+'17'!F19</f>
        <v>319</v>
      </c>
      <c r="G19" s="13">
        <f>E19+'17'!G19</f>
        <v>2468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4.165739710789766</v>
      </c>
      <c r="F20" s="15">
        <f>F17*1000/F7</f>
        <v>4.1716531437747015</v>
      </c>
      <c r="G20" s="16">
        <f>G17*1000/G7</f>
        <v>4.1664706800871283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0.75083426028921019</v>
      </c>
      <c r="F21" s="19">
        <f>F26*1000/F7</f>
        <v>0.75126589573534353</v>
      </c>
      <c r="G21" s="20">
        <f>G26*1000/G7</f>
        <v>0.83975513597038887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2805.5450500556171</v>
      </c>
      <c r="F22" s="21">
        <f t="shared" ref="F22:G22" si="0">((F17*(803-130)+F31*(30))*1000)/F7</f>
        <v>2809.942111882734</v>
      </c>
      <c r="G22" s="21">
        <f t="shared" si="0"/>
        <v>2806.8032056351808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3815.0295199794646</v>
      </c>
      <c r="F23" s="21">
        <f t="shared" ref="F23:G23" si="1">(F15*(803-130))*1000/(F7*0.78)</f>
        <v>3838.8356920651349</v>
      </c>
      <c r="G23" s="21">
        <f t="shared" si="1"/>
        <v>3884.9281404137391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E24+'17'!F24</f>
        <v>0</v>
      </c>
      <c r="G24" s="48">
        <f>E24+'17'!G24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135</v>
      </c>
      <c r="F26" s="32">
        <f>E26+'17'!F26</f>
        <v>2366</v>
      </c>
      <c r="G26" s="33">
        <f>E26+'17'!G26</f>
        <v>19210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4730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13</v>
      </c>
      <c r="F30" s="32">
        <f>E30+'17'!F30</f>
        <v>254</v>
      </c>
      <c r="G30" s="33">
        <f>E30+'17'!G30</f>
        <v>2097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12</v>
      </c>
      <c r="F31" s="12">
        <f>E31+'17'!F31</f>
        <v>254</v>
      </c>
      <c r="G31" s="13">
        <f>E31+'17'!G31</f>
        <v>2111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20</v>
      </c>
      <c r="F32" s="12">
        <f>E32+'17'!F32</f>
        <v>376</v>
      </c>
      <c r="G32" s="13">
        <f>E32+'17'!G32</f>
        <v>2809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20</v>
      </c>
      <c r="F33" s="47">
        <v>1423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43</v>
      </c>
      <c r="F35" s="32">
        <f>E35+'17'!F35</f>
        <v>470</v>
      </c>
      <c r="G35" s="33">
        <f>E35+'17'!G35</f>
        <v>3419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E36+'17'!F36</f>
        <v>39</v>
      </c>
      <c r="G36" s="13">
        <f>E36+'17'!G36</f>
        <v>348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E37+'17'!F37</f>
        <v>0</v>
      </c>
      <c r="G37" s="48">
        <f>E37+'17'!G37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'18'!E6+1</f>
        <v>46253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176200</v>
      </c>
      <c r="F7" s="12">
        <f>E7+'18'!F7</f>
        <v>3325551</v>
      </c>
      <c r="G7" s="13">
        <f>E7+'18'!G7</f>
        <v>23051916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18119</v>
      </c>
      <c r="F8" s="12">
        <f>E8+'18'!F8</f>
        <v>344514</v>
      </c>
      <c r="G8" s="13">
        <f>E8+'18'!G8</f>
        <v>2498059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158081</v>
      </c>
      <c r="F9" s="12">
        <f>E9+'18'!F9</f>
        <v>2981037</v>
      </c>
      <c r="G9" s="13">
        <f>E9+'18'!G9</f>
        <v>20553857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10.283200908059024</v>
      </c>
      <c r="F10" s="15">
        <f>F8/F7*100</f>
        <v>10.359606573467074</v>
      </c>
      <c r="G10" s="16">
        <f>G8/G7*100</f>
        <v>10.836665377402904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7.3416666666666668</v>
      </c>
      <c r="F11" s="15">
        <f>F7/F12/1000</f>
        <v>7.2928750000000004</v>
      </c>
      <c r="G11" s="16">
        <f>G7/G12/1000</f>
        <v>6.8532241665328835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E12+'18'!F12</f>
        <v>456</v>
      </c>
      <c r="G12" s="13">
        <f>E12+'18'!G12</f>
        <v>3363.66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73.416666666666657</v>
      </c>
      <c r="F13" s="15">
        <f>F11/10*100</f>
        <v>72.928750000000008</v>
      </c>
      <c r="G13" s="16">
        <f>G11/10*100</f>
        <v>68.532241665328826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806</v>
      </c>
      <c r="F14" s="12">
        <f>E14+'18'!F14</f>
        <v>15196</v>
      </c>
      <c r="G14" s="13">
        <f>E14+'18'!G14</f>
        <v>106969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785</v>
      </c>
      <c r="F15" s="12">
        <f>E15+'18'!F15</f>
        <v>14797</v>
      </c>
      <c r="G15" s="13">
        <f>E15+'18'!G15</f>
        <v>103785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65</v>
      </c>
      <c r="F16" s="70">
        <f>E16+'18'!F16</f>
        <v>1120</v>
      </c>
      <c r="G16" s="13">
        <f>E16+'18'!G16</f>
        <v>6900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739</v>
      </c>
      <c r="F17" s="12">
        <f>E17+'18'!F17</f>
        <v>13877</v>
      </c>
      <c r="G17" s="13">
        <f>E17+'18'!G17</f>
        <v>96050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574</v>
      </c>
      <c r="F18" s="12">
        <f>E18+'18'!F18</f>
        <v>10888</v>
      </c>
      <c r="G18" s="13">
        <f>E18+'18'!G18</f>
        <v>76501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E19+'18'!F19</f>
        <v>337</v>
      </c>
      <c r="G19" s="13">
        <f>E19+'18'!G19</f>
        <v>2486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4.1940976163450623</v>
      </c>
      <c r="F20" s="15">
        <f>F17*1000/F7</f>
        <v>4.1728423349995234</v>
      </c>
      <c r="G20" s="16">
        <f>G17*1000/G7</f>
        <v>4.1666818497863689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0.7377979568671964</v>
      </c>
      <c r="F21" s="19">
        <f>F26*1000/F7</f>
        <v>0.75055231448863657</v>
      </c>
      <c r="G21" s="20">
        <f>G26*1000/G7</f>
        <v>0.83897581441820279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2824.5005675368898</v>
      </c>
      <c r="F22" s="21">
        <f t="shared" ref="F22:G22" si="0">((F17*(803-130)+F31*(30))*1000)/F7</f>
        <v>2810.7134727448174</v>
      </c>
      <c r="G22" s="21">
        <f t="shared" si="0"/>
        <v>2806.9384774784012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3844.0073925317965</v>
      </c>
      <c r="F23" s="21">
        <f t="shared" ref="F23:G23" si="1">(F15*(803-130))*1000/(F7*0.78)</f>
        <v>3839.109707896564</v>
      </c>
      <c r="G23" s="21">
        <f t="shared" si="1"/>
        <v>3884.6153579197894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E24+'18'!F24</f>
        <v>0</v>
      </c>
      <c r="G24" s="48">
        <f>E24+'18'!G24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130</v>
      </c>
      <c r="F26" s="32">
        <f>E26+'18'!F26</f>
        <v>2496</v>
      </c>
      <c r="G26" s="33">
        <f>E26+'18'!G26</f>
        <v>19340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4275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13</v>
      </c>
      <c r="F30" s="32">
        <f>E30+'18'!F30</f>
        <v>267</v>
      </c>
      <c r="G30" s="33">
        <f>E30+'18'!G30</f>
        <v>2110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11</v>
      </c>
      <c r="F31" s="12">
        <f>E31+'18'!F31</f>
        <v>265</v>
      </c>
      <c r="G31" s="13">
        <f>E31+'18'!G31</f>
        <v>2122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E32+'18'!F32</f>
        <v>394</v>
      </c>
      <c r="G32" s="13">
        <f>E32+'18'!G32</f>
        <v>2827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</v>
      </c>
      <c r="F33" s="47">
        <v>1322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45</v>
      </c>
      <c r="F35" s="32">
        <f>E35+'18'!F35</f>
        <v>515</v>
      </c>
      <c r="G35" s="33">
        <f>E35+'18'!G35</f>
        <v>3464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E36+'18'!F36</f>
        <v>39</v>
      </c>
      <c r="G36" s="13">
        <f>E36+'18'!G36</f>
        <v>348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E37+'18'!F37</f>
        <v>0</v>
      </c>
      <c r="G37" s="48">
        <f>E37+'18'!G37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L40"/>
  <sheetViews>
    <sheetView topLeftCell="C1" zoomScale="78" zoomScaleNormal="78" workbookViewId="0">
      <pane xSplit="2" ySplit="6" topLeftCell="E7" activePane="bottomRight" state="frozen"/>
      <selection pane="topRight"/>
      <selection pane="bottomLeft"/>
      <selection pane="bottomRight" activeCell="E16" sqref="E1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'19'!E6+1</f>
        <v>46254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172500</v>
      </c>
      <c r="F7" s="12">
        <f>E7+'19'!F7</f>
        <v>3498051</v>
      </c>
      <c r="G7" s="13">
        <f>E7+'19'!G7</f>
        <v>23224416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18317</v>
      </c>
      <c r="F8" s="12">
        <f>E8+'19'!F8</f>
        <v>362831</v>
      </c>
      <c r="G8" s="13">
        <f>E8+'19'!G8</f>
        <v>2516376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154183</v>
      </c>
      <c r="F9" s="12">
        <f>E9+'19'!F9</f>
        <v>3135220</v>
      </c>
      <c r="G9" s="13">
        <f>E9+'19'!G9</f>
        <v>20708040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10.61855072463768</v>
      </c>
      <c r="F10" s="15">
        <f>F8/F7*100</f>
        <v>10.372375931625925</v>
      </c>
      <c r="G10" s="16">
        <f>G8/G7*100</f>
        <v>10.835045324713439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7.1875</v>
      </c>
      <c r="F11" s="15">
        <f>F7/F12/1000</f>
        <v>7.2876062499999996</v>
      </c>
      <c r="G11" s="16">
        <f>G7/G12/1000</f>
        <v>6.8555923557854097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E12+'19'!F12</f>
        <v>480</v>
      </c>
      <c r="G12" s="13">
        <f>E12+'19'!G12</f>
        <v>3387.66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71.875</v>
      </c>
      <c r="F13" s="15">
        <f>F11/10*100</f>
        <v>72.876062499999989</v>
      </c>
      <c r="G13" s="16">
        <f>G11/10*100</f>
        <v>68.555923557854086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802</v>
      </c>
      <c r="F14" s="12">
        <f>E14+'19'!F14</f>
        <v>15998</v>
      </c>
      <c r="G14" s="13">
        <f>E14+'19'!G14</f>
        <v>107771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770</v>
      </c>
      <c r="F15" s="12">
        <f>E15+'19'!F15</f>
        <v>15567</v>
      </c>
      <c r="G15" s="13">
        <f>E15+'19'!G15</f>
        <v>104555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59</v>
      </c>
      <c r="F16" s="12">
        <f>E16+'19'!F16</f>
        <v>1179</v>
      </c>
      <c r="G16" s="13">
        <f>E16+'19'!G16</f>
        <v>6959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724</v>
      </c>
      <c r="F17" s="12">
        <f>E17+'19'!F17</f>
        <v>14601</v>
      </c>
      <c r="G17" s="13">
        <f>E17+'19'!G17</f>
        <v>96774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572</v>
      </c>
      <c r="F18" s="12">
        <f>E18+'19'!F18</f>
        <v>11460</v>
      </c>
      <c r="G18" s="13">
        <f>E18+'19'!G18</f>
        <v>77073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E19+'19'!F19</f>
        <v>354</v>
      </c>
      <c r="G19" s="13">
        <f>E19+'19'!G19</f>
        <v>2503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4.1971014492753627</v>
      </c>
      <c r="F20" s="15">
        <f>F17*1000/F7</f>
        <v>4.1740386289393721</v>
      </c>
      <c r="G20" s="16">
        <f>G17*1000/G7</f>
        <v>4.1669077922131601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0.77101449275362322</v>
      </c>
      <c r="F21" s="19">
        <f>F26*1000/F7</f>
        <v>0.75156136945973628</v>
      </c>
      <c r="G21" s="20">
        <f>G26*1000/G7</f>
        <v>0.83847102979898391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2827.6057971014493</v>
      </c>
      <c r="F22" s="21">
        <f t="shared" ref="F22:G22" si="0">((F17*(803-130)+F31*(30))*1000)/F7</f>
        <v>2811.5464868865547</v>
      </c>
      <c r="G22" s="21">
        <f t="shared" si="0"/>
        <v>2807.0919845734766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3851.430694908956</v>
      </c>
      <c r="F23" s="21">
        <f t="shared" ref="F23:G23" si="1">(F15*(803-130))*1000/(F7*0.78)</f>
        <v>3839.7172948813272</v>
      </c>
      <c r="G23" s="21">
        <f t="shared" si="1"/>
        <v>3884.3688779062827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E24+'19'!F24</f>
        <v>0</v>
      </c>
      <c r="G24" s="48">
        <f>E24+'19'!G24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133</v>
      </c>
      <c r="F26" s="32">
        <f>E26+'19'!F26</f>
        <v>2629</v>
      </c>
      <c r="G26" s="33">
        <f>E26+'19'!G26</f>
        <v>19473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3913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14</v>
      </c>
      <c r="F30" s="32">
        <f>E30+'19'!F30</f>
        <v>281</v>
      </c>
      <c r="G30" s="33">
        <f>E30+'19'!G30</f>
        <v>2124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17</v>
      </c>
      <c r="F31" s="12">
        <f>E31+'19'!F31</f>
        <v>282</v>
      </c>
      <c r="G31" s="13">
        <f>E31+'19'!G31</f>
        <v>2139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9</v>
      </c>
      <c r="F32" s="12">
        <f>E32+'19'!F32</f>
        <v>403</v>
      </c>
      <c r="G32" s="13">
        <f>E32+'19'!G32</f>
        <v>2836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19</v>
      </c>
      <c r="F33" s="47">
        <v>1263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49</v>
      </c>
      <c r="F35" s="32">
        <f>E35+'19'!F35</f>
        <v>564</v>
      </c>
      <c r="G35" s="33">
        <f>E35+'19'!G35</f>
        <v>3513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E36+'19'!F36</f>
        <v>39</v>
      </c>
      <c r="G36" s="13">
        <f>E36+'19'!G36</f>
        <v>348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E37+'19'!F37</f>
        <v>0</v>
      </c>
      <c r="G37" s="48">
        <f>E37+'19'!G37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15" sqref="E1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'20'!E6+1</f>
        <v>46255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169000</v>
      </c>
      <c r="F7" s="12">
        <f>E7+'20'!F7</f>
        <v>3667051</v>
      </c>
      <c r="G7" s="13">
        <f>E7+'20'!G7</f>
        <v>23393416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18275</v>
      </c>
      <c r="F8" s="12">
        <f>E8+'20'!F8</f>
        <v>381106</v>
      </c>
      <c r="G8" s="13">
        <f>E8+'20'!G8</f>
        <v>2534651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150725</v>
      </c>
      <c r="F9" s="12">
        <f>E9+'20'!F9</f>
        <v>3285945</v>
      </c>
      <c r="G9" s="13">
        <f>E9+'20'!G9</f>
        <v>20858765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10.813609467455622</v>
      </c>
      <c r="F10" s="15">
        <f>F8/F7*100</f>
        <v>10.392710654964985</v>
      </c>
      <c r="G10" s="16">
        <f>G8/G7*100</f>
        <v>10.834890466616761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7.041666666666667</v>
      </c>
      <c r="F11" s="15">
        <f>F7/F12/1000</f>
        <v>7.2758948412698405</v>
      </c>
      <c r="G11" s="16">
        <f>G7/G12/1000</f>
        <v>6.8569013324891692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E12+'20'!F12</f>
        <v>504</v>
      </c>
      <c r="G12" s="13">
        <f>E12+'20'!G12</f>
        <v>3411.66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70.416666666666671</v>
      </c>
      <c r="F13" s="15">
        <f>F11/10*100</f>
        <v>72.758948412698416</v>
      </c>
      <c r="G13" s="16">
        <f>G11/10*100</f>
        <v>68.569013324891699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776</v>
      </c>
      <c r="F14" s="12">
        <f>E14+'20'!F14</f>
        <v>16774</v>
      </c>
      <c r="G14" s="13">
        <f>E14+'20'!G14</f>
        <v>108547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753</v>
      </c>
      <c r="F15" s="12">
        <f>E15+'20'!F15</f>
        <v>16320</v>
      </c>
      <c r="G15" s="13">
        <f>E15+'20'!G15</f>
        <v>105308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12">
        <f>E16+'20'!F16</f>
        <v>1236</v>
      </c>
      <c r="G16" s="13">
        <f>E16+'20'!G16</f>
        <v>7016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708</v>
      </c>
      <c r="F17" s="12">
        <f>E17+'20'!F17</f>
        <v>15309</v>
      </c>
      <c r="G17" s="13">
        <f>E17+'20'!G17</f>
        <v>97482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554</v>
      </c>
      <c r="F18" s="12">
        <f>E18+'20'!F18</f>
        <v>12014</v>
      </c>
      <c r="G18" s="13">
        <f>E18+'20'!G18</f>
        <v>77627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E19+'20'!F19</f>
        <v>372</v>
      </c>
      <c r="G19" s="13">
        <f>E19+'20'!G19</f>
        <v>2521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4.1893491124260356</v>
      </c>
      <c r="F20" s="15">
        <f>F17*1000/F7</f>
        <v>4.1747442290821697</v>
      </c>
      <c r="G20" s="16">
        <f>G17*1000/G7</f>
        <v>4.1670699140305114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0.75739644970414199</v>
      </c>
      <c r="F21" s="19">
        <f>F26*1000/F7</f>
        <v>0.75183028542553676</v>
      </c>
      <c r="G21" s="20">
        <f>G26*1000/G7</f>
        <v>0.83788532636704272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2822.0946745562128</v>
      </c>
      <c r="F22" s="21">
        <f t="shared" ref="F22:G22" si="0">((F17*(803-130)+F31*(30))*1000)/F7</f>
        <v>2812.0326114908139</v>
      </c>
      <c r="G22" s="21">
        <f t="shared" si="0"/>
        <v>2807.2003678299911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3844.4014565316343</v>
      </c>
      <c r="F23" s="21">
        <f t="shared" ref="F23:G23" si="1">(F15*(803-130))*1000/(F7*0.78)</f>
        <v>3839.9331695225314</v>
      </c>
      <c r="G23" s="21">
        <f t="shared" si="1"/>
        <v>3884.0801430668594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E24+'20'!F24</f>
        <v>0</v>
      </c>
      <c r="G24" s="48">
        <f>E24+'20'!G24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128</v>
      </c>
      <c r="F26" s="32">
        <f>E26+'20'!F26</f>
        <v>2757</v>
      </c>
      <c r="G26" s="33">
        <f>E26+'20'!G26</f>
        <v>19601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4073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/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15</v>
      </c>
      <c r="F30" s="32">
        <f>E30+'20'!F30</f>
        <v>296</v>
      </c>
      <c r="G30" s="33">
        <f>E30+'20'!G30</f>
        <v>2139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E31+'20'!F31</f>
        <v>297</v>
      </c>
      <c r="G31" s="13">
        <f>E31+'20'!G31</f>
        <v>2154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52</v>
      </c>
      <c r="F32" s="12">
        <f>E32+'20'!F32</f>
        <v>455</v>
      </c>
      <c r="G32" s="13">
        <f>E32+'20'!G32</f>
        <v>2888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18.5</v>
      </c>
      <c r="F33" s="47">
        <v>1324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25</v>
      </c>
      <c r="F35" s="32">
        <f>E35+'20'!F35</f>
        <v>589</v>
      </c>
      <c r="G35" s="33">
        <f>E35+'20'!G35</f>
        <v>3538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E36+'20'!F36</f>
        <v>41</v>
      </c>
      <c r="G36" s="13">
        <f>E36+'20'!G36</f>
        <v>350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E37+'20'!F37</f>
        <v>0</v>
      </c>
      <c r="G37" s="48">
        <f>E37+'20'!G37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69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'21'!E6+1</f>
        <v>46256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182200</v>
      </c>
      <c r="F7" s="12">
        <f>E7+'21'!F7</f>
        <v>3849251</v>
      </c>
      <c r="G7" s="13">
        <f>E7+'21'!G7</f>
        <v>23575616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18543</v>
      </c>
      <c r="F8" s="12">
        <f>E8+'21'!F8</f>
        <v>399649</v>
      </c>
      <c r="G8" s="13">
        <f>E8+'21'!G8</f>
        <v>2553194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163657</v>
      </c>
      <c r="F9" s="12">
        <f>E9+'21'!F9</f>
        <v>3449602</v>
      </c>
      <c r="G9" s="13">
        <f>E9+'21'!G9</f>
        <v>21022422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10.177277716794732</v>
      </c>
      <c r="F10" s="15">
        <f>F8/F7*100</f>
        <v>10.382513377277814</v>
      </c>
      <c r="G10" s="16">
        <f>G8/G7*100</f>
        <v>10.82980822219025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7.5916666666666668</v>
      </c>
      <c r="F11" s="15">
        <f>F7/F12/1000</f>
        <v>7.2902481060606057</v>
      </c>
      <c r="G11" s="16">
        <f>G7/G12/1000</f>
        <v>6.8620340778773228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E12+'21'!F12</f>
        <v>528</v>
      </c>
      <c r="G12" s="13">
        <f>E12+'21'!G12</f>
        <v>3435.66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75.916666666666671</v>
      </c>
      <c r="F13" s="15">
        <f>F11/10*100</f>
        <v>72.902481060606064</v>
      </c>
      <c r="G13" s="16">
        <f>G11/10*100</f>
        <v>68.620340778773226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824</v>
      </c>
      <c r="F14" s="12">
        <f>E14+'21'!F14</f>
        <v>17598</v>
      </c>
      <c r="G14" s="13">
        <f>E14+'21'!G14</f>
        <v>109371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805</v>
      </c>
      <c r="F15" s="12">
        <f>E15+'21'!F15</f>
        <v>17125</v>
      </c>
      <c r="G15" s="13">
        <f>E15+'21'!G15</f>
        <v>106113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>E16+'21'!F16</f>
        <v>1297</v>
      </c>
      <c r="G16" s="13">
        <f>E16+'21'!G16</f>
        <v>7077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759</v>
      </c>
      <c r="F17" s="12">
        <f>E17+'21'!F17</f>
        <v>16068</v>
      </c>
      <c r="G17" s="13">
        <f>E17+'21'!G17</f>
        <v>98241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592</v>
      </c>
      <c r="F18" s="12">
        <f>E18+'21'!F18</f>
        <v>12606</v>
      </c>
      <c r="G18" s="13">
        <f>E18+'21'!G18</f>
        <v>78219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E19+'21'!F19</f>
        <v>390</v>
      </c>
      <c r="G19" s="13">
        <f>E19+'21'!G19</f>
        <v>2539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4.1657519209659712</v>
      </c>
      <c r="F20" s="15">
        <f>F17*1000/F7</f>
        <v>4.1743185882136551</v>
      </c>
      <c r="G20" s="16">
        <f>G17*1000/G7</f>
        <v>4.1670597281530206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0.75192096597145996</v>
      </c>
      <c r="F21" s="19">
        <f>F26*1000/F7</f>
        <v>0.75183457768797102</v>
      </c>
      <c r="G21" s="20">
        <f>G26*1000/G7</f>
        <v>0.8372209659336155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2805.1975850713502</v>
      </c>
      <c r="F22" s="21">
        <f t="shared" ref="F22:G22" si="0">((F17*(803-130)+F31*(30))*1000)/F7</f>
        <v>2811.7090831437076</v>
      </c>
      <c r="G22" s="21">
        <f t="shared" si="0"/>
        <v>2807.1848896758415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3812.1323425933742</v>
      </c>
      <c r="F23" s="21">
        <f t="shared" ref="F23:G23" si="1">(F15*(803-130))*1000/(F7*0.78)</f>
        <v>3838.6172484078802</v>
      </c>
      <c r="G23" s="21">
        <f t="shared" si="1"/>
        <v>3883.5241071505015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E24+'21'!F24</f>
        <v>0</v>
      </c>
      <c r="G24" s="48">
        <f>E24+'21'!G24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137</v>
      </c>
      <c r="F26" s="32">
        <f>E26+'21'!F26</f>
        <v>2894</v>
      </c>
      <c r="G26" s="33">
        <f>E26+'21'!G26</f>
        <v>19738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4015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11</v>
      </c>
      <c r="F30" s="32">
        <f>E30+'21'!F30</f>
        <v>307</v>
      </c>
      <c r="G30" s="33">
        <f>E30+'21'!G30</f>
        <v>2150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10</v>
      </c>
      <c r="F31" s="12">
        <f>E31+'21'!F31</f>
        <v>307</v>
      </c>
      <c r="G31" s="13">
        <f>E31+'21'!G31</f>
        <v>2164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E32+'21'!F32</f>
        <v>472</v>
      </c>
      <c r="G32" s="13">
        <f>E32+'21'!G32</f>
        <v>2905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17</v>
      </c>
      <c r="F33" s="47">
        <v>1282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32</v>
      </c>
      <c r="F35" s="32">
        <f>E35+'21'!F35</f>
        <v>621</v>
      </c>
      <c r="G35" s="33">
        <f>E35+'21'!G35</f>
        <v>3570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E36+'21'!F36</f>
        <v>43</v>
      </c>
      <c r="G36" s="13">
        <f>E36+'21'!G36</f>
        <v>352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E37+'21'!F37</f>
        <v>0</v>
      </c>
      <c r="G37" s="48">
        <f>E37+'21'!G37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'22'!E6+1</f>
        <v>46257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182800</v>
      </c>
      <c r="F7" s="12">
        <f>E7+'22'!F7</f>
        <v>4032051</v>
      </c>
      <c r="G7" s="13">
        <f>E7+'22'!G7</f>
        <v>23758416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18434</v>
      </c>
      <c r="F8" s="12">
        <f>E8+'22'!F8</f>
        <v>418083</v>
      </c>
      <c r="G8" s="13">
        <f>E8+'22'!G8</f>
        <v>2571628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164366</v>
      </c>
      <c r="F9" s="12">
        <f>E9+'22'!F9</f>
        <v>3613968</v>
      </c>
      <c r="G9" s="13">
        <f>E9+'22'!G9</f>
        <v>21186788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10.084245076586432</v>
      </c>
      <c r="F10" s="15">
        <f>F8/F7*100</f>
        <v>10.368990868419075</v>
      </c>
      <c r="G10" s="16">
        <f>G8/G7*100</f>
        <v>10.824071773135044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7.6166666666666671</v>
      </c>
      <c r="F11" s="15">
        <f>F7/F12/1000</f>
        <v>7.3044402173913037</v>
      </c>
      <c r="G11" s="16">
        <f>G7/G12/1000</f>
        <v>6.8672690379979544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E12+'22'!F12</f>
        <v>552</v>
      </c>
      <c r="G12" s="13">
        <f>E12+'22'!G12</f>
        <v>3459.66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76.166666666666671</v>
      </c>
      <c r="F13" s="15">
        <f>F11/10*100</f>
        <v>73.044402173913042</v>
      </c>
      <c r="G13" s="16">
        <f>G11/10*100</f>
        <v>68.672690379979542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833</v>
      </c>
      <c r="F14" s="12">
        <f>E14+'22'!F14</f>
        <v>18431</v>
      </c>
      <c r="G14" s="13">
        <f>E14+'22'!G14</f>
        <v>110204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806</v>
      </c>
      <c r="F15" s="12">
        <f>E15+'22'!F15</f>
        <v>17931</v>
      </c>
      <c r="G15" s="13">
        <f>E15+'22'!G15</f>
        <v>106919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62</v>
      </c>
      <c r="F16" s="12">
        <f>E16+'22'!F16</f>
        <v>1359</v>
      </c>
      <c r="G16" s="13">
        <f>E16+'22'!G16</f>
        <v>7139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764</v>
      </c>
      <c r="F17" s="12">
        <f>E17+'22'!F17</f>
        <v>16832</v>
      </c>
      <c r="G17" s="13">
        <f>E17+'22'!G17</f>
        <v>99005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600</v>
      </c>
      <c r="F18" s="12">
        <f>E18+'22'!F18</f>
        <v>13206</v>
      </c>
      <c r="G18" s="13">
        <f>E18+'22'!G18</f>
        <v>78819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E19+'22'!F19</f>
        <v>407</v>
      </c>
      <c r="G19" s="13">
        <f>E19+'22'!G19</f>
        <v>2556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4.1794310722100656</v>
      </c>
      <c r="F20" s="15">
        <f>F17*1000/F7</f>
        <v>4.1745503715106782</v>
      </c>
      <c r="G20" s="16">
        <f>G17*1000/G7</f>
        <v>4.1671549147047511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0.74398249452954046</v>
      </c>
      <c r="F21" s="19">
        <f>F26*1000/F7</f>
        <v>0.75147858992854999</v>
      </c>
      <c r="G21" s="20">
        <f>G26*1000/G7</f>
        <v>0.83650357835303502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2814.3982494529541</v>
      </c>
      <c r="F22" s="21">
        <f t="shared" ref="F22:G22" si="0">((F17*(803-130)+F31*(30))*1000)/F7</f>
        <v>2811.831001145571</v>
      </c>
      <c r="G22" s="21">
        <f t="shared" si="0"/>
        <v>2807.2403901000807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3804.3398978847558</v>
      </c>
      <c r="F23" s="21">
        <f t="shared" ref="F23:G23" si="1">(F15*(803-130))*1000/(F7*0.78)</f>
        <v>3837.0632254861393</v>
      </c>
      <c r="G23" s="21">
        <f t="shared" si="1"/>
        <v>3882.9148546879728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E24+'22'!F24</f>
        <v>0</v>
      </c>
      <c r="G24" s="48">
        <f>E24+'22'!G24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136</v>
      </c>
      <c r="F26" s="32">
        <f>E26+'22'!F26</f>
        <v>3030</v>
      </c>
      <c r="G26" s="33">
        <f>E26+'22'!G26</f>
        <v>19874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4015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11</v>
      </c>
      <c r="F30" s="32">
        <f>E30+'22'!F30</f>
        <v>318</v>
      </c>
      <c r="G30" s="33">
        <f>E30+'22'!G30</f>
        <v>2161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10</v>
      </c>
      <c r="F31" s="12">
        <f>E31+'22'!F31</f>
        <v>317</v>
      </c>
      <c r="G31" s="13">
        <f>E31+'22'!G31</f>
        <v>2174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E32+'22'!F32</f>
        <v>490</v>
      </c>
      <c r="G32" s="13">
        <f>E32+'22'!G32</f>
        <v>2923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17.899999999999999</v>
      </c>
      <c r="F33" s="47">
        <v>1375</v>
      </c>
      <c r="G33" s="48"/>
    </row>
    <row r="34" spans="2:7" ht="30.95" customHeight="1">
      <c r="B34" s="101"/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54</v>
      </c>
      <c r="F35" s="32">
        <f>E35+'22'!F35</f>
        <v>675</v>
      </c>
      <c r="G35" s="33">
        <f>E35+'22'!G35</f>
        <v>3624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E36+'22'!F36</f>
        <v>43</v>
      </c>
      <c r="G36" s="13">
        <f>E36+'22'!G36</f>
        <v>352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E37+'22'!F37</f>
        <v>0</v>
      </c>
      <c r="G37" s="48">
        <f>E37+'22'!G37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J5" sqref="J5"/>
    </sheetView>
  </sheetViews>
  <sheetFormatPr defaultColWidth="9.140625" defaultRowHeight="30.95" customHeight="1"/>
  <cols>
    <col min="1" max="1" width="7" style="1" customWidth="1"/>
    <col min="2" max="2" width="14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'23'!E6+1</f>
        <v>46258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184900</v>
      </c>
      <c r="F7" s="12">
        <f>E7+'23'!F7</f>
        <v>4216951</v>
      </c>
      <c r="G7" s="13">
        <f>E7+'23'!G7</f>
        <v>23943316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18589</v>
      </c>
      <c r="F8" s="12">
        <f>E8+'23'!F8</f>
        <v>436672</v>
      </c>
      <c r="G8" s="13">
        <f>E8+'23'!G8</f>
        <v>2590217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166311</v>
      </c>
      <c r="F9" s="12">
        <f>E9+'23'!F9</f>
        <v>3780279</v>
      </c>
      <c r="G9" s="13">
        <f>E9+'23'!G9</f>
        <v>21353099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10.053542455381287</v>
      </c>
      <c r="F10" s="15">
        <f>F8/F7*100</f>
        <v>10.355159450512943</v>
      </c>
      <c r="G10" s="16">
        <f>G8/G7*100</f>
        <v>10.818121433138167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7.7041666666666666</v>
      </c>
      <c r="F11" s="15">
        <f>F7/F12/1000</f>
        <v>7.3210954861111111</v>
      </c>
      <c r="G11" s="16">
        <f>G7/G12/1000</f>
        <v>6.8730346819149979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E12+'23'!F12</f>
        <v>576</v>
      </c>
      <c r="G12" s="13">
        <f>E12+'23'!G12</f>
        <v>3483.66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77.041666666666657</v>
      </c>
      <c r="F13" s="15">
        <f>F11/10*100</f>
        <v>73.210954861111105</v>
      </c>
      <c r="G13" s="16">
        <f>G11/10*100</f>
        <v>68.730346819149986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842</v>
      </c>
      <c r="F14" s="12">
        <f>E14+'23'!F14</f>
        <v>19273</v>
      </c>
      <c r="G14" s="13">
        <f>E14+'23'!G14</f>
        <v>111046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817</v>
      </c>
      <c r="F15" s="12">
        <f>E15+'23'!F15</f>
        <v>18748</v>
      </c>
      <c r="G15" s="13">
        <f>E15+'23'!G15</f>
        <v>107736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62</v>
      </c>
      <c r="F16" s="12">
        <f>E16+'23'!F16</f>
        <v>1421</v>
      </c>
      <c r="G16" s="13">
        <f>E16+'23'!G16</f>
        <v>7201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771</v>
      </c>
      <c r="F17" s="12">
        <f>E17+'23'!F17</f>
        <v>17603</v>
      </c>
      <c r="G17" s="13">
        <f>E17+'23'!G17</f>
        <v>99776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606</v>
      </c>
      <c r="F18" s="12">
        <f>E18+'23'!F18</f>
        <v>13812</v>
      </c>
      <c r="G18" s="13">
        <f>E18+'23'!G18</f>
        <v>79425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E19+'23'!F19</f>
        <v>425</v>
      </c>
      <c r="G19" s="13">
        <f>E19+'23'!G19</f>
        <v>2574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4.1698215251487287</v>
      </c>
      <c r="F20" s="15">
        <f>F17*1000/F7</f>
        <v>4.1743430265137063</v>
      </c>
      <c r="G20" s="16">
        <f>G17*1000/G7</f>
        <v>4.1671755073524483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0.75716603569497021</v>
      </c>
      <c r="F21" s="19">
        <f>F26*1000/F7</f>
        <v>0.75172796648573814</v>
      </c>
      <c r="G21" s="20">
        <f>G26*1000/G7</f>
        <v>0.83589090166124025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2808.3991346673879</v>
      </c>
      <c r="F22" s="21">
        <f t="shared" ref="F22:G22" si="0">((F17*803)-(F17+F31)*142)*1000/F7</f>
        <v>2748.1284463585184</v>
      </c>
      <c r="G22" s="21">
        <f t="shared" si="0"/>
        <v>2741.5326264749629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3812.4627310673823</v>
      </c>
      <c r="F23" s="21">
        <f t="shared" ref="F23:G23" si="1">(F15*(803-130))*1000/(F7*0.78)</f>
        <v>3835.9845714021749</v>
      </c>
      <c r="G23" s="21">
        <f t="shared" si="1"/>
        <v>3882.3707948068163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E24+'23'!F24</f>
        <v>0</v>
      </c>
      <c r="G24" s="48">
        <f>E24+'23'!G24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140</v>
      </c>
      <c r="F26" s="32">
        <f>E26+'23'!F26</f>
        <v>3170</v>
      </c>
      <c r="G26" s="33">
        <f>E26+'23'!G26</f>
        <v>20014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4215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13</v>
      </c>
      <c r="F30" s="32">
        <f>E30+'23'!F30</f>
        <v>331</v>
      </c>
      <c r="G30" s="33">
        <f>E30+'23'!G30</f>
        <v>2174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E31+'23'!F31</f>
        <v>330</v>
      </c>
      <c r="G31" s="13">
        <f>E31+'23'!G31</f>
        <v>2187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E32+'23'!F32</f>
        <v>508</v>
      </c>
      <c r="G32" s="13">
        <f>E32+'23'!G32</f>
        <v>2941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20</v>
      </c>
      <c r="F33" s="61">
        <v>1607</v>
      </c>
      <c r="G33" s="62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53</v>
      </c>
      <c r="F35" s="32">
        <f>E35+'23'!F35</f>
        <v>728</v>
      </c>
      <c r="G35" s="33">
        <f>E35+'23'!G35</f>
        <v>3677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E36+'23'!F36</f>
        <v>43</v>
      </c>
      <c r="G36" s="13">
        <f>E36+'23'!G36</f>
        <v>352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E37+'23'!F37</f>
        <v>0</v>
      </c>
      <c r="G37" s="48">
        <f>E37+'23'!G37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L39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'24'!E6+1</f>
        <v>46259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178500</v>
      </c>
      <c r="F7" s="12">
        <f>E7+'24'!F7</f>
        <v>4395451</v>
      </c>
      <c r="G7" s="13">
        <f>E7+'24'!G7</f>
        <v>24121816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18430</v>
      </c>
      <c r="F8" s="12">
        <f>E8+'24'!F8</f>
        <v>455102</v>
      </c>
      <c r="G8" s="13">
        <f>E8+'24'!G8</f>
        <v>2608647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160070</v>
      </c>
      <c r="F9" s="12">
        <f>E9+'24'!F9</f>
        <v>3940349</v>
      </c>
      <c r="G9" s="13">
        <f>E9+'24'!G9</f>
        <v>21513169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10.324929971988796</v>
      </c>
      <c r="F10" s="15">
        <f>F8/F7*100</f>
        <v>10.353931826335909</v>
      </c>
      <c r="G10" s="16">
        <f>G8/G7*100</f>
        <v>10.814471845734998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7.4375</v>
      </c>
      <c r="F11" s="15">
        <f>F7/F12/1000</f>
        <v>7.3257516666666671</v>
      </c>
      <c r="G11" s="16">
        <f>G7/G12/1000</f>
        <v>6.8768968486113256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E12+'24'!F12</f>
        <v>600</v>
      </c>
      <c r="G12" s="13">
        <f>E12+'24'!G12</f>
        <v>3507.66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74.375</v>
      </c>
      <c r="F13" s="15">
        <f>F11/10*100</f>
        <v>73.25751666666666</v>
      </c>
      <c r="G13" s="16">
        <f>G11/10*100</f>
        <v>68.768968486113252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827</v>
      </c>
      <c r="F14" s="12">
        <f>E14+'24'!F14</f>
        <v>20100</v>
      </c>
      <c r="G14" s="13">
        <f>E14+'24'!G14</f>
        <v>111873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789</v>
      </c>
      <c r="F15" s="12">
        <f>E15+'24'!F15</f>
        <v>19537</v>
      </c>
      <c r="G15" s="13">
        <f>E15+'24'!G15</f>
        <v>108525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>E16+'24'!F16</f>
        <v>1482</v>
      </c>
      <c r="G16" s="13">
        <f>E16+'24'!G16</f>
        <v>7262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746</v>
      </c>
      <c r="F17" s="12">
        <f>E17+'24'!F17</f>
        <v>18349</v>
      </c>
      <c r="G17" s="13">
        <f>E17+'24'!G17</f>
        <v>100522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596</v>
      </c>
      <c r="F18" s="12">
        <f>E18+'24'!F18</f>
        <v>14408</v>
      </c>
      <c r="G18" s="13">
        <f>E18+'24'!G18</f>
        <v>80021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E19+'24'!F19</f>
        <v>443</v>
      </c>
      <c r="G19" s="13">
        <f>E19+'24'!G19</f>
        <v>2592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4.1792717086834736</v>
      </c>
      <c r="F20" s="15">
        <f>F17*1000/F7</f>
        <v>4.1745431811206632</v>
      </c>
      <c r="G20" s="16">
        <f>G17*1000/G7</f>
        <v>4.1672650185209932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0.75070028011204482</v>
      </c>
      <c r="F21" s="19">
        <f>F26*1000/F7</f>
        <v>0.75168623197028017</v>
      </c>
      <c r="G21" s="20">
        <f>G26*1000/G7</f>
        <v>0.83526049614174991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2816.1792717086837</v>
      </c>
      <c r="F22" s="21">
        <f t="shared" ref="F22:G22" si="0">((F17*(803-130)+F31*(30))*1000)/F7</f>
        <v>2811.8632194967022</v>
      </c>
      <c r="G22" s="21">
        <f t="shared" si="0"/>
        <v>2807.3154193697524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3813.8116785175607</v>
      </c>
      <c r="F23" s="21">
        <f t="shared" ref="F23:G23" si="1">(F15*(803-130))*1000/(F7*0.78)</f>
        <v>3835.0841265149716</v>
      </c>
      <c r="G23" s="21">
        <f t="shared" si="1"/>
        <v>3881.8634614345019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E24+'24'!F24</f>
        <v>0</v>
      </c>
      <c r="G24" s="48">
        <f>E24+'24'!G24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134</v>
      </c>
      <c r="F26" s="32">
        <f>E26+'24'!F26</f>
        <v>3304</v>
      </c>
      <c r="G26" s="33">
        <f>E26+'24'!G26</f>
        <v>20148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4174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21</v>
      </c>
      <c r="F30" s="32">
        <f>E30+'24'!F30</f>
        <v>352</v>
      </c>
      <c r="G30" s="33">
        <f>E30+'24'!G30</f>
        <v>2195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21</v>
      </c>
      <c r="F31" s="12">
        <f>E31+'24'!F31</f>
        <v>351</v>
      </c>
      <c r="G31" s="13">
        <f>E31+'24'!G31</f>
        <v>2208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E32+'24'!F32</f>
        <v>526</v>
      </c>
      <c r="G32" s="13">
        <f>E32+'24'!G32</f>
        <v>2959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20.8</v>
      </c>
      <c r="F33" s="47">
        <v>1510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50</v>
      </c>
      <c r="F35" s="32">
        <f>E35+'24'!F35</f>
        <v>778</v>
      </c>
      <c r="G35" s="33">
        <f>E35+'24'!G35</f>
        <v>3727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E36+'24'!F36</f>
        <v>43</v>
      </c>
      <c r="G36" s="13">
        <f>E36+'24'!G36</f>
        <v>352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E37+'24'!F37</f>
        <v>0</v>
      </c>
      <c r="G37" s="48">
        <f>E37+'24'!G37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L39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G36" sqref="G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'25'!E6+1</f>
        <v>46260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158600</v>
      </c>
      <c r="F7" s="12">
        <f>E7+'25'!F7</f>
        <v>4554051</v>
      </c>
      <c r="G7" s="13">
        <f>E7+'25'!G7</f>
        <v>24280416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17975</v>
      </c>
      <c r="F8" s="12">
        <f>E8+'25'!F8</f>
        <v>473077</v>
      </c>
      <c r="G8" s="13">
        <f>E8+'25'!G8</f>
        <v>2626622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140625</v>
      </c>
      <c r="F9" s="12">
        <f>E9+'25'!F9</f>
        <v>4080974</v>
      </c>
      <c r="G9" s="13">
        <f>E9+'25'!G9</f>
        <v>21653794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11.333543505674653</v>
      </c>
      <c r="F10" s="15">
        <f>F8/F7*100</f>
        <v>10.388047916020264</v>
      </c>
      <c r="G10" s="16">
        <f>G8/G7*100</f>
        <v>10.817862428716213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6.6083333333333334</v>
      </c>
      <c r="F11" s="15">
        <f>F7/F12/1000</f>
        <v>7.298158653846154</v>
      </c>
      <c r="G11" s="16">
        <f>G7/G12/1000</f>
        <v>6.8750717792766007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E12+'25'!F12</f>
        <v>624</v>
      </c>
      <c r="G12" s="13">
        <f>E12+'25'!G12</f>
        <v>3531.66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66.083333333333343</v>
      </c>
      <c r="F13" s="15">
        <f>F11/10*100</f>
        <v>72.981586538461542</v>
      </c>
      <c r="G13" s="16">
        <f>G11/10*100</f>
        <v>68.750717792765997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754</v>
      </c>
      <c r="F14" s="12">
        <f>E14+'25'!F14</f>
        <v>20854</v>
      </c>
      <c r="G14" s="13">
        <f>E14+'25'!G14</f>
        <v>112627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730</v>
      </c>
      <c r="F15" s="12">
        <f>E15+'25'!F15</f>
        <v>20267</v>
      </c>
      <c r="G15" s="13">
        <f>E15+'25'!G15</f>
        <v>109255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41</v>
      </c>
      <c r="F16" s="12">
        <f>E16+'25'!F16</f>
        <v>1523</v>
      </c>
      <c r="G16" s="13">
        <f>E16+'25'!G16</f>
        <v>7303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666</v>
      </c>
      <c r="F17" s="12">
        <f>E17+'25'!F17</f>
        <v>19015</v>
      </c>
      <c r="G17" s="13">
        <f>E17+'25'!G17</f>
        <v>101188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539</v>
      </c>
      <c r="F18" s="12">
        <f>E18+'25'!F18</f>
        <v>14947</v>
      </c>
      <c r="G18" s="13">
        <f>E18+'25'!G18</f>
        <v>80560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E19+'25'!F19</f>
        <v>460</v>
      </c>
      <c r="G19" s="13">
        <f>E19+'25'!G19</f>
        <v>2609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4.1992433795712483</v>
      </c>
      <c r="F20" s="15">
        <f>F17*1000/F7</f>
        <v>4.1754033935939674</v>
      </c>
      <c r="G20" s="16">
        <f>G17*1000/G7</f>
        <v>4.1674739016003679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0.74401008827238335</v>
      </c>
      <c r="F21" s="19">
        <f>F26*1000/F7</f>
        <v>0.75141890154502</v>
      </c>
      <c r="G21" s="20">
        <f>G26*1000/G7</f>
        <v>0.83466444726482447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2828.7389659520809</v>
      </c>
      <c r="F22" s="21">
        <f t="shared" ref="F22:G22" si="0">((F17*(803-130)+F31*(30))*1000)/F7</f>
        <v>2812.4509365397971</v>
      </c>
      <c r="G22" s="21">
        <f t="shared" si="0"/>
        <v>2807.4553582607482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3971.3680602709605</v>
      </c>
      <c r="F23" s="21">
        <f t="shared" ref="F23:G23" si="1">(F15*(803-130))*1000/(F7*0.78)</f>
        <v>3839.8303693422258</v>
      </c>
      <c r="G23" s="21">
        <f t="shared" si="1"/>
        <v>3882.4481066636226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E24+'25'!F24</f>
        <v>0</v>
      </c>
      <c r="G24" s="48">
        <f>E24+'25'!G24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118</v>
      </c>
      <c r="F26" s="32">
        <f>E26+'25'!F26</f>
        <v>3422</v>
      </c>
      <c r="G26" s="33">
        <f>E26+'25'!G26</f>
        <v>20266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4192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15</v>
      </c>
      <c r="F30" s="32">
        <f>E30+'25'!F30</f>
        <v>367</v>
      </c>
      <c r="G30" s="33">
        <f>E30+'25'!G30</f>
        <v>2210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E31+'25'!F31</f>
        <v>365</v>
      </c>
      <c r="G31" s="13">
        <f>E31+'25'!G31</f>
        <v>2222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58</v>
      </c>
      <c r="F32" s="12">
        <f>E32+'25'!F32</f>
        <v>584</v>
      </c>
      <c r="G32" s="13">
        <f>E32+'25'!G32</f>
        <v>3017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21</v>
      </c>
      <c r="F33" s="47">
        <v>1575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43</v>
      </c>
      <c r="F35" s="32">
        <f>E35+'25'!F35</f>
        <v>821</v>
      </c>
      <c r="G35" s="33">
        <f>E35+'25'!G35</f>
        <v>3770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E36+'25'!F36</f>
        <v>43</v>
      </c>
      <c r="G36" s="13">
        <f>E36+'25'!G36</f>
        <v>352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v>0</v>
      </c>
      <c r="G37" s="48"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L39"/>
  <sheetViews>
    <sheetView zoomScale="80" zoomScaleNormal="80" workbookViewId="0">
      <pane xSplit="4" ySplit="6" topLeftCell="E30" activePane="bottomRight" state="frozen"/>
      <selection pane="topRight"/>
      <selection pane="bottomLeft"/>
      <selection pane="bottomRight" activeCell="F32" sqref="F32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'26'!E6+1</f>
        <v>46261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169800</v>
      </c>
      <c r="F7" s="12">
        <f>E7+'26'!F7</f>
        <v>4723851</v>
      </c>
      <c r="G7" s="13">
        <f>E7+'26'!G7</f>
        <v>24450216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18235</v>
      </c>
      <c r="F8" s="12">
        <f>E8+'26'!F8</f>
        <v>491312</v>
      </c>
      <c r="G8" s="13">
        <f>E8+'26'!G8</f>
        <v>2644857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151565</v>
      </c>
      <c r="F9" s="12">
        <f>E9+'26'!F9</f>
        <v>4232539</v>
      </c>
      <c r="G9" s="13">
        <f>E9+'26'!G9</f>
        <v>21805359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10.739104829210836</v>
      </c>
      <c r="F10" s="15">
        <f>F8/F7*100</f>
        <v>10.400666744145825</v>
      </c>
      <c r="G10" s="16">
        <f>G8/G7*100</f>
        <v>10.817315478930738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7.0750000000000002</v>
      </c>
      <c r="F11" s="15">
        <f>F7/F12/1000</f>
        <v>7.2898935185185181</v>
      </c>
      <c r="G11" s="16">
        <f>G7/G12/1000</f>
        <v>6.8764212551256305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E12+'26'!F12</f>
        <v>648</v>
      </c>
      <c r="G12" s="13">
        <f>E12+'26'!G12</f>
        <v>3555.66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70.75</v>
      </c>
      <c r="F13" s="15">
        <f>F11/10*100</f>
        <v>72.898935185185181</v>
      </c>
      <c r="G13" s="16">
        <f>G11/10*100</f>
        <v>68.764212551256307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791</v>
      </c>
      <c r="F14" s="12">
        <f>E14+'26'!F14</f>
        <v>21645</v>
      </c>
      <c r="G14" s="13">
        <f>E14+'26'!G14</f>
        <v>113418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757</v>
      </c>
      <c r="F15" s="12">
        <f>E15+'26'!F15</f>
        <v>21024</v>
      </c>
      <c r="G15" s="13">
        <f>E15+'26'!G15</f>
        <v>110012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55</v>
      </c>
      <c r="F16" s="12">
        <f>E16+'26'!F16</f>
        <v>1578</v>
      </c>
      <c r="G16" s="13">
        <f>E16+'26'!G16</f>
        <v>7358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710</v>
      </c>
      <c r="F17" s="12">
        <f>E17+'26'!F17</f>
        <v>19725</v>
      </c>
      <c r="G17" s="13">
        <f>E17+'26'!G17</f>
        <v>101898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566</v>
      </c>
      <c r="F18" s="12">
        <f>E18+'26'!F18</f>
        <v>15513</v>
      </c>
      <c r="G18" s="13">
        <f>E18+'26'!G18</f>
        <v>81126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E19+'26'!F19</f>
        <v>478</v>
      </c>
      <c r="G19" s="13">
        <f>E19+'26'!G19</f>
        <v>2627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4.1813898704358072</v>
      </c>
      <c r="F20" s="15">
        <f>F17*1000/F7</f>
        <v>4.17561857899413</v>
      </c>
      <c r="G20" s="16">
        <f>G17*1000/G7</f>
        <v>4.1675705441620634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0.74793875147232036</v>
      </c>
      <c r="F21" s="19">
        <f>F26*1000/F7</f>
        <v>0.75129380668441914</v>
      </c>
      <c r="G21" s="20">
        <f>G26*1000/G7</f>
        <v>0.83406216125043642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2816.9022379269727</v>
      </c>
      <c r="F22" s="21">
        <f t="shared" ref="F22:G22" si="0">((F17*(803-130)+F31*(30))*1000)/F7</f>
        <v>2812.6109396761244</v>
      </c>
      <c r="G22" s="21">
        <f t="shared" si="0"/>
        <v>2807.5209642319724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3846.6144181691884</v>
      </c>
      <c r="F23" s="21">
        <f t="shared" ref="F23:G23" si="1">(F15*(803-130))*1000/(F7*0.78)</f>
        <v>3840.0742236659157</v>
      </c>
      <c r="G23" s="21">
        <f t="shared" si="1"/>
        <v>3882.1992515898532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E24+'26'!F24</f>
        <v>0</v>
      </c>
      <c r="G24" s="48">
        <f>E24+'26'!G24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127</v>
      </c>
      <c r="F26" s="32">
        <f>E26+'26'!F26</f>
        <v>3549</v>
      </c>
      <c r="G26" s="33">
        <f>E26+'26'!G26</f>
        <v>20393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4288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14</v>
      </c>
      <c r="F30" s="32">
        <f>E30+'26'!F30</f>
        <v>381</v>
      </c>
      <c r="G30" s="33">
        <f>E30+'26'!G30</f>
        <v>2224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16</v>
      </c>
      <c r="F31" s="12">
        <f>E31+'26'!F31</f>
        <v>381</v>
      </c>
      <c r="G31" s="13">
        <f>E31+'26'!G31</f>
        <v>2238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E32+'26'!F32</f>
        <v>602</v>
      </c>
      <c r="G32" s="13">
        <f>E32+'26'!G32</f>
        <v>3035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20</v>
      </c>
      <c r="F33" s="47">
        <v>1542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37</v>
      </c>
      <c r="F35" s="32">
        <f>E35+'26'!F35</f>
        <v>858</v>
      </c>
      <c r="G35" s="33">
        <f>E35+'26'!G35</f>
        <v>3807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1</v>
      </c>
      <c r="F36" s="12">
        <f>E36+'26'!F36</f>
        <v>44</v>
      </c>
      <c r="G36" s="13">
        <f>E36+'26'!G36</f>
        <v>353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E37+'26'!F37</f>
        <v>0</v>
      </c>
      <c r="G37" s="48">
        <f>E37+'26'!G37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28" sqref="E2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'27'!E6+1</f>
        <v>46262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136500</v>
      </c>
      <c r="F7" s="12">
        <f>E7+'27'!F7</f>
        <v>4860351</v>
      </c>
      <c r="G7" s="13">
        <f>E7+'27'!G7</f>
        <v>24586716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17502</v>
      </c>
      <c r="F8" s="12">
        <f>E8+'27'!F8</f>
        <v>508814</v>
      </c>
      <c r="G8" s="13">
        <f>E8+'27'!G8</f>
        <v>2662359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118998</v>
      </c>
      <c r="F9" s="12">
        <f>E9+'27'!F9</f>
        <v>4351537</v>
      </c>
      <c r="G9" s="13">
        <f>E9+'27'!G9</f>
        <v>21924357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12.821978021978023</v>
      </c>
      <c r="F10" s="15">
        <f>F8/F7*100</f>
        <v>10.468667797860689</v>
      </c>
      <c r="G10" s="16">
        <f>G8/G7*100</f>
        <v>10.828444921233075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5.6875</v>
      </c>
      <c r="F11" s="15">
        <f>F7/F12/1000</f>
        <v>7.2326651785714287</v>
      </c>
      <c r="G11" s="16">
        <f>G7/G12/1000</f>
        <v>6.8684500762642262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E12+'27'!F12</f>
        <v>672</v>
      </c>
      <c r="G12" s="13">
        <f>E12+'27'!G12</f>
        <v>3579.66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56.875</v>
      </c>
      <c r="F13" s="15">
        <f>F11/10*100</f>
        <v>72.32665178571429</v>
      </c>
      <c r="G13" s="16">
        <f>G11/10*100</f>
        <v>68.684500762642259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677</v>
      </c>
      <c r="F14" s="12">
        <f>E14+'27'!F14</f>
        <v>22322</v>
      </c>
      <c r="G14" s="13">
        <f>E14+'27'!G14</f>
        <v>114095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658</v>
      </c>
      <c r="F15" s="12">
        <f>E15+'27'!F15</f>
        <v>21682</v>
      </c>
      <c r="G15" s="13">
        <f>E15+'27'!G15</f>
        <v>110670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25</v>
      </c>
      <c r="F16" s="12">
        <f>E16+'27'!F16</f>
        <v>1603</v>
      </c>
      <c r="G16" s="13">
        <f>E16+'27'!G16</f>
        <v>7383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572</v>
      </c>
      <c r="F17" s="12">
        <f>E17+'27'!F17</f>
        <v>20297</v>
      </c>
      <c r="G17" s="13">
        <f>E17+'27'!G17</f>
        <v>102470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480</v>
      </c>
      <c r="F18" s="12">
        <f>E18+'27'!F18</f>
        <v>15993</v>
      </c>
      <c r="G18" s="13">
        <f>E18+'27'!G18</f>
        <v>81606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E19+'27'!F19</f>
        <v>496</v>
      </c>
      <c r="G19" s="13">
        <f>E19+'27'!G19</f>
        <v>2645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4.1904761904761907</v>
      </c>
      <c r="F20" s="15">
        <f>F17*1000/F7</f>
        <v>4.1760358459707954</v>
      </c>
      <c r="G20" s="16">
        <f>G17*1000/G7</f>
        <v>4.1676977112356122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0.71794871794871795</v>
      </c>
      <c r="F21" s="19">
        <f>F26*1000/F7</f>
        <v>0.75035733015990003</v>
      </c>
      <c r="G21" s="20">
        <f>G26*1000/G7</f>
        <v>0.83341752513837142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2823.0476190476193</v>
      </c>
      <c r="F22" s="21">
        <f t="shared" ref="F22:G22" si="0">((F17*(803-130)+F31*(30))*1000)/F7</f>
        <v>2812.9040474648846</v>
      </c>
      <c r="G22" s="21">
        <f t="shared" si="0"/>
        <v>2807.6071647795502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4159.2373438527284</v>
      </c>
      <c r="F23" s="21">
        <f t="shared" ref="F23:G23" si="1">(F15*(803-130))*1000/(F7*0.78)</f>
        <v>3849.0377256651541</v>
      </c>
      <c r="G23" s="21">
        <f t="shared" si="1"/>
        <v>3883.7373056997994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E24+'27'!F24</f>
        <v>0</v>
      </c>
      <c r="G24" s="48">
        <f>E24+'27'!G24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98</v>
      </c>
      <c r="F26" s="32">
        <f>E26+'27'!F26</f>
        <v>3647</v>
      </c>
      <c r="G26" s="33">
        <f>E26+'27'!G26</f>
        <v>20491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5490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14</v>
      </c>
      <c r="F30" s="32">
        <f>E30+'27'!F30</f>
        <v>395</v>
      </c>
      <c r="G30" s="33">
        <f>E30+'27'!G30</f>
        <v>2238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E31+'27'!F31</f>
        <v>394</v>
      </c>
      <c r="G31" s="13">
        <f>E31+'27'!G31</f>
        <v>2251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E32+'27'!F32</f>
        <v>620</v>
      </c>
      <c r="G32" s="13">
        <f>E32+'27'!G32</f>
        <v>3053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26</v>
      </c>
      <c r="F33" s="47">
        <v>1845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E35+'27'!F35</f>
        <v>858</v>
      </c>
      <c r="G35" s="33">
        <f>E35+'27'!G35</f>
        <v>3807</v>
      </c>
    </row>
    <row r="36" spans="2:7" ht="30.95" customHeight="1">
      <c r="B36" s="59">
        <v>6</v>
      </c>
      <c r="C36" s="53" t="s">
        <v>50</v>
      </c>
      <c r="D36" s="54" t="s">
        <v>43</v>
      </c>
      <c r="E36" s="60">
        <v>4</v>
      </c>
      <c r="F36" s="12">
        <f>E36+'27'!F36</f>
        <v>48</v>
      </c>
      <c r="G36" s="13">
        <f>E36+'27'!G36</f>
        <v>357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E37+'27'!F37</f>
        <v>0</v>
      </c>
      <c r="G37" s="48">
        <f>E37+'27'!G37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J36" sqref="J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'28'!E6+1</f>
        <v>46263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104100</v>
      </c>
      <c r="F7" s="12">
        <f>E7+'28'!F7</f>
        <v>4964451</v>
      </c>
      <c r="G7" s="13">
        <f>E7+'28'!G7</f>
        <v>24690816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16914</v>
      </c>
      <c r="F8" s="12">
        <f>E8+'28'!F8</f>
        <v>525728</v>
      </c>
      <c r="G8" s="13">
        <f>E8+'28'!G8</f>
        <v>2679273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87186</v>
      </c>
      <c r="F9" s="12">
        <f>E9+'28'!F9</f>
        <v>4438723</v>
      </c>
      <c r="G9" s="13">
        <f>E9+'28'!G9</f>
        <v>22011543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16.247838616714695</v>
      </c>
      <c r="F10" s="15">
        <f>F8/F7*100</f>
        <v>10.589851727814414</v>
      </c>
      <c r="G10" s="16">
        <f>G8/G7*100</f>
        <v>10.851293857602762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4.3375000000000004</v>
      </c>
      <c r="F11" s="15">
        <f>F7/F12/1000</f>
        <v>7.1328318965517239</v>
      </c>
      <c r="G11" s="16">
        <f>G7/G12/1000</f>
        <v>6.8515942125505731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E12+'28'!F12</f>
        <v>696</v>
      </c>
      <c r="G12" s="13">
        <f>E12+'28'!G12</f>
        <v>3603.66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43.375</v>
      </c>
      <c r="F13" s="15">
        <f>F11/10*100</f>
        <v>71.328318965517241</v>
      </c>
      <c r="G13" s="16">
        <f>G11/10*100</f>
        <v>68.515942125505731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573</v>
      </c>
      <c r="F14" s="12">
        <f>E14+'28'!F14</f>
        <v>22895</v>
      </c>
      <c r="G14" s="13">
        <f>E14+'28'!G14</f>
        <v>114668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530</v>
      </c>
      <c r="F15" s="12">
        <f>E15+'28'!F15</f>
        <v>22212</v>
      </c>
      <c r="G15" s="13">
        <f>E15+'28'!G15</f>
        <v>111200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E16+'28'!F16</f>
        <v>1603</v>
      </c>
      <c r="G16" s="13">
        <f>E16+'28'!G16</f>
        <v>7383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444</v>
      </c>
      <c r="F17" s="12">
        <f>E17+'28'!F17</f>
        <v>20741</v>
      </c>
      <c r="G17" s="13">
        <f>E17+'28'!G17</f>
        <v>102914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429</v>
      </c>
      <c r="F18" s="12">
        <f>E18+'28'!F18</f>
        <v>16422</v>
      </c>
      <c r="G18" s="13">
        <f>E18+'28'!G18</f>
        <v>82035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E19+'28'!F19</f>
        <v>514</v>
      </c>
      <c r="G19" s="13">
        <f>E19+'28'!G19</f>
        <v>2663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4.2651296829971184</v>
      </c>
      <c r="F20" s="15">
        <f>F17*1000/F7</f>
        <v>4.1779040623021562</v>
      </c>
      <c r="G20" s="16">
        <f>G17*1000/G7</f>
        <v>4.1681084983177552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0.76849183477425553</v>
      </c>
      <c r="F21" s="19">
        <f>F26*1000/F7</f>
        <v>0.75073759414686536</v>
      </c>
      <c r="G21" s="20">
        <f>G26*1000/G7</f>
        <v>0.8331437891724599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2873.8904899135446</v>
      </c>
      <c r="F22" s="21">
        <f t="shared" ref="F22:G22" si="0">((F17*(803-130)+F31*(30))*1000)/F7</f>
        <v>2814.1828774218943</v>
      </c>
      <c r="G22" s="21">
        <f t="shared" si="0"/>
        <v>2807.8866247271858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4392.8421882312368</v>
      </c>
      <c r="F23" s="21">
        <f t="shared" ref="F23:G23" si="1">(F15*(803-130))*1000/(F7*0.78)</f>
        <v>3860.4408082120722</v>
      </c>
      <c r="G23" s="21">
        <f t="shared" si="1"/>
        <v>3885.8837644588589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E24+'28'!F24</f>
        <v>0</v>
      </c>
      <c r="G24" s="27">
        <f>E24+'28'!G24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80</v>
      </c>
      <c r="F26" s="32">
        <f>E26+'28'!F26</f>
        <v>3727</v>
      </c>
      <c r="G26" s="33">
        <f>E26+'28'!G26</f>
        <v>20571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5211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12</v>
      </c>
      <c r="F30" s="32">
        <f>E30+'28'!F30</f>
        <v>407</v>
      </c>
      <c r="G30" s="33">
        <f>E30+'28'!G30</f>
        <v>2250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>E31+'28'!F31</f>
        <v>406</v>
      </c>
      <c r="G31" s="13">
        <f>E31+'28'!G31</f>
        <v>2263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15</v>
      </c>
      <c r="F32" s="12">
        <f>E32+'28'!F32</f>
        <v>635</v>
      </c>
      <c r="G32" s="13">
        <f>E32+'28'!G32</f>
        <v>3068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26</v>
      </c>
      <c r="F33" s="47">
        <v>2027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E35+'28'!F35</f>
        <v>858</v>
      </c>
      <c r="G35" s="33">
        <f>E35+'28'!G35</f>
        <v>3807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3</v>
      </c>
      <c r="F36" s="12">
        <f>E36+'28'!F36</f>
        <v>51</v>
      </c>
      <c r="G36" s="13">
        <f>E36+'28'!G36</f>
        <v>360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E37+'28'!F37</f>
        <v>0</v>
      </c>
      <c r="G37" s="48">
        <f>E37+'28'!G37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L40"/>
  <sheetViews>
    <sheetView zoomScale="80" zoomScaleNormal="80" workbookViewId="0">
      <pane xSplit="4" ySplit="6" topLeftCell="E26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'29'!E6+1</f>
        <v>46264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155400</v>
      </c>
      <c r="F7" s="12">
        <f>E7+'29'!F7</f>
        <v>5119851</v>
      </c>
      <c r="G7" s="13">
        <f>E7+'29'!G7</f>
        <v>24846216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18007</v>
      </c>
      <c r="F8" s="12">
        <f>E8+'29'!F8</f>
        <v>543735</v>
      </c>
      <c r="G8" s="13">
        <f>E8+'29'!G8</f>
        <v>2697280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137393</v>
      </c>
      <c r="F9" s="12">
        <f>E9+'29'!F9</f>
        <v>4576116</v>
      </c>
      <c r="G9" s="13">
        <f>E9+'29'!G9</f>
        <v>22148936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11.587516087516088</v>
      </c>
      <c r="F10" s="15">
        <f>F8/F7*100</f>
        <v>10.620133281222442</v>
      </c>
      <c r="G10" s="16">
        <f>G8/G7*100</f>
        <v>10.855898540043281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6.4749999999999996</v>
      </c>
      <c r="F11" s="15">
        <f>F7/F12/1000</f>
        <v>7.1109041666666659</v>
      </c>
      <c r="G11" s="16">
        <f>G7/G12/1000</f>
        <v>6.8491027273779794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E12+'29'!F12</f>
        <v>720</v>
      </c>
      <c r="G12" s="13">
        <f>E12+'29'!G12</f>
        <v>3627.66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64.75</v>
      </c>
      <c r="F13" s="15">
        <f>F11/10*100</f>
        <v>71.109041666666656</v>
      </c>
      <c r="G13" s="16">
        <f>G11/10*100</f>
        <v>68.491027273779792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736</v>
      </c>
      <c r="F14" s="12">
        <f>E14+'29'!F14</f>
        <v>23631</v>
      </c>
      <c r="G14" s="13">
        <f>E14+'29'!G14</f>
        <v>115404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706</v>
      </c>
      <c r="F15" s="12">
        <f>E15+'29'!F15</f>
        <v>22918</v>
      </c>
      <c r="G15" s="13">
        <f>E15+'29'!G15</f>
        <v>111906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48</v>
      </c>
      <c r="F16" s="12">
        <f>E16+'29'!F16</f>
        <v>1651</v>
      </c>
      <c r="G16" s="13">
        <f>E16+'29'!G16</f>
        <v>7431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652</v>
      </c>
      <c r="F17" s="12">
        <f>E17+'29'!F17</f>
        <v>21393</v>
      </c>
      <c r="G17" s="13">
        <f>E17+'29'!G17</f>
        <v>103566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524</v>
      </c>
      <c r="F18" s="12">
        <f>E18+'29'!F18</f>
        <v>16946</v>
      </c>
      <c r="G18" s="13">
        <f>E18+'29'!G18</f>
        <v>82559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E19+'29'!F19</f>
        <v>531</v>
      </c>
      <c r="G19" s="13">
        <f>E19+'29'!G19</f>
        <v>2680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4.1956241956241955</v>
      </c>
      <c r="F20" s="15">
        <f>F17*1000/F7</f>
        <v>4.1784419116884459</v>
      </c>
      <c r="G20" s="16">
        <f>G17*1000/G7</f>
        <v>4.1682805945178938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0.75933075933075933</v>
      </c>
      <c r="F21" s="19">
        <f>F26*1000/F7</f>
        <v>0.75099841772739084</v>
      </c>
      <c r="G21" s="20">
        <f>G26*1000/G7</f>
        <v>0.83268212753201531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2828.0952380952381</v>
      </c>
      <c r="F22" s="21">
        <f t="shared" ref="F22:G22" si="0">((F17*(803-130)+F31*(30))*1000)/F7</f>
        <v>2814.6051515952317</v>
      </c>
      <c r="G22" s="21">
        <f t="shared" si="0"/>
        <v>2808.0130189643364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3919.8924198924201</v>
      </c>
      <c r="F23" s="21">
        <f t="shared" ref="F23:G23" si="1">(F15*(803-130))*1000/(F7*0.78)</f>
        <v>3862.2453100335365</v>
      </c>
      <c r="G23" s="21">
        <f t="shared" si="1"/>
        <v>3886.0964706936584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E24+'29'!F24</f>
        <v>0</v>
      </c>
      <c r="G24" s="27">
        <f>E24+'29'!G24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118</v>
      </c>
      <c r="F26" s="32">
        <f>E26+'29'!F26</f>
        <v>3845</v>
      </c>
      <c r="G26" s="33">
        <f>E26+'29'!G26</f>
        <v>20689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4417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23</v>
      </c>
      <c r="F30" s="32">
        <f>E30+'29'!F30</f>
        <v>430</v>
      </c>
      <c r="G30" s="33">
        <f>E30+'29'!G30</f>
        <v>2273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23</v>
      </c>
      <c r="F31" s="12">
        <f>E31+'29'!F31</f>
        <v>429</v>
      </c>
      <c r="G31" s="13">
        <f>E31+'29'!G31</f>
        <v>2286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E32+'29'!F32</f>
        <v>653</v>
      </c>
      <c r="G32" s="13">
        <f>E32+'29'!G32</f>
        <v>3086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22</v>
      </c>
      <c r="F33" s="47">
        <v>1822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E35+'29'!F35</f>
        <v>858</v>
      </c>
      <c r="G35" s="33">
        <f>E35+'29'!G35</f>
        <v>3807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5</v>
      </c>
      <c r="F36" s="12">
        <f>E36+'29'!F36</f>
        <v>56</v>
      </c>
      <c r="G36" s="13">
        <f>E36+'29'!G36</f>
        <v>365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E37+'29'!F37</f>
        <v>0</v>
      </c>
      <c r="G37" s="48">
        <f>E37+'29'!G37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L40"/>
  <sheetViews>
    <sheetView tabSelected="1" zoomScale="80" zoomScaleNormal="80" workbookViewId="0">
      <pane xSplit="4" ySplit="6" topLeftCell="E33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104"/>
      <c r="C2" s="104"/>
      <c r="D2" s="104"/>
      <c r="E2" s="104"/>
      <c r="F2" s="104"/>
      <c r="G2" s="104"/>
      <c r="H2" s="3"/>
      <c r="I2" s="3"/>
      <c r="J2" s="3"/>
      <c r="K2" s="3"/>
      <c r="L2" s="3"/>
    </row>
    <row r="3" spans="1:12" ht="36.75" customHeight="1">
      <c r="B3" s="105" t="s">
        <v>0</v>
      </c>
      <c r="C3" s="105"/>
      <c r="D3" s="105"/>
      <c r="E3" s="105"/>
      <c r="F3" s="105"/>
      <c r="G3" s="105"/>
      <c r="H3" s="4"/>
      <c r="I3" s="4"/>
      <c r="J3" s="4"/>
      <c r="K3" s="4"/>
      <c r="L3" s="3"/>
    </row>
    <row r="4" spans="1:12" ht="30.95" customHeight="1">
      <c r="B4" s="106" t="s">
        <v>51</v>
      </c>
      <c r="C4" s="106"/>
      <c r="D4" s="106"/>
      <c r="E4" s="106"/>
      <c r="F4" s="106"/>
      <c r="G4" s="106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'30'!E6+1</f>
        <v>46265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174200</v>
      </c>
      <c r="F7" s="12">
        <f>E7+'30'!F7</f>
        <v>5294051</v>
      </c>
      <c r="G7" s="13">
        <f>E7+'30'!G7</f>
        <v>25020416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18213</v>
      </c>
      <c r="F8" s="12">
        <f>E8+'30'!F8</f>
        <v>561948</v>
      </c>
      <c r="G8" s="13">
        <f>E8+'30'!G8</f>
        <v>2715493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155987</v>
      </c>
      <c r="F9" s="12">
        <f>E9+'30'!F9</f>
        <v>4732103</v>
      </c>
      <c r="G9" s="13">
        <f>E9+'30'!G9</f>
        <v>22304923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10.455223880597014</v>
      </c>
      <c r="F10" s="15">
        <f>F8/F7*100</f>
        <v>10.61470696069985</v>
      </c>
      <c r="G10" s="16">
        <f>G8/G7*100</f>
        <v>10.853108917133913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7.2583333333333329</v>
      </c>
      <c r="F11" s="15">
        <f>F7/F12/1000</f>
        <v>7.1156599462365593</v>
      </c>
      <c r="G11" s="16">
        <f>G7/G12/1000</f>
        <v>6.8517923355405488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E12+'30'!F12</f>
        <v>744</v>
      </c>
      <c r="G12" s="13">
        <f>E12+'30'!G12</f>
        <v>3651.66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72.583333333333329</v>
      </c>
      <c r="F13" s="15">
        <f>F11/10*100</f>
        <v>71.156599462365591</v>
      </c>
      <c r="G13" s="16">
        <f>G11/10*100</f>
        <v>68.517923355405486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794</v>
      </c>
      <c r="F14" s="12">
        <f>E14+'30'!F14</f>
        <v>24425</v>
      </c>
      <c r="G14" s="13">
        <f>E14+'30'!G14</f>
        <v>116198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771</v>
      </c>
      <c r="F15" s="12">
        <f>E15+'30'!F15</f>
        <v>23689</v>
      </c>
      <c r="G15" s="13">
        <f>E15+'30'!G15</f>
        <v>112677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12">
        <f>E16+'30'!F16</f>
        <v>1708</v>
      </c>
      <c r="G16" s="13">
        <f>E16+'30'!G16</f>
        <v>7488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726</v>
      </c>
      <c r="F17" s="12">
        <f>E17+'30'!F17</f>
        <v>22119</v>
      </c>
      <c r="G17" s="13">
        <f>E17+'30'!G17</f>
        <v>104292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570</v>
      </c>
      <c r="F18" s="12">
        <f>E18+'30'!F18</f>
        <v>17516</v>
      </c>
      <c r="G18" s="13">
        <f>E18+'30'!G18</f>
        <v>83129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E19+'30'!F19</f>
        <v>549</v>
      </c>
      <c r="G19" s="13">
        <f>E19+'30'!G19</f>
        <v>2698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4.1676234213547643</v>
      </c>
      <c r="F20" s="15">
        <f>F17*1000/F7</f>
        <v>4.1780859307928839</v>
      </c>
      <c r="G20" s="16">
        <f>G17*1000/G7</f>
        <v>4.1682760190717856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0.75774971297359361</v>
      </c>
      <c r="F21" s="19">
        <f>F26*1000/F7</f>
        <v>0.75122056814337457</v>
      </c>
      <c r="G21" s="20">
        <f>G26*1000/G7</f>
        <v>0.83216042451092742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2806.5327210103328</v>
      </c>
      <c r="F22" s="21">
        <f t="shared" ref="F22:G22" si="0">((F17*(803-130)+F31*(30))*1000)/F7</f>
        <v>2814.3395294076313</v>
      </c>
      <c r="G22" s="21">
        <f t="shared" si="0"/>
        <v>2808.0027126647296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3818.7980217256909</v>
      </c>
      <c r="F23" s="21">
        <f t="shared" ref="F23:G23" si="1">(F15*(803-130))*1000/(F7*0.78)</f>
        <v>3860.8156831517354</v>
      </c>
      <c r="G23" s="21">
        <f t="shared" si="1"/>
        <v>3885.6279177403335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E24+'30'!F24</f>
        <v>0</v>
      </c>
      <c r="G24" s="27">
        <f>E24+'30'!G24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132</v>
      </c>
      <c r="F26" s="32">
        <f>E26+'30'!F26</f>
        <v>3977</v>
      </c>
      <c r="G26" s="33">
        <f>E26+'30'!G26</f>
        <v>20821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4601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11</v>
      </c>
      <c r="F30" s="32">
        <f>E30+'30'!F30</f>
        <v>441</v>
      </c>
      <c r="G30" s="33">
        <f>E30+'30'!G30</f>
        <v>2284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10</v>
      </c>
      <c r="F31" s="12">
        <f>E31+'30'!F31</f>
        <v>439</v>
      </c>
      <c r="G31" s="13">
        <f>E31+'30'!G31</f>
        <v>2296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E32+'30'!F32</f>
        <v>671</v>
      </c>
      <c r="G32" s="13">
        <f>E32+'30'!G32</f>
        <v>3104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19.899999999999999</v>
      </c>
      <c r="F33" s="47">
        <v>1650</v>
      </c>
      <c r="G33" s="48"/>
    </row>
    <row r="34" spans="2:7" ht="30.95" customHeight="1">
      <c r="B34" s="101" t="s">
        <v>42</v>
      </c>
      <c r="C34" s="102"/>
      <c r="D34" s="102"/>
      <c r="E34" s="102"/>
      <c r="F34" s="102"/>
      <c r="G34" s="103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E35+'30'!F35</f>
        <v>858</v>
      </c>
      <c r="G35" s="33">
        <f>E35+'30'!G35</f>
        <v>3807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4</v>
      </c>
      <c r="F36" s="12">
        <f>E36+'30'!F36</f>
        <v>60</v>
      </c>
      <c r="G36" s="13">
        <f>E36+'30'!G36</f>
        <v>369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E37+'30'!F37</f>
        <v>0</v>
      </c>
      <c r="G37" s="48">
        <f>F37+'30'!G37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Sheet1</vt:lpstr>
      <vt:lpstr>'0'!Print_Area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shishupal_2</dc:creator>
  <cp:lastModifiedBy>POWER PLANT</cp:lastModifiedBy>
  <cp:lastPrinted>2018-03-31T06:53:00Z</cp:lastPrinted>
  <dcterms:created xsi:type="dcterms:W3CDTF">2014-07-10T19:27:00Z</dcterms:created>
  <dcterms:modified xsi:type="dcterms:W3CDTF">2026-09-01T19:44:26Z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4D0260AB3DDA40C18C57D4897C40BC09</vt:lpwstr>
  </property>
  <property fmtid="{D5CDD505-2E9C-101B-9397-08002B2CF9AE}" pid="3" name="KSOProductBuildVer">
    <vt:lpwstr>1033-11.2.0.11156</vt:lpwstr>
  </property>
</Properties>
</file>