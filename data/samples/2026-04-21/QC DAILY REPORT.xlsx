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LITY CONTROL\Desktop\"/>
    </mc:Choice>
  </mc:AlternateContent>
  <xr:revisionPtr revIDLastSave="0" documentId="13_ncr:1_{89A3C741-0241-4D78-B33B-414E4C543B9E}" xr6:coauthVersionLast="47" xr6:coauthVersionMax="47" xr10:uidLastSave="{00000000-0000-0000-0000-000000000000}"/>
  <bookViews>
    <workbookView xWindow="-120" yWindow="-120" windowWidth="20730" windowHeight="11160" xr2:uid="{B37A0155-D8CE-4A85-89F2-E9FBF778649F}"/>
  </bookViews>
  <sheets>
    <sheet name="DAILY SUMMARY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5" i="1" l="1"/>
  <c r="F4" i="1"/>
</calcChain>
</file>

<file path=xl/sharedStrings.xml><?xml version="1.0" encoding="utf-8"?>
<sst xmlns="http://schemas.openxmlformats.org/spreadsheetml/2006/main" count="239" uniqueCount="107">
  <si>
    <t>LAKE CEMENT LIMITED</t>
  </si>
  <si>
    <t xml:space="preserve">                                                        QUALITY REPORT</t>
  </si>
  <si>
    <t>DATE</t>
  </si>
  <si>
    <t>PHYSICAL LAB REPORT :</t>
  </si>
  <si>
    <t xml:space="preserve">  </t>
  </si>
  <si>
    <t xml:space="preserve"> TBS REQUIREMENT</t>
  </si>
  <si>
    <r>
      <rPr>
        <b/>
        <sz val="11"/>
        <color theme="1"/>
        <rFont val="Calibri"/>
        <family val="2"/>
        <scheme val="minor"/>
      </rPr>
      <t>Blaine (M</t>
    </r>
    <r>
      <rPr>
        <b/>
        <vertAlign val="superscript"/>
        <sz val="11"/>
        <color indexed="8"/>
        <rFont val="Calibri"/>
        <family val="2"/>
        <scheme val="minor"/>
      </rPr>
      <t>2</t>
    </r>
    <r>
      <rPr>
        <b/>
        <sz val="11"/>
        <color indexed="8"/>
        <rFont val="Calibri"/>
        <family val="2"/>
        <scheme val="minor"/>
      </rPr>
      <t>/Kg)</t>
    </r>
  </si>
  <si>
    <t>R45 (Micron)</t>
  </si>
  <si>
    <t>L/C Expansion IN MM</t>
  </si>
  <si>
    <t>1 Day (Mpa)</t>
  </si>
  <si>
    <t>2 Days (Mpa)</t>
  </si>
  <si>
    <t>7 Days (Mpa)</t>
  </si>
  <si>
    <t>28 Days (Mpa)</t>
  </si>
  <si>
    <t>Time (HRS)</t>
  </si>
  <si>
    <t>Mill Inlet</t>
  </si>
  <si>
    <t>Mill Outlet (Fine Coal)</t>
  </si>
  <si>
    <t>Residue  %</t>
  </si>
  <si>
    <t>380 to 410</t>
  </si>
  <si>
    <t>&lt; 16% for 42.5R &amp; N, &lt; 20% for 32.5N</t>
  </si>
  <si>
    <t xml:space="preserve">&lt;10 </t>
  </si>
  <si>
    <t>NO LIMIT</t>
  </si>
  <si>
    <t>&gt;20 for 42.5R, &gt;10 for 42.5N</t>
  </si>
  <si>
    <t xml:space="preserve"> &gt;16 for 32.5N</t>
  </si>
  <si>
    <t>&gt;42.5 for 42.5 R &amp; N &gt;32.5 for 32.5N</t>
  </si>
  <si>
    <t>M.C %</t>
  </si>
  <si>
    <t>IM %</t>
  </si>
  <si>
    <t>ASH %</t>
  </si>
  <si>
    <t>UHV</t>
  </si>
  <si>
    <t>90 Mic.</t>
  </si>
  <si>
    <t>212 Mic.</t>
  </si>
  <si>
    <t>Cement mill-1</t>
  </si>
  <si>
    <t>MIN</t>
  </si>
  <si>
    <t>G - 42.5R</t>
  </si>
  <si>
    <t>--</t>
  </si>
  <si>
    <t>MAX</t>
  </si>
  <si>
    <t>G - 42.5N</t>
  </si>
  <si>
    <t>AVG</t>
  </si>
  <si>
    <t>G -32.5N</t>
  </si>
  <si>
    <t>STD</t>
  </si>
  <si>
    <t>SPOT</t>
  </si>
  <si>
    <t>G - OPC</t>
  </si>
  <si>
    <t>DAY AVERAGE FINE COAL</t>
  </si>
  <si>
    <t>B/Mill</t>
  </si>
  <si>
    <t>Date</t>
  </si>
  <si>
    <t>IM</t>
  </si>
  <si>
    <t>VM</t>
  </si>
  <si>
    <t>ASH</t>
  </si>
  <si>
    <t>GCV-ADB</t>
  </si>
  <si>
    <t>GCV-ARB</t>
  </si>
  <si>
    <t>NCV-ADB</t>
  </si>
  <si>
    <t>NCV-ARB</t>
  </si>
  <si>
    <t>SULPHUR</t>
  </si>
  <si>
    <t>Cement mill-2</t>
  </si>
  <si>
    <t>%</t>
  </si>
  <si>
    <t>K.cal/Kg</t>
  </si>
  <si>
    <t>G - 32.5N</t>
  </si>
  <si>
    <t>Loading</t>
  </si>
  <si>
    <t>L - 42.5R</t>
  </si>
  <si>
    <t>L - 42.5N</t>
  </si>
  <si>
    <t>L - 32.5N</t>
  </si>
  <si>
    <t>L - OPC</t>
  </si>
  <si>
    <t>RAWMILL: 4HRS AVG</t>
  </si>
  <si>
    <t>Time</t>
  </si>
  <si>
    <t>Feed Set point (%)</t>
  </si>
  <si>
    <t>Chemical results (%)</t>
  </si>
  <si>
    <t>Fineness (%)</t>
  </si>
  <si>
    <t>Moduli (%)</t>
  </si>
  <si>
    <t>RM-1</t>
  </si>
  <si>
    <t>RM-2</t>
  </si>
  <si>
    <t>LST</t>
  </si>
  <si>
    <t>SG</t>
  </si>
  <si>
    <t>SAND</t>
  </si>
  <si>
    <t>CLAY</t>
  </si>
  <si>
    <t>IRON ORE</t>
  </si>
  <si>
    <t>SiO2</t>
  </si>
  <si>
    <t>Al2O3</t>
  </si>
  <si>
    <t>Fe2O3</t>
  </si>
  <si>
    <t>CaO</t>
  </si>
  <si>
    <t>MgO</t>
  </si>
  <si>
    <t>K2O</t>
  </si>
  <si>
    <t>Na2O</t>
  </si>
  <si>
    <t>SO3</t>
  </si>
  <si>
    <t>Cl</t>
  </si>
  <si>
    <t>LOI</t>
  </si>
  <si>
    <t>SUM</t>
  </si>
  <si>
    <t>R90</t>
  </si>
  <si>
    <t>R212</t>
  </si>
  <si>
    <t>LSF</t>
  </si>
  <si>
    <t>SM</t>
  </si>
  <si>
    <t>AM</t>
  </si>
  <si>
    <t>1 to 4</t>
  </si>
  <si>
    <t>5 to 8</t>
  </si>
  <si>
    <t>9 to 12</t>
  </si>
  <si>
    <t>13 to 16</t>
  </si>
  <si>
    <t>17 to 20</t>
  </si>
  <si>
    <t>21 to 24</t>
  </si>
  <si>
    <t>Chemical Results (%)</t>
  </si>
  <si>
    <t>Total</t>
  </si>
  <si>
    <t>CLINKER : 4 HRS AVG</t>
  </si>
  <si>
    <t>Bogue Phase Composition (%)</t>
  </si>
  <si>
    <t>LTR. WT.</t>
  </si>
  <si>
    <t>F.CaO</t>
  </si>
  <si>
    <t>C3S</t>
  </si>
  <si>
    <t>C2S</t>
  </si>
  <si>
    <t>C3A</t>
  </si>
  <si>
    <t>C4AF</t>
  </si>
  <si>
    <t>Liquid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</si>
</sst>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;@"/>
    <numFmt numFmtId="165" formatCode="0.0"/>
    <numFmt numFmtId="166" formatCode="_-* #,##0.00_-;\-* #,##0.00_-;_-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</cellStyleXfs>
  <cellXfs count="172">
    <xf numFmtId="0" fontId="0" fillId="0" borderId="0" xfId="0"/>
    <xf numFmtId="0" fontId="4" fillId="0" borderId="0" xfId="0" applyFont="1"/>
    <xf numFmtId="0" fontId="5" fillId="0" borderId="5" xfId="0" applyFont="1" applyBorder="1"/>
    <xf numFmtId="0" fontId="5" fillId="0" borderId="0" xfId="0" applyFont="1"/>
    <xf numFmtId="0" fontId="3" fillId="5" borderId="1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2" xfId="0" applyBorder="1" applyAlignment="1">
      <alignment vertical="center"/>
    </xf>
    <xf numFmtId="0" fontId="3" fillId="4" borderId="18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2" fontId="0" fillId="0" borderId="25" xfId="0" quotePrefix="1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1" fontId="0" fillId="0" borderId="18" xfId="0" quotePrefix="1" applyNumberFormat="1" applyBorder="1" applyAlignment="1">
      <alignment horizontal="center" vertical="center"/>
    </xf>
    <xf numFmtId="2" fontId="0" fillId="0" borderId="26" xfId="0" quotePrefix="1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5" fillId="0" borderId="29" xfId="0" applyFont="1" applyBorder="1"/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164" fontId="1" fillId="0" borderId="26" xfId="2" applyNumberFormat="1" applyBorder="1" applyAlignment="1">
      <alignment horizontal="center" vertical="center"/>
    </xf>
    <xf numFmtId="0" fontId="10" fillId="0" borderId="27" xfId="3" applyFont="1" applyBorder="1" applyAlignment="1">
      <alignment horizontal="center" vertical="center"/>
    </xf>
    <xf numFmtId="1" fontId="1" fillId="0" borderId="27" xfId="3" applyNumberFormat="1" applyBorder="1" applyAlignment="1">
      <alignment horizontal="center" vertical="center"/>
    </xf>
    <xf numFmtId="2" fontId="1" fillId="0" borderId="28" xfId="2" applyNumberFormat="1" applyBorder="1" applyAlignment="1">
      <alignment horizontal="center" vertical="center"/>
    </xf>
    <xf numFmtId="0" fontId="5" fillId="0" borderId="22" xfId="0" applyFont="1" applyBorder="1"/>
    <xf numFmtId="2" fontId="0" fillId="0" borderId="17" xfId="0" quotePrefix="1" applyNumberFormat="1" applyBorder="1" applyAlignment="1">
      <alignment horizontal="center" vertical="center"/>
    </xf>
    <xf numFmtId="1" fontId="0" fillId="0" borderId="31" xfId="0" quotePrefix="1" applyNumberFormat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 wrapText="1"/>
    </xf>
    <xf numFmtId="2" fontId="11" fillId="4" borderId="31" xfId="0" applyNumberFormat="1" applyFont="1" applyFill="1" applyBorder="1" applyAlignment="1">
      <alignment horizontal="center" vertical="center"/>
    </xf>
    <xf numFmtId="2" fontId="11" fillId="5" borderId="31" xfId="0" applyNumberFormat="1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11" fillId="5" borderId="45" xfId="0" applyFont="1" applyFill="1" applyBorder="1" applyAlignment="1">
      <alignment horizontal="center" vertical="center"/>
    </xf>
    <xf numFmtId="2" fontId="0" fillId="0" borderId="46" xfId="0" quotePrefix="1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47" xfId="0" quotePrefix="1" applyNumberFormat="1" applyBorder="1" applyAlignment="1">
      <alignment horizontal="center" vertical="center"/>
    </xf>
    <xf numFmtId="2" fontId="0" fillId="0" borderId="48" xfId="0" quotePrefix="1" applyNumberFormat="1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2" fontId="4" fillId="4" borderId="27" xfId="0" applyNumberFormat="1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2" fontId="4" fillId="4" borderId="31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2" fontId="0" fillId="0" borderId="8" xfId="0" quotePrefix="1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55" xfId="0" quotePrefix="1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56" xfId="0" quotePrefix="1" applyNumberFormat="1" applyBorder="1" applyAlignment="1">
      <alignment horizontal="center" vertical="center"/>
    </xf>
    <xf numFmtId="2" fontId="0" fillId="0" borderId="53" xfId="0" applyNumberFormat="1" applyBorder="1" applyAlignment="1">
      <alignment horizontal="center" vertical="center"/>
    </xf>
    <xf numFmtId="2" fontId="0" fillId="0" borderId="57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0" fontId="9" fillId="0" borderId="0" xfId="0" applyFont="1"/>
    <xf numFmtId="166" fontId="0" fillId="0" borderId="0" xfId="1" applyFont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left" vertical="center" wrapText="1"/>
    </xf>
    <xf numFmtId="0" fontId="6" fillId="4" borderId="53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left" vertical="center"/>
    </xf>
    <xf numFmtId="0" fontId="3" fillId="3" borderId="51" xfId="0" applyFont="1" applyFill="1" applyBorder="1" applyAlignment="1">
      <alignment horizontal="left" vertical="center"/>
    </xf>
    <xf numFmtId="0" fontId="3" fillId="3" borderId="52" xfId="0" applyFont="1" applyFill="1" applyBorder="1" applyAlignment="1">
      <alignment horizontal="left" vertical="center"/>
    </xf>
    <xf numFmtId="0" fontId="3" fillId="4" borderId="1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36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1" fillId="4" borderId="41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center" vertical="center"/>
    </xf>
    <xf numFmtId="0" fontId="11" fillId="4" borderId="42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2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3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2" fontId="0" fillId="6" borderId="32" xfId="0" quotePrefix="1" applyNumberFormat="1" applyFill="1" applyBorder="1" applyAlignment="1">
      <alignment horizontal="center" vertical="center"/>
    </xf>
    <xf numFmtId="2" fontId="0" fillId="6" borderId="33" xfId="0" applyNumberFormat="1" applyFill="1" applyBorder="1" applyAlignment="1">
      <alignment horizontal="center" vertical="center"/>
    </xf>
    <xf numFmtId="2" fontId="0" fillId="6" borderId="34" xfId="0" applyNumberFormat="1" applyFill="1" applyBorder="1" applyAlignment="1">
      <alignment horizontal="center" vertical="center"/>
    </xf>
    <xf numFmtId="2" fontId="0" fillId="6" borderId="19" xfId="0" quotePrefix="1" applyNumberFormat="1" applyFill="1" applyBorder="1" applyAlignment="1">
      <alignment horizontal="center" vertical="center"/>
    </xf>
    <xf numFmtId="2" fontId="0" fillId="6" borderId="20" xfId="0" applyNumberFormat="1" applyFill="1" applyBorder="1" applyAlignment="1">
      <alignment horizontal="center" vertical="center"/>
    </xf>
    <xf numFmtId="2" fontId="0" fillId="6" borderId="20" xfId="0" quotePrefix="1" applyNumberFormat="1" applyFill="1" applyBorder="1" applyAlignment="1">
      <alignment horizontal="center" vertical="center"/>
    </xf>
    <xf numFmtId="2" fontId="0" fillId="6" borderId="21" xfId="0" applyNumberFormat="1" applyFill="1" applyBorder="1" applyAlignment="1">
      <alignment horizontal="center" vertical="center"/>
    </xf>
    <xf numFmtId="2" fontId="9" fillId="5" borderId="8" xfId="0" applyNumberFormat="1" applyFont="1" applyFill="1" applyBorder="1" applyAlignment="1">
      <alignment horizontal="center" vertical="center"/>
    </xf>
    <xf numFmtId="2" fontId="9" fillId="5" borderId="9" xfId="0" applyNumberFormat="1" applyFont="1" applyFill="1" applyBorder="1" applyAlignment="1">
      <alignment horizontal="center" vertical="center"/>
    </xf>
    <xf numFmtId="2" fontId="9" fillId="5" borderId="12" xfId="0" applyNumberFormat="1" applyFont="1" applyFill="1" applyBorder="1" applyAlignment="1">
      <alignment horizontal="center" vertical="center"/>
    </xf>
    <xf numFmtId="2" fontId="0" fillId="6" borderId="21" xfId="0" quotePrefix="1" applyNumberForma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165" fontId="3" fillId="4" borderId="19" xfId="0" applyNumberFormat="1" applyFont="1" applyFill="1" applyBorder="1" applyAlignment="1">
      <alignment horizontal="center" vertical="center" wrapText="1"/>
    </xf>
    <xf numFmtId="165" fontId="3" fillId="4" borderId="20" xfId="0" applyNumberFormat="1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left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165" fontId="3" fillId="5" borderId="19" xfId="0" applyNumberFormat="1" applyFont="1" applyFill="1" applyBorder="1" applyAlignment="1">
      <alignment horizontal="center" vertical="center" wrapText="1"/>
    </xf>
    <xf numFmtId="165" fontId="3" fillId="5" borderId="20" xfId="0" applyNumberFormat="1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 vertical="center"/>
    </xf>
    <xf numFmtId="0" fontId="3" fillId="3" borderId="9" xfId="0" applyFont="1" applyFill="1" applyBorder="1" applyAlignment="1">
      <alignment horizontal="right" vertical="center"/>
    </xf>
    <xf numFmtId="0" fontId="3" fillId="3" borderId="10" xfId="0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left" vertical="center"/>
    </xf>
    <xf numFmtId="164" fontId="3" fillId="3" borderId="9" xfId="0" applyNumberFormat="1" applyFont="1" applyFill="1" applyBorder="1" applyAlignment="1">
      <alignment horizontal="left" vertical="center"/>
    </xf>
    <xf numFmtId="164" fontId="3" fillId="3" borderId="12" xfId="0" applyNumberFormat="1" applyFont="1" applyFill="1" applyBorder="1" applyAlignment="1">
      <alignment horizontal="left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15" xfId="2" xr:uid="{7F7481E7-FCB1-4D6D-AFF9-4155B773692A}"/>
    <cellStyle name="Normal 27" xfId="3" xr:uid="{8C465EB8-5758-44CE-A1B1-2686EFF830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</xdr:colOff>
      <xdr:row>1</xdr:row>
      <xdr:rowOff>35717</xdr:rowOff>
    </xdr:from>
    <xdr:to>
      <xdr:col>2</xdr:col>
      <xdr:colOff>380998</xdr:colOff>
      <xdr:row>2</xdr:row>
      <xdr:rowOff>333375</xdr:rowOff>
    </xdr:to>
    <xdr:pic>
      <xdr:nvPicPr>
        <xdr:cNvPr id="2" name="Picture 10" descr="http://www.lakecement.com/images/logo.jpg">
          <a:extLst>
            <a:ext uri="{FF2B5EF4-FFF2-40B4-BE49-F238E27FC236}">
              <a16:creationId xmlns:a16="http://schemas.microsoft.com/office/drawing/2014/main" id="{9225F28D-A46E-4B9C-A2A5-05352BC8C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>
        <a:xfrm>
          <a:off x="319087" y="235742"/>
          <a:ext cx="995361" cy="716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E747-B9E9-4CFC-9DB3-5F379C595ACF}">
  <dimension ref="B1:Y83"/>
  <sheetViews>
    <sheetView tabSelected="1" zoomScale="90" zoomScaleNormal="90" zoomScaleSheetLayoutView="40" workbookViewId="0">
      <selection activeCell="R19" sqref="R19"/>
    </sheetView>
  </sheetViews>
  <sheetFormatPr defaultColWidth="8.5703125" defaultRowHeight="15.75"/>
  <cols>
    <col min="1" max="1" width="4.42578125" customWidth="1"/>
    <col min="2" max="2" width="9.5703125" style="68" customWidth="1"/>
    <col min="17" max="17" width="7.5703125" customWidth="1"/>
    <col min="25" max="25" width="9.7109375" customWidth="1"/>
  </cols>
  <sheetData>
    <row r="1" spans="2:25" ht="16.5" thickBot="1"/>
    <row r="2" spans="2:25" s="1" customFormat="1" ht="33" customHeight="1" thickBot="1">
      <c r="B2" s="155" t="s">
        <v>0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7"/>
    </row>
    <row r="3" spans="2:25" s="1" customFormat="1" ht="29.45" customHeight="1" thickBot="1">
      <c r="B3" s="158" t="s">
        <v>1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6"/>
      <c r="Q3" s="156"/>
      <c r="R3" s="156"/>
      <c r="S3" s="156"/>
      <c r="T3" s="156" t="s">
        <v>2</v>
      </c>
      <c r="U3" s="160"/>
      <c r="V3" s="161">
        <v>46286</v>
      </c>
      <c r="W3" s="162"/>
      <c r="X3" s="162"/>
      <c r="Y3" s="163"/>
    </row>
    <row r="4" spans="2:25" s="3" customFormat="1" ht="14.45" customHeight="1" thickBot="1">
      <c r="B4" s="164" t="s">
        <v>3</v>
      </c>
      <c r="C4" s="165"/>
      <c r="D4" s="165"/>
      <c r="E4" s="166"/>
      <c r="F4" s="167">
        <f>V3</f>
        <v>46286</v>
      </c>
      <c r="G4" s="168"/>
      <c r="H4" s="168"/>
      <c r="I4" s="168"/>
      <c r="J4" s="168"/>
      <c r="K4" s="168"/>
      <c r="L4" s="168"/>
      <c r="M4" s="168"/>
      <c r="N4" s="168"/>
      <c r="O4" s="169"/>
      <c r="P4" s="2"/>
      <c r="Q4" s="132" t="s">
        <v>4</v>
      </c>
      <c r="R4" s="133"/>
      <c r="S4" s="133"/>
      <c r="T4" s="133"/>
      <c r="U4" s="133"/>
      <c r="V4" s="133"/>
      <c r="W4" s="133"/>
      <c r="X4" s="170"/>
      <c r="Y4" s="171"/>
    </row>
    <row r="5" spans="2:25" s="3" customFormat="1" ht="14.25" customHeight="1">
      <c r="B5" s="148" t="s">
        <v>5</v>
      </c>
      <c r="C5" s="4" t="s">
        <v>6</v>
      </c>
      <c r="D5" s="150" t="s">
        <v>7</v>
      </c>
      <c r="E5" s="151"/>
      <c r="F5" s="152" t="s">
        <v>8</v>
      </c>
      <c r="G5" s="153"/>
      <c r="H5" s="137" t="s">
        <v>9</v>
      </c>
      <c r="I5" s="154"/>
      <c r="J5" s="137" t="s">
        <v>10</v>
      </c>
      <c r="K5" s="154"/>
      <c r="L5" s="137" t="s">
        <v>11</v>
      </c>
      <c r="M5" s="154"/>
      <c r="N5" s="137" t="s">
        <v>12</v>
      </c>
      <c r="O5" s="138"/>
      <c r="Q5" s="135" t="s">
        <v>13</v>
      </c>
      <c r="R5" s="5" t="s">
        <v>14</v>
      </c>
      <c r="S5" s="139" t="s">
        <v>15</v>
      </c>
      <c r="T5" s="139"/>
      <c r="U5" s="139"/>
      <c r="V5" s="139" t="s">
        <v>16</v>
      </c>
      <c r="W5" s="140"/>
      <c r="X5" s="6"/>
      <c r="Y5" s="7"/>
    </row>
    <row r="6" spans="2:25" s="3" customFormat="1" ht="14.45" customHeight="1" thickBot="1">
      <c r="B6" s="149"/>
      <c r="C6" s="8" t="s">
        <v>17</v>
      </c>
      <c r="D6" s="141" t="s">
        <v>18</v>
      </c>
      <c r="E6" s="142"/>
      <c r="F6" s="143" t="s">
        <v>19</v>
      </c>
      <c r="G6" s="144"/>
      <c r="H6" s="145" t="s">
        <v>20</v>
      </c>
      <c r="I6" s="146"/>
      <c r="J6" s="141" t="s">
        <v>21</v>
      </c>
      <c r="K6" s="142"/>
      <c r="L6" s="141" t="s">
        <v>22</v>
      </c>
      <c r="M6" s="142"/>
      <c r="N6" s="141" t="s">
        <v>23</v>
      </c>
      <c r="O6" s="147"/>
      <c r="Q6" s="136"/>
      <c r="R6" s="9" t="s">
        <v>24</v>
      </c>
      <c r="S6" s="9" t="s">
        <v>25</v>
      </c>
      <c r="T6" s="9" t="s">
        <v>26</v>
      </c>
      <c r="U6" s="9" t="s">
        <v>27</v>
      </c>
      <c r="V6" s="10" t="s">
        <v>28</v>
      </c>
      <c r="W6" s="11" t="s">
        <v>29</v>
      </c>
      <c r="X6" s="6"/>
      <c r="Y6" s="7"/>
    </row>
    <row r="7" spans="2:25" s="3" customFormat="1" ht="14.45" customHeight="1">
      <c r="B7" s="128" t="s">
        <v>30</v>
      </c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30"/>
      <c r="Q7" s="12" t="s">
        <v>31</v>
      </c>
      <c r="R7" s="13">
        <v>5</v>
      </c>
      <c r="S7" s="13">
        <v>1.72</v>
      </c>
      <c r="T7" s="13">
        <v>19.98</v>
      </c>
      <c r="U7" s="14">
        <v>5578.34</v>
      </c>
      <c r="V7" s="13">
        <v>13.6</v>
      </c>
      <c r="W7" s="15">
        <v>1.2</v>
      </c>
      <c r="X7" s="6"/>
      <c r="Y7" s="7"/>
    </row>
    <row r="8" spans="2:25" s="3" customFormat="1" ht="14.45" customHeight="1">
      <c r="B8" s="12" t="s">
        <v>32</v>
      </c>
      <c r="C8" s="16">
        <v>365</v>
      </c>
      <c r="D8" s="124">
        <v>6.52</v>
      </c>
      <c r="E8" s="125"/>
      <c r="F8" s="124" t="s">
        <v>33</v>
      </c>
      <c r="G8" s="125"/>
      <c r="H8" s="124">
        <v>12.33</v>
      </c>
      <c r="I8" s="125"/>
      <c r="J8" s="124" t="s">
        <v>33</v>
      </c>
      <c r="K8" s="125"/>
      <c r="L8" s="124">
        <v>33.18</v>
      </c>
      <c r="M8" s="125"/>
      <c r="N8" s="124">
        <v>48.02</v>
      </c>
      <c r="O8" s="127"/>
      <c r="Q8" s="12" t="s">
        <v>34</v>
      </c>
      <c r="R8" s="13">
        <v>6.2</v>
      </c>
      <c r="S8" s="13">
        <v>2.2000000000000002</v>
      </c>
      <c r="T8" s="13">
        <v>21.94</v>
      </c>
      <c r="U8" s="14">
        <v>8900</v>
      </c>
      <c r="V8" s="13">
        <v>16.8</v>
      </c>
      <c r="W8" s="15">
        <v>1.6</v>
      </c>
      <c r="X8" s="6"/>
      <c r="Y8" s="7"/>
    </row>
    <row r="9" spans="2:25" s="3" customFormat="1" ht="14.45" customHeight="1">
      <c r="B9" s="12" t="s">
        <v>35</v>
      </c>
      <c r="C9" s="16">
        <v>348</v>
      </c>
      <c r="D9" s="124">
        <v>5.56</v>
      </c>
      <c r="E9" s="125"/>
      <c r="F9" s="124">
        <v>2.5</v>
      </c>
      <c r="G9" s="125"/>
      <c r="H9" s="124">
        <v>10.02</v>
      </c>
      <c r="I9" s="125"/>
      <c r="J9" s="124" t="s">
        <v>33</v>
      </c>
      <c r="K9" s="125"/>
      <c r="L9" s="124">
        <v>30.18</v>
      </c>
      <c r="M9" s="125"/>
      <c r="N9" s="124">
        <v>46.44</v>
      </c>
      <c r="O9" s="127"/>
      <c r="Q9" s="12" t="s">
        <v>36</v>
      </c>
      <c r="R9" s="13">
        <v>5.5750000000000011</v>
      </c>
      <c r="S9" s="13">
        <v>1.9549999999999996</v>
      </c>
      <c r="T9" s="13">
        <v>21.174999999999997</v>
      </c>
      <c r="U9" s="14">
        <v>6062.7199999999993</v>
      </c>
      <c r="V9" s="13">
        <v>15</v>
      </c>
      <c r="W9" s="15">
        <v>1.4444444444444442</v>
      </c>
      <c r="X9" s="6"/>
      <c r="Y9" s="7"/>
    </row>
    <row r="10" spans="2:25" s="3" customFormat="1" ht="14.45" customHeight="1" thickBot="1">
      <c r="B10" s="12" t="s">
        <v>37</v>
      </c>
      <c r="C10" s="16" t="s">
        <v>33</v>
      </c>
      <c r="D10" s="124" t="s">
        <v>33</v>
      </c>
      <c r="E10" s="125"/>
      <c r="F10" s="124" t="s">
        <v>33</v>
      </c>
      <c r="G10" s="125"/>
      <c r="H10" s="124" t="s">
        <v>33</v>
      </c>
      <c r="I10" s="125"/>
      <c r="J10" s="124" t="s">
        <v>33</v>
      </c>
      <c r="K10" s="125"/>
      <c r="L10" s="124" t="s">
        <v>33</v>
      </c>
      <c r="M10" s="125"/>
      <c r="N10" s="124" t="s">
        <v>33</v>
      </c>
      <c r="O10" s="127"/>
      <c r="Q10" s="17" t="s">
        <v>38</v>
      </c>
      <c r="R10" s="18">
        <v>0.45903625751598937</v>
      </c>
      <c r="S10" s="18">
        <v>0.156021976474012</v>
      </c>
      <c r="T10" s="18">
        <v>0.76517038251994163</v>
      </c>
      <c r="U10" s="19">
        <v>1067.9864935943745</v>
      </c>
      <c r="V10" s="18">
        <v>1.1445523142259597</v>
      </c>
      <c r="W10" s="20">
        <v>0.16666666666666904</v>
      </c>
      <c r="X10" s="6"/>
      <c r="Y10" s="7"/>
    </row>
    <row r="11" spans="2:25" s="3" customFormat="1" ht="14.45" customHeight="1" thickBot="1">
      <c r="B11" s="12" t="s">
        <v>39</v>
      </c>
      <c r="C11" s="16" t="s">
        <v>33</v>
      </c>
      <c r="D11" s="124" t="s">
        <v>33</v>
      </c>
      <c r="E11" s="125"/>
      <c r="F11" s="124" t="s">
        <v>33</v>
      </c>
      <c r="G11" s="125"/>
      <c r="H11" s="124" t="s">
        <v>33</v>
      </c>
      <c r="I11" s="125"/>
      <c r="J11" s="124" t="s">
        <v>33</v>
      </c>
      <c r="K11" s="125"/>
      <c r="L11" s="124" t="s">
        <v>33</v>
      </c>
      <c r="M11" s="125"/>
      <c r="N11" s="124" t="s">
        <v>33</v>
      </c>
      <c r="O11" s="127"/>
      <c r="Q11" s="21"/>
      <c r="R11" s="6"/>
      <c r="S11" s="6"/>
      <c r="T11" s="6"/>
      <c r="U11" s="6"/>
      <c r="V11" s="6"/>
      <c r="W11" s="6"/>
      <c r="X11" s="6"/>
      <c r="Y11" s="7"/>
    </row>
    <row r="12" spans="2:25" s="3" customFormat="1" ht="14.45" customHeight="1" thickBot="1">
      <c r="B12" s="12" t="s">
        <v>40</v>
      </c>
      <c r="C12" s="16" t="s">
        <v>33</v>
      </c>
      <c r="D12" s="124" t="s">
        <v>33</v>
      </c>
      <c r="E12" s="125"/>
      <c r="F12" s="124" t="s">
        <v>33</v>
      </c>
      <c r="G12" s="125"/>
      <c r="H12" s="124" t="s">
        <v>33</v>
      </c>
      <c r="I12" s="125"/>
      <c r="J12" s="124" t="s">
        <v>33</v>
      </c>
      <c r="K12" s="125"/>
      <c r="L12" s="124" t="s">
        <v>33</v>
      </c>
      <c r="M12" s="125"/>
      <c r="N12" s="124" t="s">
        <v>33</v>
      </c>
      <c r="O12" s="127"/>
      <c r="Q12" s="132" t="s">
        <v>41</v>
      </c>
      <c r="R12" s="133"/>
      <c r="S12" s="133"/>
      <c r="T12" s="133"/>
      <c r="U12" s="133"/>
      <c r="V12" s="133"/>
      <c r="W12" s="133"/>
      <c r="X12" s="133"/>
      <c r="Y12" s="134"/>
    </row>
    <row r="13" spans="2:25" s="3" customFormat="1" ht="14.45" customHeight="1" thickBot="1">
      <c r="B13" s="17" t="s">
        <v>42</v>
      </c>
      <c r="C13" s="16">
        <v>383</v>
      </c>
      <c r="D13" s="124">
        <v>16.100000000000001</v>
      </c>
      <c r="E13" s="125"/>
      <c r="F13" s="124" t="s">
        <v>33</v>
      </c>
      <c r="G13" s="125"/>
      <c r="H13" s="124" t="s">
        <v>33</v>
      </c>
      <c r="I13" s="125"/>
      <c r="J13" s="124" t="s">
        <v>33</v>
      </c>
      <c r="K13" s="125"/>
      <c r="L13" s="124">
        <v>41.25</v>
      </c>
      <c r="M13" s="125"/>
      <c r="N13" s="124">
        <v>58.74</v>
      </c>
      <c r="O13" s="127"/>
      <c r="Q13" s="135" t="s">
        <v>43</v>
      </c>
      <c r="R13" s="22" t="s">
        <v>44</v>
      </c>
      <c r="S13" s="22" t="s">
        <v>45</v>
      </c>
      <c r="T13" s="22" t="s">
        <v>46</v>
      </c>
      <c r="U13" s="22" t="s">
        <v>47</v>
      </c>
      <c r="V13" s="22" t="s">
        <v>48</v>
      </c>
      <c r="W13" s="22" t="s">
        <v>49</v>
      </c>
      <c r="X13" s="22" t="s">
        <v>50</v>
      </c>
      <c r="Y13" s="23" t="s">
        <v>51</v>
      </c>
    </row>
    <row r="14" spans="2:25" s="3" customFormat="1" ht="14.45" customHeight="1">
      <c r="B14" s="128" t="s">
        <v>52</v>
      </c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30"/>
      <c r="Q14" s="136"/>
      <c r="R14" s="9" t="s">
        <v>53</v>
      </c>
      <c r="S14" s="9" t="s">
        <v>53</v>
      </c>
      <c r="T14" s="9" t="s">
        <v>53</v>
      </c>
      <c r="U14" s="9" t="s">
        <v>54</v>
      </c>
      <c r="V14" s="9" t="s">
        <v>54</v>
      </c>
      <c r="W14" s="9" t="s">
        <v>54</v>
      </c>
      <c r="X14" s="9" t="s">
        <v>54</v>
      </c>
      <c r="Y14" s="24" t="s">
        <v>53</v>
      </c>
    </row>
    <row r="15" spans="2:25" s="3" customFormat="1" ht="14.45" customHeight="1" thickBot="1">
      <c r="B15" s="12" t="s">
        <v>32</v>
      </c>
      <c r="C15" s="16" t="s">
        <v>33</v>
      </c>
      <c r="D15" s="124" t="s">
        <v>33</v>
      </c>
      <c r="E15" s="125"/>
      <c r="F15" s="124" t="s">
        <v>33</v>
      </c>
      <c r="G15" s="125"/>
      <c r="H15" s="124" t="s">
        <v>33</v>
      </c>
      <c r="I15" s="125"/>
      <c r="J15" s="124" t="s">
        <v>33</v>
      </c>
      <c r="K15" s="125"/>
      <c r="L15" s="124" t="s">
        <v>33</v>
      </c>
      <c r="M15" s="125"/>
      <c r="N15" s="124">
        <v>48.89</v>
      </c>
      <c r="O15" s="127"/>
      <c r="Q15" s="25">
        <f>V3</f>
        <v>46286</v>
      </c>
      <c r="R15" s="26">
        <v>2.14</v>
      </c>
      <c r="S15" s="26">
        <v>26.4</v>
      </c>
      <c r="T15" s="26">
        <v>21.06</v>
      </c>
      <c r="U15" s="27">
        <v>5972.8</v>
      </c>
      <c r="V15" s="27">
        <v>5972.8</v>
      </c>
      <c r="W15" s="27">
        <v>5760.4000000000005</v>
      </c>
      <c r="X15" s="27">
        <v>5760.4000000000005</v>
      </c>
      <c r="Y15" s="28"/>
    </row>
    <row r="16" spans="2:25" s="3" customFormat="1" ht="14.45" customHeight="1">
      <c r="B16" s="12" t="s">
        <v>35</v>
      </c>
      <c r="C16" s="16" t="s">
        <v>33</v>
      </c>
      <c r="D16" s="124" t="s">
        <v>33</v>
      </c>
      <c r="E16" s="125"/>
      <c r="F16" s="124" t="s">
        <v>33</v>
      </c>
      <c r="G16" s="125"/>
      <c r="H16" s="124" t="s">
        <v>33</v>
      </c>
      <c r="I16" s="125"/>
      <c r="J16" s="124" t="s">
        <v>33</v>
      </c>
      <c r="K16" s="125"/>
      <c r="L16" s="124"/>
      <c r="M16" s="125"/>
      <c r="N16" s="124"/>
      <c r="O16" s="127"/>
      <c r="Q16" s="21"/>
      <c r="R16" s="6"/>
      <c r="S16" s="6"/>
      <c r="T16" s="6"/>
      <c r="U16" s="6"/>
      <c r="V16" s="6"/>
      <c r="W16" s="6"/>
      <c r="X16" s="6"/>
      <c r="Y16" s="7"/>
    </row>
    <row r="17" spans="2:25" s="3" customFormat="1" ht="14.45" customHeight="1">
      <c r="B17" s="12" t="s">
        <v>55</v>
      </c>
      <c r="C17" s="16" t="s">
        <v>33</v>
      </c>
      <c r="D17" s="124" t="s">
        <v>33</v>
      </c>
      <c r="E17" s="125"/>
      <c r="F17" s="124" t="s">
        <v>33</v>
      </c>
      <c r="G17" s="125"/>
      <c r="H17" s="124" t="s">
        <v>33</v>
      </c>
      <c r="I17" s="125"/>
      <c r="J17" s="124" t="s">
        <v>33</v>
      </c>
      <c r="K17" s="125" t="s">
        <v>33</v>
      </c>
      <c r="L17" s="124" t="s">
        <v>33</v>
      </c>
      <c r="M17" s="125" t="s">
        <v>33</v>
      </c>
      <c r="N17" s="124" t="s">
        <v>33</v>
      </c>
      <c r="O17" s="127"/>
      <c r="Q17" s="21"/>
      <c r="Y17" s="29"/>
    </row>
    <row r="18" spans="2:25" s="3" customFormat="1" ht="14.45" customHeight="1" thickBot="1">
      <c r="B18" s="17" t="s">
        <v>40</v>
      </c>
      <c r="C18" s="16" t="s">
        <v>33</v>
      </c>
      <c r="D18" s="124" t="s">
        <v>33</v>
      </c>
      <c r="E18" s="125"/>
      <c r="F18" s="124" t="s">
        <v>33</v>
      </c>
      <c r="G18" s="125"/>
      <c r="H18" s="124" t="s">
        <v>33</v>
      </c>
      <c r="I18" s="125"/>
      <c r="J18" s="124" t="s">
        <v>33</v>
      </c>
      <c r="K18" s="125"/>
      <c r="L18" s="124"/>
      <c r="M18" s="125"/>
      <c r="N18" s="124">
        <v>56.28</v>
      </c>
      <c r="O18" s="127"/>
      <c r="Q18" s="21"/>
      <c r="Y18" s="29"/>
    </row>
    <row r="19" spans="2:25" s="3" customFormat="1" ht="14.45" customHeight="1">
      <c r="B19" s="128" t="s">
        <v>56</v>
      </c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30"/>
      <c r="Q19" s="21"/>
      <c r="Y19" s="29"/>
    </row>
    <row r="20" spans="2:25" s="3" customFormat="1" ht="14.45" customHeight="1">
      <c r="B20" s="12" t="s">
        <v>57</v>
      </c>
      <c r="C20" s="16">
        <v>365</v>
      </c>
      <c r="D20" s="124">
        <v>6.28</v>
      </c>
      <c r="E20" s="125"/>
      <c r="F20" s="124" t="s">
        <v>33</v>
      </c>
      <c r="G20" s="125"/>
      <c r="H20" s="124" t="s">
        <v>33</v>
      </c>
      <c r="I20" s="126"/>
      <c r="J20" s="124" t="s">
        <v>33</v>
      </c>
      <c r="K20" s="125"/>
      <c r="L20" s="124">
        <v>34.64</v>
      </c>
      <c r="M20" s="126"/>
      <c r="N20" s="124">
        <v>47.65</v>
      </c>
      <c r="O20" s="131"/>
      <c r="Q20" s="21"/>
      <c r="R20" s="6"/>
      <c r="S20" s="6"/>
      <c r="T20" s="6"/>
      <c r="U20" s="6"/>
      <c r="V20" s="6"/>
      <c r="W20" s="6"/>
      <c r="X20" s="6"/>
      <c r="Y20" s="7"/>
    </row>
    <row r="21" spans="2:25" s="3" customFormat="1" ht="14.45" customHeight="1">
      <c r="B21" s="12" t="s">
        <v>58</v>
      </c>
      <c r="C21" s="16">
        <v>351</v>
      </c>
      <c r="D21" s="124">
        <v>5.8</v>
      </c>
      <c r="E21" s="125"/>
      <c r="F21" s="124" t="s">
        <v>33</v>
      </c>
      <c r="G21" s="125"/>
      <c r="H21" s="124" t="s">
        <v>33</v>
      </c>
      <c r="I21" s="125"/>
      <c r="J21" s="124">
        <v>19.8</v>
      </c>
      <c r="K21" s="125"/>
      <c r="L21" s="124">
        <v>31.83</v>
      </c>
      <c r="M21" s="126"/>
      <c r="N21" s="124" t="s">
        <v>33</v>
      </c>
      <c r="O21" s="127"/>
      <c r="Q21" s="21"/>
      <c r="R21" s="6"/>
      <c r="S21" s="6"/>
      <c r="T21" s="6"/>
      <c r="U21" s="6"/>
      <c r="V21" s="6"/>
      <c r="W21" s="6"/>
      <c r="X21" s="6"/>
      <c r="Y21" s="7"/>
    </row>
    <row r="22" spans="2:25" s="3" customFormat="1" ht="14.45" customHeight="1">
      <c r="B22" s="12" t="s">
        <v>59</v>
      </c>
      <c r="C22" s="16" t="s">
        <v>33</v>
      </c>
      <c r="D22" s="124" t="s">
        <v>33</v>
      </c>
      <c r="E22" s="125"/>
      <c r="F22" s="124" t="s">
        <v>33</v>
      </c>
      <c r="G22" s="125"/>
      <c r="H22" s="124" t="s">
        <v>33</v>
      </c>
      <c r="I22" s="125" t="s">
        <v>33</v>
      </c>
      <c r="J22" s="124" t="s">
        <v>33</v>
      </c>
      <c r="K22" s="125" t="s">
        <v>33</v>
      </c>
      <c r="L22" s="124" t="s">
        <v>33</v>
      </c>
      <c r="M22" s="126" t="s">
        <v>33</v>
      </c>
      <c r="N22" s="124" t="s">
        <v>33</v>
      </c>
      <c r="O22" s="127" t="s">
        <v>33</v>
      </c>
      <c r="Q22" s="21"/>
      <c r="R22" s="6"/>
      <c r="S22" s="6"/>
      <c r="T22" s="6"/>
      <c r="U22" s="6"/>
      <c r="V22" s="6"/>
      <c r="W22" s="6"/>
      <c r="X22" s="6"/>
      <c r="Y22" s="7"/>
    </row>
    <row r="23" spans="2:25" s="3" customFormat="1" ht="14.45" customHeight="1" thickBot="1">
      <c r="B23" s="30" t="s">
        <v>60</v>
      </c>
      <c r="C23" s="31" t="s">
        <v>33</v>
      </c>
      <c r="D23" s="121" t="s">
        <v>33</v>
      </c>
      <c r="E23" s="122"/>
      <c r="F23" s="121" t="s">
        <v>33</v>
      </c>
      <c r="G23" s="122"/>
      <c r="H23" s="121" t="s">
        <v>33</v>
      </c>
      <c r="I23" s="122"/>
      <c r="J23" s="121" t="s">
        <v>33</v>
      </c>
      <c r="K23" s="122"/>
      <c r="L23" s="121" t="s">
        <v>33</v>
      </c>
      <c r="M23" s="122"/>
      <c r="N23" s="121" t="s">
        <v>33</v>
      </c>
      <c r="O23" s="123"/>
      <c r="Q23" s="21"/>
      <c r="R23" s="6"/>
      <c r="S23" s="6"/>
      <c r="T23" s="6"/>
      <c r="U23" s="6"/>
      <c r="V23" s="6"/>
      <c r="W23" s="6"/>
      <c r="X23" s="6"/>
      <c r="Y23" s="7"/>
    </row>
    <row r="24" spans="2:25" s="3" customFormat="1" ht="14.45" customHeight="1" thickBot="1">
      <c r="B24" s="69" t="s">
        <v>61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1"/>
    </row>
    <row r="25" spans="2:25" ht="14.45" customHeight="1">
      <c r="B25" s="101" t="s">
        <v>62</v>
      </c>
      <c r="C25" s="104" t="s">
        <v>63</v>
      </c>
      <c r="D25" s="104"/>
      <c r="E25" s="104"/>
      <c r="F25" s="104"/>
      <c r="G25" s="105"/>
      <c r="H25" s="108" t="s">
        <v>64</v>
      </c>
      <c r="I25" s="104"/>
      <c r="J25" s="104"/>
      <c r="K25" s="104"/>
      <c r="L25" s="104"/>
      <c r="M25" s="104"/>
      <c r="N25" s="104"/>
      <c r="O25" s="104"/>
      <c r="P25" s="104"/>
      <c r="Q25" s="104"/>
      <c r="R25" s="105"/>
      <c r="S25" s="110" t="s">
        <v>65</v>
      </c>
      <c r="T25" s="111"/>
      <c r="U25" s="111"/>
      <c r="V25" s="112"/>
      <c r="W25" s="113" t="s">
        <v>66</v>
      </c>
      <c r="X25" s="114"/>
      <c r="Y25" s="115"/>
    </row>
    <row r="26" spans="2:25" ht="15" customHeight="1">
      <c r="B26" s="102"/>
      <c r="C26" s="106"/>
      <c r="D26" s="106"/>
      <c r="E26" s="106"/>
      <c r="F26" s="106"/>
      <c r="G26" s="107"/>
      <c r="H26" s="109"/>
      <c r="I26" s="106"/>
      <c r="J26" s="106"/>
      <c r="K26" s="106"/>
      <c r="L26" s="106"/>
      <c r="M26" s="106"/>
      <c r="N26" s="106"/>
      <c r="O26" s="106"/>
      <c r="P26" s="106"/>
      <c r="Q26" s="106"/>
      <c r="R26" s="107"/>
      <c r="S26" s="119" t="s">
        <v>67</v>
      </c>
      <c r="T26" s="120"/>
      <c r="U26" s="119" t="s">
        <v>68</v>
      </c>
      <c r="V26" s="120"/>
      <c r="W26" s="116"/>
      <c r="X26" s="117"/>
      <c r="Y26" s="118"/>
    </row>
    <row r="27" spans="2:25" ht="33.75" customHeight="1" thickBot="1">
      <c r="B27" s="103"/>
      <c r="C27" s="32" t="s">
        <v>69</v>
      </c>
      <c r="D27" s="33" t="s">
        <v>70</v>
      </c>
      <c r="E27" s="33" t="s">
        <v>71</v>
      </c>
      <c r="F27" s="33" t="s">
        <v>72</v>
      </c>
      <c r="G27" s="34" t="s">
        <v>73</v>
      </c>
      <c r="H27" s="35" t="s">
        <v>74</v>
      </c>
      <c r="I27" s="35" t="s">
        <v>75</v>
      </c>
      <c r="J27" s="35" t="s">
        <v>76</v>
      </c>
      <c r="K27" s="35" t="s">
        <v>77</v>
      </c>
      <c r="L27" s="35" t="s">
        <v>78</v>
      </c>
      <c r="M27" s="33" t="s">
        <v>79</v>
      </c>
      <c r="N27" s="33" t="s">
        <v>80</v>
      </c>
      <c r="O27" s="33" t="s">
        <v>81</v>
      </c>
      <c r="P27" s="33" t="s">
        <v>82</v>
      </c>
      <c r="Q27" s="33" t="s">
        <v>83</v>
      </c>
      <c r="R27" s="33" t="s">
        <v>84</v>
      </c>
      <c r="S27" s="36" t="s">
        <v>85</v>
      </c>
      <c r="T27" s="36" t="s">
        <v>86</v>
      </c>
      <c r="U27" s="36" t="s">
        <v>85</v>
      </c>
      <c r="V27" s="36" t="s">
        <v>86</v>
      </c>
      <c r="W27" s="37" t="s">
        <v>87</v>
      </c>
      <c r="X27" s="37" t="s">
        <v>88</v>
      </c>
      <c r="Y27" s="38" t="s">
        <v>89</v>
      </c>
    </row>
    <row r="28" spans="2:25" ht="15">
      <c r="B28" s="39" t="s">
        <v>90</v>
      </c>
      <c r="C28" s="40">
        <v>98.875</v>
      </c>
      <c r="D28" s="13">
        <v>0</v>
      </c>
      <c r="E28" s="13">
        <v>0.5</v>
      </c>
      <c r="F28" s="13">
        <v>0.625</v>
      </c>
      <c r="G28" s="13">
        <v>0</v>
      </c>
      <c r="H28" s="13">
        <v>13.780000000000001</v>
      </c>
      <c r="I28" s="13">
        <v>3.8374999999999995</v>
      </c>
      <c r="J28" s="13">
        <v>2.7525000000000004</v>
      </c>
      <c r="K28" s="13">
        <v>42.91</v>
      </c>
      <c r="L28" s="13">
        <v>0.92500000000000004</v>
      </c>
      <c r="M28" s="13">
        <v>0.34299999999999997</v>
      </c>
      <c r="N28" s="13">
        <v>4.4250000000000005E-2</v>
      </c>
      <c r="O28" s="13">
        <v>3.4000000000000002E-2</v>
      </c>
      <c r="P28" s="13">
        <v>1.3749999999999998E-2</v>
      </c>
      <c r="Q28" s="13">
        <v>34.735510000000005</v>
      </c>
      <c r="R28" s="13">
        <v>99.375510000000006</v>
      </c>
      <c r="S28" s="13">
        <v>21.700000000000003</v>
      </c>
      <c r="T28" s="13">
        <v>1.7000000000000002</v>
      </c>
      <c r="U28" s="13"/>
      <c r="V28" s="13"/>
      <c r="W28" s="13">
        <v>96.204122822024303</v>
      </c>
      <c r="X28" s="13">
        <v>2.0950535500741529</v>
      </c>
      <c r="Y28" s="15">
        <v>1.399196766532901</v>
      </c>
    </row>
    <row r="29" spans="2:25" ht="15">
      <c r="B29" s="41" t="s">
        <v>91</v>
      </c>
      <c r="C29" s="40">
        <v>97.5</v>
      </c>
      <c r="D29" s="13">
        <v>0</v>
      </c>
      <c r="E29" s="13">
        <v>1.375</v>
      </c>
      <c r="F29" s="13">
        <v>0</v>
      </c>
      <c r="G29" s="13">
        <v>1.125</v>
      </c>
      <c r="H29" s="13">
        <v>12.1075</v>
      </c>
      <c r="I29" s="13">
        <v>3.7050000000000005</v>
      </c>
      <c r="J29" s="13">
        <v>2.4700000000000002</v>
      </c>
      <c r="K29" s="13">
        <v>44.055</v>
      </c>
      <c r="L29" s="13">
        <v>0.96499999999999986</v>
      </c>
      <c r="M29" s="13">
        <v>0.34475000000000006</v>
      </c>
      <c r="N29" s="13">
        <v>4.2500000000000003E-2</v>
      </c>
      <c r="O29" s="13">
        <v>2.7250000000000003E-2</v>
      </c>
      <c r="P29" s="13">
        <v>1.0500000000000001E-2</v>
      </c>
      <c r="Q29" s="13">
        <v>35.679079999999999</v>
      </c>
      <c r="R29" s="13">
        <v>99.406579999999991</v>
      </c>
      <c r="S29" s="13">
        <v>21.6</v>
      </c>
      <c r="T29" s="13">
        <v>1.9</v>
      </c>
      <c r="U29" s="13"/>
      <c r="V29" s="13"/>
      <c r="W29" s="13">
        <v>111.43324974244541</v>
      </c>
      <c r="X29" s="13">
        <v>1.9603837135235784</v>
      </c>
      <c r="Y29" s="15">
        <v>1.502676475242323</v>
      </c>
    </row>
    <row r="30" spans="2:25" ht="15">
      <c r="B30" s="41" t="s">
        <v>92</v>
      </c>
      <c r="C30" s="40">
        <v>97.75</v>
      </c>
      <c r="D30" s="13">
        <v>0</v>
      </c>
      <c r="E30" s="13">
        <v>0.75</v>
      </c>
      <c r="F30" s="13">
        <v>0</v>
      </c>
      <c r="G30" s="13">
        <v>1.5</v>
      </c>
      <c r="H30" s="13">
        <v>12.815</v>
      </c>
      <c r="I30" s="13">
        <v>3.5025000000000004</v>
      </c>
      <c r="J30" s="13">
        <v>2.355</v>
      </c>
      <c r="K30" s="13">
        <v>43.752499999999998</v>
      </c>
      <c r="L30" s="13">
        <v>0.97</v>
      </c>
      <c r="M30" s="13">
        <v>0.35725000000000001</v>
      </c>
      <c r="N30" s="13">
        <v>7.1500000000000008E-2</v>
      </c>
      <c r="O30" s="13">
        <v>3.925E-2</v>
      </c>
      <c r="P30" s="13">
        <v>1.2999999999999999E-2</v>
      </c>
      <c r="Q30" s="13">
        <v>35.446764999999999</v>
      </c>
      <c r="R30" s="13">
        <v>99.322765000000004</v>
      </c>
      <c r="S30" s="13">
        <v>19.600000000000001</v>
      </c>
      <c r="T30" s="13">
        <v>1.8</v>
      </c>
      <c r="U30" s="13"/>
      <c r="V30" s="13"/>
      <c r="W30" s="13">
        <v>105.58251873059683</v>
      </c>
      <c r="X30" s="13">
        <v>2.1885876589463917</v>
      </c>
      <c r="Y30" s="15">
        <v>1.4909773687105587</v>
      </c>
    </row>
    <row r="31" spans="2:25" ht="15">
      <c r="B31" s="41" t="s">
        <v>93</v>
      </c>
      <c r="C31" s="40">
        <v>97.5</v>
      </c>
      <c r="D31" s="13">
        <v>0</v>
      </c>
      <c r="E31" s="13">
        <v>0.75</v>
      </c>
      <c r="F31" s="13">
        <v>0</v>
      </c>
      <c r="G31" s="13">
        <v>1.75</v>
      </c>
      <c r="H31" s="13">
        <v>12.15</v>
      </c>
      <c r="I31" s="13">
        <v>3.5974999999999997</v>
      </c>
      <c r="J31" s="13">
        <v>2.2474999999999996</v>
      </c>
      <c r="K31" s="13">
        <v>44.072499999999998</v>
      </c>
      <c r="L31" s="13">
        <v>0.96</v>
      </c>
      <c r="M31" s="13">
        <v>0.36175000000000002</v>
      </c>
      <c r="N31" s="13">
        <v>5.9499999999999997E-2</v>
      </c>
      <c r="O31" s="13">
        <v>4.7500000000000001E-2</v>
      </c>
      <c r="P31" s="13">
        <v>1.175E-2</v>
      </c>
      <c r="Q31" s="13">
        <v>35.687385000000006</v>
      </c>
      <c r="R31" s="13">
        <v>99.195384999999987</v>
      </c>
      <c r="S31" s="13">
        <v>20.299999999999997</v>
      </c>
      <c r="T31" s="13">
        <v>2.1</v>
      </c>
      <c r="U31" s="13"/>
      <c r="V31" s="13"/>
      <c r="W31" s="13">
        <v>111.12110213674571</v>
      </c>
      <c r="X31" s="13">
        <v>2.0816603933993232</v>
      </c>
      <c r="Y31" s="15">
        <v>1.603899018768109</v>
      </c>
    </row>
    <row r="32" spans="2:25" ht="15">
      <c r="B32" s="41" t="s">
        <v>94</v>
      </c>
      <c r="C32" s="40">
        <v>97.5</v>
      </c>
      <c r="D32" s="13">
        <v>0</v>
      </c>
      <c r="E32" s="13">
        <v>1</v>
      </c>
      <c r="F32" s="13">
        <v>0</v>
      </c>
      <c r="G32" s="13">
        <v>1.5</v>
      </c>
      <c r="H32" s="13">
        <v>13.31</v>
      </c>
      <c r="I32" s="13">
        <v>3.22</v>
      </c>
      <c r="J32" s="13">
        <v>2.84</v>
      </c>
      <c r="K32" s="13">
        <v>43.55</v>
      </c>
      <c r="L32" s="13">
        <v>0.82499999999999996</v>
      </c>
      <c r="M32" s="13">
        <v>0.32600000000000001</v>
      </c>
      <c r="N32" s="13">
        <v>8.3000000000000004E-2</v>
      </c>
      <c r="O32" s="13">
        <v>7.4499999999999997E-2</v>
      </c>
      <c r="P32" s="13">
        <v>1.2E-2</v>
      </c>
      <c r="Q32" s="13">
        <v>35.129550000000002</v>
      </c>
      <c r="R32" s="13">
        <v>99.370049999999992</v>
      </c>
      <c r="S32" s="13">
        <v>20.6</v>
      </c>
      <c r="T32" s="13">
        <v>2.2000000000000002</v>
      </c>
      <c r="U32" s="13"/>
      <c r="V32" s="13"/>
      <c r="W32" s="13">
        <v>101.62448137662724</v>
      </c>
      <c r="X32" s="13">
        <v>2.1958247438121408</v>
      </c>
      <c r="Y32" s="15">
        <v>1.134154357505178</v>
      </c>
    </row>
    <row r="33" spans="2:25" thickBot="1">
      <c r="B33" s="42" t="s">
        <v>95</v>
      </c>
      <c r="C33" s="43">
        <v>97.75</v>
      </c>
      <c r="D33" s="18">
        <v>0</v>
      </c>
      <c r="E33" s="18">
        <v>1.25</v>
      </c>
      <c r="F33" s="18">
        <v>0</v>
      </c>
      <c r="G33" s="18">
        <v>1</v>
      </c>
      <c r="H33" s="18">
        <v>13.234999999999999</v>
      </c>
      <c r="I33" s="18">
        <v>3.59</v>
      </c>
      <c r="J33" s="18">
        <v>2.4550000000000001</v>
      </c>
      <c r="K33" s="18">
        <v>43.674999999999997</v>
      </c>
      <c r="L33" s="18">
        <v>0.91999999999999993</v>
      </c>
      <c r="M33" s="18">
        <v>0.36499999999999999</v>
      </c>
      <c r="N33" s="18">
        <v>5.7500000000000002E-2</v>
      </c>
      <c r="O33" s="18">
        <v>5.6500000000000002E-2</v>
      </c>
      <c r="P33" s="18">
        <v>0.01</v>
      </c>
      <c r="Q33" s="18">
        <v>35.33135</v>
      </c>
      <c r="R33" s="18">
        <v>99.695350000000005</v>
      </c>
      <c r="S33" s="18">
        <v>20.399999999999999</v>
      </c>
      <c r="T33" s="18">
        <v>2</v>
      </c>
      <c r="U33" s="18"/>
      <c r="V33" s="18"/>
      <c r="W33" s="18">
        <v>102.18523671447838</v>
      </c>
      <c r="X33" s="18">
        <v>2.1952513461548997</v>
      </c>
      <c r="Y33" s="20">
        <v>1.4628060732914716</v>
      </c>
    </row>
    <row r="34" spans="2:25" thickBot="1">
      <c r="B34" s="88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90"/>
    </row>
    <row r="35" spans="2:25" ht="14.45" customHeight="1">
      <c r="B35" s="80" t="s">
        <v>13</v>
      </c>
      <c r="C35" s="82" t="s">
        <v>96</v>
      </c>
      <c r="D35" s="83"/>
      <c r="E35" s="83"/>
      <c r="F35" s="83"/>
      <c r="G35" s="83"/>
      <c r="H35" s="83"/>
      <c r="I35" s="83"/>
      <c r="J35" s="83"/>
      <c r="K35" s="83"/>
      <c r="L35" s="83"/>
      <c r="M35" s="84"/>
      <c r="N35" s="85" t="s">
        <v>65</v>
      </c>
      <c r="O35" s="91"/>
      <c r="P35" s="85" t="s">
        <v>66</v>
      </c>
      <c r="Q35" s="86"/>
      <c r="R35" s="87"/>
      <c r="S35" s="92"/>
      <c r="T35" s="93"/>
      <c r="U35" s="93"/>
      <c r="V35" s="93"/>
      <c r="W35" s="93"/>
      <c r="X35" s="93"/>
      <c r="Y35" s="94"/>
    </row>
    <row r="36" spans="2:25" ht="24.75" customHeight="1" thickBot="1">
      <c r="B36" s="81"/>
      <c r="C36" s="44" t="s">
        <v>74</v>
      </c>
      <c r="D36" s="44" t="s">
        <v>75</v>
      </c>
      <c r="E36" s="44" t="s">
        <v>76</v>
      </c>
      <c r="F36" s="44" t="s">
        <v>77</v>
      </c>
      <c r="G36" s="44" t="s">
        <v>78</v>
      </c>
      <c r="H36" s="45" t="s">
        <v>79</v>
      </c>
      <c r="I36" s="45" t="s">
        <v>80</v>
      </c>
      <c r="J36" s="45" t="s">
        <v>81</v>
      </c>
      <c r="K36" s="45" t="s">
        <v>82</v>
      </c>
      <c r="L36" s="45" t="s">
        <v>83</v>
      </c>
      <c r="M36" s="45" t="s">
        <v>97</v>
      </c>
      <c r="N36" s="46" t="s">
        <v>85</v>
      </c>
      <c r="O36" s="46" t="s">
        <v>86</v>
      </c>
      <c r="P36" s="47" t="s">
        <v>87</v>
      </c>
      <c r="Q36" s="47" t="s">
        <v>88</v>
      </c>
      <c r="R36" s="48" t="s">
        <v>89</v>
      </c>
      <c r="S36" s="95"/>
      <c r="T36" s="96"/>
      <c r="U36" s="96"/>
      <c r="V36" s="96"/>
      <c r="W36" s="96"/>
      <c r="X36" s="96"/>
      <c r="Y36" s="97"/>
    </row>
    <row r="37" spans="2:25" ht="15">
      <c r="B37" s="39" t="s">
        <v>90</v>
      </c>
      <c r="C37" s="40">
        <v>11.9</v>
      </c>
      <c r="D37" s="13">
        <v>3.8899999999999997</v>
      </c>
      <c r="E37" s="40">
        <v>2.5099999999999998</v>
      </c>
      <c r="F37" s="13">
        <v>44.19</v>
      </c>
      <c r="G37" s="13">
        <v>0.94</v>
      </c>
      <c r="H37" s="13">
        <v>0.34499999999999997</v>
      </c>
      <c r="I37" s="13">
        <v>4.0500000000000001E-2</v>
      </c>
      <c r="J37" s="13">
        <v>2.8000000000000001E-2</v>
      </c>
      <c r="K37" s="13">
        <v>9.9999999999999985E-3</v>
      </c>
      <c r="L37" s="13">
        <v>35.757939999999998</v>
      </c>
      <c r="M37" s="13">
        <v>99.611439999999988</v>
      </c>
      <c r="N37" s="13">
        <v>18.600000000000001</v>
      </c>
      <c r="O37" s="13">
        <v>1.5</v>
      </c>
      <c r="P37" s="13">
        <v>111.76071918964914</v>
      </c>
      <c r="Q37" s="13">
        <v>1.8593540952548366</v>
      </c>
      <c r="R37" s="13">
        <v>1.549809523809524</v>
      </c>
      <c r="S37" s="95"/>
      <c r="T37" s="96"/>
      <c r="U37" s="96"/>
      <c r="V37" s="96"/>
      <c r="W37" s="96"/>
      <c r="X37" s="96"/>
      <c r="Y37" s="97"/>
    </row>
    <row r="38" spans="2:25" ht="15">
      <c r="B38" s="41" t="s">
        <v>91</v>
      </c>
      <c r="C38" s="40">
        <v>11.465</v>
      </c>
      <c r="D38" s="13">
        <v>3.81</v>
      </c>
      <c r="E38" s="40">
        <v>2.5549999999999997</v>
      </c>
      <c r="F38" s="13">
        <v>44.32</v>
      </c>
      <c r="G38" s="13">
        <v>0.96499999999999997</v>
      </c>
      <c r="H38" s="13">
        <v>0.34050000000000002</v>
      </c>
      <c r="I38" s="13">
        <v>5.1500000000000004E-2</v>
      </c>
      <c r="J38" s="13">
        <v>2.8500000000000001E-2</v>
      </c>
      <c r="K38" s="13">
        <v>1.15E-2</v>
      </c>
      <c r="L38" s="13">
        <v>35.887369999999997</v>
      </c>
      <c r="M38" s="13">
        <v>99.434370000000001</v>
      </c>
      <c r="N38" s="13">
        <v>19</v>
      </c>
      <c r="O38" s="13">
        <v>1.7000000000000002</v>
      </c>
      <c r="P38" s="13">
        <v>116.26766160768793</v>
      </c>
      <c r="Q38" s="13">
        <v>1.7996831911026825</v>
      </c>
      <c r="R38" s="13">
        <v>1.4911048115231382</v>
      </c>
      <c r="S38" s="95"/>
      <c r="T38" s="96"/>
      <c r="U38" s="96"/>
      <c r="V38" s="96"/>
      <c r="W38" s="96"/>
      <c r="X38" s="96"/>
      <c r="Y38" s="97"/>
    </row>
    <row r="39" spans="2:25" ht="15">
      <c r="B39" s="41" t="s">
        <v>92</v>
      </c>
      <c r="C39" s="40">
        <v>12.405000000000001</v>
      </c>
      <c r="D39" s="13">
        <v>3.6349999999999998</v>
      </c>
      <c r="E39" s="40">
        <v>2.34</v>
      </c>
      <c r="F39" s="13">
        <v>43.954999999999998</v>
      </c>
      <c r="G39" s="13">
        <v>0.98</v>
      </c>
      <c r="H39" s="13">
        <v>0.35149999999999998</v>
      </c>
      <c r="I39" s="13">
        <v>6.3500000000000001E-2</v>
      </c>
      <c r="J39" s="13">
        <v>3.3000000000000002E-2</v>
      </c>
      <c r="K39" s="13">
        <v>1.2E-2</v>
      </c>
      <c r="L39" s="13">
        <v>35.616829999999993</v>
      </c>
      <c r="M39" s="13">
        <v>99.391829999999999</v>
      </c>
      <c r="N39" s="13">
        <v>18.7</v>
      </c>
      <c r="O39" s="13">
        <v>1.8</v>
      </c>
      <c r="P39" s="13">
        <v>108.49283765540892</v>
      </c>
      <c r="Q39" s="13">
        <v>2.0757739179156744</v>
      </c>
      <c r="R39" s="13">
        <v>1.5547461933573401</v>
      </c>
      <c r="S39" s="95"/>
      <c r="T39" s="96"/>
      <c r="U39" s="96"/>
      <c r="V39" s="96"/>
      <c r="W39" s="96"/>
      <c r="X39" s="96"/>
      <c r="Y39" s="97"/>
    </row>
    <row r="40" spans="2:25" ht="15">
      <c r="B40" s="41" t="s">
        <v>93</v>
      </c>
      <c r="C40" s="40">
        <v>11.844999999999999</v>
      </c>
      <c r="D40" s="13">
        <v>3.68</v>
      </c>
      <c r="E40" s="40">
        <v>2.3199999999999998</v>
      </c>
      <c r="F40" s="13">
        <v>44.295000000000002</v>
      </c>
      <c r="G40" s="13">
        <v>0.97499999999999998</v>
      </c>
      <c r="H40" s="13">
        <v>0.35499999999999998</v>
      </c>
      <c r="I40" s="13">
        <v>8.1000000000000003E-2</v>
      </c>
      <c r="J40" s="13">
        <v>4.3999999999999997E-2</v>
      </c>
      <c r="K40" s="13">
        <v>1.6500000000000001E-2</v>
      </c>
      <c r="L40" s="13">
        <v>35.878619999999998</v>
      </c>
      <c r="M40" s="13">
        <v>99.490120000000005</v>
      </c>
      <c r="N40" s="13">
        <v>18.5</v>
      </c>
      <c r="O40" s="13">
        <v>1.8</v>
      </c>
      <c r="P40" s="13">
        <v>113.55111590713528</v>
      </c>
      <c r="Q40" s="13">
        <v>1.9741666666666666</v>
      </c>
      <c r="R40" s="13">
        <v>1.5862068965517244</v>
      </c>
      <c r="S40" s="95"/>
      <c r="T40" s="96"/>
      <c r="U40" s="96"/>
      <c r="V40" s="96"/>
      <c r="W40" s="96"/>
      <c r="X40" s="96"/>
      <c r="Y40" s="97"/>
    </row>
    <row r="41" spans="2:25" ht="15">
      <c r="B41" s="41" t="s">
        <v>94</v>
      </c>
      <c r="C41" s="40">
        <v>12.425000000000001</v>
      </c>
      <c r="D41" s="13">
        <v>3.54</v>
      </c>
      <c r="E41" s="40">
        <v>2.52</v>
      </c>
      <c r="F41" s="13">
        <v>43.924999999999997</v>
      </c>
      <c r="G41" s="13">
        <v>0.92500000000000004</v>
      </c>
      <c r="H41" s="13">
        <v>0.35249999999999998</v>
      </c>
      <c r="I41" s="13">
        <v>9.8000000000000004E-2</v>
      </c>
      <c r="J41" s="13">
        <v>5.6500000000000002E-2</v>
      </c>
      <c r="K41" s="13">
        <v>1.8500000000000003E-2</v>
      </c>
      <c r="L41" s="13">
        <v>35.533299999999997</v>
      </c>
      <c r="M41" s="13">
        <v>99.393799999999999</v>
      </c>
      <c r="N41" s="13">
        <v>18.899999999999999</v>
      </c>
      <c r="O41" s="13">
        <v>2.0499999999999998</v>
      </c>
      <c r="P41" s="13">
        <v>108.23180883594188</v>
      </c>
      <c r="Q41" s="13">
        <v>2.0500849821319624</v>
      </c>
      <c r="R41" s="13">
        <v>1.4168356997971603</v>
      </c>
      <c r="S41" s="95"/>
      <c r="T41" s="96"/>
      <c r="U41" s="96"/>
      <c r="V41" s="96"/>
      <c r="W41" s="96"/>
      <c r="X41" s="96"/>
      <c r="Y41" s="97"/>
    </row>
    <row r="42" spans="2:25" thickBot="1">
      <c r="B42" s="42" t="s">
        <v>95</v>
      </c>
      <c r="C42" s="40">
        <v>12.535</v>
      </c>
      <c r="D42" s="13">
        <v>3.58</v>
      </c>
      <c r="E42" s="40">
        <v>2.3899999999999997</v>
      </c>
      <c r="F42" s="13">
        <v>43.855000000000004</v>
      </c>
      <c r="G42" s="13">
        <v>0.91500000000000004</v>
      </c>
      <c r="H42" s="13">
        <v>0.35799999999999998</v>
      </c>
      <c r="I42" s="13">
        <v>7.0000000000000007E-2</v>
      </c>
      <c r="J42" s="13">
        <v>7.3000000000000009E-2</v>
      </c>
      <c r="K42" s="13">
        <v>1.15E-2</v>
      </c>
      <c r="L42" s="13">
        <v>35.467380000000006</v>
      </c>
      <c r="M42" s="13">
        <v>99.25488</v>
      </c>
      <c r="N42" s="13">
        <v>19.049999999999997</v>
      </c>
      <c r="O42" s="13">
        <v>1.7000000000000002</v>
      </c>
      <c r="P42" s="13">
        <v>107.65825320082163</v>
      </c>
      <c r="Q42" s="13">
        <v>2.1040627377439902</v>
      </c>
      <c r="R42" s="13">
        <v>1.5005087719298245</v>
      </c>
      <c r="S42" s="98"/>
      <c r="T42" s="99"/>
      <c r="U42" s="99"/>
      <c r="V42" s="99"/>
      <c r="W42" s="99"/>
      <c r="X42" s="99"/>
      <c r="Y42" s="100"/>
    </row>
    <row r="43" spans="2:25" ht="15" customHeight="1" thickBot="1">
      <c r="B43" s="69" t="s">
        <v>98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1"/>
      <c r="W43" s="72"/>
      <c r="X43" s="73"/>
      <c r="Y43" s="74"/>
    </row>
    <row r="44" spans="2:25" ht="14.45" customHeight="1">
      <c r="B44" s="80" t="s">
        <v>13</v>
      </c>
      <c r="C44" s="82" t="s">
        <v>64</v>
      </c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  <c r="O44" s="82" t="s">
        <v>66</v>
      </c>
      <c r="P44" s="83"/>
      <c r="Q44" s="84"/>
      <c r="R44" s="85" t="s">
        <v>99</v>
      </c>
      <c r="S44" s="86"/>
      <c r="T44" s="86"/>
      <c r="U44" s="86"/>
      <c r="V44" s="87"/>
      <c r="W44" s="75"/>
      <c r="X44" s="76"/>
      <c r="Y44" s="77"/>
    </row>
    <row r="45" spans="2:25" ht="21" customHeight="1" thickBot="1">
      <c r="B45" s="81"/>
      <c r="C45" s="49" t="s">
        <v>74</v>
      </c>
      <c r="D45" s="49" t="s">
        <v>75</v>
      </c>
      <c r="E45" s="49" t="s">
        <v>76</v>
      </c>
      <c r="F45" s="49" t="s">
        <v>77</v>
      </c>
      <c r="G45" s="49" t="s">
        <v>78</v>
      </c>
      <c r="H45" s="50" t="s">
        <v>79</v>
      </c>
      <c r="I45" s="50" t="s">
        <v>80</v>
      </c>
      <c r="J45" s="50" t="s">
        <v>81</v>
      </c>
      <c r="K45" s="50" t="s">
        <v>82</v>
      </c>
      <c r="L45" s="50" t="s">
        <v>97</v>
      </c>
      <c r="M45" s="51" t="s">
        <v>100</v>
      </c>
      <c r="N45" s="51" t="s">
        <v>101</v>
      </c>
      <c r="O45" s="52" t="s">
        <v>87</v>
      </c>
      <c r="P45" s="52" t="s">
        <v>88</v>
      </c>
      <c r="Q45" s="52" t="s">
        <v>89</v>
      </c>
      <c r="R45" s="53" t="s">
        <v>102</v>
      </c>
      <c r="S45" s="53" t="s">
        <v>103</v>
      </c>
      <c r="T45" s="53" t="s">
        <v>104</v>
      </c>
      <c r="U45" s="53" t="s">
        <v>105</v>
      </c>
      <c r="V45" s="54" t="s">
        <v>106</v>
      </c>
      <c r="W45" s="75"/>
      <c r="X45" s="76"/>
      <c r="Y45" s="77"/>
    </row>
    <row r="46" spans="2:25" ht="15">
      <c r="B46" s="55" t="s">
        <v>90</v>
      </c>
      <c r="C46" s="56">
        <v>21.085000000000001</v>
      </c>
      <c r="D46" s="57">
        <v>6.0050000000000008</v>
      </c>
      <c r="E46" s="57">
        <v>4.58</v>
      </c>
      <c r="F46" s="57">
        <v>64.710000000000008</v>
      </c>
      <c r="G46" s="57">
        <v>1.5049999999999999</v>
      </c>
      <c r="H46" s="57">
        <v>0.61399999999999999</v>
      </c>
      <c r="I46" s="57">
        <v>0.25</v>
      </c>
      <c r="J46" s="57">
        <v>0.54449999999999998</v>
      </c>
      <c r="K46" s="57">
        <v>3.5000000000000001E-3</v>
      </c>
      <c r="L46" s="57">
        <v>99.296999999999997</v>
      </c>
      <c r="M46" s="57">
        <v>1175</v>
      </c>
      <c r="N46" s="57">
        <v>2.7350000000000003</v>
      </c>
      <c r="O46" s="57">
        <v>93.648205277907351</v>
      </c>
      <c r="P46" s="57">
        <v>1.9927798156290293</v>
      </c>
      <c r="Q46" s="57">
        <v>1.3109823557463045</v>
      </c>
      <c r="R46" s="57">
        <v>45.121064999999987</v>
      </c>
      <c r="S46" s="57">
        <v>26.474618564000007</v>
      </c>
      <c r="T46" s="57">
        <v>8.1638900000000003</v>
      </c>
      <c r="U46" s="57">
        <v>13.93694</v>
      </c>
      <c r="V46" s="58">
        <v>30.409064699999998</v>
      </c>
      <c r="W46" s="76"/>
      <c r="X46" s="76"/>
      <c r="Y46" s="77"/>
    </row>
    <row r="47" spans="2:25" ht="15">
      <c r="B47" s="59" t="s">
        <v>91</v>
      </c>
      <c r="C47" s="60">
        <v>20.324999999999999</v>
      </c>
      <c r="D47" s="13">
        <v>5.8450000000000006</v>
      </c>
      <c r="E47" s="13">
        <v>4.375</v>
      </c>
      <c r="F47" s="13">
        <v>66.125</v>
      </c>
      <c r="G47" s="13">
        <v>1.54</v>
      </c>
      <c r="H47" s="13">
        <v>0.64800000000000002</v>
      </c>
      <c r="I47" s="13">
        <v>0.2525</v>
      </c>
      <c r="J47" s="13">
        <v>0.47649999999999998</v>
      </c>
      <c r="K47" s="13">
        <v>3.5000000000000001E-3</v>
      </c>
      <c r="L47" s="13">
        <v>99.59050000000002</v>
      </c>
      <c r="M47" s="13">
        <v>1190</v>
      </c>
      <c r="N47" s="13">
        <v>3.6849999999999996</v>
      </c>
      <c r="O47" s="13">
        <v>99.289602544251096</v>
      </c>
      <c r="P47" s="13">
        <v>1.9888772647843278</v>
      </c>
      <c r="Q47" s="13">
        <v>1.3359192037470726</v>
      </c>
      <c r="R47" s="13">
        <v>54.159629999999979</v>
      </c>
      <c r="S47" s="13">
        <v>17.474725128000017</v>
      </c>
      <c r="T47" s="13">
        <v>8.0867500000000003</v>
      </c>
      <c r="U47" s="13">
        <v>13.313124999999999</v>
      </c>
      <c r="V47" s="15">
        <v>29.551246249999998</v>
      </c>
      <c r="W47" s="76"/>
      <c r="X47" s="76"/>
      <c r="Y47" s="77"/>
    </row>
    <row r="48" spans="2:25" ht="15">
      <c r="B48" s="59" t="s">
        <v>92</v>
      </c>
      <c r="C48" s="60">
        <v>21.115000000000002</v>
      </c>
      <c r="D48" s="13">
        <v>5.7050000000000001</v>
      </c>
      <c r="E48" s="13">
        <v>4.3250000000000002</v>
      </c>
      <c r="F48" s="13">
        <v>65.150000000000006</v>
      </c>
      <c r="G48" s="13">
        <v>1.5550000000000002</v>
      </c>
      <c r="H48" s="13">
        <v>0.61799999999999999</v>
      </c>
      <c r="I48" s="13">
        <v>0.23649999999999999</v>
      </c>
      <c r="J48" s="13">
        <v>0.36099999999999999</v>
      </c>
      <c r="K48" s="13">
        <v>5.4999999999999997E-3</v>
      </c>
      <c r="L48" s="13">
        <v>99.070999999999998</v>
      </c>
      <c r="M48" s="13">
        <v>1222.5</v>
      </c>
      <c r="N48" s="13">
        <v>2.9350000000000001</v>
      </c>
      <c r="O48" s="13">
        <v>94.898076048120913</v>
      </c>
      <c r="P48" s="13">
        <v>2.1055061831484352</v>
      </c>
      <c r="Q48" s="13">
        <v>1.3190969549225899</v>
      </c>
      <c r="R48" s="13">
        <v>48.250094999999959</v>
      </c>
      <c r="S48" s="13">
        <v>24.200178332000036</v>
      </c>
      <c r="T48" s="13">
        <v>7.8003499999999999</v>
      </c>
      <c r="U48" s="13">
        <v>13.160975000000001</v>
      </c>
      <c r="V48" s="15">
        <v>28.991211749999998</v>
      </c>
      <c r="W48" s="76"/>
      <c r="X48" s="76"/>
      <c r="Y48" s="77"/>
    </row>
    <row r="49" spans="2:25" ht="15">
      <c r="B49" s="59" t="s">
        <v>93</v>
      </c>
      <c r="C49" s="60">
        <v>20.880000000000003</v>
      </c>
      <c r="D49" s="13">
        <v>5.59</v>
      </c>
      <c r="E49" s="13">
        <v>4.2449999999999992</v>
      </c>
      <c r="F49" s="13">
        <v>65.474999999999994</v>
      </c>
      <c r="G49" s="13">
        <v>1.57</v>
      </c>
      <c r="H49" s="13">
        <v>0.62850000000000006</v>
      </c>
      <c r="I49" s="13">
        <v>0.246</v>
      </c>
      <c r="J49" s="13">
        <v>0.42549999999999999</v>
      </c>
      <c r="K49" s="13">
        <v>5.0000000000000001E-3</v>
      </c>
      <c r="L49" s="13">
        <v>99.064999999999998</v>
      </c>
      <c r="M49" s="13">
        <v>1232.5</v>
      </c>
      <c r="N49" s="13">
        <v>3.1500000000000004</v>
      </c>
      <c r="O49" s="13">
        <v>96.543415804274829</v>
      </c>
      <c r="P49" s="13">
        <v>2.1230289928789423</v>
      </c>
      <c r="Q49" s="13">
        <v>1.3169167674839342</v>
      </c>
      <c r="R49" s="13">
        <v>51.371344999999963</v>
      </c>
      <c r="S49" s="13">
        <v>21.171057332000036</v>
      </c>
      <c r="T49" s="13">
        <v>7.6309600000000009</v>
      </c>
      <c r="U49" s="13">
        <v>12.917534999999999</v>
      </c>
      <c r="V49" s="15">
        <v>28.506157049999999</v>
      </c>
      <c r="W49" s="76"/>
      <c r="X49" s="76"/>
      <c r="Y49" s="77"/>
    </row>
    <row r="50" spans="2:25" ht="15">
      <c r="B50" s="59" t="s">
        <v>94</v>
      </c>
      <c r="C50" s="60">
        <v>20.855</v>
      </c>
      <c r="D50" s="13">
        <v>5.5749999999999993</v>
      </c>
      <c r="E50" s="13">
        <v>4.2350000000000003</v>
      </c>
      <c r="F50" s="13">
        <v>65.37</v>
      </c>
      <c r="G50" s="13">
        <v>1.55</v>
      </c>
      <c r="H50" s="13">
        <v>0.71</v>
      </c>
      <c r="I50" s="13">
        <v>0.23249999999999998</v>
      </c>
      <c r="J50" s="13">
        <v>0.54749999999999999</v>
      </c>
      <c r="K50" s="13">
        <v>4.5000000000000005E-3</v>
      </c>
      <c r="L50" s="13">
        <v>99.079499999999996</v>
      </c>
      <c r="M50" s="13">
        <v>1190</v>
      </c>
      <c r="N50" s="13">
        <v>3.2050000000000001</v>
      </c>
      <c r="O50" s="13">
        <v>96.522655517379263</v>
      </c>
      <c r="P50" s="13">
        <v>2.1259080569892461</v>
      </c>
      <c r="Q50" s="13">
        <v>1.3164085150987999</v>
      </c>
      <c r="R50" s="13">
        <v>51.025105000000011</v>
      </c>
      <c r="S50" s="13">
        <v>21.360510787999999</v>
      </c>
      <c r="T50" s="13">
        <v>7.6081299999999992</v>
      </c>
      <c r="U50" s="13">
        <v>12.887105000000002</v>
      </c>
      <c r="V50" s="15">
        <v>28.48727865</v>
      </c>
      <c r="W50" s="76"/>
      <c r="X50" s="76"/>
      <c r="Y50" s="77"/>
    </row>
    <row r="51" spans="2:25" thickBot="1">
      <c r="B51" s="61" t="s">
        <v>95</v>
      </c>
      <c r="C51" s="62">
        <v>20.98</v>
      </c>
      <c r="D51" s="63">
        <v>5.5</v>
      </c>
      <c r="E51" s="63">
        <v>4.5949999999999998</v>
      </c>
      <c r="F51" s="63">
        <v>65.39</v>
      </c>
      <c r="G51" s="63">
        <v>1.4950000000000001</v>
      </c>
      <c r="H51" s="63">
        <v>0.627</v>
      </c>
      <c r="I51" s="63">
        <v>0.2515</v>
      </c>
      <c r="J51" s="63">
        <v>0.45500000000000002</v>
      </c>
      <c r="K51" s="63">
        <v>4.0000000000000001E-3</v>
      </c>
      <c r="L51" s="63">
        <v>99.297499999999985</v>
      </c>
      <c r="M51" s="63">
        <v>1262.5</v>
      </c>
      <c r="N51" s="63">
        <v>3.1950000000000003</v>
      </c>
      <c r="O51" s="63">
        <v>95.856573231856288</v>
      </c>
      <c r="P51" s="63">
        <v>2.0782331849653808</v>
      </c>
      <c r="Q51" s="63">
        <v>1.2016204824424004</v>
      </c>
      <c r="R51" s="63">
        <v>50.18603499999999</v>
      </c>
      <c r="S51" s="63">
        <v>22.352255196000012</v>
      </c>
      <c r="T51" s="63">
        <v>6.8002600000000006</v>
      </c>
      <c r="U51" s="63">
        <v>13.982585</v>
      </c>
      <c r="V51" s="64">
        <v>28.934283550000004</v>
      </c>
      <c r="W51" s="78"/>
      <c r="X51" s="78"/>
      <c r="Y51" s="79"/>
    </row>
    <row r="52" spans="2:25" ht="22.5" customHeight="1">
      <c r="B52" s="65"/>
    </row>
    <row r="53" spans="2:25" ht="22.5" customHeight="1">
      <c r="B53" s="65"/>
    </row>
    <row r="54" spans="2:25" ht="22.5" customHeight="1">
      <c r="B54" s="65"/>
    </row>
    <row r="55" spans="2:25" ht="22.5" customHeight="1">
      <c r="B55" s="65"/>
      <c r="J55" s="66"/>
    </row>
    <row r="56" spans="2:25" ht="22.5" customHeight="1">
      <c r="B56" s="65"/>
    </row>
    <row r="57" spans="2:25" ht="22.5" customHeight="1">
      <c r="B57" s="65"/>
      <c r="S57" s="67"/>
    </row>
    <row r="58" spans="2:25" ht="22.5" customHeight="1">
      <c r="B58" s="65"/>
      <c r="S58" s="67"/>
    </row>
    <row r="59" spans="2:25" ht="22.5" customHeight="1">
      <c r="B59" s="65"/>
      <c r="L59" s="67"/>
      <c r="M59" s="67"/>
      <c r="Q59" s="67"/>
      <c r="R59" s="67"/>
      <c r="S59" s="67"/>
    </row>
    <row r="60" spans="2:25" ht="22.5" customHeight="1">
      <c r="B60" s="65"/>
    </row>
    <row r="61" spans="2:25" ht="22.5" customHeight="1">
      <c r="B61" s="65"/>
    </row>
    <row r="62" spans="2:25" ht="22.5" customHeight="1">
      <c r="B62" s="65"/>
    </row>
    <row r="63" spans="2:25" ht="22.5" customHeight="1">
      <c r="B63" s="65"/>
    </row>
    <row r="64" spans="2:25" ht="22.5" customHeight="1">
      <c r="B64" s="65"/>
    </row>
    <row r="65" spans="2:2" ht="22.5" customHeight="1">
      <c r="B65" s="65"/>
    </row>
    <row r="66" spans="2:2" ht="22.5" customHeight="1">
      <c r="B66" s="65"/>
    </row>
    <row r="67" spans="2:2" ht="22.5" customHeight="1">
      <c r="B67" s="65"/>
    </row>
    <row r="68" spans="2:2" ht="22.5" customHeight="1">
      <c r="B68" s="65"/>
    </row>
    <row r="69" spans="2:2" ht="22.5" customHeight="1">
      <c r="B69" s="65"/>
    </row>
    <row r="70" spans="2:2" ht="22.5" customHeight="1"/>
    <row r="71" spans="2:2" ht="22.5" customHeight="1"/>
    <row r="72" spans="2:2" ht="22.5" customHeight="1"/>
    <row r="73" spans="2:2" ht="22.5" customHeight="1"/>
    <row r="74" spans="2:2" ht="22.5" customHeight="1"/>
    <row r="75" spans="2:2" ht="22.5" customHeight="1"/>
    <row r="76" spans="2:2" ht="22.5" customHeight="1"/>
    <row r="77" spans="2:2" ht="22.5" customHeight="1"/>
    <row r="78" spans="2:2" ht="22.5" customHeight="1"/>
    <row r="79" spans="2:2" ht="22.5" customHeight="1"/>
    <row r="80" spans="2:2" ht="22.5" customHeight="1"/>
    <row r="81" ht="22.5" customHeight="1"/>
    <row r="82" ht="22.5" customHeight="1"/>
    <row r="83" ht="22.5" customHeight="1"/>
  </sheetData>
  <mergeCells count="132">
    <mergeCell ref="B5:B6"/>
    <mergeCell ref="D5:E5"/>
    <mergeCell ref="F5:G5"/>
    <mergeCell ref="H5:I5"/>
    <mergeCell ref="J5:K5"/>
    <mergeCell ref="L5:M5"/>
    <mergeCell ref="B2:Y2"/>
    <mergeCell ref="B3:S3"/>
    <mergeCell ref="T3:U3"/>
    <mergeCell ref="V3:Y3"/>
    <mergeCell ref="B4:E4"/>
    <mergeCell ref="F4:O4"/>
    <mergeCell ref="Q4:Y4"/>
    <mergeCell ref="N5:O5"/>
    <mergeCell ref="Q5:Q6"/>
    <mergeCell ref="S5:U5"/>
    <mergeCell ref="V5:W5"/>
    <mergeCell ref="D6:E6"/>
    <mergeCell ref="F6:G6"/>
    <mergeCell ref="H6:I6"/>
    <mergeCell ref="J6:K6"/>
    <mergeCell ref="L6:M6"/>
    <mergeCell ref="N6:O6"/>
    <mergeCell ref="D9:E9"/>
    <mergeCell ref="F9:G9"/>
    <mergeCell ref="H9:I9"/>
    <mergeCell ref="J9:K9"/>
    <mergeCell ref="L9:M9"/>
    <mergeCell ref="N9:O9"/>
    <mergeCell ref="B7:O7"/>
    <mergeCell ref="D8:E8"/>
    <mergeCell ref="F8:G8"/>
    <mergeCell ref="H8:I8"/>
    <mergeCell ref="J8:K8"/>
    <mergeCell ref="L8:M8"/>
    <mergeCell ref="N8:O8"/>
    <mergeCell ref="D11:E11"/>
    <mergeCell ref="F11:G11"/>
    <mergeCell ref="H11:I11"/>
    <mergeCell ref="J11:K11"/>
    <mergeCell ref="L11:M11"/>
    <mergeCell ref="N11:O11"/>
    <mergeCell ref="D10:E10"/>
    <mergeCell ref="F10:G10"/>
    <mergeCell ref="H10:I10"/>
    <mergeCell ref="J10:K10"/>
    <mergeCell ref="L10:M10"/>
    <mergeCell ref="N10:O10"/>
    <mergeCell ref="D15:E15"/>
    <mergeCell ref="F15:G15"/>
    <mergeCell ref="H15:I15"/>
    <mergeCell ref="J15:K15"/>
    <mergeCell ref="L15:M15"/>
    <mergeCell ref="N15:O15"/>
    <mergeCell ref="Q12:Y12"/>
    <mergeCell ref="D13:E13"/>
    <mergeCell ref="F13:G13"/>
    <mergeCell ref="H13:I13"/>
    <mergeCell ref="J13:K13"/>
    <mergeCell ref="L13:M13"/>
    <mergeCell ref="N13:O13"/>
    <mergeCell ref="Q13:Q14"/>
    <mergeCell ref="B14:O14"/>
    <mergeCell ref="D12:E12"/>
    <mergeCell ref="F12:G12"/>
    <mergeCell ref="H12:I12"/>
    <mergeCell ref="J12:K12"/>
    <mergeCell ref="L12:M12"/>
    <mergeCell ref="N12:O12"/>
    <mergeCell ref="D17:E17"/>
    <mergeCell ref="F17:G17"/>
    <mergeCell ref="H17:I17"/>
    <mergeCell ref="J17:K17"/>
    <mergeCell ref="L17:M17"/>
    <mergeCell ref="N17:O17"/>
    <mergeCell ref="D16:E16"/>
    <mergeCell ref="F16:G16"/>
    <mergeCell ref="H16:I16"/>
    <mergeCell ref="J16:K16"/>
    <mergeCell ref="L16:M16"/>
    <mergeCell ref="N16:O16"/>
    <mergeCell ref="B19:O19"/>
    <mergeCell ref="D20:E20"/>
    <mergeCell ref="F20:G20"/>
    <mergeCell ref="H20:I20"/>
    <mergeCell ref="J20:K20"/>
    <mergeCell ref="L20:M20"/>
    <mergeCell ref="N20:O20"/>
    <mergeCell ref="D18:E18"/>
    <mergeCell ref="F18:G18"/>
    <mergeCell ref="H18:I18"/>
    <mergeCell ref="J18:K18"/>
    <mergeCell ref="L18:M18"/>
    <mergeCell ref="N18:O18"/>
    <mergeCell ref="D22:E22"/>
    <mergeCell ref="F22:G22"/>
    <mergeCell ref="H22:I22"/>
    <mergeCell ref="J22:K22"/>
    <mergeCell ref="L22:M22"/>
    <mergeCell ref="N22:O22"/>
    <mergeCell ref="D21:E21"/>
    <mergeCell ref="F21:G21"/>
    <mergeCell ref="H21:I21"/>
    <mergeCell ref="J21:K21"/>
    <mergeCell ref="L21:M21"/>
    <mergeCell ref="N21:O21"/>
    <mergeCell ref="B24:Y24"/>
    <mergeCell ref="B25:B27"/>
    <mergeCell ref="C25:G26"/>
    <mergeCell ref="H25:R26"/>
    <mergeCell ref="S25:V25"/>
    <mergeCell ref="W25:Y26"/>
    <mergeCell ref="S26:T26"/>
    <mergeCell ref="U26:V26"/>
    <mergeCell ref="D23:E23"/>
    <mergeCell ref="F23:G23"/>
    <mergeCell ref="H23:I23"/>
    <mergeCell ref="J23:K23"/>
    <mergeCell ref="L23:M23"/>
    <mergeCell ref="N23:O23"/>
    <mergeCell ref="B43:V43"/>
    <mergeCell ref="W43:Y51"/>
    <mergeCell ref="B44:B45"/>
    <mergeCell ref="C44:N44"/>
    <mergeCell ref="O44:Q44"/>
    <mergeCell ref="R44:V44"/>
    <mergeCell ref="B34:Y34"/>
    <mergeCell ref="B35:B36"/>
    <mergeCell ref="C35:M35"/>
    <mergeCell ref="N35:O35"/>
    <mergeCell ref="P35:R35"/>
    <mergeCell ref="S35:Y42"/>
  </mergeCells>
  <pageMargins left="0.7" right="0.7" top="0.75" bottom="0.75" header="0.3" footer="0.3"/>
  <pageSetup paperSize="11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CONTROL</dc:creator>
  <cp:lastModifiedBy>QUALITY CONTROL</cp:lastModifiedBy>
  <cp:lastPrinted>2026-09-22T11:59:15Z</cp:lastPrinted>
  <dcterms:created xsi:type="dcterms:W3CDTF">2026-09-22T11:59:02Z</dcterms:created>
  <dcterms:modified xsi:type="dcterms:W3CDTF">2026-09-22T12:00:19Z</dcterms:modified>
</cp:coreProperties>
</file>