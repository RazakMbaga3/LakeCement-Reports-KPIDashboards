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Live Master Tracker" sheetId="1" state="visible" r:id="rId1"/>
    <sheet name="Spending Tracker" sheetId="2" state="visible" r:id="rId2"/>
    <sheet name="Dependency Matrix" sheetId="3" state="visible" r:id="rId3"/>
    <sheet name="Top 10 Actions" sheetId="4" state="visible" r:id="rId4"/>
  </sheets>
  <definedNames>
    <definedName name="_xlnm._FilterDatabase" localSheetId="0" hidden="1">'Go-Live Master Tracker'!$A$5:$P$55</definedName>
    <definedName name="_xlnm.Print_Titles" localSheetId="0">'Go-Live Master Tracker'!$5:$5</definedName>
    <definedName name="_xlnm._FilterDatabase" localSheetId="1" hidden="1">'Spending Tracker'!$A$5:$O$20</definedName>
  </definedNames>
  <calcPr calcId="124519" fullCalcOnLoad="1"/>
</workbook>
</file>

<file path=xl/styles.xml><?xml version="1.0" encoding="utf-8"?>
<styleSheet xmlns="http://schemas.openxmlformats.org/spreadsheetml/2006/main">
  <numFmts count="6">
    <numFmt numFmtId="164" formatCode="yyyy-mm-dd"/>
    <numFmt numFmtId="165" formatCode="dd-mmm-yy"/>
    <numFmt numFmtId="166" formatCode="#,##0;[Red]-#,##0;&quot;–&quot;"/>
    <numFmt numFmtId="167" formatCode="0;-0;&quot;&quot;"/>
    <numFmt numFmtId="168" formatCode="ddd dd-mmm-yyyy"/>
    <numFmt numFmtId="169" formatCode="dd-mmm"/>
  </numFmts>
  <fonts count="22">
    <font>
      <name val="Calibri"/>
      <family val="2"/>
      <color theme="1"/>
      <sz val="11"/>
      <scheme val="minor"/>
    </font>
    <font>
      <name val="Calibri"/>
      <b val="1"/>
      <color rgb="00173158"/>
      <sz val="16"/>
    </font>
    <font>
      <name val="Calibri"/>
      <color rgb="005B6472"/>
      <sz val="10"/>
    </font>
    <font>
      <name val="Calibri"/>
      <b val="1"/>
      <color rgb="00FFFFFF"/>
      <sz val="10"/>
    </font>
    <font>
      <name val="Calibri"/>
      <color rgb="001F2937"/>
      <sz val="10"/>
    </font>
    <font>
      <name val="Calibri"/>
      <b val="1"/>
      <color rgb="00173158"/>
      <sz val="10"/>
    </font>
    <font>
      <name val="Calibri"/>
      <b val="1"/>
      <color rgb="00B42318"/>
      <sz val="10"/>
    </font>
    <font>
      <name val="Calibri"/>
      <color rgb="005B6472"/>
      <sz val="9"/>
    </font>
    <font>
      <name val="Calibri"/>
      <b val="1"/>
      <color rgb="00B54708"/>
      <sz val="10"/>
    </font>
    <font>
      <name val="Calibri"/>
      <b val="1"/>
      <color rgb="00175CD3"/>
      <sz val="10"/>
    </font>
    <font>
      <name val="Calibri"/>
      <b val="1"/>
      <color rgb="005B6472"/>
      <sz val="10"/>
    </font>
    <font>
      <name val="Calibri"/>
      <b val="1"/>
      <color rgb="00173158"/>
    </font>
    <font>
      <name val="Calibri"/>
      <b val="1"/>
      <color rgb="001F2937"/>
      <sz val="10"/>
    </font>
    <font>
      <name val="Calibri"/>
      <b val="1"/>
      <color rgb="00173158"/>
      <sz val="12"/>
    </font>
    <font>
      <name val="Calibri"/>
      <b val="1"/>
      <color rgb="00FFFFFF"/>
      <sz val="9"/>
    </font>
    <font>
      <name val="Calibri"/>
      <color rgb="001F2937"/>
      <sz val="9"/>
    </font>
    <font>
      <name val="Calibri"/>
      <b val="1"/>
      <color rgb="001F2937"/>
      <sz val="9"/>
    </font>
    <font>
      <name val="Calibri"/>
      <b val="1"/>
      <color rgb="000F5132"/>
      <sz val="9"/>
    </font>
    <font>
      <name val="Calibri"/>
      <i val="1"/>
      <color rgb="008A3B00"/>
      <sz val="9"/>
    </font>
    <font>
      <name val="Calibri"/>
      <b val="1"/>
      <color rgb="00F49545"/>
      <sz val="12"/>
    </font>
    <font>
      <name val="Calibri"/>
      <b val="1"/>
      <color rgb="008A3B00"/>
      <sz val="10"/>
    </font>
    <font>
      <name val="Calibri"/>
      <color rgb="00239557"/>
      <sz val="10"/>
    </font>
  </fonts>
  <fills count="13">
    <fill>
      <patternFill/>
    </fill>
    <fill>
      <patternFill patternType="gray125"/>
    </fill>
    <fill>
      <patternFill patternType="solid">
        <fgColor rgb="00F49545"/>
      </patternFill>
    </fill>
    <fill>
      <patternFill patternType="solid">
        <fgColor rgb="00173158"/>
      </patternFill>
    </fill>
    <fill>
      <patternFill patternType="solid">
        <fgColor rgb="00F6F8FB"/>
      </patternFill>
    </fill>
    <fill>
      <patternFill patternType="solid">
        <fgColor rgb="00FFFBEA"/>
      </patternFill>
    </fill>
    <fill>
      <patternFill patternType="solid">
        <fgColor rgb="00E8EDF4"/>
      </patternFill>
    </fill>
    <fill>
      <patternFill patternType="solid">
        <fgColor rgb="009AA3AF"/>
      </patternFill>
    </fill>
    <fill>
      <patternFill patternType="solid">
        <fgColor rgb="00C9D6EA"/>
      </patternFill>
    </fill>
    <fill>
      <patternFill patternType="solid">
        <fgColor rgb="00FBD5B5"/>
      </patternFill>
    </fill>
    <fill>
      <patternFill patternType="solid">
        <fgColor rgb="00E5E7EB"/>
      </patternFill>
    </fill>
    <fill>
      <patternFill patternType="solid">
        <fgColor rgb="00D7E9DF"/>
      </patternFill>
    </fill>
    <fill>
      <patternFill patternType="solid">
        <fgColor rgb="00FDEBD9"/>
      </patternFill>
    </fill>
  </fills>
  <borders count="2">
    <border>
      <left/>
      <right/>
      <top/>
      <bottom/>
      <diagonal/>
    </border>
    <border>
      <left style="thin">
        <color rgb="00D5DAE1"/>
      </left>
      <right style="thin">
        <color rgb="00D5DAE1"/>
      </right>
      <top style="thin">
        <color rgb="00D5DAE1"/>
      </top>
      <bottom style="thin">
        <color rgb="00D5DAE1"/>
      </bottom>
    </border>
  </borders>
  <cellStyleXfs count="1">
    <xf numFmtId="0" fontId="0" fillId="0" borderId="0"/>
  </cellStyleXfs>
  <cellXfs count="65">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3" fillId="3" borderId="1" applyAlignment="1" pivotButton="0" quotePrefix="0" xfId="0">
      <alignment horizontal="center" vertical="center" wrapText="1"/>
    </xf>
    <xf numFmtId="0" fontId="5" fillId="0" borderId="1" applyAlignment="1" pivotButton="0" quotePrefix="0" xfId="0">
      <alignment vertical="top" wrapText="1"/>
    </xf>
    <xf numFmtId="0" fontId="4" fillId="0" borderId="1" applyAlignment="1" pivotButton="0" quotePrefix="0" xfId="0">
      <alignment vertical="top" wrapText="1"/>
    </xf>
    <xf numFmtId="0" fontId="4" fillId="0" borderId="1" applyAlignment="1" pivotButton="0" quotePrefix="0" xfId="0">
      <alignment horizontal="center" vertical="top" wrapText="1"/>
    </xf>
    <xf numFmtId="165" fontId="4" fillId="0" borderId="1" applyAlignment="1" pivotButton="0" quotePrefix="0" xfId="0">
      <alignment horizontal="center" vertical="top" wrapText="1"/>
    </xf>
    <xf numFmtId="0" fontId="6" fillId="0" borderId="1" applyAlignment="1" pivotButton="0" quotePrefix="0" xfId="0">
      <alignment horizontal="center" vertical="top" wrapText="1"/>
    </xf>
    <xf numFmtId="0" fontId="7" fillId="0" borderId="1" applyAlignment="1" pivotButton="0" quotePrefix="0" xfId="0">
      <alignment vertical="top" wrapText="1"/>
    </xf>
    <xf numFmtId="0" fontId="5" fillId="4" borderId="1" applyAlignment="1" pivotButton="0" quotePrefix="0" xfId="0">
      <alignment vertical="top" wrapText="1"/>
    </xf>
    <xf numFmtId="0" fontId="4" fillId="4" borderId="1" applyAlignment="1" pivotButton="0" quotePrefix="0" xfId="0">
      <alignment vertical="top" wrapText="1"/>
    </xf>
    <xf numFmtId="0" fontId="4" fillId="4" borderId="1" applyAlignment="1" pivotButton="0" quotePrefix="0" xfId="0">
      <alignment horizontal="center" vertical="top" wrapText="1"/>
    </xf>
    <xf numFmtId="165" fontId="4" fillId="4" borderId="1" applyAlignment="1" pivotButton="0" quotePrefix="0" xfId="0">
      <alignment horizontal="center" vertical="top" wrapText="1"/>
    </xf>
    <xf numFmtId="0" fontId="8" fillId="4" borderId="1" applyAlignment="1" pivotButton="0" quotePrefix="0" xfId="0">
      <alignment horizontal="center" vertical="top" wrapText="1"/>
    </xf>
    <xf numFmtId="0" fontId="7" fillId="4" borderId="1" applyAlignment="1" pivotButton="0" quotePrefix="0" xfId="0">
      <alignment vertical="top" wrapText="1"/>
    </xf>
    <xf numFmtId="0" fontId="8" fillId="0" borderId="1" applyAlignment="1" pivotButton="0" quotePrefix="0" xfId="0">
      <alignment horizontal="center" vertical="top" wrapText="1"/>
    </xf>
    <xf numFmtId="0" fontId="9" fillId="0" borderId="1" applyAlignment="1" pivotButton="0" quotePrefix="0" xfId="0">
      <alignment horizontal="center" vertical="top" wrapText="1"/>
    </xf>
    <xf numFmtId="0" fontId="9" fillId="4" borderId="1" applyAlignment="1" pivotButton="0" quotePrefix="0" xfId="0">
      <alignment horizontal="center" vertical="top" wrapText="1"/>
    </xf>
    <xf numFmtId="0" fontId="6" fillId="4" borderId="1" applyAlignment="1" pivotButton="0" quotePrefix="0" xfId="0">
      <alignment horizontal="center" vertical="top" wrapText="1"/>
    </xf>
    <xf numFmtId="0" fontId="10" fillId="0" borderId="1" applyAlignment="1" pivotButton="0" quotePrefix="0" xfId="0">
      <alignment horizontal="center" vertical="top" wrapText="1"/>
    </xf>
    <xf numFmtId="0" fontId="10" fillId="4" borderId="1" applyAlignment="1" pivotButton="0" quotePrefix="0" xfId="0">
      <alignment horizontal="center" vertical="top" wrapText="1"/>
    </xf>
    <xf numFmtId="0" fontId="11" fillId="0" borderId="0" pivotButton="0" quotePrefix="0" xfId="0"/>
    <xf numFmtId="0" fontId="7" fillId="0" borderId="0" pivotButton="0" quotePrefix="0" xfId="0"/>
    <xf numFmtId="0" fontId="4" fillId="0" borderId="1" applyAlignment="1" pivotButton="0" quotePrefix="0" xfId="0">
      <alignment horizontal="center" vertical="top"/>
    </xf>
    <xf numFmtId="166" fontId="4" fillId="5" borderId="1" applyAlignment="1" pivotButton="0" quotePrefix="0" xfId="0">
      <alignment vertical="top" wrapText="1"/>
    </xf>
    <xf numFmtId="0" fontId="4" fillId="4" borderId="1" applyAlignment="1" pivotButton="0" quotePrefix="0" xfId="0">
      <alignment horizontal="center" vertical="top"/>
    </xf>
    <xf numFmtId="0" fontId="12" fillId="0" borderId="1" applyAlignment="1" pivotButton="0" quotePrefix="0" xfId="0">
      <alignment vertical="top" wrapText="1"/>
    </xf>
    <xf numFmtId="0" fontId="12" fillId="0" borderId="1" applyAlignment="1" pivotButton="0" quotePrefix="0" xfId="0">
      <alignment horizontal="center"/>
    </xf>
    <xf numFmtId="166" fontId="12" fillId="6" borderId="1" applyAlignment="1" pivotButton="0" quotePrefix="0" xfId="0">
      <alignment vertical="top" wrapText="1"/>
    </xf>
    <xf numFmtId="0" fontId="13" fillId="0" borderId="0" pivotButton="0" quotePrefix="0" xfId="0"/>
    <xf numFmtId="0" fontId="14" fillId="3" borderId="1" applyAlignment="1" pivotButton="0" quotePrefix="0" xfId="0">
      <alignment horizontal="center" vertical="bottom" textRotation="90"/>
    </xf>
    <xf numFmtId="0" fontId="5" fillId="0" borderId="1" applyAlignment="1" pivotButton="0" quotePrefix="0" xfId="0">
      <alignment vertical="center"/>
    </xf>
    <xf numFmtId="0" fontId="4" fillId="0" borderId="1" applyAlignment="1" pivotButton="0" quotePrefix="0" xfId="0">
      <alignment vertical="center"/>
    </xf>
    <xf numFmtId="0" fontId="7" fillId="0" borderId="1" applyAlignment="1" pivotButton="0" quotePrefix="0" xfId="0">
      <alignment horizontal="center" vertical="center"/>
    </xf>
    <xf numFmtId="0" fontId="12" fillId="0" borderId="1" applyAlignment="1" pivotButton="0" quotePrefix="0" xfId="0">
      <alignment horizontal="center" vertical="center"/>
    </xf>
    <xf numFmtId="0" fontId="0" fillId="7" borderId="1" applyAlignment="1" pivotButton="0" quotePrefix="0" xfId="0">
      <alignment horizontal="center" vertical="center"/>
    </xf>
    <xf numFmtId="0" fontId="0" fillId="0" borderId="1" applyAlignment="1" pivotButton="0" quotePrefix="0" xfId="0">
      <alignment horizontal="center" vertical="center"/>
    </xf>
    <xf numFmtId="0" fontId="5" fillId="8" borderId="1" applyAlignment="1" pivotButton="0" quotePrefix="0" xfId="0">
      <alignment horizontal="center" vertical="center"/>
    </xf>
    <xf numFmtId="0" fontId="5" fillId="9" borderId="1" applyAlignment="1" pivotButton="0" quotePrefix="0" xfId="0">
      <alignment horizontal="center" vertical="center"/>
    </xf>
    <xf numFmtId="0" fontId="5" fillId="10" borderId="1" applyAlignment="1" pivotButton="0" quotePrefix="0" xfId="0">
      <alignment horizontal="center" vertical="center"/>
    </xf>
    <xf numFmtId="0" fontId="12" fillId="0" borderId="1" applyAlignment="1" pivotButton="0" quotePrefix="0" xfId="0">
      <alignment horizontal="right" vertical="center"/>
    </xf>
    <xf numFmtId="167" fontId="12" fillId="6" borderId="1" applyAlignment="1" pivotButton="0" quotePrefix="0" xfId="0">
      <alignment horizontal="center" vertical="center"/>
    </xf>
    <xf numFmtId="0" fontId="15" fillId="9" borderId="1" pivotButton="0" quotePrefix="0" xfId="0"/>
    <xf numFmtId="0" fontId="15" fillId="8" borderId="1" pivotButton="0" quotePrefix="0" xfId="0"/>
    <xf numFmtId="0" fontId="15" fillId="10" borderId="1" pivotButton="0" quotePrefix="0" xfId="0"/>
    <xf numFmtId="0" fontId="14" fillId="3" borderId="1" applyAlignment="1" pivotButton="0" quotePrefix="0" xfId="0">
      <alignment horizontal="center" vertical="bottom" textRotation="90" wrapText="1"/>
    </xf>
    <xf numFmtId="165" fontId="4" fillId="0" borderId="1" applyAlignment="1" pivotButton="0" quotePrefix="0" xfId="0">
      <alignment horizontal="center" vertical="center"/>
    </xf>
    <xf numFmtId="0" fontId="16" fillId="2" borderId="1" applyAlignment="1" pivotButton="0" quotePrefix="0" xfId="0">
      <alignment horizontal="center" vertical="center"/>
    </xf>
    <xf numFmtId="0" fontId="17" fillId="11" borderId="1" applyAlignment="1" pivotButton="0" quotePrefix="0" xfId="0">
      <alignment horizontal="center" vertical="center"/>
    </xf>
    <xf numFmtId="0" fontId="14" fillId="3" borderId="1" applyAlignment="1" pivotButton="0" quotePrefix="0" xfId="0">
      <alignment horizontal="center" vertical="center"/>
    </xf>
    <xf numFmtId="0" fontId="12" fillId="6" borderId="1" applyAlignment="1" pivotButton="0" quotePrefix="0" xfId="0">
      <alignment horizontal="center" vertical="center"/>
    </xf>
    <xf numFmtId="168" fontId="4" fillId="0" borderId="1" applyAlignment="1" pivotButton="0" quotePrefix="0" xfId="0">
      <alignment horizontal="left" vertical="top"/>
    </xf>
    <xf numFmtId="0" fontId="12" fillId="6" borderId="1" applyAlignment="1" pivotButton="0" quotePrefix="0" xfId="0">
      <alignment horizontal="center" vertical="top"/>
    </xf>
    <xf numFmtId="0" fontId="12" fillId="12" borderId="1" applyAlignment="1" pivotButton="0" quotePrefix="0" xfId="0">
      <alignment vertical="top" wrapText="1"/>
    </xf>
    <xf numFmtId="168" fontId="12" fillId="12" borderId="1" applyAlignment="1" pivotButton="0" quotePrefix="0" xfId="0">
      <alignment horizontal="left" vertical="top"/>
    </xf>
    <xf numFmtId="0" fontId="18" fillId="0" borderId="0" pivotButton="0" quotePrefix="0" xfId="0"/>
    <xf numFmtId="0" fontId="19" fillId="0" borderId="1" applyAlignment="1" pivotButton="0" quotePrefix="0" xfId="0">
      <alignment horizontal="center" vertical="top"/>
    </xf>
    <xf numFmtId="169" fontId="4" fillId="0" borderId="1" applyAlignment="1" pivotButton="0" quotePrefix="0" xfId="0">
      <alignment horizontal="center" vertical="top"/>
    </xf>
    <xf numFmtId="0" fontId="20" fillId="12" borderId="1" applyAlignment="1" pivotButton="0" quotePrefix="0" xfId="0">
      <alignment horizontal="center" vertical="top"/>
    </xf>
    <xf numFmtId="0" fontId="19" fillId="4" borderId="1" applyAlignment="1" pivotButton="0" quotePrefix="0" xfId="0">
      <alignment horizontal="center" vertical="top"/>
    </xf>
    <xf numFmtId="169" fontId="4" fillId="4" borderId="1" applyAlignment="1" pivotButton="0" quotePrefix="0" xfId="0">
      <alignment horizontal="center" vertical="top"/>
    </xf>
    <xf numFmtId="0" fontId="21" fillId="0" borderId="0" pivotButton="0" quotePrefix="0" xfId="0"/>
    <xf numFmtId="0" fontId="4" fillId="0" borderId="0" pivotButton="0" quotePrefix="0" xfId="0"/>
  </cellXfs>
  <cellStyles count="1">
    <cellStyle name="Normal" xfId="0" builtinId="0" hidden="0"/>
  </cellStyles>
  <dxfs count="5">
    <dxf>
      <font>
        <name val="Calibri"/>
        <b val="1"/>
        <color rgb="009B1C1C"/>
      </font>
      <fill>
        <patternFill patternType="solid">
          <fgColor rgb="00FDE2E1"/>
          <bgColor rgb="00FDE2E1"/>
        </patternFill>
      </fill>
    </dxf>
    <dxf>
      <font>
        <name val="Calibri"/>
        <b val="1"/>
        <color rgb="008A3B00"/>
      </font>
      <fill>
        <patternFill patternType="solid">
          <fgColor rgb="00FDEBD9"/>
          <bgColor rgb="00FDEBD9"/>
        </patternFill>
      </fill>
    </dxf>
    <dxf>
      <font>
        <name val="Calibri"/>
        <b val="1"/>
        <color rgb="006B4E00"/>
      </font>
      <fill>
        <patternFill patternType="solid">
          <fgColor rgb="00FFF4CC"/>
          <bgColor rgb="00FFF4CC"/>
        </patternFill>
      </fill>
    </dxf>
    <dxf>
      <font>
        <name val="Calibri"/>
        <b val="1"/>
        <color rgb="00374151"/>
      </font>
      <fill>
        <patternFill patternType="solid">
          <fgColor rgb="00EEF1F5"/>
          <bgColor rgb="00EEF1F5"/>
        </patternFill>
      </fill>
    </dxf>
    <dxf>
      <font>
        <name val="Calibri"/>
        <b val="1"/>
        <color rgb="000F5132"/>
      </font>
      <fill>
        <patternFill patternType="solid">
          <fgColor rgb="00DDF3E6"/>
          <bgColor rgb="00DDF3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P62"/>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9" customWidth="1" min="1" max="1"/>
    <col width="16" customWidth="1" min="2" max="2"/>
    <col width="58" customWidth="1" min="3" max="3"/>
    <col width="13" customWidth="1" min="4" max="4"/>
    <col width="24" customWidth="1" min="5" max="5"/>
    <col width="18" customWidth="1" min="6" max="6"/>
    <col width="44" customWidth="1" min="7" max="7"/>
    <col width="14" customWidth="1" min="8" max="8"/>
    <col width="11" customWidth="1" min="9" max="9"/>
    <col width="32" customWidth="1" min="10" max="10"/>
    <col width="13" customWidth="1" min="11" max="11"/>
    <col width="9" customWidth="1" min="12" max="12"/>
    <col width="13" customWidth="1" min="13" max="13"/>
    <col width="14" customWidth="1" min="14" max="14"/>
    <col width="62" customWidth="1" min="15" max="15"/>
    <col width="30" customWidth="1" min="16" max="16"/>
  </cols>
  <sheetData>
    <row r="1">
      <c r="A1" s="1" t="inlineStr">
        <is>
          <t>Lake Cement MIS – Go-Live Master Tracker</t>
        </is>
      </c>
    </row>
    <row r="2">
      <c r="A2" s="2" t="inlineStr">
        <is>
          <t>Pending work before test rollout and production go-live · Evidence checked against the code, database and live server on 17-Sep-2026 · Deadlines are PROPOSED, worked back from a pilot start of Mon 5-Oct-2026 (no dates are recorded in the project) – confirm under OPS-01</t>
        </is>
      </c>
    </row>
    <row r="3" ht="4" customHeight="1">
      <c r="A3" s="3" t="n"/>
      <c r="B3" s="3" t="n"/>
      <c r="C3" s="3" t="n"/>
      <c r="D3" s="3" t="n"/>
      <c r="E3" s="3" t="n"/>
      <c r="F3" s="3" t="n"/>
      <c r="G3" s="3" t="n"/>
      <c r="H3" s="3" t="n"/>
      <c r="I3" s="3" t="n"/>
      <c r="J3" s="3" t="n"/>
      <c r="K3" s="3" t="n"/>
      <c r="L3" s="3" t="n"/>
      <c r="M3" s="3" t="n"/>
      <c r="N3" s="3" t="n"/>
      <c r="O3" s="3" t="n"/>
      <c r="P3" s="3" t="n"/>
    </row>
    <row r="5" ht="36" customHeight="1">
      <c r="A5" s="4" t="inlineStr">
        <is>
          <t>Task ID</t>
        </is>
      </c>
      <c r="B5" s="4" t="inlineStr">
        <is>
          <t>Work Stream</t>
        </is>
      </c>
      <c r="C5" s="4" t="inlineStr">
        <is>
          <t>Pending Task</t>
        </is>
      </c>
      <c r="D5" s="4" t="inlineStr">
        <is>
          <t>Status</t>
        </is>
      </c>
      <c r="E5" s="4" t="inlineStr">
        <is>
          <t>Owner</t>
        </is>
      </c>
      <c r="F5" s="4" t="inlineStr">
        <is>
          <t>Owner Department</t>
        </is>
      </c>
      <c r="G5" s="4" t="inlineStr">
        <is>
          <t>Coordination Required</t>
        </is>
      </c>
      <c r="H5" s="4" t="inlineStr">
        <is>
          <t>Dependencies</t>
        </is>
      </c>
      <c r="I5" s="4" t="inlineStr">
        <is>
          <t>Deadline</t>
        </is>
      </c>
      <c r="J5" s="4" t="inlineStr">
        <is>
          <t>Cost Responsibility</t>
        </is>
      </c>
      <c r="K5" s="4" t="inlineStr">
        <is>
          <t>Rollout Gate</t>
        </is>
      </c>
      <c r="L5" s="4" t="inlineStr">
        <is>
          <t>Priority</t>
        </is>
      </c>
      <c r="M5" s="4" t="inlineStr">
        <is>
          <t>Management Input?</t>
        </is>
      </c>
      <c r="N5" s="4" t="inlineStr">
        <is>
          <t>Cross-Dept Coordination?</t>
        </is>
      </c>
      <c r="O5" s="4" t="inlineStr">
        <is>
          <t>Current State / Evidence (verified 17-Sep-2026)</t>
        </is>
      </c>
      <c r="P5" s="4" t="inlineStr">
        <is>
          <t>Source</t>
        </is>
      </c>
    </row>
    <row r="6">
      <c r="A6" s="5" t="inlineStr">
        <is>
          <t>INF-01</t>
        </is>
      </c>
      <c r="B6" s="6" t="inlineStr">
        <is>
          <t>Hosting &amp; Infrastructure</t>
        </is>
      </c>
      <c r="C6" s="6" t="inlineStr">
        <is>
          <t>Turn on HTTPS for the MIS site: approve the hostname (atlas.lakecement.co.tz, or the interim 138.68.166.86.nip.io), create the DNS record, issue the TLS certificate, and set ALLOWED_ORIGIN / APP_URL to the https address.</t>
        </is>
      </c>
      <c r="D6" s="7" t="inlineStr">
        <is>
          <t>Not Started</t>
        </is>
      </c>
      <c r="E6" s="6" t="inlineStr">
        <is>
          <t>Teckzilla – Odoo &amp; hosting vendor (contact: Ankita)</t>
        </is>
      </c>
      <c r="F6" s="6" t="inlineStr">
        <is>
          <t>External – Odoo vendor</t>
        </is>
      </c>
      <c r="G6" s="6" t="inlineStr">
        <is>
          <t>IT (Saurabh Bhattacharya): approve hostname and create DNS record on lakecement.co.tz. MIS: retest login and invite links on the https URL.</t>
        </is>
      </c>
      <c r="H6" s="7" t="inlineStr">
        <is>
          <t>—</t>
        </is>
      </c>
      <c r="I6" s="8" t="n">
        <v>46294</v>
      </c>
      <c r="J6" s="6" t="inlineStr">
        <is>
          <t>Nil – free Let's Encrypt certificate and existing company domain; server admin effort under the Odoo vendor arrangement (SP-04)</t>
        </is>
      </c>
      <c r="K6" s="7" t="inlineStr">
        <is>
          <t>Test rollout</t>
        </is>
      </c>
      <c r="L6" s="9" t="inlineStr">
        <is>
          <t>Critical</t>
        </is>
      </c>
      <c r="M6" s="7" t="inlineStr">
        <is>
          <t>No</t>
        </is>
      </c>
      <c r="N6" s="7" t="inlineStr">
        <is>
          <t>Yes</t>
        </is>
      </c>
      <c r="O6" s="10" t="inlineStr">
        <is>
          <t>Checked 17-Sep-2026: http://138.68.166.86/api/health answers 200 (nginx 1.24.0) but port 443 refuses connections, so passwords and session tokens travel unencrypted. atlas.lakecement.co.tz does not resolve in DNS yet.</t>
        </is>
      </c>
      <c r="P6" s="10" t="inlineStr">
        <is>
          <t>Live check of production; docs/DEPLOYMENT_DIGITALOCEAN.md §2.7</t>
        </is>
      </c>
    </row>
    <row r="7">
      <c r="A7" s="11" t="inlineStr">
        <is>
          <t>INF-02</t>
        </is>
      </c>
      <c r="B7" s="12" t="inlineStr">
        <is>
          <t>Hosting &amp; Infrastructure</t>
        </is>
      </c>
      <c r="C7" s="12" t="inlineStr">
        <is>
          <t>Move nightly database backups off the application disk (second volume, object storage or network share), then run a restore drill on the production server and record the result.</t>
        </is>
      </c>
      <c r="D7" s="13" t="inlineStr">
        <is>
          <t>In Progress</t>
        </is>
      </c>
      <c r="E7" s="12" t="inlineStr">
        <is>
          <t>Teckzilla – Odoo &amp; hosting vendor (contact: Ankita)</t>
        </is>
      </c>
      <c r="F7" s="12" t="inlineStr">
        <is>
          <t>External – Odoo vendor</t>
        </is>
      </c>
      <c r="G7" s="12" t="inlineStr">
        <is>
          <t>IT: choose the backup destination and how long backups are kept. Finance: approve the storage cost. MIS: run the restore drill (npm run restore:drill).</t>
        </is>
      </c>
      <c r="H7" s="13" t="inlineStr">
        <is>
          <t>—</t>
        </is>
      </c>
      <c r="I7" s="14" t="n">
        <v>46297</v>
      </c>
      <c r="J7" s="12" t="inlineStr">
        <is>
          <t>Lake Cement – recurring storage fee, amount TBC (SP-02)</t>
        </is>
      </c>
      <c r="K7" s="13" t="inlineStr">
        <is>
          <t>Test rollout</t>
        </is>
      </c>
      <c r="L7" s="15" t="inlineStr">
        <is>
          <t>High</t>
        </is>
      </c>
      <c r="M7" s="13" t="inlineStr">
        <is>
          <t>No</t>
        </is>
      </c>
      <c r="N7" s="13" t="inlineStr">
        <is>
          <t>Yes</t>
        </is>
      </c>
      <c r="O7" s="16" t="inlineStr">
        <is>
          <t>Production health on 17-Sep reports status "degraded": the last backup is 3.7 hours old, but same_disk_as_app = true, so one disk failure loses the database and its backups together. No restore drill on the server is recorded.</t>
        </is>
      </c>
      <c r="P7" s="16" t="inlineStr">
        <is>
          <t>Live /api/health; RAID I-7; DEPLOYMENT_DIGITALOCEAN.md §4</t>
        </is>
      </c>
    </row>
    <row r="8">
      <c r="A8" s="5" t="inlineStr">
        <is>
          <t>INF-03</t>
        </is>
      </c>
      <c r="B8" s="6" t="inlineStr">
        <is>
          <t>Hosting &amp; Infrastructure</t>
        </is>
      </c>
      <c r="C8" s="6" t="inlineStr">
        <is>
          <t>Confirm which code version production is running and that the GitHub test-then-deploy pipeline is healthy (secrets set, last run green). Record the deployed commit.</t>
        </is>
      </c>
      <c r="D8" s="7" t="inlineStr">
        <is>
          <t>Not Started</t>
        </is>
      </c>
      <c r="E8" s="6" t="inlineStr">
        <is>
          <t>Razak Mbaga (MIS developer)</t>
        </is>
      </c>
      <c r="F8" s="6" t="inlineStr">
        <is>
          <t>IT / MIS</t>
        </is>
      </c>
      <c r="G8" s="6" t="inlineStr">
        <is>
          <t>Odoo vendor: server access and pm2 logs if the version cannot be read remotely.</t>
        </is>
      </c>
      <c r="H8" s="7" t="inlineStr">
        <is>
          <t>—</t>
        </is>
      </c>
      <c r="I8" s="8" t="n">
        <v>46290</v>
      </c>
      <c r="J8" s="6" t="inlineStr">
        <is>
          <t>Internal – MIS staff time, no cash cost</t>
        </is>
      </c>
      <c r="K8" s="7" t="inlineStr">
        <is>
          <t>Test rollout</t>
        </is>
      </c>
      <c r="L8" s="17" t="inlineStr">
        <is>
          <t>High</t>
        </is>
      </c>
      <c r="M8" s="7" t="inlineStr">
        <is>
          <t>No</t>
        </is>
      </c>
      <c r="N8" s="7" t="inlineStr">
        <is>
          <t>Yes</t>
        </is>
      </c>
      <c r="O8" s="10" t="inlineStr">
        <is>
          <t>The production process restarted about 06:01 UTC on 15-Sep, 3 minutes after commit 33d3691 was pushed to main, so that commit is probably what is live. This is not confirmed: the health check reports no version. RAID assumption A-1 is still open.</t>
        </is>
      </c>
      <c r="P8" s="10" t="inlineStr">
        <is>
          <t>Live /api/health uptime; git log origin/main; RAID A-1</t>
        </is>
      </c>
    </row>
    <row r="9">
      <c r="A9" s="11" t="inlineStr">
        <is>
          <t>INF-04</t>
        </is>
      </c>
      <c r="B9" s="12" t="inlineStr">
        <is>
          <t>Hosting &amp; Infrastructure</t>
        </is>
      </c>
      <c r="C9" s="12" t="inlineStr">
        <is>
          <t>Set up a private, encrypted network path from the MIS server to the production Odoo server (VPC, VPN or firewalled endpoint).</t>
        </is>
      </c>
      <c r="D9" s="13" t="inlineStr">
        <is>
          <t>Not Started</t>
        </is>
      </c>
      <c r="E9" s="12" t="inlineStr">
        <is>
          <t>Teckzilla – Odoo &amp; hosting vendor (contact: Ankita)</t>
        </is>
      </c>
      <c r="F9" s="12" t="inlineStr">
        <is>
          <t>External – Odoo vendor</t>
        </is>
      </c>
      <c r="G9" s="12" t="inlineStr">
        <is>
          <t>IT: network and security approval.</t>
        </is>
      </c>
      <c r="H9" s="13" t="inlineStr">
        <is>
          <t>ODO-01</t>
        </is>
      </c>
      <c r="I9" s="14" t="n">
        <v>46325</v>
      </c>
      <c r="J9" s="12" t="inlineStr">
        <is>
          <t>TBC – a VPN or network link may carry a cost; confirm who pays under GOV-01 (SP-05)</t>
        </is>
      </c>
      <c r="K9" s="13" t="inlineStr">
        <is>
          <t>Production go-live</t>
        </is>
      </c>
      <c r="L9" s="15" t="inlineStr">
        <is>
          <t>High</t>
        </is>
      </c>
      <c r="M9" s="13" t="inlineStr">
        <is>
          <t>No</t>
        </is>
      </c>
      <c r="N9" s="13" t="inlineStr">
        <is>
          <t>Yes</t>
        </is>
      </c>
      <c r="O9" s="16" t="inlineStr">
        <is>
          <t>The Odoo connectors call a test server (46.101.75.211) over plain HTTP, with the API key in the request body. TECHNICAL_SPEC §12 Q8 (network path) is still open.</t>
        </is>
      </c>
      <c r="P9" s="16" t="inlineStr">
        <is>
          <t>backend/.env connector hosts; TECHNICAL_SPEC.md §12 Q8; DEPLOYMENT_DIGITALOCEAN.md §5</t>
        </is>
      </c>
    </row>
    <row r="10">
      <c r="A10" s="5" t="inlineStr">
        <is>
          <t>INF-05</t>
        </is>
      </c>
      <c r="B10" s="6" t="inlineStr">
        <is>
          <t>Hosting &amp; Infrastructure</t>
        </is>
      </c>
      <c r="C10" s="6" t="inlineStr">
        <is>
          <t>Reboot test: restart the production server and confirm the site and /api/health come back with no manual step.</t>
        </is>
      </c>
      <c r="D10" s="7" t="inlineStr">
        <is>
          <t>Not Started</t>
        </is>
      </c>
      <c r="E10" s="6" t="inlineStr">
        <is>
          <t>Teckzilla – Odoo &amp; hosting vendor (contact: Ankita)</t>
        </is>
      </c>
      <c r="F10" s="6" t="inlineStr">
        <is>
          <t>External – Odoo vendor</t>
        </is>
      </c>
      <c r="G10" s="6" t="inlineStr">
        <is>
          <t>MIS: confirm the health check and login afterwards.</t>
        </is>
      </c>
      <c r="H10" s="7" t="inlineStr">
        <is>
          <t>INF-01</t>
        </is>
      </c>
      <c r="I10" s="8" t="n">
        <v>46297</v>
      </c>
      <c r="J10" s="6" t="inlineStr">
        <is>
          <t>Nil – no cash cost</t>
        </is>
      </c>
      <c r="K10" s="7" t="inlineStr">
        <is>
          <t>Test rollout</t>
        </is>
      </c>
      <c r="L10" s="18" t="inlineStr">
        <is>
          <t>Medium</t>
        </is>
      </c>
      <c r="M10" s="7" t="inlineStr">
        <is>
          <t>No</t>
        </is>
      </c>
      <c r="N10" s="7" t="inlineStr">
        <is>
          <t>Yes</t>
        </is>
      </c>
      <c r="O10" s="10" t="inlineStr">
        <is>
          <t>Required by the deployment guide's 'verify before calling it done' list. There is no record that it has been done.</t>
        </is>
      </c>
      <c r="P10" s="10" t="inlineStr">
        <is>
          <t>DEPLOYMENT_DIGITALOCEAN.md §2.8</t>
        </is>
      </c>
    </row>
    <row r="11">
      <c r="A11" s="11" t="inlineStr">
        <is>
          <t>INF-06</t>
        </is>
      </c>
      <c r="B11" s="12" t="inlineStr">
        <is>
          <t>Hosting &amp; Infrastructure</t>
        </is>
      </c>
      <c r="C11" s="12" t="inlineStr">
        <is>
          <t>Move the code repository and deploy keys from the personal GitHub account (RazakMbaga3) to a company-owned GitHub organisation, keeping the test-before-deploy gate.</t>
        </is>
      </c>
      <c r="D11" s="13" t="inlineStr">
        <is>
          <t>Awaiting Decision</t>
        </is>
      </c>
      <c r="E11" s="12" t="inlineStr">
        <is>
          <t>Saurabh Bhattacharya (IT HOD)</t>
        </is>
      </c>
      <c r="F11" s="12" t="inlineStr">
        <is>
          <t>IT</t>
        </is>
      </c>
      <c r="G11" s="12" t="inlineStr">
        <is>
          <t>Management: approve company ownership. MIS: transfer the repository. Odoo vendor: update the server's deploy key.</t>
        </is>
      </c>
      <c r="H11" s="13" t="inlineStr">
        <is>
          <t>GOV-01</t>
        </is>
      </c>
      <c r="I11" s="14" t="n">
        <v>46325</v>
      </c>
      <c r="J11" s="12" t="inlineStr">
        <is>
          <t>IT – possible GitHub paid plan for a company organisation, TBC (SP-11)</t>
        </is>
      </c>
      <c r="K11" s="13" t="inlineStr">
        <is>
          <t>Production go-live</t>
        </is>
      </c>
      <c r="L11" s="19" t="inlineStr">
        <is>
          <t>Medium</t>
        </is>
      </c>
      <c r="M11" s="13" t="inlineStr">
        <is>
          <t>Yes</t>
        </is>
      </c>
      <c r="N11" s="13" t="inlineStr">
        <is>
          <t>Yes</t>
        </is>
      </c>
      <c r="O11" s="16" t="inlineStr">
        <is>
          <t>Production pulls its code from github.com/RazakMbaga3/LakeCement-Reports-KPIDashboards. A company system of record depends on one person's account, which is a continuity and access risk.</t>
        </is>
      </c>
      <c r="P11" s="16" t="inlineStr">
        <is>
          <t>DEPLOYMENT_DIGITALOCEAN.md §0</t>
        </is>
      </c>
    </row>
    <row r="12">
      <c r="A12" s="5" t="inlineStr">
        <is>
          <t>SEC-01</t>
        </is>
      </c>
      <c r="B12" s="6" t="inlineStr">
        <is>
          <t>Security</t>
        </is>
      </c>
      <c r="C12" s="6" t="inlineStr">
        <is>
          <t>Check, and if needed change, the Odoo-bundled Postgres superuser password (openpg), which ships with a publicly documented default, on every server where it exists.</t>
        </is>
      </c>
      <c r="D12" s="7" t="inlineStr">
        <is>
          <t>Not Started</t>
        </is>
      </c>
      <c r="E12" s="6" t="inlineStr">
        <is>
          <t>Teckzilla – Odoo &amp; hosting vendor (contact: Ankita)</t>
        </is>
      </c>
      <c r="F12" s="6" t="inlineStr">
        <is>
          <t>External – Odoo vendor</t>
        </is>
      </c>
      <c r="G12" s="6" t="inlineStr">
        <is>
          <t>IT: confirm which servers run the Odoo-bundled Postgres.</t>
        </is>
      </c>
      <c r="H12" s="7" t="inlineStr">
        <is>
          <t>—</t>
        </is>
      </c>
      <c r="I12" s="8" t="n">
        <v>46295</v>
      </c>
      <c r="J12" s="6" t="inlineStr">
        <is>
          <t>Nil – no cash cost</t>
        </is>
      </c>
      <c r="K12" s="7" t="inlineStr">
        <is>
          <t>Test rollout</t>
        </is>
      </c>
      <c r="L12" s="17" t="inlineStr">
        <is>
          <t>High</t>
        </is>
      </c>
      <c r="M12" s="7" t="inlineStr">
        <is>
          <t>No</t>
        </is>
      </c>
      <c r="N12" s="7" t="inlineStr">
        <is>
          <t>Yes</t>
        </is>
      </c>
      <c r="O12" s="10" t="inlineStr">
        <is>
          <t>RAID R-4 is unverified. It cannot be closed from the code and needs a live database check.</t>
        </is>
      </c>
      <c r="P12" s="10" t="inlineStr">
        <is>
          <t>RAID_LOG R-4; GO_LIVE_CHECKLIST §3</t>
        </is>
      </c>
    </row>
    <row r="13">
      <c r="A13" s="11" t="inlineStr">
        <is>
          <t>SEC-02</t>
        </is>
      </c>
      <c r="B13" s="12" t="inlineStr">
        <is>
          <t>Security</t>
        </is>
      </c>
      <c r="C13" s="12" t="inlineStr">
        <is>
          <t>Remove test and scratch accounts before real users log in (uitest_verify has admin rights), and decide whether the automation accounts import-pm / import-production stay active.</t>
        </is>
      </c>
      <c r="D13" s="13" t="inlineStr">
        <is>
          <t>Not Started</t>
        </is>
      </c>
      <c r="E13" s="12" t="inlineStr">
        <is>
          <t>Razak Mbaga (MIS developer)</t>
        </is>
      </c>
      <c r="F13" s="12" t="inlineStr">
        <is>
          <t>IT / MIS</t>
        </is>
      </c>
      <c r="G13" s="12" t="inlineStr">
        <is>
          <t>IT HOD: sign off the removal list. Check the production database as well as the local one.</t>
        </is>
      </c>
      <c r="H13" s="13" t="inlineStr">
        <is>
          <t>—</t>
        </is>
      </c>
      <c r="I13" s="14" t="n">
        <v>46295</v>
      </c>
      <c r="J13" s="12" t="inlineStr">
        <is>
          <t>Nil – no cash cost</t>
        </is>
      </c>
      <c r="K13" s="13" t="inlineStr">
        <is>
          <t>Test rollout</t>
        </is>
      </c>
      <c r="L13" s="20" t="inlineStr">
        <is>
          <t>Critical</t>
        </is>
      </c>
      <c r="M13" s="13" t="inlineStr">
        <is>
          <t>No</t>
        </is>
      </c>
      <c r="N13" s="13" t="inlineStr">
        <is>
          <t>Yes</t>
        </is>
      </c>
      <c r="O13" s="16" t="inlineStr">
        <is>
          <t>In the local database on 17-Sep, uitest_verify is still active with role = admin, and import-pm and import-production are active. ap_md and ap_production are already gone locally. The production database has not been checked.</t>
        </is>
      </c>
      <c r="P13" s="16" t="inlineStr">
        <is>
          <t>Local DB query 17-Sep; USER_ACCOUNT_STANDARDIZATION.md §B.5</t>
        </is>
      </c>
    </row>
    <row r="14">
      <c r="A14" s="5" t="inlineStr">
        <is>
          <t>SEC-03</t>
        </is>
      </c>
      <c r="B14" s="6" t="inlineStr">
        <is>
          <t>Security</t>
        </is>
      </c>
      <c r="C14" s="6" t="inlineStr">
        <is>
          <t>Retire every default password: send invite or reset links to all active accounts, rotate admin, and change the temporary passwords set for the stores and pm import scripts.</t>
        </is>
      </c>
      <c r="D14" s="7" t="inlineStr">
        <is>
          <t>Blocked</t>
        </is>
      </c>
      <c r="E14" s="6" t="inlineStr">
        <is>
          <t>Razak Mbaga (MIS developer)</t>
        </is>
      </c>
      <c r="F14" s="6" t="inlineStr">
        <is>
          <t>IT / MIS</t>
        </is>
      </c>
      <c r="G14" s="6" t="inlineStr">
        <is>
          <t>IT: email must work first (EML-01). All HODs: make sure each holder completes set-password.</t>
        </is>
      </c>
      <c r="H14" s="7" t="inlineStr">
        <is>
          <t>EML-01, ACC-03, INF-01</t>
        </is>
      </c>
      <c r="I14" s="8" t="n">
        <v>46297</v>
      </c>
      <c r="J14" s="6" t="inlineStr">
        <is>
          <t>Nil – no cash cost</t>
        </is>
      </c>
      <c r="K14" s="7" t="inlineStr">
        <is>
          <t>Test rollout</t>
        </is>
      </c>
      <c r="L14" s="9" t="inlineStr">
        <is>
          <t>Critical</t>
        </is>
      </c>
      <c r="M14" s="7" t="inlineStr">
        <is>
          <t>No</t>
        </is>
      </c>
      <c r="N14" s="7" t="inlineStr">
        <is>
          <t>Yes</t>
        </is>
      </c>
      <c r="O14" s="10" t="inlineStr">
        <is>
          <t>In the local database on 17-Sep, 37 of 46 active accounts are still flagged must-change-password, and the seed passwords are committed in backend/db/seed.js. The invite flow is built but cannot send email.</t>
        </is>
      </c>
      <c r="P14" s="10" t="inlineStr">
        <is>
          <t>Local DB query 17-Sep; USER_ACCOUNT_STANDARDIZATION.md §B.3</t>
        </is>
      </c>
    </row>
    <row r="15">
      <c r="A15" s="11" t="inlineStr">
        <is>
          <t>SEC-04</t>
        </is>
      </c>
      <c r="B15" s="12" t="inlineStr">
        <is>
          <t>Security</t>
        </is>
      </c>
      <c r="C15" s="12" t="inlineStr">
        <is>
          <t>Ratify the two approval rules set on the Plant Head's behalf: DEC-003 (E&amp;I HOD approves Power Consumption, P&amp;M keeps submit) and DEC-004 (Packing submits Dispatch &amp; SO, Logistics approves).</t>
        </is>
      </c>
      <c r="D15" s="13" t="inlineStr">
        <is>
          <t>Awaiting Decision</t>
        </is>
      </c>
      <c r="E15" s="12" t="inlineStr">
        <is>
          <t>Pavan Gandhi (Plant Head / COO)</t>
        </is>
      </c>
      <c r="F15" s="12" t="inlineStr">
        <is>
          <t>Operations</t>
        </is>
      </c>
      <c r="G15" s="12" t="inlineStr">
        <is>
          <t>E&amp;I (Lokesh Thota), P&amp;M HOD (name not yet given), Packing (Jatinder Dogra), Logistics (Pradeep Kumar).</t>
        </is>
      </c>
      <c r="H15" s="13" t="inlineStr">
        <is>
          <t>—</t>
        </is>
      </c>
      <c r="I15" s="14" t="n">
        <v>46289</v>
      </c>
      <c r="J15" s="12" t="inlineStr">
        <is>
          <t>Nil – no cash cost</t>
        </is>
      </c>
      <c r="K15" s="13" t="inlineStr">
        <is>
          <t>Test rollout</t>
        </is>
      </c>
      <c r="L15" s="15" t="inlineStr">
        <is>
          <t>High</t>
        </is>
      </c>
      <c r="M15" s="13" t="inlineStr">
        <is>
          <t>Yes</t>
        </is>
      </c>
      <c r="N15" s="13" t="inlineStr">
        <is>
          <t>Yes</t>
        </is>
      </c>
      <c r="O15" s="16" t="inlineStr">
        <is>
          <t>Both decisions were recorded by the developer 'on behalf of the Plant Head' and are marked 'should be confirmed with them'.</t>
        </is>
      </c>
      <c r="P15" s="16" t="inlineStr">
        <is>
          <t>docs/pm/DECISIONS.md DEC-003, DEC-004</t>
        </is>
      </c>
    </row>
    <row r="16">
      <c r="A16" s="5" t="inlineStr">
        <is>
          <t>SEC-05</t>
        </is>
      </c>
      <c r="B16" s="6" t="inlineStr">
        <is>
          <t>Security</t>
        </is>
      </c>
      <c r="C16" s="6" t="inlineStr">
        <is>
          <t>Decide the open access-policy gaps: (a) monthly MIS exports are readable by every role; (b) KPI viewing is restricted in the browser only, not on the server; (c) Sajiv Kumar (GM + Purchase HOD) and IPN Pathak (SBH + Sales HOD) only have their department's access.</t>
        </is>
      </c>
      <c r="D16" s="7" t="inlineStr">
        <is>
          <t>Awaiting Decision</t>
        </is>
      </c>
      <c r="E16" s="6" t="inlineStr">
        <is>
          <t>Pavan Gandhi (Plant Head / COO)</t>
        </is>
      </c>
      <c r="F16" s="6" t="inlineStr">
        <is>
          <t>Operations</t>
        </is>
      </c>
      <c r="G16" s="6" t="inlineStr">
        <is>
          <t>IT HOD. Purchase (Sajiv Kumar) and Sales (IPN Pathak) on their own access. MIS implements.</t>
        </is>
      </c>
      <c r="H16" s="7" t="inlineStr">
        <is>
          <t>—</t>
        </is>
      </c>
      <c r="I16" s="8" t="n">
        <v>46289</v>
      </c>
      <c r="J16" s="6" t="inlineStr">
        <is>
          <t>Nil – no cash cost</t>
        </is>
      </c>
      <c r="K16" s="7" t="inlineStr">
        <is>
          <t>Test rollout</t>
        </is>
      </c>
      <c r="L16" s="18" t="inlineStr">
        <is>
          <t>Medium</t>
        </is>
      </c>
      <c r="M16" s="7" t="inlineStr">
        <is>
          <t>Yes</t>
        </is>
      </c>
      <c r="N16" s="7" t="inlineStr">
        <is>
          <t>Yes</t>
        </is>
      </c>
      <c r="O16" s="10" t="inlineStr">
        <is>
          <t>Listed under 'Known gaps' 1 and 3 in the access model. Frontend-only KPI view gating is open decision 3 of the functional audit.</t>
        </is>
      </c>
      <c r="P16" s="10" t="inlineStr">
        <is>
          <t>docs/ACCESS_MODEL.md Known gaps; USER_ACCOUNT_STANDARDIZATION.md C2</t>
        </is>
      </c>
    </row>
    <row r="17">
      <c r="A17" s="11" t="inlineStr">
        <is>
          <t>ACC-01</t>
        </is>
      </c>
      <c r="B17" s="12" t="inlineStr">
        <is>
          <t>User Accounts &amp; Access</t>
        </is>
      </c>
      <c r="C17" s="12" t="inlineStr">
        <is>
          <t>Decide the account policy: (a) staff without a company mailbox (shift operators, weighbridge): create mailboxes or allow a supervised shared login; (b) three accounts per department or one per person who enters data; (c) who approves an access request.</t>
        </is>
      </c>
      <c r="D17" s="13" t="inlineStr">
        <is>
          <t>Awaiting Decision</t>
        </is>
      </c>
      <c r="E17" s="12" t="inlineStr">
        <is>
          <t>Pavan Gandhi (Plant Head / COO)</t>
        </is>
      </c>
      <c r="F17" s="12" t="inlineStr">
        <is>
          <t>Operations</t>
        </is>
      </c>
      <c r="G17" s="12" t="inlineStr">
        <is>
          <t>IT HOD: mailbox provisioning. HR (Sophia Mkassi): staff records. Finance: licence cost if new mailboxes are needed.</t>
        </is>
      </c>
      <c r="H17" s="13" t="inlineStr">
        <is>
          <t>—</t>
        </is>
      </c>
      <c r="I17" s="14" t="n">
        <v>46289</v>
      </c>
      <c r="J17" s="12" t="inlineStr">
        <is>
          <t>IT – Microsoft 365 licences only if new mailboxes are created (SP-10)</t>
        </is>
      </c>
      <c r="K17" s="13" t="inlineStr">
        <is>
          <t>Test rollout</t>
        </is>
      </c>
      <c r="L17" s="15" t="inlineStr">
        <is>
          <t>High</t>
        </is>
      </c>
      <c r="M17" s="13" t="inlineStr">
        <is>
          <t>Yes</t>
        </is>
      </c>
      <c r="N17" s="13" t="inlineStr">
        <is>
          <t>Yes</t>
        </is>
      </c>
      <c r="O17" s="16" t="inlineStr">
        <is>
          <t>Open questions F.2–F.4 in the account standardisation plan are unanswered.</t>
        </is>
      </c>
      <c r="P17" s="16" t="inlineStr">
        <is>
          <t>USER_ACCOUNT_STANDARDIZATION.md §F</t>
        </is>
      </c>
    </row>
    <row r="18">
      <c r="A18" s="5" t="inlineStr">
        <is>
          <t>ACC-02</t>
        </is>
      </c>
      <c r="B18" s="6" t="inlineStr">
        <is>
          <t>User Accounts &amp; Access</t>
        </is>
      </c>
      <c r="C18" s="6" t="inlineStr">
        <is>
          <t>Collect the holder's name, company email, mobile and staff number for every account: the 33 unnamed Senior and Officer (L2/L3) slots, plus the MD (email missing) and the P&amp;M HOD (no name given).</t>
        </is>
      </c>
      <c r="D18" s="7" t="inlineStr">
        <is>
          <t>In Progress</t>
        </is>
      </c>
      <c r="E18" s="6" t="inlineStr">
        <is>
          <t>Saurabh Bhattacharya (IT HOD)</t>
        </is>
      </c>
      <c r="F18" s="6" t="inlineStr">
        <is>
          <t>IT</t>
        </is>
      </c>
      <c r="G18" s="6" t="inlineStr">
        <is>
          <t>All 15 HODs: return the user-list template (docs/email-drafts/LCL_MIS_User_List_Template.xlsx). HR: staff numbers.</t>
        </is>
      </c>
      <c r="H18" s="7" t="inlineStr">
        <is>
          <t>ACC-01</t>
        </is>
      </c>
      <c r="I18" s="8" t="n">
        <v>46294</v>
      </c>
      <c r="J18" s="6" t="inlineStr">
        <is>
          <t>Nil – no cash cost</t>
        </is>
      </c>
      <c r="K18" s="7" t="inlineStr">
        <is>
          <t>Test rollout</t>
        </is>
      </c>
      <c r="L18" s="9" t="inlineStr">
        <is>
          <t>Critical</t>
        </is>
      </c>
      <c r="M18" s="7" t="inlineStr">
        <is>
          <t>No</t>
        </is>
      </c>
      <c r="N18" s="7" t="inlineStr">
        <is>
          <t>Yes</t>
        </is>
      </c>
      <c r="O18" s="10" t="inlineStr">
        <is>
          <t>14 of 17 HOD slots were named with emails on 3-Sep. In the local database on 17-Sep, 14 of 46 active accounts have an email. All 33 L2/L3 slots are still unnamed.</t>
        </is>
      </c>
      <c r="P18" s="10" t="inlineStr">
        <is>
          <t>USER_ACCOUNT_STANDARDIZATION.md §C2; local DB query 17-Sep</t>
        </is>
      </c>
    </row>
    <row r="19">
      <c r="A19" s="11" t="inlineStr">
        <is>
          <t>ACC-03</t>
        </is>
      </c>
      <c r="B19" s="12" t="inlineStr">
        <is>
          <t>User Accounts &amp; Access</t>
        </is>
      </c>
      <c r="C19" s="12" t="inlineStr">
        <is>
          <t>Load the returned names in the admin screen, confirm each person's department and level with their HOD (a wrong department means wrong data access), and deactivate unclaimed slots. Never delete accounts.</t>
        </is>
      </c>
      <c r="D19" s="13" t="inlineStr">
        <is>
          <t>Not Started</t>
        </is>
      </c>
      <c r="E19" s="12" t="inlineStr">
        <is>
          <t>Razak Mbaga (MIS developer)</t>
        </is>
      </c>
      <c r="F19" s="12" t="inlineStr">
        <is>
          <t>IT / MIS</t>
        </is>
      </c>
      <c r="G19" s="12" t="inlineStr">
        <is>
          <t>Each HOD confirms their people's department and level before accounts are applied.</t>
        </is>
      </c>
      <c r="H19" s="13" t="inlineStr">
        <is>
          <t>ACC-02</t>
        </is>
      </c>
      <c r="I19" s="14" t="n">
        <v>46296</v>
      </c>
      <c r="J19" s="12" t="inlineStr">
        <is>
          <t>Nil – no cash cost</t>
        </is>
      </c>
      <c r="K19" s="13" t="inlineStr">
        <is>
          <t>Test rollout</t>
        </is>
      </c>
      <c r="L19" s="20" t="inlineStr">
        <is>
          <t>Critical</t>
        </is>
      </c>
      <c r="M19" s="13" t="inlineStr">
        <is>
          <t>No</t>
        </is>
      </c>
      <c r="N19" s="13" t="inlineStr">
        <is>
          <t>Yes</t>
        </is>
      </c>
      <c r="O19" s="16" t="inlineStr">
        <is>
          <t>The admin-users screen and provisioning script are built. On 3-Sep a handwritten sheet put the E&amp;I HOD in the wrong department, which is why each mapping needs confirming.</t>
        </is>
      </c>
      <c r="P19" s="16" t="inlineStr">
        <is>
          <t>docs/ACCESS_MODEL.md; project notes 3-Sep</t>
        </is>
      </c>
    </row>
    <row r="20">
      <c r="A20" s="5" t="inlineStr">
        <is>
          <t>ACC-04</t>
        </is>
      </c>
      <c r="B20" s="6" t="inlineStr">
        <is>
          <t>User Accounts &amp; Access</t>
        </is>
      </c>
      <c r="C20" s="6" t="inlineStr">
        <is>
          <t>Update LCL_Access_Matrix_2026.xlsx to the 15 current departments and the L1/L2/L3 rules now enforced.</t>
        </is>
      </c>
      <c r="D20" s="7" t="inlineStr">
        <is>
          <t>Not Started</t>
        </is>
      </c>
      <c r="E20" s="6" t="inlineStr">
        <is>
          <t>Saurabh Bhattacharya (IT HOD)</t>
        </is>
      </c>
      <c r="F20" s="6" t="inlineStr">
        <is>
          <t>IT</t>
        </is>
      </c>
      <c r="G20" s="6" t="inlineStr">
        <is>
          <t>MIS: print the live matrix (npm run access:matrix).</t>
        </is>
      </c>
      <c r="H20" s="7" t="inlineStr">
        <is>
          <t>SEC-04, SEC-05</t>
        </is>
      </c>
      <c r="I20" s="8" t="n">
        <v>46325</v>
      </c>
      <c r="J20" s="6" t="inlineStr">
        <is>
          <t>Nil – no cash cost</t>
        </is>
      </c>
      <c r="K20" s="7" t="inlineStr">
        <is>
          <t>Production go-live</t>
        </is>
      </c>
      <c r="L20" s="21" t="inlineStr">
        <is>
          <t>Low</t>
        </is>
      </c>
      <c r="M20" s="7" t="inlineStr">
        <is>
          <t>No</t>
        </is>
      </c>
      <c r="N20" s="7" t="inlineStr">
        <is>
          <t>Yes</t>
        </is>
      </c>
      <c r="O20" s="10" t="inlineStr">
        <is>
          <t>The matrix lists 11 departments and predates Purchase, E&amp;I, Packing and Sales becoming departments in the system.</t>
        </is>
      </c>
      <c r="P20" s="10" t="inlineStr">
        <is>
          <t>USER_ACCOUNT_STANDARDIZATION.md §B.6</t>
        </is>
      </c>
    </row>
    <row r="21">
      <c r="A21" s="11" t="inlineStr">
        <is>
          <t>EML-01</t>
        </is>
      </c>
      <c r="B21" s="12" t="inlineStr">
        <is>
          <t>Email &amp; Alerts</t>
        </is>
      </c>
      <c r="C21" s="12" t="inlineStr">
        <is>
          <t>Enable SMTP AUTH for the digital@lakecement.co.tz mailbox in Microsoft 365 (or authorise sending through the Microsoft Graph API), then confirm the same mail settings on the production server.</t>
        </is>
      </c>
      <c r="D21" s="13" t="inlineStr">
        <is>
          <t>Not Started</t>
        </is>
      </c>
      <c r="E21" s="12" t="inlineStr">
        <is>
          <t>Saurabh Bhattacharya (IT HOD)</t>
        </is>
      </c>
      <c r="F21" s="12" t="inlineStr">
        <is>
          <t>IT</t>
        </is>
      </c>
      <c r="G21" s="12" t="inlineStr">
        <is>
          <t>MIS: re-run the email acceptance test (accept:phase6). Odoo vendor: mail settings in the production .env.</t>
        </is>
      </c>
      <c r="H21" s="13" t="inlineStr">
        <is>
          <t>—</t>
        </is>
      </c>
      <c r="I21" s="14" t="n">
        <v>46290</v>
      </c>
      <c r="J21" s="12" t="inlineStr">
        <is>
          <t>Nil for the SMTP AUTH setting; the Graph API route costs internal development time only (SP-09)</t>
        </is>
      </c>
      <c r="K21" s="13" t="inlineStr">
        <is>
          <t>Test rollout</t>
        </is>
      </c>
      <c r="L21" s="20" t="inlineStr">
        <is>
          <t>Critical</t>
        </is>
      </c>
      <c r="M21" s="13" t="inlineStr">
        <is>
          <t>No</t>
        </is>
      </c>
      <c r="N21" s="13" t="inlineStr">
        <is>
          <t>Yes</t>
        </is>
      </c>
      <c r="O21" s="16" t="inlineStr">
        <is>
          <t>A real send on 13-Sep returned '535 5.7.139 SmtpClientAuthentication is disabled for the Tenant'. This blocks invites, password resets, email verification, the 06:00 KPI digest and watchdog alerts.</t>
        </is>
      </c>
      <c r="P21" s="16" t="inlineStr">
        <is>
          <t>RAID R-6; accept:phase6 run 13-Sep</t>
        </is>
      </c>
    </row>
    <row r="22">
      <c r="A22" s="5" t="inlineStr">
        <is>
          <t>EML-02</t>
        </is>
      </c>
      <c r="B22" s="6" t="inlineStr">
        <is>
          <t>Email &amp; Alerts</t>
        </is>
      </c>
      <c r="C22" s="6" t="inlineStr">
        <is>
          <t>Name who receives the 06:00 daily KPI digest and who receives system alerts. Alerts should include IT.</t>
        </is>
      </c>
      <c r="D22" s="7" t="inlineStr">
        <is>
          <t>Awaiting Decision</t>
        </is>
      </c>
      <c r="E22" s="6" t="inlineStr">
        <is>
          <t>Pavan Gandhi (Plant Head / COO)</t>
        </is>
      </c>
      <c r="F22" s="6" t="inlineStr">
        <is>
          <t>Operations</t>
        </is>
      </c>
      <c r="G22" s="6" t="inlineStr">
        <is>
          <t>MD (Kush Patel) and IT HOD.</t>
        </is>
      </c>
      <c r="H22" s="7" t="inlineStr">
        <is>
          <t>—</t>
        </is>
      </c>
      <c r="I22" s="8" t="n">
        <v>46289</v>
      </c>
      <c r="J22" s="6" t="inlineStr">
        <is>
          <t>Nil – no cash cost</t>
        </is>
      </c>
      <c r="K22" s="7" t="inlineStr">
        <is>
          <t>Test rollout</t>
        </is>
      </c>
      <c r="L22" s="17" t="inlineStr">
        <is>
          <t>High</t>
        </is>
      </c>
      <c r="M22" s="7" t="inlineStr">
        <is>
          <t>Yes</t>
        </is>
      </c>
      <c r="N22" s="7" t="inlineStr">
        <is>
          <t>Yes</t>
        </is>
      </c>
      <c r="O22" s="10" t="inlineStr">
        <is>
          <t>On 17-Sep, DIGEST_TO is empty and ALERT_TO is missing from backend/.env. This is a business decision, not an IT task.</t>
        </is>
      </c>
      <c r="P22" s="10" t="inlineStr">
        <is>
          <t>backend/.env key check 17-Sep; RAID D-2</t>
        </is>
      </c>
    </row>
    <row r="23">
      <c r="A23" s="11" t="inlineStr">
        <is>
          <t>EML-03</t>
        </is>
      </c>
      <c r="B23" s="12" t="inlineStr">
        <is>
          <t>Email &amp; Alerts</t>
        </is>
      </c>
      <c r="C23" s="12" t="inlineStr">
        <is>
          <t>Set the digest and alert recipients on the production server, send a test digest and a forced watchdog alert, and confirm both arrive.</t>
        </is>
      </c>
      <c r="D23" s="13" t="inlineStr">
        <is>
          <t>Blocked</t>
        </is>
      </c>
      <c r="E23" s="12" t="inlineStr">
        <is>
          <t>Razak Mbaga (MIS developer)</t>
        </is>
      </c>
      <c r="F23" s="12" t="inlineStr">
        <is>
          <t>IT / MIS</t>
        </is>
      </c>
      <c r="G23" s="12" t="inlineStr">
        <is>
          <t>Odoo vendor: production .env. Recipients: confirm receipt.</t>
        </is>
      </c>
      <c r="H23" s="13" t="inlineStr">
        <is>
          <t>EML-01, EML-02, INF-01</t>
        </is>
      </c>
      <c r="I23" s="14" t="n">
        <v>46296</v>
      </c>
      <c r="J23" s="12" t="inlineStr">
        <is>
          <t>Nil – no cash cost</t>
        </is>
      </c>
      <c r="K23" s="13" t="inlineStr">
        <is>
          <t>Test rollout</t>
        </is>
      </c>
      <c r="L23" s="15" t="inlineStr">
        <is>
          <t>High</t>
        </is>
      </c>
      <c r="M23" s="13" t="inlineStr">
        <is>
          <t>No</t>
        </is>
      </c>
      <c r="N23" s="13" t="inlineStr">
        <is>
          <t>Yes</t>
        </is>
      </c>
      <c r="O23" s="16" t="inlineStr">
        <is>
          <t>Waiting on EML-01 (the tenant blocks sending) and EML-02 (no recipients named).</t>
        </is>
      </c>
      <c r="P23" s="16" t="inlineStr">
        <is>
          <t>GO_LIVE_CHECKLIST §4</t>
        </is>
      </c>
    </row>
    <row r="24">
      <c r="A24" s="5" t="inlineStr">
        <is>
          <t>ODO-01</t>
        </is>
      </c>
      <c r="B24" s="6" t="inlineStr">
        <is>
          <t>Odoo Integration</t>
        </is>
      </c>
      <c r="C24" s="6" t="inlineStr">
        <is>
          <t>Connect the MIS to the production Odoo database: deploy the four existing report endpoints (dispatch, mining, sales dashboard, purchase dashboard) on the production Odoo host and issue its URL and API key, or refresh the test copy daily.</t>
        </is>
      </c>
      <c r="D24" s="7" t="inlineStr">
        <is>
          <t>Not Started</t>
        </is>
      </c>
      <c r="E24" s="6" t="inlineStr">
        <is>
          <t>Teckzilla – Odoo &amp; hosting vendor (contact: Ankita)</t>
        </is>
      </c>
      <c r="F24" s="6" t="inlineStr">
        <is>
          <t>External – Odoo vendor</t>
        </is>
      </c>
      <c r="G24" s="6" t="inlineStr">
        <is>
          <t>IT HOD: network and approval. MIS: switch two .env values and re-verify. Management: escalate if no delivery date is committed.</t>
        </is>
      </c>
      <c r="H24" s="7" t="inlineStr">
        <is>
          <t>—</t>
        </is>
      </c>
      <c r="I24" s="8" t="n">
        <v>46311</v>
      </c>
      <c r="J24" s="6" t="inlineStr">
        <is>
          <t>Odoo vendor – confirm whether this is in the current contract or a chargeable change (GOV-01, SP-06)</t>
        </is>
      </c>
      <c r="K24" s="7" t="inlineStr">
        <is>
          <t>Production go-live</t>
        </is>
      </c>
      <c r="L24" s="17" t="inlineStr">
        <is>
          <t>High</t>
        </is>
      </c>
      <c r="M24" s="7" t="inlineStr">
        <is>
          <t>Yes</t>
        </is>
      </c>
      <c r="N24" s="7" t="inlineStr">
        <is>
          <t>Yes</t>
        </is>
      </c>
      <c r="O24" s="10" t="inlineStr">
        <is>
          <t>Every connector points at test database lcl_test_28_3, a snapshot from 28-Mar-2026. A re-test on 8-Sep found no sales, purchase or mining records after March 2026, so the Sales, Purchases and Quarry auto-sync views have no current data. There is no record in the project that the production request was sent or accepted.</t>
        </is>
      </c>
      <c r="P24" s="10" t="inlineStr">
        <is>
          <t>Odoo re-test 8-Sep; RAID R-1; PROJECT_STATE go-live blockers</t>
        </is>
      </c>
    </row>
    <row r="25">
      <c r="A25" s="11" t="inlineStr">
        <is>
          <t>ODO-02</t>
        </is>
      </c>
      <c r="B25" s="12" t="inlineStr">
        <is>
          <t>Odoo Integration</t>
        </is>
      </c>
      <c r="C25" s="12" t="inlineStr">
        <is>
          <t>Fix the Odoo endpoint defects already reported: customer receipts ignore the date filter; products and stock quantities are wrongly date-filtered; large date ranges return truncated data with no paging; mining data has duplicate rows (~2% of tonnage) and no ticket number; invoice due date is missing.</t>
        </is>
      </c>
      <c r="D25" s="13" t="inlineStr">
        <is>
          <t>Not Started</t>
        </is>
      </c>
      <c r="E25" s="12" t="inlineStr">
        <is>
          <t>Teckzilla – Odoo &amp; hosting vendor (contact: Ankita)</t>
        </is>
      </c>
      <c r="F25" s="12" t="inlineStr">
        <is>
          <t>External – Odoo vendor</t>
        </is>
      </c>
      <c r="G25" s="12" t="inlineStr">
        <is>
          <t>MIS: re-test. Data owners: Purchase (Sajiv Kumar), Stores (Kishor Jadav), Quarry (Mukesh Agarwal), Sales (IPN Pathak).</t>
        </is>
      </c>
      <c r="H25" s="13" t="inlineStr">
        <is>
          <t>—</t>
        </is>
      </c>
      <c r="I25" s="14" t="n">
        <v>46325</v>
      </c>
      <c r="J25" s="12" t="inlineStr">
        <is>
          <t>Odoo vendor – defects should be fixed at no charge; confirm (SP-07)</t>
        </is>
      </c>
      <c r="K25" s="13" t="inlineStr">
        <is>
          <t>Production go-live</t>
        </is>
      </c>
      <c r="L25" s="15" t="inlineStr">
        <is>
          <t>High</t>
        </is>
      </c>
      <c r="M25" s="13" t="inlineStr">
        <is>
          <t>No</t>
        </is>
      </c>
      <c r="N25" s="13" t="inlineStr">
        <is>
          <t>Yes</t>
        </is>
      </c>
      <c r="O25" s="16" t="inlineStr">
        <is>
          <t>Reported on 3-Sep and 8-Sep. Re-tested on 8-Sep and none were fixed. The MIS works around the receipts date filter itself, and the duplicate mining rows are collapsed on import.</t>
        </is>
      </c>
      <c r="P25" s="16" t="inlineStr">
        <is>
          <t>Odoo defect re-test 8-Sep (project notes)</t>
        </is>
      </c>
    </row>
    <row r="26">
      <c r="A26" s="5" t="inlineStr">
        <is>
          <t>ODO-03</t>
        </is>
      </c>
      <c r="B26" s="6" t="inlineStr">
        <is>
          <t>Odoo Integration</t>
        </is>
      </c>
      <c r="C26" s="6" t="inlineStr">
        <is>
          <t>Send the Production Entry API request (Odoo model custom.production.entry: Raw Meal first, then Cement, Clinker, Coal Mill, Crusher) and agree a delivery date, so production tonnages stop being typed twice.</t>
        </is>
      </c>
      <c r="D26" s="7" t="inlineStr">
        <is>
          <t>In Progress</t>
        </is>
      </c>
      <c r="E26" s="6" t="inlineStr">
        <is>
          <t>Razak Mbaga (MIS developer)</t>
        </is>
      </c>
      <c r="F26" s="6" t="inlineStr">
        <is>
          <t>IT / MIS</t>
        </is>
      </c>
      <c r="G26" s="6" t="inlineStr">
        <is>
          <t>Plant Head and IT HOD in copy. Production &amp; QC (Godhania Natha): confirm the CM1/CM2 grade mapping (CEMENT B-M 42.5 N appears under CM1). Odoo vendor delivers.</t>
        </is>
      </c>
      <c r="H26" s="7" t="inlineStr">
        <is>
          <t>—</t>
        </is>
      </c>
      <c r="I26" s="8" t="n">
        <v>46290</v>
      </c>
      <c r="J26" s="6" t="inlineStr">
        <is>
          <t>Odoo vendor – quote needed for a new endpoint or API service account (SP-08)</t>
        </is>
      </c>
      <c r="K26" s="7" t="inlineStr">
        <is>
          <t>Post go-live</t>
        </is>
      </c>
      <c r="L26" s="18" t="inlineStr">
        <is>
          <t>Medium</t>
        </is>
      </c>
      <c r="M26" s="7" t="inlineStr">
        <is>
          <t>No</t>
        </is>
      </c>
      <c r="N26" s="7" t="inlineStr">
        <is>
          <t>Yes</t>
        </is>
      </c>
      <c r="O26" s="10" t="inlineStr">
        <is>
          <t>A field-level specification and a draft email are ready in docs/ but are untracked and not yet sent.</t>
        </is>
      </c>
      <c r="P26" s="10" t="inlineStr">
        <is>
          <t>docs/ODOO_PRODUCTION_API_REQUIREMENTS.md; docs/email-drafts/02-odoo-production-api-request.md</t>
        </is>
      </c>
    </row>
    <row r="27">
      <c r="A27" s="11" t="inlineStr">
        <is>
          <t>ODO-04</t>
        </is>
      </c>
      <c r="B27" s="12" t="inlineStr">
        <is>
          <t>Odoo Integration</t>
        </is>
      </c>
      <c r="C27" s="12" t="inlineStr">
        <is>
          <t>Confirm the Purchases and Stores data sources: open purchase requisitions (PR No), the stock valuation report ('Stock Statement with Value'), department-wise stock, and Delivery Challan (returnable/non-returnable) fields.</t>
        </is>
      </c>
      <c r="D27" s="13" t="inlineStr">
        <is>
          <t>Blocked</t>
        </is>
      </c>
      <c r="E27" s="12" t="inlineStr">
        <is>
          <t>Teckzilla – Odoo &amp; hosting vendor (contact: Ankita)</t>
        </is>
      </c>
      <c r="F27" s="12" t="inlineStr">
        <is>
          <t>External – Odoo vendor</t>
        </is>
      </c>
      <c r="G27" s="12" t="inlineStr">
        <is>
          <t>Purchase (Sajiv Kumar) and Stores (Kishor Jadav): confirm the business meaning of each report.</t>
        </is>
      </c>
      <c r="H27" s="13" t="inlineStr">
        <is>
          <t>ODO-01</t>
        </is>
      </c>
      <c r="I27" s="14" t="n">
        <v>46356</v>
      </c>
      <c r="J27" s="12" t="inlineStr">
        <is>
          <t>Odoo vendor – quote needed if new endpoints are built (SP-08)</t>
        </is>
      </c>
      <c r="K27" s="13" t="inlineStr">
        <is>
          <t>Post go-live</t>
        </is>
      </c>
      <c r="L27" s="19" t="inlineStr">
        <is>
          <t>Medium</t>
        </is>
      </c>
      <c r="M27" s="13" t="inlineStr">
        <is>
          <t>No</t>
        </is>
      </c>
      <c r="N27" s="13" t="inlineStr">
        <is>
          <t>Yes</t>
        </is>
      </c>
      <c r="O27" s="16" t="inlineStr">
        <is>
          <t>The Open PR row still shows as not mapped. None of the 11 inventory reports granted on 8-Sep has an API endpoint: all return HTTP 404. No stock valuation field exists.</t>
        </is>
      </c>
      <c r="P27" s="16" t="inlineStr">
        <is>
          <t>RAID D-1; project notes 8-Sep</t>
        </is>
      </c>
    </row>
    <row r="28">
      <c r="A28" s="5" t="inlineStr">
        <is>
          <t>ODO-05</t>
        </is>
      </c>
      <c r="B28" s="6" t="inlineStr">
        <is>
          <t>Odoo Integration</t>
        </is>
      </c>
      <c r="C28" s="6" t="inlineStr">
        <is>
          <t>Provide the sales master data: the real Division → Zone → Sales Officer roster, which product codes are DURAMAX 42 and PREMIUM OPC (FG003/FG004/FG005), and monthly sales targets entered in Odoo from March 2026 onward.</t>
        </is>
      </c>
      <c r="D28" s="7" t="inlineStr">
        <is>
          <t>Not Started</t>
        </is>
      </c>
      <c r="E28" s="6" t="inlineStr">
        <is>
          <t>IPN Pathak (Sales HOD)</t>
        </is>
      </c>
      <c r="F28" s="6" t="inlineStr">
        <is>
          <t>Sales &amp; Marketing</t>
        </is>
      </c>
      <c r="G28" s="6" t="inlineStr">
        <is>
          <t>MIS: load the roster. Odoo vendor: targets visible through the API.</t>
        </is>
      </c>
      <c r="H28" s="7" t="inlineStr">
        <is>
          <t>—</t>
        </is>
      </c>
      <c r="I28" s="8" t="n">
        <v>46311</v>
      </c>
      <c r="J28" s="6" t="inlineStr">
        <is>
          <t>Nil – no cash cost</t>
        </is>
      </c>
      <c r="K28" s="7" t="inlineStr">
        <is>
          <t>Production go-live</t>
        </is>
      </c>
      <c r="L28" s="18" t="inlineStr">
        <is>
          <t>Medium</t>
        </is>
      </c>
      <c r="M28" s="7" t="inlineStr">
        <is>
          <t>No</t>
        </is>
      </c>
      <c r="N28" s="7" t="inlineStr">
        <is>
          <t>Yes</t>
        </is>
      </c>
      <c r="O28" s="10" t="inlineStr">
        <is>
          <t>The territory roster in backend/db/seed-sales.js is empty. Test Odoo holds sales targets for Jan–Feb 2026 only, and the DURAMAX 42 / PREMIUM OPC grade mapping is unresolved.</t>
        </is>
      </c>
      <c r="P28" s="10" t="inlineStr">
        <is>
          <t>backend/db/seed-sales.js; project notes 3-Sep &amp; 8-Sep</t>
        </is>
      </c>
    </row>
    <row r="29">
      <c r="A29" s="11" t="inlineStr">
        <is>
          <t>ODO-06</t>
        </is>
      </c>
      <c r="B29" s="12" t="inlineStr">
        <is>
          <t>Odoo Integration</t>
        </is>
      </c>
      <c r="C29" s="12" t="inlineStr">
        <is>
          <t>Fix or retire the 'npm run odoo:test' check so it reports each live connector's health instead of 'not configured'.</t>
        </is>
      </c>
      <c r="D29" s="13" t="inlineStr">
        <is>
          <t>Not Started</t>
        </is>
      </c>
      <c r="E29" s="12" t="inlineStr">
        <is>
          <t>Razak Mbaga (MIS developer)</t>
        </is>
      </c>
      <c r="F29" s="12" t="inlineStr">
        <is>
          <t>IT / MIS</t>
        </is>
      </c>
      <c r="G29" s="12" t="inlineStr">
        <is>
          <t>None.</t>
        </is>
      </c>
      <c r="H29" s="13" t="inlineStr">
        <is>
          <t>—</t>
        </is>
      </c>
      <c r="I29" s="14" t="n">
        <v>46325</v>
      </c>
      <c r="J29" s="12" t="inlineStr">
        <is>
          <t>Internal – MIS staff time, no cash cost</t>
        </is>
      </c>
      <c r="K29" s="13" t="inlineStr">
        <is>
          <t>Production go-live</t>
        </is>
      </c>
      <c r="L29" s="22" t="inlineStr">
        <is>
          <t>Low</t>
        </is>
      </c>
      <c r="M29" s="13" t="inlineStr">
        <is>
          <t>No</t>
        </is>
      </c>
      <c r="N29" s="13" t="inlineStr">
        <is>
          <t>No</t>
        </is>
      </c>
      <c r="O29" s="16" t="inlineStr">
        <is>
          <t>It only tests an unused generic connector, so it misreports the three connectors that are working. It is misleading as a go-live check.</t>
        </is>
      </c>
      <c r="P29" s="16" t="inlineStr">
        <is>
          <t>RAID I-6</t>
        </is>
      </c>
    </row>
    <row r="30">
      <c r="A30" s="5" t="inlineStr">
        <is>
          <t>DAT-01</t>
        </is>
      </c>
      <c r="B30" s="6" t="inlineStr">
        <is>
          <t>Data &amp; KPI Accuracy</t>
        </is>
      </c>
      <c r="C30" s="6" t="inlineStr">
        <is>
          <t>Decide the data baseline for the pilot: backfill July–September 2026 from the plant's Excel master reports, or start MIS history on the pilot date and label the gap.</t>
        </is>
      </c>
      <c r="D30" s="7" t="inlineStr">
        <is>
          <t>Awaiting Decision</t>
        </is>
      </c>
      <c r="E30" s="6" t="inlineStr">
        <is>
          <t>Pavan Gandhi (Plant Head / COO)</t>
        </is>
      </c>
      <c r="F30" s="6" t="inlineStr">
        <is>
          <t>Operations</t>
        </is>
      </c>
      <c r="G30" s="6" t="inlineStr">
        <is>
          <t>If backfilling, supply the workbooks: Production &amp; QC (Godhania Natha), CPP (Anbarasan Raman), P&amp;M, Stores (Kishor Jadav), Quarry (Mukesh Agarwal). MIS imports them.</t>
        </is>
      </c>
      <c r="H30" s="7" t="inlineStr">
        <is>
          <t>OPS-01</t>
        </is>
      </c>
      <c r="I30" s="8" t="n">
        <v>46290</v>
      </c>
      <c r="J30" s="6" t="inlineStr">
        <is>
          <t>Internal – staff time to supply workbooks and import</t>
        </is>
      </c>
      <c r="K30" s="7" t="inlineStr">
        <is>
          <t>Test rollout</t>
        </is>
      </c>
      <c r="L30" s="17" t="inlineStr">
        <is>
          <t>High</t>
        </is>
      </c>
      <c r="M30" s="7" t="inlineStr">
        <is>
          <t>Yes</t>
        </is>
      </c>
      <c r="N30" s="7" t="inlineStr">
        <is>
          <t>Yes</t>
        </is>
      </c>
      <c r="O30" s="10" t="inlineStr">
        <is>
          <t>In the local database on 17-Sep, production, power, stoppage, materials and CPP data end on 30-Jun-2026. Quality has 1 day (21-Apr) and dispatch 9 days (March). The Jul–Sep months on every dashboard are empty.</t>
        </is>
      </c>
      <c r="P30" s="10" t="inlineStr">
        <is>
          <t>Local DB coverage query 17-Sep</t>
        </is>
      </c>
    </row>
    <row r="31">
      <c r="A31" s="11" t="inlineStr">
        <is>
          <t>DAT-02</t>
        </is>
      </c>
      <c r="B31" s="12" t="inlineStr">
        <is>
          <t>Data &amp; KPI Accuracy</t>
        </is>
      </c>
      <c r="C31" s="12" t="inlineStr">
        <is>
          <t>Remove demo and placeholder records that make pages open on an empty date: production and mines rows dated 5-Jul and 15-Jul-2026, a 'kiln' report (not a valid form type), and the mines/limestone-production KPI row (unless the Quarry HOD confirms it is real).</t>
        </is>
      </c>
      <c r="D31" s="13" t="inlineStr">
        <is>
          <t>Not Started</t>
        </is>
      </c>
      <c r="E31" s="12" t="inlineStr">
        <is>
          <t>Razak Mbaga (MIS developer)</t>
        </is>
      </c>
      <c r="F31" s="12" t="inlineStr">
        <is>
          <t>IT / MIS</t>
        </is>
      </c>
      <c r="G31" s="12" t="inlineStr">
        <is>
          <t>Quarry HOD (Mukesh Agarwal): confirm whether the limestone-production KPI row is real. Check the production database for the same rows.</t>
        </is>
      </c>
      <c r="H31" s="13" t="inlineStr">
        <is>
          <t>—</t>
        </is>
      </c>
      <c r="I31" s="14" t="n">
        <v>46295</v>
      </c>
      <c r="J31" s="12" t="inlineStr">
        <is>
          <t>Nil – no cash cost</t>
        </is>
      </c>
      <c r="K31" s="13" t="inlineStr">
        <is>
          <t>Test rollout</t>
        </is>
      </c>
      <c r="L31" s="19" t="inlineStr">
        <is>
          <t>Medium</t>
        </is>
      </c>
      <c r="M31" s="13" t="inlineStr">
        <is>
          <t>No</t>
        </is>
      </c>
      <c r="N31" s="13" t="inlineStr">
        <is>
          <t>Yes</t>
        </is>
      </c>
      <c r="O31" s="16" t="inlineStr">
        <is>
          <t>Locally there is a kiln row (5-Jul), mines rows (5-Jul, 15-Jul) and a near-empty production row (15-Jul). Pages then open on 15-Jul as the 'most recent date with data' and show nothing.</t>
        </is>
      </c>
      <c r="P31" s="16" t="inlineStr">
        <is>
          <t>Local DB query 17-Sep; functional audit open decisions 1–2</t>
        </is>
      </c>
    </row>
    <row r="32">
      <c r="A32" s="5" t="inlineStr">
        <is>
          <t>DAT-03</t>
        </is>
      </c>
      <c r="B32" s="6" t="inlineStr">
        <is>
          <t>Data &amp; KPI Accuracy</t>
        </is>
      </c>
      <c r="C32" s="6" t="inlineStr">
        <is>
          <t>Validate the Quality KPIs against the lab's Excel records for April–June 2026, the same way production and power were checked (91 of 91 days).</t>
        </is>
      </c>
      <c r="D32" s="7" t="inlineStr">
        <is>
          <t>Blocked</t>
        </is>
      </c>
      <c r="E32" s="6" t="inlineStr">
        <is>
          <t>Razak Mbaga (MIS developer)</t>
        </is>
      </c>
      <c r="F32" s="6" t="inlineStr">
        <is>
          <t>IT / MIS</t>
        </is>
      </c>
      <c r="G32" s="6" t="inlineStr">
        <is>
          <t>Production &amp; QC (Godhania Natha): provide the quality lab workbooks.</t>
        </is>
      </c>
      <c r="H32" s="7" t="inlineStr">
        <is>
          <t>—</t>
        </is>
      </c>
      <c r="I32" s="8" t="n">
        <v>46311</v>
      </c>
      <c r="J32" s="6" t="inlineStr">
        <is>
          <t>Internal – MIS staff time, no cash cost</t>
        </is>
      </c>
      <c r="K32" s="7" t="inlineStr">
        <is>
          <t>Production go-live</t>
        </is>
      </c>
      <c r="L32" s="17" t="inlineStr">
        <is>
          <t>High</t>
        </is>
      </c>
      <c r="M32" s="7" t="inlineStr">
        <is>
          <t>No</t>
        </is>
      </c>
      <c r="N32" s="7" t="inlineStr">
        <is>
          <t>Yes</t>
        </is>
      </c>
      <c r="O32" s="10" t="inlineStr">
        <is>
          <t>Quality is validated on 1 day of source data, against 91 days for production and power. Waiting on the source Excel files.</t>
        </is>
      </c>
      <c r="P32" s="10" t="inlineStr">
        <is>
          <t>RAID I-2; WBS-DATA-2</t>
        </is>
      </c>
    </row>
    <row r="33">
      <c r="A33" s="11" t="inlineStr">
        <is>
          <t>DAT-04</t>
        </is>
      </c>
      <c r="B33" s="12" t="inlineStr">
        <is>
          <t>Data &amp; KPI Accuracy</t>
        </is>
      </c>
      <c r="C33" s="12" t="inlineStr">
        <is>
          <t>Provide the cost figures the reports need: a TZS-per-hour rate for cost of stoppages and a material rate or valuation source for the stores value trend.</t>
        </is>
      </c>
      <c r="D33" s="13" t="inlineStr">
        <is>
          <t>Not Started</t>
        </is>
      </c>
      <c r="E33" s="12" t="inlineStr">
        <is>
          <t>Muneesh Kumar (Finance HOD)</t>
        </is>
      </c>
      <c r="F33" s="12" t="inlineStr">
        <is>
          <t>Finance</t>
        </is>
      </c>
      <c r="G33" s="12" t="inlineStr">
        <is>
          <t>Stores (Kishor Jadav) and P&amp;M: agree the basis (standard cost or actual purchase price).</t>
        </is>
      </c>
      <c r="H33" s="13" t="inlineStr">
        <is>
          <t>—</t>
        </is>
      </c>
      <c r="I33" s="14" t="n">
        <v>46356</v>
      </c>
      <c r="J33" s="12" t="inlineStr">
        <is>
          <t>Nil – data input from Finance</t>
        </is>
      </c>
      <c r="K33" s="13" t="inlineStr">
        <is>
          <t>Post go-live</t>
        </is>
      </c>
      <c r="L33" s="22" t="inlineStr">
        <is>
          <t>Low</t>
        </is>
      </c>
      <c r="M33" s="13" t="inlineStr">
        <is>
          <t>No</t>
        </is>
      </c>
      <c r="N33" s="13" t="inlineStr">
        <is>
          <t>Yes</t>
        </is>
      </c>
      <c r="O33" s="16" t="inlineStr">
        <is>
          <t>backend/config/materialRates.js is deliberately empty, so the stores TZS view is switched off. Cost of stoppage has been waiting on Finance since Phase 8.</t>
        </is>
      </c>
      <c r="P33" s="16" t="inlineStr">
        <is>
          <t>backend/config/materialRates.js; WBS-DATA-1</t>
        </is>
      </c>
    </row>
    <row r="34">
      <c r="A34" s="5" t="inlineStr">
        <is>
          <t>DAT-05</t>
        </is>
      </c>
      <c r="B34" s="6" t="inlineStr">
        <is>
          <t>Data &amp; KPI Accuracy</t>
        </is>
      </c>
      <c r="C34" s="6" t="inlineStr">
        <is>
          <t>Stop the Quarry page downloading every weighbridge ticket ever recorded: calculate month-to-date and year-to-date totals on the server.</t>
        </is>
      </c>
      <c r="D34" s="7" t="inlineStr">
        <is>
          <t>Not Started</t>
        </is>
      </c>
      <c r="E34" s="6" t="inlineStr">
        <is>
          <t>Razak Mbaga (MIS developer)</t>
        </is>
      </c>
      <c r="F34" s="6" t="inlineStr">
        <is>
          <t>IT / MIS</t>
        </is>
      </c>
      <c r="G34" s="6" t="inlineStr">
        <is>
          <t>Quarry HOD (Mukesh Agarwal): confirm the MTD/YTD definitions.</t>
        </is>
      </c>
      <c r="H34" s="7" t="inlineStr">
        <is>
          <t>—</t>
        </is>
      </c>
      <c r="I34" s="8" t="n">
        <v>46325</v>
      </c>
      <c r="J34" s="6" t="inlineStr">
        <is>
          <t>Internal – MIS staff time, no cash cost</t>
        </is>
      </c>
      <c r="K34" s="7" t="inlineStr">
        <is>
          <t>Production go-live</t>
        </is>
      </c>
      <c r="L34" s="18" t="inlineStr">
        <is>
          <t>Medium</t>
        </is>
      </c>
      <c r="M34" s="7" t="inlineStr">
        <is>
          <t>No</t>
        </is>
      </c>
      <c r="N34" s="7" t="inlineStr">
        <is>
          <t>Yes</t>
        </is>
      </c>
      <c r="O34" s="10" t="inlineStr">
        <is>
          <t>3,909 tickets for 23 days already weigh 1.09 MB. A full year is about 17 MB per page load, and it keeps growing.</t>
        </is>
      </c>
      <c r="P34" s="10" t="inlineStr">
        <is>
          <t>RAID I-19</t>
        </is>
      </c>
    </row>
    <row r="35">
      <c r="A35" s="11" t="inlineStr">
        <is>
          <t>DAT-06</t>
        </is>
      </c>
      <c r="B35" s="12" t="inlineStr">
        <is>
          <t>Data &amp; KPI Accuracy</t>
        </is>
      </c>
      <c r="C35" s="12" t="inlineStr">
        <is>
          <t>Decide what should happen when the Quarry report is opened with no opening stocks. Today it silently saves an April-2026 seed record, stamped approved, under the name of whoever opened the page.</t>
        </is>
      </c>
      <c r="D35" s="13" t="inlineStr">
        <is>
          <t>Awaiting Decision</t>
        </is>
      </c>
      <c r="E35" s="12" t="inlineStr">
        <is>
          <t>Mukesh Agarwal (Quarry HOD)</t>
        </is>
      </c>
      <c r="F35" s="12" t="inlineStr">
        <is>
          <t>Quarry</t>
        </is>
      </c>
      <c r="G35" s="12" t="inlineStr">
        <is>
          <t>MIS implements the decision.</t>
        </is>
      </c>
      <c r="H35" s="13" t="inlineStr">
        <is>
          <t>—</t>
        </is>
      </c>
      <c r="I35" s="14" t="n">
        <v>46295</v>
      </c>
      <c r="J35" s="12" t="inlineStr">
        <is>
          <t>Nil – no cash cost</t>
        </is>
      </c>
      <c r="K35" s="13" t="inlineStr">
        <is>
          <t>Test rollout</t>
        </is>
      </c>
      <c r="L35" s="19" t="inlineStr">
        <is>
          <t>Medium</t>
        </is>
      </c>
      <c r="M35" s="13" t="inlineStr">
        <is>
          <t>No</t>
        </is>
      </c>
      <c r="N35" s="13" t="inlineStr">
        <is>
          <t>Yes</t>
        </is>
      </c>
      <c r="O35" s="16" t="inlineStr">
        <is>
          <t>mines-report.html writes to the database when the page loads. A pilot user who opens it would create an approved record in their own name.</t>
        </is>
      </c>
      <c r="P35" s="16" t="inlineStr">
        <is>
          <t>Functional audit open decision 6</t>
        </is>
      </c>
    </row>
    <row r="36">
      <c r="A36" s="5" t="inlineStr">
        <is>
          <t>APP-01</t>
        </is>
      </c>
      <c r="B36" s="6" t="inlineStr">
        <is>
          <t>Application &amp; Release</t>
        </is>
      </c>
      <c r="C36" s="6" t="inlineStr">
        <is>
          <t>Finish and release the work in progress: fix the broken mailer test, commit the 36 uncommitted files (Production and Power Plant review pages, report switcher, stoppage reason catalogue and migration 017), merge branch redesign/dispatch-review-split into main, and deploy.</t>
        </is>
      </c>
      <c r="D36" s="7" t="inlineStr">
        <is>
          <t>In Progress</t>
        </is>
      </c>
      <c r="E36" s="6" t="inlineStr">
        <is>
          <t>Razak Mbaga (MIS developer)</t>
        </is>
      </c>
      <c r="F36" s="6" t="inlineStr">
        <is>
          <t>IT / MIS</t>
        </is>
      </c>
      <c r="G36" s="6" t="inlineStr">
        <is>
          <t>Plant Head (Pavan Gandhi): approve the new page layouts. Several Claude sessions edit this repo at once, so re-check git before merging.</t>
        </is>
      </c>
      <c r="H36" s="7" t="inlineStr">
        <is>
          <t>—</t>
        </is>
      </c>
      <c r="I36" s="8" t="n">
        <v>46293</v>
      </c>
      <c r="J36" s="6" t="inlineStr">
        <is>
          <t>Internal – MIS staff time, no cash cost</t>
        </is>
      </c>
      <c r="K36" s="7" t="inlineStr">
        <is>
          <t>Test rollout</t>
        </is>
      </c>
      <c r="L36" s="9" t="inlineStr">
        <is>
          <t>Critical</t>
        </is>
      </c>
      <c r="M36" s="7" t="inlineStr">
        <is>
          <t>No</t>
        </is>
      </c>
      <c r="N36" s="7" t="inlineStr">
        <is>
          <t>Yes</t>
        </is>
      </c>
      <c r="O36" s="10" t="inlineStr">
        <is>
          <t>On 17-Sep, 28 modified and 8 new files are uncommitted, and npm test FAILS: an edit to backend/test/mailer.test.js changed process.env.SMTP_* to process.SMTP_*, so 3 of 4 tests fail. The CI gate would block every deploy. The branch is 2 commits ahead of main.</t>
        </is>
      </c>
      <c r="P36" s="10" t="inlineStr">
        <is>
          <t>git status 17-Sep; npm test run 17-Sep</t>
        </is>
      </c>
    </row>
    <row r="37">
      <c r="A37" s="11" t="inlineStr">
        <is>
          <t>APP-02</t>
        </is>
      </c>
      <c r="B37" s="12" t="inlineStr">
        <is>
          <t>Application &amp; Release</t>
        </is>
      </c>
      <c r="C37" s="12" t="inlineStr">
        <is>
          <t>Check the 417-reason stoppage catalogue with maintenance and production before shifts enter hours against it, and decide whether form entries should also feed the reliability Pareto.</t>
        </is>
      </c>
      <c r="D37" s="13" t="inlineStr">
        <is>
          <t>Not Started</t>
        </is>
      </c>
      <c r="E37" s="12" t="inlineStr">
        <is>
          <t>P &amp; M HOD (name not yet given)</t>
        </is>
      </c>
      <c r="F37" s="12" t="inlineStr">
        <is>
          <t>P &amp; M</t>
        </is>
      </c>
      <c r="G37" s="12" t="inlineStr">
        <is>
          <t>E&amp;I (Lokesh Thota), Production &amp; QC (Godhania Natha). MIS applies corrections.</t>
        </is>
      </c>
      <c r="H37" s="13" t="inlineStr">
        <is>
          <t>APP-01</t>
        </is>
      </c>
      <c r="I37" s="14" t="n">
        <v>46296</v>
      </c>
      <c r="J37" s="12" t="inlineStr">
        <is>
          <t>Nil – no cash cost</t>
        </is>
      </c>
      <c r="K37" s="13" t="inlineStr">
        <is>
          <t>Test rollout</t>
        </is>
      </c>
      <c r="L37" s="15" t="inlineStr">
        <is>
          <t>High</t>
        </is>
      </c>
      <c r="M37" s="13" t="inlineStr">
        <is>
          <t>No</t>
        </is>
      </c>
      <c r="N37" s="13" t="inlineStr">
        <is>
          <t>Yes</t>
        </is>
      </c>
      <c r="O37" s="16" t="inlineStr">
        <is>
          <t>Migration 017 seeds 417 reasons from the 21-Apr-2026 stoppage workbook (applied locally 16-Sep, not yet on production). The Reliability page reads a separate table that only the Excel importer fills.</t>
        </is>
      </c>
      <c r="P37" s="16" t="inlineStr">
        <is>
          <t>backend/db/migrations/017_stoppage_reasons.sql; project notes 16-Sep</t>
        </is>
      </c>
    </row>
    <row r="38">
      <c r="A38" s="5" t="inlineStr">
        <is>
          <t>APP-03</t>
        </is>
      </c>
      <c r="B38" s="6" t="inlineStr">
        <is>
          <t>Application &amp; Release</t>
        </is>
      </c>
      <c r="C38" s="6" t="inlineStr">
        <is>
          <t>CPP HOD to confirm the Power Plant entry form (22 readings and the heat-rate constants) matches how the shift actually records form FRM-LCL-PP-06.</t>
        </is>
      </c>
      <c r="D38" s="7" t="inlineStr">
        <is>
          <t>Not Started</t>
        </is>
      </c>
      <c r="E38" s="6" t="inlineStr">
        <is>
          <t>Anbarasan Raman (CPP HOD)</t>
        </is>
      </c>
      <c r="F38" s="6" t="inlineStr">
        <is>
          <t>Power Plant (CPP)</t>
        </is>
      </c>
      <c r="G38" s="6" t="inlineStr">
        <is>
          <t>MIS walks through the form and applies changes.</t>
        </is>
      </c>
      <c r="H38" s="7" t="inlineStr">
        <is>
          <t>APP-01</t>
        </is>
      </c>
      <c r="I38" s="8" t="n">
        <v>46296</v>
      </c>
      <c r="J38" s="6" t="inlineStr">
        <is>
          <t>Nil – no cash cost</t>
        </is>
      </c>
      <c r="K38" s="7" t="inlineStr">
        <is>
          <t>Test rollout</t>
        </is>
      </c>
      <c r="L38" s="17" t="inlineStr">
        <is>
          <t>High</t>
        </is>
      </c>
      <c r="M38" s="7" t="inlineStr">
        <is>
          <t>No</t>
        </is>
      </c>
      <c r="N38" s="7" t="inlineStr">
        <is>
          <t>Yes</t>
        </is>
      </c>
      <c r="O38" s="10" t="inlineStr">
        <is>
          <t>The entry form was built on 4–5 Sep and has browser tests. All 91 stored CPP days came from imports, none from the form. The earlier guidance was that the layout must be confirmed with the CPP HOD.</t>
        </is>
      </c>
      <c r="P38" s="10" t="inlineStr">
        <is>
          <t>e2e/tests/cpp-entry.spec.js; project notes 31-Aug</t>
        </is>
      </c>
    </row>
    <row r="39">
      <c r="A39" s="11" t="inlineStr">
        <is>
          <t>APP-04</t>
        </is>
      </c>
      <c r="B39" s="12" t="inlineStr">
        <is>
          <t>Application &amp; Release</t>
        </is>
      </c>
      <c r="C39" s="12" t="inlineStr">
        <is>
          <t>Stop the Sales and Purchases dashboards presenting a March-2026 test snapshot as current: hide them from pilot users, or show a clear 'test data – not live' banner, until ODO-01 is done.</t>
        </is>
      </c>
      <c r="D39" s="13" t="inlineStr">
        <is>
          <t>Not Started</t>
        </is>
      </c>
      <c r="E39" s="12" t="inlineStr">
        <is>
          <t>Razak Mbaga (MIS developer)</t>
        </is>
      </c>
      <c r="F39" s="12" t="inlineStr">
        <is>
          <t>IT / MIS</t>
        </is>
      </c>
      <c r="G39" s="12" t="inlineStr">
        <is>
          <t>MD, Sales (IPN Pathak) and Purchase (Sajiv Kumar): choose hide or banner.</t>
        </is>
      </c>
      <c r="H39" s="13" t="inlineStr">
        <is>
          <t>—</t>
        </is>
      </c>
      <c r="I39" s="14" t="n">
        <v>46293</v>
      </c>
      <c r="J39" s="12" t="inlineStr">
        <is>
          <t>Internal – MIS staff time, no cash cost</t>
        </is>
      </c>
      <c r="K39" s="13" t="inlineStr">
        <is>
          <t>Test rollout</t>
        </is>
      </c>
      <c r="L39" s="15" t="inlineStr">
        <is>
          <t>High</t>
        </is>
      </c>
      <c r="M39" s="13" t="inlineStr">
        <is>
          <t>Yes</t>
        </is>
      </c>
      <c r="N39" s="13" t="inlineStr">
        <is>
          <t>Yes</t>
        </is>
      </c>
      <c r="O39" s="16" t="inlineStr">
        <is>
          <t>The Odoo test database ends 28-Mar-2026, so any recent month shows no orders or purchase orders. A reader can take that as zero sales.</t>
        </is>
      </c>
      <c r="P39" s="16" t="inlineStr">
        <is>
          <t>Odoo re-test 8-Sep</t>
        </is>
      </c>
    </row>
    <row r="40">
      <c r="A40" s="5" t="inlineStr">
        <is>
          <t>APP-05</t>
        </is>
      </c>
      <c r="B40" s="6" t="inlineStr">
        <is>
          <t>Application &amp; Release</t>
        </is>
      </c>
      <c r="C40" s="6" t="inlineStr">
        <is>
          <t>Fix 'most recent date with data' so it ignores near-empty reports. Today the Production, Dispatch, Balance and Reliability pages can open on a blank day.</t>
        </is>
      </c>
      <c r="D40" s="7" t="inlineStr">
        <is>
          <t>Not Started</t>
        </is>
      </c>
      <c r="E40" s="6" t="inlineStr">
        <is>
          <t>Razak Mbaga (MIS developer)</t>
        </is>
      </c>
      <c r="F40" s="6" t="inlineStr">
        <is>
          <t>IT / MIS</t>
        </is>
      </c>
      <c r="G40" s="6" t="inlineStr">
        <is>
          <t>None.</t>
        </is>
      </c>
      <c r="H40" s="7" t="inlineStr">
        <is>
          <t>—</t>
        </is>
      </c>
      <c r="I40" s="8" t="n">
        <v>46293</v>
      </c>
      <c r="J40" s="6" t="inlineStr">
        <is>
          <t>Internal – MIS staff time, no cash cost</t>
        </is>
      </c>
      <c r="K40" s="7" t="inlineStr">
        <is>
          <t>Test rollout</t>
        </is>
      </c>
      <c r="L40" s="18" t="inlineStr">
        <is>
          <t>Medium</t>
        </is>
      </c>
      <c r="M40" s="7" t="inlineStr">
        <is>
          <t>No</t>
        </is>
      </c>
      <c r="N40" s="7" t="inlineStr">
        <is>
          <t>No</t>
        </is>
      </c>
      <c r="O40" s="10" t="inlineStr">
        <is>
          <t>forms/latest-period.js counts any saved row. On 15-Sep, Production opened on 15-Jul, a row with no ledger figures.</t>
        </is>
      </c>
      <c r="P40" s="10" t="inlineStr">
        <is>
          <t>Project notes 15-Sep (Production review page)</t>
        </is>
      </c>
    </row>
    <row r="41">
      <c r="A41" s="11" t="inlineStr">
        <is>
          <t>APP-06</t>
        </is>
      </c>
      <c r="B41" s="12" t="inlineStr">
        <is>
          <t>Application &amp; Release</t>
        </is>
      </c>
      <c r="C41" s="12" t="inlineStr">
        <is>
          <t>Complete the review page / entry form split for the remaining modules: a Stoppages review page (availability, MTBF, Pareto by hours and by frequency) and Quarry.</t>
        </is>
      </c>
      <c r="D41" s="13" t="inlineStr">
        <is>
          <t>In Progress</t>
        </is>
      </c>
      <c r="E41" s="12" t="inlineStr">
        <is>
          <t>Razak Mbaga (MIS developer)</t>
        </is>
      </c>
      <c r="F41" s="12" t="inlineStr">
        <is>
          <t>IT / MIS</t>
        </is>
      </c>
      <c r="G41" s="12" t="inlineStr">
        <is>
          <t>Plant Head reviews the layouts. P&amp;M HOD for stoppage analytics.</t>
        </is>
      </c>
      <c r="H41" s="13" t="inlineStr">
        <is>
          <t>APP-01</t>
        </is>
      </c>
      <c r="I41" s="14" t="n">
        <v>46325</v>
      </c>
      <c r="J41" s="12" t="inlineStr">
        <is>
          <t>Internal – MIS staff time, no cash cost</t>
        </is>
      </c>
      <c r="K41" s="13" t="inlineStr">
        <is>
          <t>Production go-live</t>
        </is>
      </c>
      <c r="L41" s="19" t="inlineStr">
        <is>
          <t>Medium</t>
        </is>
      </c>
      <c r="M41" s="13" t="inlineStr">
        <is>
          <t>No</t>
        </is>
      </c>
      <c r="N41" s="13" t="inlineStr">
        <is>
          <t>Yes</t>
        </is>
      </c>
      <c r="O41" s="16" t="inlineStr">
        <is>
          <t>Dispatch and Production are done, and Power Plant is in progress (uncommitted). The Plant Head called the stoppage report 'too complicated' on 31-Jul.</t>
        </is>
      </c>
      <c r="P41" s="16" t="inlineStr">
        <is>
          <t>Project notes 15–16 Sep; WBS-DATA-1</t>
        </is>
      </c>
    </row>
    <row r="42">
      <c r="A42" s="5" t="inlineStr">
        <is>
          <t>APP-07</t>
        </is>
      </c>
      <c r="B42" s="6" t="inlineStr">
        <is>
          <t>Application &amp; Release</t>
        </is>
      </c>
      <c r="C42" s="6" t="inlineStr">
        <is>
          <t>Executive Summary: 11 KPI cards (MTBF, NAI, stack emission, network availability, 4 safety counters, burst bag, clinker C3S, CM-2 output) still show illustrative figures. Name a data source and owner for each, or remove them.</t>
        </is>
      </c>
      <c r="D42" s="7" t="inlineStr">
        <is>
          <t>Awaiting Decision</t>
        </is>
      </c>
      <c r="E42" s="6" t="inlineStr">
        <is>
          <t>Pavan Gandhi (Plant Head / COO)</t>
        </is>
      </c>
      <c r="F42" s="6" t="inlineStr">
        <is>
          <t>Operations</t>
        </is>
      </c>
      <c r="G42" s="6" t="inlineStr">
        <is>
          <t>Data owners to be named: Safety/HSE, E&amp;I (network availability), Production &amp; QC (C3S, emissions), P&amp;M (MTBF, NAI).</t>
        </is>
      </c>
      <c r="H42" s="7" t="inlineStr">
        <is>
          <t>—</t>
        </is>
      </c>
      <c r="I42" s="8" t="n">
        <v>46325</v>
      </c>
      <c r="J42" s="6" t="inlineStr">
        <is>
          <t>Nil – no cash cost</t>
        </is>
      </c>
      <c r="K42" s="7" t="inlineStr">
        <is>
          <t>Production go-live</t>
        </is>
      </c>
      <c r="L42" s="18" t="inlineStr">
        <is>
          <t>Medium</t>
        </is>
      </c>
      <c r="M42" s="7" t="inlineStr">
        <is>
          <t>Yes</t>
        </is>
      </c>
      <c r="N42" s="7" t="inlineStr">
        <is>
          <t>Yes</t>
        </is>
      </c>
      <c r="O42" s="10" t="inlineStr">
        <is>
          <t>Collapsed into a 'not yet wired to live data' panel on 3-Sep. Still not live.</t>
        </is>
      </c>
      <c r="P42" s="10" t="inlineStr">
        <is>
          <t>Project notes 3-Sep (Executive Summary rework)</t>
        </is>
      </c>
    </row>
    <row r="43">
      <c r="A43" s="11" t="inlineStr">
        <is>
          <t>APP-08</t>
        </is>
      </c>
      <c r="B43" s="12" t="inlineStr">
        <is>
          <t>Application &amp; Release</t>
        </is>
      </c>
      <c r="C43" s="12" t="inlineStr">
        <is>
          <t>Decide whether plant-floor screens need Swahili labels (English/Swahili) for the rollout.</t>
        </is>
      </c>
      <c r="D43" s="13" t="inlineStr">
        <is>
          <t>Awaiting Decision</t>
        </is>
      </c>
      <c r="E43" s="12" t="inlineStr">
        <is>
          <t>Pavan Gandhi (Plant Head / COO)</t>
        </is>
      </c>
      <c r="F43" s="12" t="inlineStr">
        <is>
          <t>Operations</t>
        </is>
      </c>
      <c r="G43" s="12" t="inlineStr">
        <is>
          <t>HR &amp; Admin and the operating HODs: advise on user needs.</t>
        </is>
      </c>
      <c r="H43" s="13" t="inlineStr">
        <is>
          <t>—</t>
        </is>
      </c>
      <c r="I43" s="14" t="n">
        <v>46325</v>
      </c>
      <c r="J43" s="12" t="inlineStr">
        <is>
          <t>Internal – translation effort</t>
        </is>
      </c>
      <c r="K43" s="13" t="inlineStr">
        <is>
          <t>Post go-live</t>
        </is>
      </c>
      <c r="L43" s="22" t="inlineStr">
        <is>
          <t>Low</t>
        </is>
      </c>
      <c r="M43" s="13" t="inlineStr">
        <is>
          <t>Yes</t>
        </is>
      </c>
      <c r="N43" s="13" t="inlineStr">
        <is>
          <t>Yes</t>
        </is>
      </c>
      <c r="O43" s="16" t="inlineStr">
        <is>
          <t>The English/Swahili sweep has been deferred since Phase 8.</t>
        </is>
      </c>
      <c r="P43" s="16" t="inlineStr">
        <is>
          <t>WBS-DATA-1; PROGRESS.md Phase 8 deferred items</t>
        </is>
      </c>
    </row>
    <row r="44">
      <c r="A44" s="5" t="inlineStr">
        <is>
          <t>APP-09</t>
        </is>
      </c>
      <c r="B44" s="6" t="inlineStr">
        <is>
          <t>Application &amp; Release</t>
        </is>
      </c>
      <c r="C44" s="6" t="inlineStr">
        <is>
          <t>Make the live KPI previews on entry forms treat a blank field as 'no data' instead of zero, matching the formula registry.</t>
        </is>
      </c>
      <c r="D44" s="7" t="inlineStr">
        <is>
          <t>Not Started</t>
        </is>
      </c>
      <c r="E44" s="6" t="inlineStr">
        <is>
          <t>Razak Mbaga (MIS developer)</t>
        </is>
      </c>
      <c r="F44" s="6" t="inlineStr">
        <is>
          <t>IT / MIS</t>
        </is>
      </c>
      <c r="G44" s="6" t="inlineStr">
        <is>
          <t>None.</t>
        </is>
      </c>
      <c r="H44" s="7" t="inlineStr">
        <is>
          <t>APP-01</t>
        </is>
      </c>
      <c r="I44" s="8" t="n">
        <v>46325</v>
      </c>
      <c r="J44" s="6" t="inlineStr">
        <is>
          <t>Internal – MIS staff time, no cash cost</t>
        </is>
      </c>
      <c r="K44" s="7" t="inlineStr">
        <is>
          <t>Production go-live</t>
        </is>
      </c>
      <c r="L44" s="21" t="inlineStr">
        <is>
          <t>Low</t>
        </is>
      </c>
      <c r="M44" s="7" t="inlineStr">
        <is>
          <t>No</t>
        </is>
      </c>
      <c r="N44" s="7" t="inlineStr">
        <is>
          <t>No</t>
        </is>
      </c>
      <c r="O44" s="10" t="inlineStr">
        <is>
          <t>kpi-live.js and report-rollup.js turn a blank into 0, while the registry keeps it as no data. This affects the preview on all 11 entry forms.</t>
        </is>
      </c>
      <c r="P44" s="10" t="inlineStr">
        <is>
          <t>Project notes 15-Sep</t>
        </is>
      </c>
    </row>
    <row r="45">
      <c r="A45" s="11" t="inlineStr">
        <is>
          <t>QA-01</t>
        </is>
      </c>
      <c r="B45" s="12" t="inlineStr">
        <is>
          <t>Testing &amp; QA</t>
        </is>
      </c>
      <c r="C45" s="12" t="inlineStr">
        <is>
          <t>Run the full regression on the release candidate (backend tests plus the 10 acceptance suites, the 121 browser tests, and the responsive and accessibility audits) and record the evidence.</t>
        </is>
      </c>
      <c r="D45" s="13" t="inlineStr">
        <is>
          <t>Not Started</t>
        </is>
      </c>
      <c r="E45" s="12" t="inlineStr">
        <is>
          <t>Razak Mbaga (MIS developer)</t>
        </is>
      </c>
      <c r="F45" s="12" t="inlineStr">
        <is>
          <t>IT / MIS</t>
        </is>
      </c>
      <c r="G45" s="12" t="inlineStr">
        <is>
          <t>One test run at a time: the browser test sandbox is shared.</t>
        </is>
      </c>
      <c r="H45" s="13" t="inlineStr">
        <is>
          <t>APP-01, APP-04, APP-05</t>
        </is>
      </c>
      <c r="I45" s="14" t="n">
        <v>46295</v>
      </c>
      <c r="J45" s="12" t="inlineStr">
        <is>
          <t>Internal – MIS staff time, no cash cost</t>
        </is>
      </c>
      <c r="K45" s="13" t="inlineStr">
        <is>
          <t>Test rollout</t>
        </is>
      </c>
      <c r="L45" s="20" t="inlineStr">
        <is>
          <t>Critical</t>
        </is>
      </c>
      <c r="M45" s="13" t="inlineStr">
        <is>
          <t>No</t>
        </is>
      </c>
      <c r="N45" s="13" t="inlineStr">
        <is>
          <t>No</t>
        </is>
      </c>
      <c r="O45" s="16" t="inlineStr">
        <is>
          <t>The last full gate ran 13–15 Sep (147 acceptance checks, browser tests 120/121, responsive 72/72, accessibility 0 violations). It predates the uncommitted changes.</t>
        </is>
      </c>
      <c r="P45" s="16" t="inlineStr">
        <is>
          <t>docs/pm/PROJECT_STATE.md; DEFINITION_OF_DONE.md</t>
        </is>
      </c>
    </row>
    <row r="46">
      <c r="A46" s="5" t="inlineStr">
        <is>
          <t>QA-02</t>
        </is>
      </c>
      <c r="B46" s="6" t="inlineStr">
        <is>
          <t>Testing &amp; QA</t>
        </is>
      </c>
      <c r="C46" s="6" t="inlineStr">
        <is>
          <t>User acceptance test on production: each department's named user submits one real entry per form, the HOD approves it, and it appears on the dashboards and the daily MIS report.</t>
        </is>
      </c>
      <c r="D46" s="7" t="inlineStr">
        <is>
          <t>Not Started</t>
        </is>
      </c>
      <c r="E46" s="6" t="inlineStr">
        <is>
          <t>Pavan Gandhi (Plant Head / COO)</t>
        </is>
      </c>
      <c r="F46" s="6" t="inlineStr">
        <is>
          <t>Operations</t>
        </is>
      </c>
      <c r="G46" s="6" t="inlineStr">
        <is>
          <t>MIS runs the sessions. Operating HODs provide a tester each: Production &amp; QC, CPP, P&amp;M, E&amp;I, Packing, Logistics, Stores, Quarry.</t>
        </is>
      </c>
      <c r="H46" s="7" t="inlineStr">
        <is>
          <t>QA-01, ACC-03, INF-01, APP-02, APP-03</t>
        </is>
      </c>
      <c r="I46" s="8" t="n">
        <v>46297</v>
      </c>
      <c r="J46" s="6" t="inlineStr">
        <is>
          <t>Internal – staff time</t>
        </is>
      </c>
      <c r="K46" s="7" t="inlineStr">
        <is>
          <t>Test rollout</t>
        </is>
      </c>
      <c r="L46" s="9" t="inlineStr">
        <is>
          <t>Critical</t>
        </is>
      </c>
      <c r="M46" s="7" t="inlineStr">
        <is>
          <t>No</t>
        </is>
      </c>
      <c r="N46" s="7" t="inlineStr">
        <is>
          <t>Yes</t>
        </is>
      </c>
      <c r="O46" s="10" t="inlineStr">
        <is>
          <t>No UAT with real users has been recorded. GO_LIVE_CHECKLIST §4 calls for one real entry per form type before the parallel run.</t>
        </is>
      </c>
      <c r="P46" s="10" t="inlineStr">
        <is>
          <t>GO_LIVE_CHECKLIST §4</t>
        </is>
      </c>
    </row>
    <row r="47">
      <c r="A47" s="11" t="inlineStr">
        <is>
          <t>QA-03</t>
        </is>
      </c>
      <c r="B47" s="12" t="inlineStr">
        <is>
          <t>Testing &amp; QA</t>
        </is>
      </c>
      <c r="C47" s="12" t="inlineStr">
        <is>
          <t>Fix the flaky admin-users browser test, then add the browser tests and audits to the CI deploy gate.</t>
        </is>
      </c>
      <c r="D47" s="13" t="inlineStr">
        <is>
          <t>Not Started</t>
        </is>
      </c>
      <c r="E47" s="12" t="inlineStr">
        <is>
          <t>Razak Mbaga (MIS developer)</t>
        </is>
      </c>
      <c r="F47" s="12" t="inlineStr">
        <is>
          <t>IT / MIS</t>
        </is>
      </c>
      <c r="G47" s="12" t="inlineStr">
        <is>
          <t>Do it with someone watching: a push to main deploys to production.</t>
        </is>
      </c>
      <c r="H47" s="13" t="inlineStr">
        <is>
          <t>QA-01</t>
        </is>
      </c>
      <c r="I47" s="14" t="n">
        <v>46325</v>
      </c>
      <c r="J47" s="12" t="inlineStr">
        <is>
          <t>Internal; GitHub Actions minutes may rise (SP-11)</t>
        </is>
      </c>
      <c r="K47" s="13" t="inlineStr">
        <is>
          <t>Production go-live</t>
        </is>
      </c>
      <c r="L47" s="19" t="inlineStr">
        <is>
          <t>Medium</t>
        </is>
      </c>
      <c r="M47" s="13" t="inlineStr">
        <is>
          <t>No</t>
        </is>
      </c>
      <c r="N47" s="13" t="inlineStr">
        <is>
          <t>No</t>
        </is>
      </c>
      <c r="O47" s="16" t="inlineStr">
        <is>
          <t>Only backend tests and the acceptance suites gate deploys today. One test fails about 1 run in 2 under load, which would block deploys at random.</t>
        </is>
      </c>
      <c r="P47" s="16" t="inlineStr">
        <is>
          <t>RAID I-21; WBS-QA-1</t>
        </is>
      </c>
    </row>
    <row r="48">
      <c r="A48" s="5" t="inlineStr">
        <is>
          <t>OPS-01</t>
        </is>
      </c>
      <c r="B48" s="6" t="inlineStr">
        <is>
          <t>Rollout &amp; Change Management</t>
        </is>
      </c>
      <c r="C48" s="6" t="inlineStr">
        <is>
          <t>Approve the test rollout plan: pilot start date (proposed Mon 5-Oct-2026), which departments and forms are in the pilot, how long to run alongside Excel (2–4 weeks), the daily entry cut-off (default 10:00), and who signs off the final cutover.</t>
        </is>
      </c>
      <c r="D48" s="7" t="inlineStr">
        <is>
          <t>Awaiting Decision</t>
        </is>
      </c>
      <c r="E48" s="6" t="inlineStr">
        <is>
          <t>Kush Patel (Managing Director)</t>
        </is>
      </c>
      <c r="F48" s="6" t="inlineStr">
        <is>
          <t>Corporate – MD Office</t>
        </is>
      </c>
      <c r="G48" s="6" t="inlineStr">
        <is>
          <t>Plant Head (Pavan Gandhi), IT HOD, all operating HODs.</t>
        </is>
      </c>
      <c r="H48" s="7" t="inlineStr">
        <is>
          <t>—</t>
        </is>
      </c>
      <c r="I48" s="8" t="n">
        <v>46289</v>
      </c>
      <c r="J48" s="6" t="inlineStr">
        <is>
          <t>Nil – no cash cost</t>
        </is>
      </c>
      <c r="K48" s="7" t="inlineStr">
        <is>
          <t>Test rollout</t>
        </is>
      </c>
      <c r="L48" s="9" t="inlineStr">
        <is>
          <t>Critical</t>
        </is>
      </c>
      <c r="M48" s="7" t="inlineStr">
        <is>
          <t>Yes</t>
        </is>
      </c>
      <c r="N48" s="7" t="inlineStr">
        <is>
          <t>Yes</t>
        </is>
      </c>
      <c r="O48" s="10" t="inlineStr">
        <is>
          <t>No rollout date, pilot scope or sign-off authority is recorded anywhere in the project: the GO_LIVE_CHECKLIST §1 fields are blank and the RACI names are pending.</t>
        </is>
      </c>
      <c r="P48" s="10" t="inlineStr">
        <is>
          <t>GO_LIVE_CHECKLIST §1 &amp; §5; docs/pm/RACI.md; docs/pm/GANTT.md</t>
        </is>
      </c>
    </row>
    <row r="49">
      <c r="A49" s="11" t="inlineStr">
        <is>
          <t>OPS-02</t>
        </is>
      </c>
      <c r="B49" s="12" t="inlineStr">
        <is>
          <t>Rollout &amp; Change Management</t>
        </is>
      </c>
      <c r="C49" s="12" t="inlineStr">
        <is>
          <t>Name one accountable data-entry owner per daily form, and one daily checker who compares MIS figures with the Excel reports and logs every difference during the parallel run.</t>
        </is>
      </c>
      <c r="D49" s="13" t="inlineStr">
        <is>
          <t>Not Started</t>
        </is>
      </c>
      <c r="E49" s="12" t="inlineStr">
        <is>
          <t>Pavan Gandhi (Plant Head / COO)</t>
        </is>
      </c>
      <c r="F49" s="12" t="inlineStr">
        <is>
          <t>Operations</t>
        </is>
      </c>
      <c r="G49" s="12" t="inlineStr">
        <is>
          <t>All operating HODs name their people.</t>
        </is>
      </c>
      <c r="H49" s="13" t="inlineStr">
        <is>
          <t>OPS-01</t>
        </is>
      </c>
      <c r="I49" s="14" t="n">
        <v>46295</v>
      </c>
      <c r="J49" s="12" t="inlineStr">
        <is>
          <t>Internal – staff time (SP-14)</t>
        </is>
      </c>
      <c r="K49" s="13" t="inlineStr">
        <is>
          <t>Test rollout</t>
        </is>
      </c>
      <c r="L49" s="15" t="inlineStr">
        <is>
          <t>High</t>
        </is>
      </c>
      <c r="M49" s="13" t="inlineStr">
        <is>
          <t>No</t>
        </is>
      </c>
      <c r="N49" s="13" t="inlineStr">
        <is>
          <t>Yes</t>
        </is>
      </c>
      <c r="O49" s="16" t="inlineStr">
        <is>
          <t>Required before the parallel run can prove the MIS against the Excel reports the plant already trusts. Not yet assigned.</t>
        </is>
      </c>
      <c r="P49" s="16" t="inlineStr">
        <is>
          <t>GO_LIVE_CHECKLIST §1 &amp; §5</t>
        </is>
      </c>
    </row>
    <row r="50">
      <c r="A50" s="5" t="inlineStr">
        <is>
          <t>OPS-03</t>
        </is>
      </c>
      <c r="B50" s="6" t="inlineStr">
        <is>
          <t>Rollout &amp; Change Management</t>
        </is>
      </c>
      <c r="C50" s="6" t="inlineStr">
        <is>
          <t>Train pilot users by role (enter and submit; HOD approval; setting a password from the invite link) and hand out one-page quick guides.</t>
        </is>
      </c>
      <c r="D50" s="7" t="inlineStr">
        <is>
          <t>Not Started</t>
        </is>
      </c>
      <c r="E50" s="6" t="inlineStr">
        <is>
          <t>Razak Mbaga (MIS developer)</t>
        </is>
      </c>
      <c r="F50" s="6" t="inlineStr">
        <is>
          <t>IT / MIS</t>
        </is>
      </c>
      <c r="G50" s="6" t="inlineStr">
        <is>
          <t>HR &amp; Admin (Sophia Mkassi): schedule the sessions. HODs: release staff to attend.</t>
        </is>
      </c>
      <c r="H50" s="7" t="inlineStr">
        <is>
          <t>QA-01, ACC-03</t>
        </is>
      </c>
      <c r="I50" s="8" t="n">
        <v>46297</v>
      </c>
      <c r="J50" s="6" t="inlineStr">
        <is>
          <t>Internal staff time plus printing (SP-13)</t>
        </is>
      </c>
      <c r="K50" s="7" t="inlineStr">
        <is>
          <t>Test rollout</t>
        </is>
      </c>
      <c r="L50" s="17" t="inlineStr">
        <is>
          <t>High</t>
        </is>
      </c>
      <c r="M50" s="7" t="inlineStr">
        <is>
          <t>No</t>
        </is>
      </c>
      <c r="N50" s="7" t="inlineStr">
        <is>
          <t>Yes</t>
        </is>
      </c>
      <c r="O50" s="10" t="inlineStr">
        <is>
          <t>No per-role SOPs or training material exist yet. They were planned in July but not written.</t>
        </is>
      </c>
      <c r="P50" s="10" t="inlineStr">
        <is>
          <t>Project notes 17-Jul (documentation plan)</t>
        </is>
      </c>
    </row>
    <row r="51">
      <c r="A51" s="11" t="inlineStr">
        <is>
          <t>OPS-04</t>
        </is>
      </c>
      <c r="B51" s="12" t="inlineStr">
        <is>
          <t>Rollout &amp; Change Management</t>
        </is>
      </c>
      <c r="C51" s="12" t="inlineStr">
        <is>
          <t>Confirm every data-entry point (control room, CPP, packing, stores, quarry/weighbridge, logistics) has a working device and network access to the MIS site.</t>
        </is>
      </c>
      <c r="D51" s="13" t="inlineStr">
        <is>
          <t>Not Started</t>
        </is>
      </c>
      <c r="E51" s="12" t="inlineStr">
        <is>
          <t>Saurabh Bhattacharya (IT HOD)</t>
        </is>
      </c>
      <c r="F51" s="12" t="inlineStr">
        <is>
          <t>IT</t>
        </is>
      </c>
      <c r="G51" s="12" t="inlineStr">
        <is>
          <t>Operating HODs list their entry points.</t>
        </is>
      </c>
      <c r="H51" s="13" t="inlineStr">
        <is>
          <t>INF-01</t>
        </is>
      </c>
      <c r="I51" s="14" t="n">
        <v>46295</v>
      </c>
      <c r="J51" s="12" t="inlineStr">
        <is>
          <t>IT – device or network spend only if the survey finds gaps (SP-12)</t>
        </is>
      </c>
      <c r="K51" s="13" t="inlineStr">
        <is>
          <t>Test rollout</t>
        </is>
      </c>
      <c r="L51" s="19" t="inlineStr">
        <is>
          <t>Medium</t>
        </is>
      </c>
      <c r="M51" s="13" t="inlineStr">
        <is>
          <t>No</t>
        </is>
      </c>
      <c r="N51" s="13" t="inlineStr">
        <is>
          <t>Yes</t>
        </is>
      </c>
      <c r="O51" s="16" t="inlineStr">
        <is>
          <t>Not covered anywhere in the project files. This is a readiness check, not a known gap.</t>
        </is>
      </c>
      <c r="P51" s="16" t="inlineStr">
        <is>
          <t>Readiness check (not in project files)</t>
        </is>
      </c>
    </row>
    <row r="52">
      <c r="A52" s="5" t="inlineStr">
        <is>
          <t>OPS-05</t>
        </is>
      </c>
      <c r="B52" s="6" t="inlineStr">
        <is>
          <t>Rollout &amp; Change Management</t>
        </is>
      </c>
      <c r="C52" s="6" t="inlineStr">
        <is>
          <t>Announce the pilot (URL, login steps, support contact, how to report a problem), set up an issue log, and check the monitor page daily during the pilot.</t>
        </is>
      </c>
      <c r="D52" s="7" t="inlineStr">
        <is>
          <t>Not Started</t>
        </is>
      </c>
      <c r="E52" s="6" t="inlineStr">
        <is>
          <t>Pavan Gandhi (Plant Head / COO)</t>
        </is>
      </c>
      <c r="F52" s="6" t="inlineStr">
        <is>
          <t>Operations</t>
        </is>
      </c>
      <c r="G52" s="6" t="inlineStr">
        <is>
          <t>IT: support desk. MIS: issue log and triage.</t>
        </is>
      </c>
      <c r="H52" s="7" t="inlineStr">
        <is>
          <t>OPS-01, INF-01</t>
        </is>
      </c>
      <c r="I52" s="8" t="n">
        <v>46297</v>
      </c>
      <c r="J52" s="6" t="inlineStr">
        <is>
          <t>Nil – no cash cost</t>
        </is>
      </c>
      <c r="K52" s="7" t="inlineStr">
        <is>
          <t>Test rollout</t>
        </is>
      </c>
      <c r="L52" s="18" t="inlineStr">
        <is>
          <t>Medium</t>
        </is>
      </c>
      <c r="M52" s="7" t="inlineStr">
        <is>
          <t>No</t>
        </is>
      </c>
      <c r="N52" s="7" t="inlineStr">
        <is>
          <t>Yes</t>
        </is>
      </c>
      <c r="O52" s="10" t="inlineStr">
        <is>
          <t>No communication or support plan is recorded.</t>
        </is>
      </c>
      <c r="P52" s="10" t="inlineStr">
        <is>
          <t>GO_LIVE_CHECKLIST §6 &amp; §8</t>
        </is>
      </c>
    </row>
    <row r="53">
      <c r="A53" s="11" t="inlineStr">
        <is>
          <t>OPS-06</t>
        </is>
      </c>
      <c r="B53" s="12" t="inlineStr">
        <is>
          <t>Rollout &amp; Change Management</t>
        </is>
      </c>
      <c r="C53" s="12" t="inlineStr">
        <is>
          <t>Cutover decision at the end of the parallel run: sign off against the criteria (no unexplained KPI differences from Excel; forms entered on time on at least 90% of days; digest and backups every day), then archive the Excel daily sheets.</t>
        </is>
      </c>
      <c r="D53" s="13" t="inlineStr">
        <is>
          <t>Not Started</t>
        </is>
      </c>
      <c r="E53" s="12" t="inlineStr">
        <is>
          <t>Kush Patel (Managing Director)</t>
        </is>
      </c>
      <c r="F53" s="12" t="inlineStr">
        <is>
          <t>Corporate – MD Office</t>
        </is>
      </c>
      <c r="G53" s="12" t="inlineStr">
        <is>
          <t>Plant Head, all HODs, IT.</t>
        </is>
      </c>
      <c r="H53" s="13" t="inlineStr">
        <is>
          <t>QA-02, OPS-02, EML-03, INF-02, SEC-03, DAT-03</t>
        </is>
      </c>
      <c r="I53" s="14" t="n">
        <v>46328</v>
      </c>
      <c r="J53" s="12" t="inlineStr">
        <is>
          <t>Nil – no cash cost</t>
        </is>
      </c>
      <c r="K53" s="13" t="inlineStr">
        <is>
          <t>Production go-live</t>
        </is>
      </c>
      <c r="L53" s="15" t="inlineStr">
        <is>
          <t>High</t>
        </is>
      </c>
      <c r="M53" s="13" t="inlineStr">
        <is>
          <t>Yes</t>
        </is>
      </c>
      <c r="N53" s="13" t="inlineStr">
        <is>
          <t>Yes</t>
        </is>
      </c>
      <c r="O53" s="16" t="inlineStr">
        <is>
          <t>The sign-off criteria are defined in the checklist. The decision owner is not yet named (OPS-01).</t>
        </is>
      </c>
      <c r="P53" s="16" t="inlineStr">
        <is>
          <t>GO_LIVE_CHECKLIST §5–§6</t>
        </is>
      </c>
    </row>
    <row r="54">
      <c r="A54" s="5" t="inlineStr">
        <is>
          <t>GOV-01</t>
        </is>
      </c>
      <c r="B54" s="6" t="inlineStr">
        <is>
          <t>Governance &amp; Budget</t>
        </is>
      </c>
      <c r="C54" s="6" t="inlineStr">
        <is>
          <t>Confirm who pays for and holds the contracts for the DigitalOcean hosting account, backup storage, and Odoo vendor work (production connection, new endpoints, defect fixes): in the current contract, or chargeable change requests.</t>
        </is>
      </c>
      <c r="D54" s="7" t="inlineStr">
        <is>
          <t>Not Started</t>
        </is>
      </c>
      <c r="E54" s="6" t="inlineStr">
        <is>
          <t>Sankalp Jaithalia (CFO)</t>
        </is>
      </c>
      <c r="F54" s="6" t="inlineStr">
        <is>
          <t>Corporate – Finance</t>
        </is>
      </c>
      <c r="G54" s="6" t="inlineStr">
        <is>
          <t>Finance HOD (Muneesh Kumar), IT HOD, Odoo vendor.</t>
        </is>
      </c>
      <c r="H54" s="7" t="inlineStr">
        <is>
          <t>—</t>
        </is>
      </c>
      <c r="I54" s="8" t="n">
        <v>46295</v>
      </c>
      <c r="J54" s="6" t="inlineStr">
        <is>
          <t>Nil – no cash cost</t>
        </is>
      </c>
      <c r="K54" s="7" t="inlineStr">
        <is>
          <t>Production go-live</t>
        </is>
      </c>
      <c r="L54" s="17" t="inlineStr">
        <is>
          <t>High</t>
        </is>
      </c>
      <c r="M54" s="7" t="inlineStr">
        <is>
          <t>Yes</t>
        </is>
      </c>
      <c r="N54" s="7" t="inlineStr">
        <is>
          <t>Yes</t>
        </is>
      </c>
      <c r="O54" s="10" t="inlineStr">
        <is>
          <t>There is no cost, budget, contract or invoice information anywhere in the project files. The hosting account is administered by the Odoo vendor.</t>
        </is>
      </c>
      <c r="P54" s="10" t="inlineStr">
        <is>
          <t>Search of all project docs 17-Sep</t>
        </is>
      </c>
    </row>
    <row r="55">
      <c r="A55" s="11" t="inlineStr">
        <is>
          <t>GOV-02</t>
        </is>
      </c>
      <c r="B55" s="12" t="inlineStr">
        <is>
          <t>Governance &amp; Budget</t>
        </is>
      </c>
      <c r="C55" s="12" t="inlineStr">
        <is>
          <t>Update the go-live documents to match the cloud setup (GO_LIVE_CHECKLIST §1 and §3: account hygiene, metrics token, sign-off record) and record the named Plant Head and MD in the RACI.</t>
        </is>
      </c>
      <c r="D55" s="13" t="inlineStr">
        <is>
          <t>Not Started</t>
        </is>
      </c>
      <c r="E55" s="12" t="inlineStr">
        <is>
          <t>Razak Mbaga (MIS developer)</t>
        </is>
      </c>
      <c r="F55" s="12" t="inlineStr">
        <is>
          <t>IT / MIS</t>
        </is>
      </c>
      <c r="G55" s="12" t="inlineStr">
        <is>
          <t>Odoo vendor: confirm server-side steps.</t>
        </is>
      </c>
      <c r="H55" s="13" t="inlineStr">
        <is>
          <t>OPS-01</t>
        </is>
      </c>
      <c r="I55" s="14" t="n">
        <v>46311</v>
      </c>
      <c r="J55" s="12" t="inlineStr">
        <is>
          <t>Internal – MIS staff time, no cash cost</t>
        </is>
      </c>
      <c r="K55" s="13" t="inlineStr">
        <is>
          <t>Production go-live</t>
        </is>
      </c>
      <c r="L55" s="22" t="inlineStr">
        <is>
          <t>Low</t>
        </is>
      </c>
      <c r="M55" s="13" t="inlineStr">
        <is>
          <t>No</t>
        </is>
      </c>
      <c r="N55" s="13" t="inlineStr">
        <is>
          <t>Yes</t>
        </is>
      </c>
      <c r="O55" s="16" t="inlineStr">
        <is>
          <t>The checklist's own banner says §1 and §3 still need re-authoring for the cloud host.</t>
        </is>
      </c>
      <c r="P55" s="16" t="inlineStr">
        <is>
          <t>GO_LIVE_CHECKLIST banner; docs/pm/RACI.md</t>
        </is>
      </c>
    </row>
    <row r="57">
      <c r="A57" s="23" t="inlineStr">
        <is>
          <t>How to read this</t>
        </is>
      </c>
    </row>
    <row r="58">
      <c r="A58" s="24" t="inlineStr">
        <is>
          <t>Rollout Gate: 'Test rollout' = must be done before the pilot starts · 'Production go-live' = before the MIS replaces Excel · 'Post go-live' = improvement, not a blocker.</t>
        </is>
      </c>
    </row>
    <row r="59">
      <c r="A59" s="24" t="inlineStr">
        <is>
          <t>Deadline cells turn red automatically when the date has passed and Status is not Done. Status, Priority, Gate and Yes/No columns have drop-down lists.</t>
        </is>
      </c>
    </row>
    <row r="60">
      <c r="A60" s="24" t="inlineStr">
        <is>
          <t>Owner names are taken from docs/USER_ACCOUNT_STANDARDIZATION.md (3-Sep-2026). The P&amp;M HOD has not been named in the project.</t>
        </is>
      </c>
    </row>
    <row r="61">
      <c r="A61" s="24" t="inlineStr">
        <is>
          <t>Cost amounts are tracked on the 'Spending Tracker' sheet; task-to-task links and department involvement are on 'Dependency Matrix'.</t>
        </is>
      </c>
    </row>
    <row r="62">
      <c r="A62" s="24" t="inlineStr">
        <is>
          <t>To add a task, insert a row above this note so the filters, drop-downs and the Top 10 snapshot counts include it.</t>
        </is>
      </c>
    </row>
  </sheetData>
  <autoFilter ref="A5:P55"/>
  <conditionalFormatting sqref="D6:D300">
    <cfRule type="cellIs" priority="1" operator="equal" dxfId="0">
      <formula>"Blocked"</formula>
    </cfRule>
    <cfRule type="cellIs" priority="2" operator="equal" dxfId="1">
      <formula>"Awaiting Decision"</formula>
    </cfRule>
    <cfRule type="cellIs" priority="3" operator="equal" dxfId="2">
      <formula>"In Progress"</formula>
    </cfRule>
    <cfRule type="cellIs" priority="4" operator="equal" dxfId="3">
      <formula>"Not Started"</formula>
    </cfRule>
    <cfRule type="cellIs" priority="5" operator="equal" dxfId="4">
      <formula>"Done"</formula>
    </cfRule>
  </conditionalFormatting>
  <conditionalFormatting sqref="M6:M300">
    <cfRule type="cellIs" priority="6" operator="equal" dxfId="1">
      <formula>"Yes"</formula>
    </cfRule>
  </conditionalFormatting>
  <conditionalFormatting sqref="I6:I300">
    <cfRule type="expression" priority="7" dxfId="0">
      <formula>AND(I6&lt;&gt;"",I6&lt;TODAY(),D6&lt;&gt;"Done")</formula>
    </cfRule>
  </conditionalFormatting>
  <dataValidations count="5">
    <dataValidation sqref="D6:D300" showDropDown="0" showInputMessage="0" showErrorMessage="0" allowBlank="1" type="list">
      <formula1>"Blocked,Awaiting Decision,In Progress,Not Started,Done"</formula1>
    </dataValidation>
    <dataValidation sqref="L6:L300" showDropDown="0" showInputMessage="0" showErrorMessage="0" allowBlank="1" type="list">
      <formula1>"Critical,High,Medium,Low"</formula1>
    </dataValidation>
    <dataValidation sqref="K6:K300" showDropDown="0" showInputMessage="0" showErrorMessage="0" allowBlank="1" type="list">
      <formula1>"Test rollout,Production go-live,Post go-live"</formula1>
    </dataValidation>
    <dataValidation sqref="M6:M300 N6:N300" showDropDown="0" showInputMessage="0" showErrorMessage="0" allowBlank="1" type="list">
      <formula1>"Yes,No"</formula1>
    </dataValidation>
    <dataValidation sqref="I6:I300" showDropDown="0" showInputMessage="0" showErrorMessage="0" allowBlank="1" errorTitle="Deadline" error="Enter a date" type="date" operator="greaterThan">
      <formula1>DATE(2026,1,1)</formula1>
    </dataValidation>
  </dataValidation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O27"/>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8" customWidth="1" min="1" max="1"/>
    <col width="44" customWidth="1" min="2" max="2"/>
    <col width="16" customWidth="1" min="3" max="3"/>
    <col width="14" customWidth="1" min="4" max="4"/>
    <col width="17" customWidth="1" min="5" max="5"/>
    <col width="30" customWidth="1" min="6" max="6"/>
    <col width="26" customWidth="1" min="7" max="7"/>
    <col width="9" customWidth="1" min="8" max="8"/>
    <col width="14" customWidth="1" min="9" max="9"/>
    <col width="14" customWidth="1" min="10" max="10"/>
    <col width="18" customWidth="1" min="11" max="11"/>
    <col width="14" customWidth="1" min="12" max="12"/>
    <col width="15" customWidth="1" min="13" max="13"/>
    <col width="17" customWidth="1" min="14" max="14"/>
    <col width="58" customWidth="1" min="15" max="15"/>
  </cols>
  <sheetData>
    <row r="1">
      <c r="A1" s="1" t="inlineStr">
        <is>
          <t>Lake Cement MIS – Spending Tracker</t>
        </is>
      </c>
    </row>
    <row r="2">
      <c r="A2" s="2" t="inlineStr">
        <is>
          <t>No cost, budget, contract or invoice figures exist anywhere in the project files, so every amount is blank on purpose. Enter figures from quotes and invoices; variance and currency totals calculate automatically.</t>
        </is>
      </c>
    </row>
    <row r="3" ht="4" customHeight="1">
      <c r="A3" s="3" t="n"/>
      <c r="B3" s="3" t="n"/>
      <c r="C3" s="3" t="n"/>
      <c r="D3" s="3" t="n"/>
      <c r="E3" s="3" t="n"/>
      <c r="F3" s="3" t="n"/>
      <c r="G3" s="3" t="n"/>
      <c r="H3" s="3" t="n"/>
      <c r="I3" s="3" t="n"/>
      <c r="J3" s="3" t="n"/>
      <c r="K3" s="3" t="n"/>
      <c r="L3" s="3" t="n"/>
      <c r="M3" s="3" t="n"/>
      <c r="N3" s="3" t="n"/>
      <c r="O3" s="3" t="n"/>
    </row>
    <row r="5" ht="36" customHeight="1">
      <c r="A5" s="4" t="inlineStr">
        <is>
          <t>Cost ID</t>
        </is>
      </c>
      <c r="B5" s="4" t="inlineStr">
        <is>
          <t>Item</t>
        </is>
      </c>
      <c r="C5" s="4" t="inlineStr">
        <is>
          <t>Category</t>
        </is>
      </c>
      <c r="D5" s="4" t="inlineStr">
        <is>
          <t>Linked Task(s)</t>
        </is>
      </c>
      <c r="E5" s="4" t="inlineStr">
        <is>
          <t>Cost Type</t>
        </is>
      </c>
      <c r="F5" s="4" t="inlineStr">
        <is>
          <t>Cost Responsibility (who pays)</t>
        </is>
      </c>
      <c r="G5" s="4" t="inlineStr">
        <is>
          <t>Budget Approver</t>
        </is>
      </c>
      <c r="H5" s="4" t="inlineStr">
        <is>
          <t>Currency</t>
        </is>
      </c>
      <c r="I5" s="4" t="inlineStr">
        <is>
          <t>Estimated Amount</t>
        </is>
      </c>
      <c r="J5" s="4" t="inlineStr">
        <is>
          <t>Approved Budget</t>
        </is>
      </c>
      <c r="K5" s="4" t="inlineStr">
        <is>
          <t>Committed (PO / contract ref.)</t>
        </is>
      </c>
      <c r="L5" s="4" t="inlineStr">
        <is>
          <t>Actual Spent to Date</t>
        </is>
      </c>
      <c r="M5" s="4" t="inlineStr">
        <is>
          <t>Variance (Budget – Actual)</t>
        </is>
      </c>
      <c r="N5" s="4" t="inlineStr">
        <is>
          <t>Status</t>
        </is>
      </c>
      <c r="O5" s="4" t="inlineStr">
        <is>
          <t>Notes / What is needed</t>
        </is>
      </c>
    </row>
    <row r="6">
      <c r="A6" s="5" t="inlineStr">
        <is>
          <t>SP-01</t>
        </is>
      </c>
      <c r="B6" s="6" t="inlineStr">
        <is>
          <t>Production application server (DigitalOcean droplet 138.68.166.86)</t>
        </is>
      </c>
      <c r="C6" s="6" t="inlineStr">
        <is>
          <t>Hosting</t>
        </is>
      </c>
      <c r="D6" s="6" t="inlineStr">
        <is>
          <t>INF-01, INF-02, INF-05</t>
        </is>
      </c>
      <c r="E6" s="6" t="inlineStr">
        <is>
          <t>Recurring – monthly</t>
        </is>
      </c>
      <c r="F6" s="6" t="inlineStr">
        <is>
          <t>TBC – account administered by Odoo vendor (GOV-01)</t>
        </is>
      </c>
      <c r="G6" s="6" t="inlineStr">
        <is>
          <t>Sankalp Jaithalia (CFO)</t>
        </is>
      </c>
      <c r="H6" s="25" t="inlineStr">
        <is>
          <t>USD</t>
        </is>
      </c>
      <c r="I6" s="26" t="n"/>
      <c r="J6" s="26" t="n"/>
      <c r="K6" s="6" t="n"/>
      <c r="L6" s="26" t="n"/>
      <c r="M6" s="26">
        <f>IF(OR(J6="",L6=""),"",J6-L6)</f>
        <v/>
      </c>
      <c r="N6" s="6" t="inlineStr">
        <is>
          <t>Running – cost not recorded</t>
        </is>
      </c>
      <c r="O6" s="10" t="inlineStr">
        <is>
          <t>Ask the Odoo vendor for the current plan size and last invoice. Nothing is recorded in the project.</t>
        </is>
      </c>
    </row>
    <row r="7">
      <c r="A7" s="11" t="inlineStr">
        <is>
          <t>SP-02</t>
        </is>
      </c>
      <c r="B7" s="12" t="inlineStr">
        <is>
          <t>Off-server backup storage (extra volume, object storage or network share)</t>
        </is>
      </c>
      <c r="C7" s="12" t="inlineStr">
        <is>
          <t>Hosting</t>
        </is>
      </c>
      <c r="D7" s="12" t="inlineStr">
        <is>
          <t>INF-02</t>
        </is>
      </c>
      <c r="E7" s="12" t="inlineStr">
        <is>
          <t>Recurring – monthly</t>
        </is>
      </c>
      <c r="F7" s="12" t="inlineStr">
        <is>
          <t>Lake Cement IT (TBC)</t>
        </is>
      </c>
      <c r="G7" s="12" t="inlineStr">
        <is>
          <t>Saurabh Bhattacharya (IT HOD)</t>
        </is>
      </c>
      <c r="H7" s="27" t="inlineStr">
        <is>
          <t>USD</t>
        </is>
      </c>
      <c r="I7" s="26" t="n"/>
      <c r="J7" s="26" t="n"/>
      <c r="K7" s="12" t="n"/>
      <c r="L7" s="26" t="n"/>
      <c r="M7" s="26">
        <f>IF(OR(J7="",L7=""),"",J7-L7)</f>
        <v/>
      </c>
      <c r="N7" s="12" t="inlineStr">
        <is>
          <t>Quote needed</t>
        </is>
      </c>
      <c r="O7" s="16" t="inlineStr">
        <is>
          <t>Needed: production backups currently sit on the app disk. Size by database dump size × retention days.</t>
        </is>
      </c>
    </row>
    <row r="8">
      <c r="A8" s="5" t="inlineStr">
        <is>
          <t>SP-03</t>
        </is>
      </c>
      <c r="B8" s="6" t="inlineStr">
        <is>
          <t>Option: DigitalOcean Managed PostgreSQL (replaces self-managed database and backups)</t>
        </is>
      </c>
      <c r="C8" s="6" t="inlineStr">
        <is>
          <t>Hosting</t>
        </is>
      </c>
      <c r="D8" s="6" t="inlineStr">
        <is>
          <t>INF-02</t>
        </is>
      </c>
      <c r="E8" s="6" t="inlineStr">
        <is>
          <t>Recurring – monthly</t>
        </is>
      </c>
      <c r="F8" s="6" t="inlineStr">
        <is>
          <t>TBC (GOV-01)</t>
        </is>
      </c>
      <c r="G8" s="6" t="inlineStr">
        <is>
          <t>Sankalp Jaithalia (CFO)</t>
        </is>
      </c>
      <c r="H8" s="25" t="inlineStr">
        <is>
          <t>USD</t>
        </is>
      </c>
      <c r="I8" s="26" t="n"/>
      <c r="J8" s="26" t="n"/>
      <c r="K8" s="6" t="n"/>
      <c r="L8" s="26" t="n"/>
      <c r="M8" s="26">
        <f>IF(OR(J8="",L8=""),"",J8-L8)</f>
        <v/>
      </c>
      <c r="N8" s="6" t="inlineStr">
        <is>
          <t>Option – not decided</t>
        </is>
      </c>
      <c r="O8" s="10" t="inlineStr">
        <is>
          <t>Documented as Option B in the deployment guide. It would replace SP-02. Only one of SP-02/SP-03 is needed.</t>
        </is>
      </c>
    </row>
    <row r="9">
      <c r="A9" s="11" t="inlineStr">
        <is>
          <t>SP-04</t>
        </is>
      </c>
      <c r="B9" s="12" t="inlineStr">
        <is>
          <t>HTTPS certificate and DNS record for the MIS hostname</t>
        </is>
      </c>
      <c r="C9" s="12" t="inlineStr">
        <is>
          <t>Hosting</t>
        </is>
      </c>
      <c r="D9" s="12" t="inlineStr">
        <is>
          <t>INF-01</t>
        </is>
      </c>
      <c r="E9" s="12" t="inlineStr">
        <is>
          <t>One-off</t>
        </is>
      </c>
      <c r="F9" s="12" t="inlineStr">
        <is>
          <t>Nil</t>
        </is>
      </c>
      <c r="G9" s="12" t="inlineStr">
        <is>
          <t>Saurabh Bhattacharya (IT HOD)</t>
        </is>
      </c>
      <c r="H9" s="27" t="inlineStr">
        <is>
          <t>USD</t>
        </is>
      </c>
      <c r="I9" s="26" t="n"/>
      <c r="J9" s="26" t="n"/>
      <c r="K9" s="12" t="n"/>
      <c r="L9" s="26" t="n"/>
      <c r="M9" s="26">
        <f>IF(OR(J9="",L9=""),"",J9-L9)</f>
        <v/>
      </c>
      <c r="N9" s="12" t="inlineStr">
        <is>
          <t>No cash cost</t>
        </is>
      </c>
      <c r="O9" s="16" t="inlineStr">
        <is>
          <t>Let's Encrypt certificates are free, and the DNS record goes on the existing lakecement.co.tz domain.</t>
        </is>
      </c>
    </row>
    <row r="10">
      <c r="A10" s="5" t="inlineStr">
        <is>
          <t>SP-05</t>
        </is>
      </c>
      <c r="B10" s="6" t="inlineStr">
        <is>
          <t>Private network link between the MIS server and production Odoo (VPC / VPN)</t>
        </is>
      </c>
      <c r="C10" s="6" t="inlineStr">
        <is>
          <t>Hosting</t>
        </is>
      </c>
      <c r="D10" s="6" t="inlineStr">
        <is>
          <t>INF-04</t>
        </is>
      </c>
      <c r="E10" s="6" t="inlineStr">
        <is>
          <t>TBC</t>
        </is>
      </c>
      <c r="F10" s="6" t="inlineStr">
        <is>
          <t>TBC (GOV-01)</t>
        </is>
      </c>
      <c r="G10" s="6" t="inlineStr">
        <is>
          <t>Saurabh Bhattacharya (IT HOD)</t>
        </is>
      </c>
      <c r="H10" s="25" t="inlineStr">
        <is>
          <t>USD</t>
        </is>
      </c>
      <c r="I10" s="26" t="n"/>
      <c r="J10" s="26" t="n"/>
      <c r="K10" s="6" t="n"/>
      <c r="L10" s="26" t="n"/>
      <c r="M10" s="26">
        <f>IF(OR(J10="",L10=""),"",J10-L10)</f>
        <v/>
      </c>
      <c r="N10" s="6" t="inlineStr">
        <is>
          <t>Quote needed</t>
        </is>
      </c>
      <c r="O10" s="10" t="inlineStr">
        <is>
          <t>No cost if both servers can share a private network. A VPN or tunnel may cost extra.</t>
        </is>
      </c>
    </row>
    <row r="11">
      <c r="A11" s="11" t="inlineStr">
        <is>
          <t>SP-06</t>
        </is>
      </c>
      <c r="B11" s="12" t="inlineStr">
        <is>
          <t>Odoo vendor: connect the four report endpoints to the production Odoo database</t>
        </is>
      </c>
      <c r="C11" s="12" t="inlineStr">
        <is>
          <t>Vendor services</t>
        </is>
      </c>
      <c r="D11" s="12" t="inlineStr">
        <is>
          <t>ODO-01</t>
        </is>
      </c>
      <c r="E11" s="12" t="inlineStr">
        <is>
          <t>One-off</t>
        </is>
      </c>
      <c r="F11" s="12" t="inlineStr">
        <is>
          <t>Odoo vendor contract – confirm in-scope or change request</t>
        </is>
      </c>
      <c r="G11" s="12" t="inlineStr">
        <is>
          <t>Sankalp Jaithalia (CFO)</t>
        </is>
      </c>
      <c r="H11" s="27" t="inlineStr"/>
      <c r="I11" s="26" t="n"/>
      <c r="J11" s="26" t="n"/>
      <c r="K11" s="12" t="n"/>
      <c r="L11" s="26" t="n"/>
      <c r="M11" s="26">
        <f>IF(OR(J11="",L11=""),"",J11-L11)</f>
        <v/>
      </c>
      <c r="N11" s="12" t="inlineStr">
        <is>
          <t>Scope/quote needed</t>
        </is>
      </c>
      <c r="O11" s="16" t="inlineStr">
        <is>
          <t>Confirm whether this is covered by the current Teckzilla agreement.</t>
        </is>
      </c>
    </row>
    <row r="12">
      <c r="A12" s="5" t="inlineStr">
        <is>
          <t>SP-07</t>
        </is>
      </c>
      <c r="B12" s="6" t="inlineStr">
        <is>
          <t>Odoo vendor: fix defects in existing endpoints (date filters, truncation, duplicates, ticket no.)</t>
        </is>
      </c>
      <c r="C12" s="6" t="inlineStr">
        <is>
          <t>Vendor services</t>
        </is>
      </c>
      <c r="D12" s="6" t="inlineStr">
        <is>
          <t>ODO-02</t>
        </is>
      </c>
      <c r="E12" s="6" t="inlineStr">
        <is>
          <t>One-off</t>
        </is>
      </c>
      <c r="F12" s="6" t="inlineStr">
        <is>
          <t>Odoo vendor – expected no charge (defect)</t>
        </is>
      </c>
      <c r="G12" s="6" t="inlineStr">
        <is>
          <t>Sankalp Jaithalia (CFO)</t>
        </is>
      </c>
      <c r="H12" s="25" t="inlineStr"/>
      <c r="I12" s="26" t="n"/>
      <c r="J12" s="26" t="n"/>
      <c r="K12" s="6" t="n"/>
      <c r="L12" s="26" t="n"/>
      <c r="M12" s="26">
        <f>IF(OR(J12="",L12=""),"",J12-L12)</f>
        <v/>
      </c>
      <c r="N12" s="6" t="inlineStr">
        <is>
          <t>Confirm no charge</t>
        </is>
      </c>
      <c r="O12" s="10" t="inlineStr">
        <is>
          <t>These are defects in endpoints already delivered.</t>
        </is>
      </c>
    </row>
    <row r="13">
      <c r="A13" s="11" t="inlineStr">
        <is>
          <t>SP-08</t>
        </is>
      </c>
      <c r="B13" s="12" t="inlineStr">
        <is>
          <t>Odoo vendor: Production Entry endpoint, API service account, inventory/purchasing endpoints</t>
        </is>
      </c>
      <c r="C13" s="12" t="inlineStr">
        <is>
          <t>Vendor services</t>
        </is>
      </c>
      <c r="D13" s="12" t="inlineStr">
        <is>
          <t>ODO-03, ODO-04</t>
        </is>
      </c>
      <c r="E13" s="12" t="inlineStr">
        <is>
          <t>One-off</t>
        </is>
      </c>
      <c r="F13" s="12" t="inlineStr">
        <is>
          <t>TBC – change request (GOV-01)</t>
        </is>
      </c>
      <c r="G13" s="12" t="inlineStr">
        <is>
          <t>Sankalp Jaithalia (CFO)</t>
        </is>
      </c>
      <c r="H13" s="27" t="inlineStr"/>
      <c r="I13" s="26" t="n"/>
      <c r="J13" s="26" t="n"/>
      <c r="K13" s="12" t="n"/>
      <c r="L13" s="26" t="n"/>
      <c r="M13" s="26">
        <f>IF(OR(J13="",L13=""),"",J13-L13)</f>
        <v/>
      </c>
      <c r="N13" s="12" t="inlineStr">
        <is>
          <t>Quote needed</t>
        </is>
      </c>
      <c r="O13" s="16" t="inlineStr">
        <is>
          <t>If production Odoo is an Enterprise edition, a new API user may need a user subscription. Confirm with the vendor.</t>
        </is>
      </c>
    </row>
    <row r="14">
      <c r="A14" s="5" t="inlineStr">
        <is>
          <t>SP-09</t>
        </is>
      </c>
      <c r="B14" s="6" t="inlineStr">
        <is>
          <t>Microsoft 365: sending mailbox digital@lakecement.co.tz and SMTP AUTH or Graph API</t>
        </is>
      </c>
      <c r="C14" s="6" t="inlineStr">
        <is>
          <t>Software &amp; licences</t>
        </is>
      </c>
      <c r="D14" s="6" t="inlineStr">
        <is>
          <t>EML-01</t>
        </is>
      </c>
      <c r="E14" s="6" t="inlineStr">
        <is>
          <t>Recurring – annual</t>
        </is>
      </c>
      <c r="F14" s="6" t="inlineStr">
        <is>
          <t>Lake Cement IT (existing licence)</t>
        </is>
      </c>
      <c r="G14" s="6" t="inlineStr">
        <is>
          <t>Saurabh Bhattacharya (IT HOD)</t>
        </is>
      </c>
      <c r="H14" s="25" t="inlineStr">
        <is>
          <t>USD</t>
        </is>
      </c>
      <c r="I14" s="26" t="n"/>
      <c r="J14" s="26" t="n"/>
      <c r="K14" s="6" t="n"/>
      <c r="L14" s="26" t="n"/>
      <c r="M14" s="26">
        <f>IF(OR(J14="",L14=""),"",J14-L14)</f>
        <v/>
      </c>
      <c r="N14" s="6" t="inlineStr">
        <is>
          <t>Confirm existing</t>
        </is>
      </c>
      <c r="O14" s="10" t="inlineStr">
        <is>
          <t>The SMTP AUTH setting has no licence cost. Confirm the mailbox already holds a licence.</t>
        </is>
      </c>
    </row>
    <row r="15">
      <c r="A15" s="11" t="inlineStr">
        <is>
          <t>SP-10</t>
        </is>
      </c>
      <c r="B15" s="12" t="inlineStr">
        <is>
          <t>Microsoft 365 mailboxes for staff without a company email</t>
        </is>
      </c>
      <c r="C15" s="12" t="inlineStr">
        <is>
          <t>Software &amp; licences</t>
        </is>
      </c>
      <c r="D15" s="12" t="inlineStr">
        <is>
          <t>ACC-01</t>
        </is>
      </c>
      <c r="E15" s="12" t="inlineStr">
        <is>
          <t>Recurring – per user</t>
        </is>
      </c>
      <c r="F15" s="12" t="inlineStr">
        <is>
          <t>Lake Cement IT</t>
        </is>
      </c>
      <c r="G15" s="12" t="inlineStr">
        <is>
          <t>Saurabh Bhattacharya (IT HOD)</t>
        </is>
      </c>
      <c r="H15" s="27" t="inlineStr">
        <is>
          <t>USD</t>
        </is>
      </c>
      <c r="I15" s="26" t="n"/>
      <c r="J15" s="26" t="n"/>
      <c r="K15" s="12" t="n"/>
      <c r="L15" s="26" t="n"/>
      <c r="M15" s="26">
        <f>IF(OR(J15="",L15=""),"",J15-L15)</f>
        <v/>
      </c>
      <c r="N15" s="12" t="inlineStr">
        <is>
          <t>Depends on ACC-01</t>
        </is>
      </c>
      <c r="O15" s="16" t="inlineStr">
        <is>
          <t>Only if management decides every data-entry person gets a mailbox. Cost = number of users × licence price.</t>
        </is>
      </c>
    </row>
    <row r="16">
      <c r="A16" s="5" t="inlineStr">
        <is>
          <t>SP-11</t>
        </is>
      </c>
      <c r="B16" s="6" t="inlineStr">
        <is>
          <t>GitHub: company organisation for the code repository; CI minutes if browser tests join the deploy gate</t>
        </is>
      </c>
      <c r="C16" s="6" t="inlineStr">
        <is>
          <t>Software &amp; licences</t>
        </is>
      </c>
      <c r="D16" s="6" t="inlineStr">
        <is>
          <t>INF-06, QA-03</t>
        </is>
      </c>
      <c r="E16" s="6" t="inlineStr">
        <is>
          <t>Recurring – monthly</t>
        </is>
      </c>
      <c r="F16" s="6" t="inlineStr">
        <is>
          <t>Lake Cement IT (TBC)</t>
        </is>
      </c>
      <c r="G16" s="6" t="inlineStr">
        <is>
          <t>Saurabh Bhattacharya (IT HOD)</t>
        </is>
      </c>
      <c r="H16" s="25" t="inlineStr">
        <is>
          <t>USD</t>
        </is>
      </c>
      <c r="I16" s="26" t="n"/>
      <c r="J16" s="26" t="n"/>
      <c r="K16" s="6" t="n"/>
      <c r="L16" s="26" t="n"/>
      <c r="M16" s="26">
        <f>IF(OR(J16="",L16=""),"",J16-L16)</f>
        <v/>
      </c>
      <c r="N16" s="6" t="inlineStr">
        <is>
          <t>Depends on INF-06</t>
        </is>
      </c>
      <c r="O16" s="10" t="inlineStr">
        <is>
          <t>Today the repository sits on a personal account. The cost depends on the plan chosen and CI usage.</t>
        </is>
      </c>
    </row>
    <row r="17">
      <c r="A17" s="11" t="inlineStr">
        <is>
          <t>SP-12</t>
        </is>
      </c>
      <c r="B17" s="12" t="inlineStr">
        <is>
          <t>Data-entry devices or network fixes at plant entry points</t>
        </is>
      </c>
      <c r="C17" s="12" t="inlineStr">
        <is>
          <t>Equipment</t>
        </is>
      </c>
      <c r="D17" s="12" t="inlineStr">
        <is>
          <t>OPS-04</t>
        </is>
      </c>
      <c r="E17" s="12" t="inlineStr">
        <is>
          <t>One-off – capex</t>
        </is>
      </c>
      <c r="F17" s="12" t="inlineStr">
        <is>
          <t>Lake Cement IT</t>
        </is>
      </c>
      <c r="G17" s="12" t="inlineStr">
        <is>
          <t>Saurabh Bhattacharya (IT HOD)</t>
        </is>
      </c>
      <c r="H17" s="27" t="inlineStr">
        <is>
          <t>TZS</t>
        </is>
      </c>
      <c r="I17" s="26" t="n"/>
      <c r="J17" s="26" t="n"/>
      <c r="K17" s="12" t="n"/>
      <c r="L17" s="26" t="n"/>
      <c r="M17" s="26">
        <f>IF(OR(J17="",L17=""),"",J17-L17)</f>
        <v/>
      </c>
      <c r="N17" s="12" t="inlineStr">
        <is>
          <t>Depends on survey</t>
        </is>
      </c>
      <c r="O17" s="16" t="inlineStr">
        <is>
          <t>Only if the OPS-04 survey finds entry points without a working device or network.</t>
        </is>
      </c>
    </row>
    <row r="18">
      <c r="A18" s="5" t="inlineStr">
        <is>
          <t>SP-13</t>
        </is>
      </c>
      <c r="B18" s="6" t="inlineStr">
        <is>
          <t>Training sessions and printed quick-reference guides</t>
        </is>
      </c>
      <c r="C18" s="6" t="inlineStr">
        <is>
          <t>Training</t>
        </is>
      </c>
      <c r="D18" s="6" t="inlineStr">
        <is>
          <t>OPS-03</t>
        </is>
      </c>
      <c r="E18" s="6" t="inlineStr">
        <is>
          <t>One-off</t>
        </is>
      </c>
      <c r="F18" s="6" t="inlineStr">
        <is>
          <t>Operations / HR</t>
        </is>
      </c>
      <c r="G18" s="6" t="inlineStr">
        <is>
          <t>Sophia Mkassi (HR HOD)</t>
        </is>
      </c>
      <c r="H18" s="25" t="inlineStr">
        <is>
          <t>TZS</t>
        </is>
      </c>
      <c r="I18" s="26" t="n"/>
      <c r="J18" s="26" t="n"/>
      <c r="K18" s="6" t="n"/>
      <c r="L18" s="26" t="n"/>
      <c r="M18" s="26">
        <f>IF(OR(J18="",L18=""),"",J18-L18)</f>
        <v/>
      </c>
      <c r="N18" s="6" t="inlineStr">
        <is>
          <t>Estimate needed</t>
        </is>
      </c>
      <c r="O18" s="10" t="inlineStr">
        <is>
          <t>Mostly internal time. The cash cost is printing and any venue or refreshments.</t>
        </is>
      </c>
    </row>
    <row r="19">
      <c r="A19" s="11" t="inlineStr">
        <is>
          <t>SP-14</t>
        </is>
      </c>
      <c r="B19" s="12" t="inlineStr">
        <is>
          <t>Parallel run: staff double-entry (MIS + Excel) and daily checker, 2–4 weeks</t>
        </is>
      </c>
      <c r="C19" s="12" t="inlineStr">
        <is>
          <t>Internal effort</t>
        </is>
      </c>
      <c r="D19" s="12" t="inlineStr">
        <is>
          <t>OPS-02</t>
        </is>
      </c>
      <c r="E19" s="12" t="inlineStr">
        <is>
          <t>One-off – internal</t>
        </is>
      </c>
      <c r="F19" s="12" t="inlineStr">
        <is>
          <t>Internal – no cash cost</t>
        </is>
      </c>
      <c r="G19" s="12" t="inlineStr">
        <is>
          <t>Pavan Gandhi (Plant Head / COO)</t>
        </is>
      </c>
      <c r="H19" s="27" t="inlineStr">
        <is>
          <t>TZS</t>
        </is>
      </c>
      <c r="I19" s="26" t="n"/>
      <c r="J19" s="26" t="n"/>
      <c r="K19" s="12" t="n"/>
      <c r="L19" s="26" t="n"/>
      <c r="M19" s="26">
        <f>IF(OR(J19="",L19=""),"",J19-L19)</f>
        <v/>
      </c>
      <c r="N19" s="12" t="inlineStr">
        <is>
          <t>Plan staff time</t>
        </is>
      </c>
      <c r="O19" s="16" t="inlineStr">
        <is>
          <t>No cash cost, but it takes HOD and officer time every day of the window.</t>
        </is>
      </c>
    </row>
    <row r="20">
      <c r="A20" s="5" t="inlineStr">
        <is>
          <t>SP-15</t>
        </is>
      </c>
      <c r="B20" s="6" t="inlineStr">
        <is>
          <t>MIS development, testing and pilot support</t>
        </is>
      </c>
      <c r="C20" s="6" t="inlineStr">
        <is>
          <t>Internal effort</t>
        </is>
      </c>
      <c r="D20" s="6" t="inlineStr">
        <is>
          <t>APP-01, QA-01, OPS-05</t>
        </is>
      </c>
      <c r="E20" s="6" t="inlineStr">
        <is>
          <t>Ongoing – internal</t>
        </is>
      </c>
      <c r="F20" s="6" t="inlineStr">
        <is>
          <t>Internal – no cash cost</t>
        </is>
      </c>
      <c r="G20" s="6" t="inlineStr">
        <is>
          <t>Saurabh Bhattacharya (IT HOD)</t>
        </is>
      </c>
      <c r="H20" s="25" t="inlineStr">
        <is>
          <t>TZS</t>
        </is>
      </c>
      <c r="I20" s="26" t="n"/>
      <c r="J20" s="26" t="n"/>
      <c r="K20" s="6" t="n"/>
      <c r="L20" s="26" t="n"/>
      <c r="M20" s="26">
        <f>IF(OR(J20="",L20=""),"",J20-L20)</f>
        <v/>
      </c>
      <c r="N20" s="6" t="inlineStr">
        <is>
          <t>Plan staff time</t>
        </is>
      </c>
      <c r="O20" s="10" t="inlineStr">
        <is>
          <t>Delivered in-house by the MIS developer.</t>
        </is>
      </c>
    </row>
    <row r="22">
      <c r="G22" s="23" t="inlineStr">
        <is>
          <t>Totals by currency</t>
        </is>
      </c>
    </row>
    <row r="23">
      <c r="G23" s="28" t="inlineStr">
        <is>
          <t>Total (USD)</t>
        </is>
      </c>
      <c r="H23" s="29" t="inlineStr">
        <is>
          <t>USD</t>
        </is>
      </c>
      <c r="I23" s="30">
        <f>SUMIF($H$6:$H$21,"USD",I$6:I$21)</f>
        <v/>
      </c>
      <c r="J23" s="30">
        <f>SUMIF($H$6:$H$21,"USD",J$6:J$21)</f>
        <v/>
      </c>
      <c r="L23" s="30">
        <f>SUMIF($H$6:$H$21,"USD",L$6:L$21)</f>
        <v/>
      </c>
      <c r="M23" s="30">
        <f>J23-L23</f>
        <v/>
      </c>
    </row>
    <row r="24">
      <c r="G24" s="28" t="inlineStr">
        <is>
          <t>Total (TZS)</t>
        </is>
      </c>
      <c r="H24" s="29" t="inlineStr">
        <is>
          <t>TZS</t>
        </is>
      </c>
      <c r="I24" s="30">
        <f>SUMIF($H$6:$H$21,"TZS",I$6:I$21)</f>
        <v/>
      </c>
      <c r="J24" s="30">
        <f>SUMIF($H$6:$H$21,"TZS",J$6:J$21)</f>
        <v/>
      </c>
      <c r="L24" s="30">
        <f>SUMIF($H$6:$H$21,"TZS",L$6:L$21)</f>
        <v/>
      </c>
      <c r="M24" s="30">
        <f>J24-L24</f>
        <v/>
      </c>
    </row>
    <row r="25">
      <c r="G25" s="28" t="inlineStr">
        <is>
          <t>Total (INR)</t>
        </is>
      </c>
      <c r="H25" s="29" t="inlineStr">
        <is>
          <t>INR</t>
        </is>
      </c>
      <c r="I25" s="30">
        <f>SUMIF($H$6:$H$21,"INR",I$6:I$21)</f>
        <v/>
      </c>
      <c r="J25" s="30">
        <f>SUMIF($H$6:$H$21,"INR",J$6:J$21)</f>
        <v/>
      </c>
      <c r="L25" s="30">
        <f>SUMIF($H$6:$H$21,"INR",L$6:L$21)</f>
        <v/>
      </c>
      <c r="M25" s="30">
        <f>J25-L25</f>
        <v/>
      </c>
    </row>
    <row r="27">
      <c r="A27" s="24" t="inlineStr">
        <is>
          <t>Currency totals are kept separate on purpose: adding USD, TZS and INR together gives a meaningless number. Vendor lines have no currency until quoted. Insert new cost lines above the Totals block so they are included.</t>
        </is>
      </c>
    </row>
  </sheetData>
  <autoFilter ref="A5:O20"/>
  <conditionalFormatting sqref="M6:M200">
    <cfRule type="expression" priority="1" dxfId="0">
      <formula>AND(ISNUMBER(M6),M6&lt;0)</formula>
    </cfRule>
  </conditionalFormatting>
  <dataValidations count="3">
    <dataValidation sqref="H6:H200" showDropDown="0" showInputMessage="0" showErrorMessage="0" allowBlank="1" type="list">
      <formula1>"USD,TZS,INR"</formula1>
    </dataValidation>
    <dataValidation sqref="I6:I200 J6:J200 L6:L200" showDropDown="0" showInputMessage="0" showErrorMessage="0" allowBlank="1" errorTitle="Amount" error="Enter a number (no currency symbol)" type="decimal" operator="greaterThanOrEqual">
      <formula1>0</formula1>
    </dataValidation>
    <dataValidation sqref="N6:N200" showDropDown="0" showInputMessage="0" showErrorMessage="0" allowBlank="1" type="list">
      <formula1>"Quote needed,Scope/quote needed,Estimate needed,Option – not decided,Depends on ACC-01,Depends on INF-06,Depends on survey,Confirm existing,Confirm no charge,Running – cost not recorded,No cash cost,Plan staff time,Approved,Committed,Paid"</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BC117"/>
  <sheetViews>
    <sheetView workbookViewId="0">
      <pane xSplit="4" ySplit="6" topLeftCell="E7" activePane="bottomRight" state="frozen"/>
      <selection pane="topRight"/>
      <selection pane="bottomLeft"/>
      <selection pane="bottomRight" activeCell="A1" sqref="A1"/>
    </sheetView>
  </sheetViews>
  <sheetFormatPr baseColWidth="8" defaultRowHeight="15"/>
  <cols>
    <col width="9" customWidth="1" min="1" max="1"/>
    <col width="46" customWidth="1" min="2" max="2"/>
    <col width="17" customWidth="1" min="3" max="3"/>
    <col width="10"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 width="3.6" customWidth="1" min="14" max="14"/>
    <col width="3.6" customWidth="1" min="15" max="15"/>
    <col width="3.6" customWidth="1" min="16" max="16"/>
    <col width="3.6" customWidth="1" min="17" max="17"/>
    <col width="3.6" customWidth="1" min="18" max="18"/>
    <col width="3.6" customWidth="1" min="19" max="19"/>
    <col width="3.6" customWidth="1" min="20" max="20"/>
    <col width="3.6" customWidth="1" min="21" max="21"/>
    <col width="3.6" customWidth="1" min="22" max="22"/>
    <col width="3.6" customWidth="1" min="23" max="23"/>
    <col width="3.6" customWidth="1" min="24" max="24"/>
    <col width="3.6" customWidth="1" min="25" max="25"/>
    <col width="3.6" customWidth="1" min="26" max="26"/>
    <col width="3.6" customWidth="1" min="27" max="27"/>
    <col width="3.6" customWidth="1" min="28" max="28"/>
    <col width="3.6" customWidth="1" min="29" max="29"/>
    <col width="3.6" customWidth="1" min="30" max="30"/>
    <col width="3.6" customWidth="1" min="31" max="31"/>
    <col width="3.6" customWidth="1" min="32" max="32"/>
    <col width="3.6" customWidth="1" min="33" max="33"/>
    <col width="3.6" customWidth="1" min="34" max="34"/>
    <col width="3.6" customWidth="1" min="35" max="35"/>
    <col width="3.6" customWidth="1" min="36" max="36"/>
    <col width="3.6" customWidth="1" min="37" max="37"/>
    <col width="3.6" customWidth="1" min="38" max="38"/>
    <col width="3.6" customWidth="1" min="39" max="39"/>
    <col width="3.6" customWidth="1" min="40" max="40"/>
    <col width="3.6" customWidth="1" min="41" max="41"/>
    <col width="3.6" customWidth="1" min="42" max="42"/>
    <col width="3.6" customWidth="1" min="43" max="43"/>
    <col width="3.6" customWidth="1" min="44" max="44"/>
    <col width="3.6" customWidth="1" min="45" max="45"/>
    <col width="3.6" customWidth="1" min="46" max="46"/>
    <col width="3.6" customWidth="1" min="47" max="47"/>
    <col width="3.6" customWidth="1" min="48" max="48"/>
    <col width="3.6" customWidth="1" min="49" max="49"/>
    <col width="3.6" customWidth="1" min="50" max="50"/>
    <col width="3.6" customWidth="1" min="51" max="51"/>
    <col width="3.6" customWidth="1" min="52" max="52"/>
    <col width="3.6" customWidth="1" min="53" max="53"/>
    <col width="3.6" customWidth="1" min="54" max="54"/>
    <col width="11" customWidth="1" min="55" max="55"/>
  </cols>
  <sheetData>
    <row r="1">
      <c r="A1" s="1" t="inlineStr">
        <is>
          <t>Lake Cement MIS – Dependency Matrix</t>
        </is>
      </c>
    </row>
    <row r="2">
      <c r="A2" s="2" t="inlineStr">
        <is>
          <t>Section A: read across a row. ● means the row's task cannot finish until the column's task is done. Section B: which department owns (O), coordinates on (C) or must decide/approve (D) each task.</t>
        </is>
      </c>
    </row>
    <row r="3" ht="4" customHeight="1">
      <c r="A3" s="3" t="n"/>
      <c r="B3" s="3" t="n"/>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c r="AA3" s="3" t="n"/>
      <c r="AB3" s="3" t="n"/>
      <c r="AC3" s="3" t="n"/>
      <c r="AD3" s="3" t="n"/>
      <c r="AE3" s="3" t="n"/>
      <c r="AF3" s="3" t="n"/>
      <c r="AG3" s="3" t="n"/>
      <c r="AH3" s="3" t="n"/>
      <c r="AI3" s="3" t="n"/>
      <c r="AJ3" s="3" t="n"/>
      <c r="AK3" s="3" t="n"/>
      <c r="AL3" s="3" t="n"/>
      <c r="AM3" s="3" t="n"/>
      <c r="AN3" s="3" t="n"/>
      <c r="AO3" s="3" t="n"/>
      <c r="AP3" s="3" t="n"/>
      <c r="AQ3" s="3" t="n"/>
      <c r="AR3" s="3" t="n"/>
      <c r="AS3" s="3" t="n"/>
      <c r="AT3" s="3" t="n"/>
      <c r="AU3" s="3" t="n"/>
      <c r="AV3" s="3" t="n"/>
      <c r="AW3" s="3" t="n"/>
      <c r="AX3" s="3" t="n"/>
      <c r="AY3" s="3" t="n"/>
      <c r="AZ3" s="3" t="n"/>
      <c r="BA3" s="3" t="n"/>
      <c r="BB3" s="3" t="n"/>
      <c r="BC3" s="3" t="n"/>
    </row>
    <row r="5">
      <c r="A5" s="31" t="inlineStr">
        <is>
          <t>A. Task-to-task dependencies</t>
        </is>
      </c>
    </row>
    <row r="6" ht="52" customHeight="1">
      <c r="A6" s="4" t="inlineStr">
        <is>
          <t>Task ID</t>
        </is>
      </c>
      <c r="B6" s="4" t="inlineStr">
        <is>
          <t>Task</t>
        </is>
      </c>
      <c r="C6" s="4" t="inlineStr">
        <is>
          <t>Rollout Gate</t>
        </is>
      </c>
      <c r="D6" s="4" t="inlineStr">
        <is>
          <t>Depends on (count)</t>
        </is>
      </c>
      <c r="E6" s="32" t="inlineStr">
        <is>
          <t>INF-01</t>
        </is>
      </c>
      <c r="F6" s="32" t="inlineStr">
        <is>
          <t>INF-02</t>
        </is>
      </c>
      <c r="G6" s="32" t="inlineStr">
        <is>
          <t>INF-03</t>
        </is>
      </c>
      <c r="H6" s="32" t="inlineStr">
        <is>
          <t>INF-04</t>
        </is>
      </c>
      <c r="I6" s="32" t="inlineStr">
        <is>
          <t>INF-05</t>
        </is>
      </c>
      <c r="J6" s="32" t="inlineStr">
        <is>
          <t>INF-06</t>
        </is>
      </c>
      <c r="K6" s="32" t="inlineStr">
        <is>
          <t>SEC-01</t>
        </is>
      </c>
      <c r="L6" s="32" t="inlineStr">
        <is>
          <t>SEC-02</t>
        </is>
      </c>
      <c r="M6" s="32" t="inlineStr">
        <is>
          <t>SEC-03</t>
        </is>
      </c>
      <c r="N6" s="32" t="inlineStr">
        <is>
          <t>SEC-04</t>
        </is>
      </c>
      <c r="O6" s="32" t="inlineStr">
        <is>
          <t>SEC-05</t>
        </is>
      </c>
      <c r="P6" s="32" t="inlineStr">
        <is>
          <t>ACC-01</t>
        </is>
      </c>
      <c r="Q6" s="32" t="inlineStr">
        <is>
          <t>ACC-02</t>
        </is>
      </c>
      <c r="R6" s="32" t="inlineStr">
        <is>
          <t>ACC-03</t>
        </is>
      </c>
      <c r="S6" s="32" t="inlineStr">
        <is>
          <t>ACC-04</t>
        </is>
      </c>
      <c r="T6" s="32" t="inlineStr">
        <is>
          <t>EML-01</t>
        </is>
      </c>
      <c r="U6" s="32" t="inlineStr">
        <is>
          <t>EML-02</t>
        </is>
      </c>
      <c r="V6" s="32" t="inlineStr">
        <is>
          <t>EML-03</t>
        </is>
      </c>
      <c r="W6" s="32" t="inlineStr">
        <is>
          <t>ODO-01</t>
        </is>
      </c>
      <c r="X6" s="32" t="inlineStr">
        <is>
          <t>ODO-02</t>
        </is>
      </c>
      <c r="Y6" s="32" t="inlineStr">
        <is>
          <t>ODO-03</t>
        </is>
      </c>
      <c r="Z6" s="32" t="inlineStr">
        <is>
          <t>ODO-04</t>
        </is>
      </c>
      <c r="AA6" s="32" t="inlineStr">
        <is>
          <t>ODO-05</t>
        </is>
      </c>
      <c r="AB6" s="32" t="inlineStr">
        <is>
          <t>ODO-06</t>
        </is>
      </c>
      <c r="AC6" s="32" t="inlineStr">
        <is>
          <t>DAT-01</t>
        </is>
      </c>
      <c r="AD6" s="32" t="inlineStr">
        <is>
          <t>DAT-02</t>
        </is>
      </c>
      <c r="AE6" s="32" t="inlineStr">
        <is>
          <t>DAT-03</t>
        </is>
      </c>
      <c r="AF6" s="32" t="inlineStr">
        <is>
          <t>DAT-04</t>
        </is>
      </c>
      <c r="AG6" s="32" t="inlineStr">
        <is>
          <t>DAT-05</t>
        </is>
      </c>
      <c r="AH6" s="32" t="inlineStr">
        <is>
          <t>DAT-06</t>
        </is>
      </c>
      <c r="AI6" s="32" t="inlineStr">
        <is>
          <t>APP-01</t>
        </is>
      </c>
      <c r="AJ6" s="32" t="inlineStr">
        <is>
          <t>APP-02</t>
        </is>
      </c>
      <c r="AK6" s="32" t="inlineStr">
        <is>
          <t>APP-03</t>
        </is>
      </c>
      <c r="AL6" s="32" t="inlineStr">
        <is>
          <t>APP-04</t>
        </is>
      </c>
      <c r="AM6" s="32" t="inlineStr">
        <is>
          <t>APP-05</t>
        </is>
      </c>
      <c r="AN6" s="32" t="inlineStr">
        <is>
          <t>APP-06</t>
        </is>
      </c>
      <c r="AO6" s="32" t="inlineStr">
        <is>
          <t>APP-07</t>
        </is>
      </c>
      <c r="AP6" s="32" t="inlineStr">
        <is>
          <t>APP-08</t>
        </is>
      </c>
      <c r="AQ6" s="32" t="inlineStr">
        <is>
          <t>APP-09</t>
        </is>
      </c>
      <c r="AR6" s="32" t="inlineStr">
        <is>
          <t>QA-01</t>
        </is>
      </c>
      <c r="AS6" s="32" t="inlineStr">
        <is>
          <t>QA-02</t>
        </is>
      </c>
      <c r="AT6" s="32" t="inlineStr">
        <is>
          <t>QA-03</t>
        </is>
      </c>
      <c r="AU6" s="32" t="inlineStr">
        <is>
          <t>OPS-01</t>
        </is>
      </c>
      <c r="AV6" s="32" t="inlineStr">
        <is>
          <t>OPS-02</t>
        </is>
      </c>
      <c r="AW6" s="32" t="inlineStr">
        <is>
          <t>OPS-03</t>
        </is>
      </c>
      <c r="AX6" s="32" t="inlineStr">
        <is>
          <t>OPS-04</t>
        </is>
      </c>
      <c r="AY6" s="32" t="inlineStr">
        <is>
          <t>OPS-05</t>
        </is>
      </c>
      <c r="AZ6" s="32" t="inlineStr">
        <is>
          <t>OPS-06</t>
        </is>
      </c>
      <c r="BA6" s="32" t="inlineStr">
        <is>
          <t>GOV-01</t>
        </is>
      </c>
      <c r="BB6" s="32" t="inlineStr">
        <is>
          <t>GOV-02</t>
        </is>
      </c>
    </row>
    <row r="7">
      <c r="A7" s="33" t="inlineStr">
        <is>
          <t>INF-01</t>
        </is>
      </c>
      <c r="B7" s="34" t="inlineStr">
        <is>
          <t>Turn on HTTPS for the MIS site: approve the hostname…</t>
        </is>
      </c>
      <c r="C7" s="35" t="inlineStr">
        <is>
          <t>Test rollout</t>
        </is>
      </c>
      <c r="D7" s="36">
        <f>COUNTIF(E7:BB7,"●")</f>
        <v/>
      </c>
      <c r="E7" s="37" t="n"/>
      <c r="F7" s="38" t="n"/>
      <c r="G7" s="38" t="n"/>
      <c r="H7" s="38" t="n"/>
      <c r="I7" s="38" t="n"/>
      <c r="J7" s="38" t="n"/>
      <c r="K7" s="38" t="n"/>
      <c r="L7" s="38" t="n"/>
      <c r="M7" s="38" t="n"/>
      <c r="N7" s="38" t="n"/>
      <c r="O7" s="38" t="n"/>
      <c r="P7" s="38" t="n"/>
      <c r="Q7" s="38" t="n"/>
      <c r="R7" s="38" t="n"/>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8" t="n"/>
      <c r="AU7" s="38" t="n"/>
      <c r="AV7" s="38" t="n"/>
      <c r="AW7" s="38" t="n"/>
      <c r="AX7" s="38" t="n"/>
      <c r="AY7" s="38" t="n"/>
      <c r="AZ7" s="38" t="n"/>
      <c r="BA7" s="38" t="n"/>
      <c r="BB7" s="38" t="n"/>
    </row>
    <row r="8">
      <c r="A8" s="33" t="inlineStr">
        <is>
          <t>INF-02</t>
        </is>
      </c>
      <c r="B8" s="34" t="inlineStr">
        <is>
          <t>Move nightly database backups off the application disk (second…</t>
        </is>
      </c>
      <c r="C8" s="35" t="inlineStr">
        <is>
          <t>Test rollout</t>
        </is>
      </c>
      <c r="D8" s="36">
        <f>COUNTIF(E8:BB8,"●")</f>
        <v/>
      </c>
      <c r="E8" s="38" t="n"/>
      <c r="F8" s="37" t="n"/>
      <c r="G8" s="38" t="n"/>
      <c r="H8" s="38" t="n"/>
      <c r="I8" s="38" t="n"/>
      <c r="J8" s="38" t="n"/>
      <c r="K8" s="38" t="n"/>
      <c r="L8" s="38" t="n"/>
      <c r="M8" s="38" t="n"/>
      <c r="N8" s="38" t="n"/>
      <c r="O8" s="38" t="n"/>
      <c r="P8" s="38" t="n"/>
      <c r="Q8" s="38" t="n"/>
      <c r="R8" s="38" t="n"/>
      <c r="S8" s="38" t="n"/>
      <c r="T8" s="38" t="n"/>
      <c r="U8" s="38" t="n"/>
      <c r="V8" s="38" t="n"/>
      <c r="W8" s="38" t="n"/>
      <c r="X8" s="38" t="n"/>
      <c r="Y8" s="38" t="n"/>
      <c r="Z8" s="38" t="n"/>
      <c r="AA8" s="38" t="n"/>
      <c r="AB8" s="38" t="n"/>
      <c r="AC8" s="38" t="n"/>
      <c r="AD8" s="38" t="n"/>
      <c r="AE8" s="38" t="n"/>
      <c r="AF8" s="38" t="n"/>
      <c r="AG8" s="38" t="n"/>
      <c r="AH8" s="38" t="n"/>
      <c r="AI8" s="38" t="n"/>
      <c r="AJ8" s="38" t="n"/>
      <c r="AK8" s="38" t="n"/>
      <c r="AL8" s="38" t="n"/>
      <c r="AM8" s="38" t="n"/>
      <c r="AN8" s="38" t="n"/>
      <c r="AO8" s="38" t="n"/>
      <c r="AP8" s="38" t="n"/>
      <c r="AQ8" s="38" t="n"/>
      <c r="AR8" s="38" t="n"/>
      <c r="AS8" s="38" t="n"/>
      <c r="AT8" s="38" t="n"/>
      <c r="AU8" s="38" t="n"/>
      <c r="AV8" s="38" t="n"/>
      <c r="AW8" s="38" t="n"/>
      <c r="AX8" s="38" t="n"/>
      <c r="AY8" s="38" t="n"/>
      <c r="AZ8" s="38" t="n"/>
      <c r="BA8" s="38" t="n"/>
      <c r="BB8" s="38" t="n"/>
    </row>
    <row r="9">
      <c r="A9" s="33" t="inlineStr">
        <is>
          <t>INF-03</t>
        </is>
      </c>
      <c r="B9" s="34" t="inlineStr">
        <is>
          <t>Confirm which code version production is running and that the GitHub…</t>
        </is>
      </c>
      <c r="C9" s="35" t="inlineStr">
        <is>
          <t>Test rollout</t>
        </is>
      </c>
      <c r="D9" s="36">
        <f>COUNTIF(E9:BB9,"●")</f>
        <v/>
      </c>
      <c r="E9" s="38" t="n"/>
      <c r="F9" s="38" t="n"/>
      <c r="G9" s="37" t="n"/>
      <c r="H9" s="38" t="n"/>
      <c r="I9" s="38" t="n"/>
      <c r="J9" s="38" t="n"/>
      <c r="K9" s="38" t="n"/>
      <c r="L9" s="38" t="n"/>
      <c r="M9" s="38" t="n"/>
      <c r="N9" s="38" t="n"/>
      <c r="O9" s="38" t="n"/>
      <c r="P9" s="38" t="n"/>
      <c r="Q9" s="38" t="n"/>
      <c r="R9" s="38" t="n"/>
      <c r="S9" s="38" t="n"/>
      <c r="T9" s="38" t="n"/>
      <c r="U9" s="38" t="n"/>
      <c r="V9" s="38" t="n"/>
      <c r="W9" s="38" t="n"/>
      <c r="X9" s="38" t="n"/>
      <c r="Y9" s="38" t="n"/>
      <c r="Z9" s="38" t="n"/>
      <c r="AA9" s="38" t="n"/>
      <c r="AB9" s="38" t="n"/>
      <c r="AC9" s="38" t="n"/>
      <c r="AD9" s="38" t="n"/>
      <c r="AE9" s="38" t="n"/>
      <c r="AF9" s="38" t="n"/>
      <c r="AG9" s="38" t="n"/>
      <c r="AH9" s="38" t="n"/>
      <c r="AI9" s="38" t="n"/>
      <c r="AJ9" s="38" t="n"/>
      <c r="AK9" s="38" t="n"/>
      <c r="AL9" s="38" t="n"/>
      <c r="AM9" s="38" t="n"/>
      <c r="AN9" s="38" t="n"/>
      <c r="AO9" s="38" t="n"/>
      <c r="AP9" s="38" t="n"/>
      <c r="AQ9" s="38" t="n"/>
      <c r="AR9" s="38" t="n"/>
      <c r="AS9" s="38" t="n"/>
      <c r="AT9" s="38" t="n"/>
      <c r="AU9" s="38" t="n"/>
      <c r="AV9" s="38" t="n"/>
      <c r="AW9" s="38" t="n"/>
      <c r="AX9" s="38" t="n"/>
      <c r="AY9" s="38" t="n"/>
      <c r="AZ9" s="38" t="n"/>
      <c r="BA9" s="38" t="n"/>
      <c r="BB9" s="38" t="n"/>
    </row>
    <row r="10">
      <c r="A10" s="33" t="inlineStr">
        <is>
          <t>INF-04</t>
        </is>
      </c>
      <c r="B10" s="34" t="inlineStr">
        <is>
          <t>Set up a private, encrypted network path from the MIS server to the…</t>
        </is>
      </c>
      <c r="C10" s="35" t="inlineStr">
        <is>
          <t>Production go-live</t>
        </is>
      </c>
      <c r="D10" s="36">
        <f>COUNTIF(E10:BB10,"●")</f>
        <v/>
      </c>
      <c r="E10" s="38" t="n"/>
      <c r="F10" s="38" t="n"/>
      <c r="G10" s="38" t="n"/>
      <c r="H10" s="37" t="n"/>
      <c r="I10" s="38" t="n"/>
      <c r="J10" s="38" t="n"/>
      <c r="K10" s="38" t="n"/>
      <c r="L10" s="38" t="n"/>
      <c r="M10" s="38" t="n"/>
      <c r="N10" s="38" t="n"/>
      <c r="O10" s="38" t="n"/>
      <c r="P10" s="38" t="n"/>
      <c r="Q10" s="38" t="n"/>
      <c r="R10" s="38" t="n"/>
      <c r="S10" s="38" t="n"/>
      <c r="T10" s="38" t="n"/>
      <c r="U10" s="38" t="n"/>
      <c r="V10" s="38" t="n"/>
      <c r="W10" s="39" t="inlineStr">
        <is>
          <t>●</t>
        </is>
      </c>
      <c r="X10" s="38" t="n"/>
      <c r="Y10" s="38" t="n"/>
      <c r="Z10" s="38" t="n"/>
      <c r="AA10" s="38" t="n"/>
      <c r="AB10" s="38" t="n"/>
      <c r="AC10" s="38" t="n"/>
      <c r="AD10" s="38" t="n"/>
      <c r="AE10" s="38" t="n"/>
      <c r="AF10" s="38" t="n"/>
      <c r="AG10" s="38" t="n"/>
      <c r="AH10" s="38" t="n"/>
      <c r="AI10" s="38" t="n"/>
      <c r="AJ10" s="38" t="n"/>
      <c r="AK10" s="38" t="n"/>
      <c r="AL10" s="38" t="n"/>
      <c r="AM10" s="38" t="n"/>
      <c r="AN10" s="38" t="n"/>
      <c r="AO10" s="38" t="n"/>
      <c r="AP10" s="38" t="n"/>
      <c r="AQ10" s="38" t="n"/>
      <c r="AR10" s="38" t="n"/>
      <c r="AS10" s="38" t="n"/>
      <c r="AT10" s="38" t="n"/>
      <c r="AU10" s="38" t="n"/>
      <c r="AV10" s="38" t="n"/>
      <c r="AW10" s="38" t="n"/>
      <c r="AX10" s="38" t="n"/>
      <c r="AY10" s="38" t="n"/>
      <c r="AZ10" s="38" t="n"/>
      <c r="BA10" s="38" t="n"/>
      <c r="BB10" s="38" t="n"/>
    </row>
    <row r="11">
      <c r="A11" s="33" t="inlineStr">
        <is>
          <t>INF-05</t>
        </is>
      </c>
      <c r="B11" s="34" t="inlineStr">
        <is>
          <t>Reboot test: restart the production server and confirm the site and…</t>
        </is>
      </c>
      <c r="C11" s="35" t="inlineStr">
        <is>
          <t>Test rollout</t>
        </is>
      </c>
      <c r="D11" s="36">
        <f>COUNTIF(E11:BB11,"●")</f>
        <v/>
      </c>
      <c r="E11" s="40" t="inlineStr">
        <is>
          <t>●</t>
        </is>
      </c>
      <c r="F11" s="38" t="n"/>
      <c r="G11" s="38" t="n"/>
      <c r="H11" s="38" t="n"/>
      <c r="I11" s="37" t="n"/>
      <c r="J11" s="38" t="n"/>
      <c r="K11" s="38" t="n"/>
      <c r="L11" s="38" t="n"/>
      <c r="M11" s="38" t="n"/>
      <c r="N11" s="38" t="n"/>
      <c r="O11" s="38" t="n"/>
      <c r="P11" s="38" t="n"/>
      <c r="Q11" s="38" t="n"/>
      <c r="R11" s="38" t="n"/>
      <c r="S11" s="38" t="n"/>
      <c r="T11" s="38" t="n"/>
      <c r="U11" s="38" t="n"/>
      <c r="V11" s="38" t="n"/>
      <c r="W11" s="38" t="n"/>
      <c r="X11" s="38" t="n"/>
      <c r="Y11" s="38" t="n"/>
      <c r="Z11" s="38" t="n"/>
      <c r="AA11" s="38" t="n"/>
      <c r="AB11" s="38" t="n"/>
      <c r="AC11" s="38" t="n"/>
      <c r="AD11" s="38" t="n"/>
      <c r="AE11" s="38" t="n"/>
      <c r="AF11" s="38" t="n"/>
      <c r="AG11" s="38" t="n"/>
      <c r="AH11" s="38" t="n"/>
      <c r="AI11" s="38" t="n"/>
      <c r="AJ11" s="38" t="n"/>
      <c r="AK11" s="38" t="n"/>
      <c r="AL11" s="38" t="n"/>
      <c r="AM11" s="38" t="n"/>
      <c r="AN11" s="38" t="n"/>
      <c r="AO11" s="38" t="n"/>
      <c r="AP11" s="38" t="n"/>
      <c r="AQ11" s="38" t="n"/>
      <c r="AR11" s="38" t="n"/>
      <c r="AS11" s="38" t="n"/>
      <c r="AT11" s="38" t="n"/>
      <c r="AU11" s="38" t="n"/>
      <c r="AV11" s="38" t="n"/>
      <c r="AW11" s="38" t="n"/>
      <c r="AX11" s="38" t="n"/>
      <c r="AY11" s="38" t="n"/>
      <c r="AZ11" s="38" t="n"/>
      <c r="BA11" s="38" t="n"/>
      <c r="BB11" s="38" t="n"/>
    </row>
    <row r="12">
      <c r="A12" s="33" t="inlineStr">
        <is>
          <t>INF-06</t>
        </is>
      </c>
      <c r="B12" s="34" t="inlineStr">
        <is>
          <t>Move the code repository and deploy keys from the personal GitHub…</t>
        </is>
      </c>
      <c r="C12" s="35" t="inlineStr">
        <is>
          <t>Production go-live</t>
        </is>
      </c>
      <c r="D12" s="36">
        <f>COUNTIF(E12:BB12,"●")</f>
        <v/>
      </c>
      <c r="E12" s="38" t="n"/>
      <c r="F12" s="38" t="n"/>
      <c r="G12" s="38" t="n"/>
      <c r="H12" s="38" t="n"/>
      <c r="I12" s="38" t="n"/>
      <c r="J12" s="37" t="n"/>
      <c r="K12" s="38" t="n"/>
      <c r="L12" s="38" t="n"/>
      <c r="M12" s="38" t="n"/>
      <c r="N12" s="38" t="n"/>
      <c r="O12" s="38" t="n"/>
      <c r="P12" s="38" t="n"/>
      <c r="Q12" s="38" t="n"/>
      <c r="R12" s="38" t="n"/>
      <c r="S12" s="38" t="n"/>
      <c r="T12" s="38" t="n"/>
      <c r="U12" s="38" t="n"/>
      <c r="V12" s="38" t="n"/>
      <c r="W12" s="38" t="n"/>
      <c r="X12" s="38" t="n"/>
      <c r="Y12" s="38" t="n"/>
      <c r="Z12" s="38" t="n"/>
      <c r="AA12" s="38" t="n"/>
      <c r="AB12" s="38" t="n"/>
      <c r="AC12" s="38" t="n"/>
      <c r="AD12" s="38" t="n"/>
      <c r="AE12" s="38" t="n"/>
      <c r="AF12" s="38" t="n"/>
      <c r="AG12" s="38" t="n"/>
      <c r="AH12" s="38" t="n"/>
      <c r="AI12" s="38" t="n"/>
      <c r="AJ12" s="38" t="n"/>
      <c r="AK12" s="38" t="n"/>
      <c r="AL12" s="38" t="n"/>
      <c r="AM12" s="38" t="n"/>
      <c r="AN12" s="38" t="n"/>
      <c r="AO12" s="38" t="n"/>
      <c r="AP12" s="38" t="n"/>
      <c r="AQ12" s="38" t="n"/>
      <c r="AR12" s="38" t="n"/>
      <c r="AS12" s="38" t="n"/>
      <c r="AT12" s="38" t="n"/>
      <c r="AU12" s="38" t="n"/>
      <c r="AV12" s="38" t="n"/>
      <c r="AW12" s="38" t="n"/>
      <c r="AX12" s="38" t="n"/>
      <c r="AY12" s="38" t="n"/>
      <c r="AZ12" s="38" t="n"/>
      <c r="BA12" s="39" t="inlineStr">
        <is>
          <t>●</t>
        </is>
      </c>
      <c r="BB12" s="38" t="n"/>
    </row>
    <row r="13">
      <c r="A13" s="33" t="inlineStr">
        <is>
          <t>SEC-01</t>
        </is>
      </c>
      <c r="B13" s="34" t="inlineStr">
        <is>
          <t>Check, and if needed change, the Odoo-bundled Postgres superuser…</t>
        </is>
      </c>
      <c r="C13" s="35" t="inlineStr">
        <is>
          <t>Test rollout</t>
        </is>
      </c>
      <c r="D13" s="36">
        <f>COUNTIF(E13:BB13,"●")</f>
        <v/>
      </c>
      <c r="E13" s="38" t="n"/>
      <c r="F13" s="38" t="n"/>
      <c r="G13" s="38" t="n"/>
      <c r="H13" s="38" t="n"/>
      <c r="I13" s="38" t="n"/>
      <c r="J13" s="38" t="n"/>
      <c r="K13" s="37" t="n"/>
      <c r="L13" s="38" t="n"/>
      <c r="M13" s="38" t="n"/>
      <c r="N13" s="38" t="n"/>
      <c r="O13" s="38" t="n"/>
      <c r="P13" s="38" t="n"/>
      <c r="Q13" s="38" t="n"/>
      <c r="R13" s="38" t="n"/>
      <c r="S13" s="38" t="n"/>
      <c r="T13" s="38" t="n"/>
      <c r="U13" s="38" t="n"/>
      <c r="V13" s="38" t="n"/>
      <c r="W13" s="38" t="n"/>
      <c r="X13" s="38" t="n"/>
      <c r="Y13" s="38" t="n"/>
      <c r="Z13" s="38" t="n"/>
      <c r="AA13" s="38" t="n"/>
      <c r="AB13" s="38" t="n"/>
      <c r="AC13" s="38" t="n"/>
      <c r="AD13" s="38" t="n"/>
      <c r="AE13" s="38" t="n"/>
      <c r="AF13" s="38" t="n"/>
      <c r="AG13" s="38" t="n"/>
      <c r="AH13" s="38" t="n"/>
      <c r="AI13" s="38" t="n"/>
      <c r="AJ13" s="38" t="n"/>
      <c r="AK13" s="38" t="n"/>
      <c r="AL13" s="38" t="n"/>
      <c r="AM13" s="38" t="n"/>
      <c r="AN13" s="38" t="n"/>
      <c r="AO13" s="38" t="n"/>
      <c r="AP13" s="38" t="n"/>
      <c r="AQ13" s="38" t="n"/>
      <c r="AR13" s="38" t="n"/>
      <c r="AS13" s="38" t="n"/>
      <c r="AT13" s="38" t="n"/>
      <c r="AU13" s="38" t="n"/>
      <c r="AV13" s="38" t="n"/>
      <c r="AW13" s="38" t="n"/>
      <c r="AX13" s="38" t="n"/>
      <c r="AY13" s="38" t="n"/>
      <c r="AZ13" s="38" t="n"/>
      <c r="BA13" s="38" t="n"/>
      <c r="BB13" s="38" t="n"/>
    </row>
    <row r="14">
      <c r="A14" s="33" t="inlineStr">
        <is>
          <t>SEC-02</t>
        </is>
      </c>
      <c r="B14" s="34" t="inlineStr">
        <is>
          <t>Remove test and scratch accounts before real users log in…</t>
        </is>
      </c>
      <c r="C14" s="35" t="inlineStr">
        <is>
          <t>Test rollout</t>
        </is>
      </c>
      <c r="D14" s="36">
        <f>COUNTIF(E14:BB14,"●")</f>
        <v/>
      </c>
      <c r="E14" s="38" t="n"/>
      <c r="F14" s="38" t="n"/>
      <c r="G14" s="38" t="n"/>
      <c r="H14" s="38" t="n"/>
      <c r="I14" s="38" t="n"/>
      <c r="J14" s="38" t="n"/>
      <c r="K14" s="38" t="n"/>
      <c r="L14" s="37" t="n"/>
      <c r="M14" s="38" t="n"/>
      <c r="N14" s="38" t="n"/>
      <c r="O14" s="38" t="n"/>
      <c r="P14" s="38" t="n"/>
      <c r="Q14" s="38" t="n"/>
      <c r="R14" s="38" t="n"/>
      <c r="S14" s="38" t="n"/>
      <c r="T14" s="38" t="n"/>
      <c r="U14" s="38" t="n"/>
      <c r="V14" s="38" t="n"/>
      <c r="W14" s="38" t="n"/>
      <c r="X14" s="38" t="n"/>
      <c r="Y14" s="38" t="n"/>
      <c r="Z14" s="38" t="n"/>
      <c r="AA14" s="38" t="n"/>
      <c r="AB14" s="38" t="n"/>
      <c r="AC14" s="38" t="n"/>
      <c r="AD14" s="38" t="n"/>
      <c r="AE14" s="38" t="n"/>
      <c r="AF14" s="38" t="n"/>
      <c r="AG14" s="38" t="n"/>
      <c r="AH14" s="38" t="n"/>
      <c r="AI14" s="38" t="n"/>
      <c r="AJ14" s="38" t="n"/>
      <c r="AK14" s="38" t="n"/>
      <c r="AL14" s="38" t="n"/>
      <c r="AM14" s="38" t="n"/>
      <c r="AN14" s="38" t="n"/>
      <c r="AO14" s="38" t="n"/>
      <c r="AP14" s="38" t="n"/>
      <c r="AQ14" s="38" t="n"/>
      <c r="AR14" s="38" t="n"/>
      <c r="AS14" s="38" t="n"/>
      <c r="AT14" s="38" t="n"/>
      <c r="AU14" s="38" t="n"/>
      <c r="AV14" s="38" t="n"/>
      <c r="AW14" s="38" t="n"/>
      <c r="AX14" s="38" t="n"/>
      <c r="AY14" s="38" t="n"/>
      <c r="AZ14" s="38" t="n"/>
      <c r="BA14" s="38" t="n"/>
      <c r="BB14" s="38" t="n"/>
    </row>
    <row r="15">
      <c r="A15" s="33" t="inlineStr">
        <is>
          <t>SEC-03</t>
        </is>
      </c>
      <c r="B15" s="34" t="inlineStr">
        <is>
          <t>Retire every default password: send invite or reset links to all…</t>
        </is>
      </c>
      <c r="C15" s="35" t="inlineStr">
        <is>
          <t>Test rollout</t>
        </is>
      </c>
      <c r="D15" s="36">
        <f>COUNTIF(E15:BB15,"●")</f>
        <v/>
      </c>
      <c r="E15" s="40" t="inlineStr">
        <is>
          <t>●</t>
        </is>
      </c>
      <c r="F15" s="38" t="n"/>
      <c r="G15" s="38" t="n"/>
      <c r="H15" s="38" t="n"/>
      <c r="I15" s="38" t="n"/>
      <c r="J15" s="38" t="n"/>
      <c r="K15" s="38" t="n"/>
      <c r="L15" s="38" t="n"/>
      <c r="M15" s="37" t="n"/>
      <c r="N15" s="38" t="n"/>
      <c r="O15" s="38" t="n"/>
      <c r="P15" s="38" t="n"/>
      <c r="Q15" s="38" t="n"/>
      <c r="R15" s="40" t="inlineStr">
        <is>
          <t>●</t>
        </is>
      </c>
      <c r="S15" s="38" t="n"/>
      <c r="T15" s="40" t="inlineStr">
        <is>
          <t>●</t>
        </is>
      </c>
      <c r="U15" s="38" t="n"/>
      <c r="V15" s="38" t="n"/>
      <c r="W15" s="38" t="n"/>
      <c r="X15" s="38" t="n"/>
      <c r="Y15" s="38" t="n"/>
      <c r="Z15" s="38" t="n"/>
      <c r="AA15" s="38" t="n"/>
      <c r="AB15" s="38" t="n"/>
      <c r="AC15" s="38" t="n"/>
      <c r="AD15" s="38" t="n"/>
      <c r="AE15" s="38" t="n"/>
      <c r="AF15" s="38" t="n"/>
      <c r="AG15" s="38" t="n"/>
      <c r="AH15" s="38" t="n"/>
      <c r="AI15" s="38" t="n"/>
      <c r="AJ15" s="38" t="n"/>
      <c r="AK15" s="38" t="n"/>
      <c r="AL15" s="38" t="n"/>
      <c r="AM15" s="38" t="n"/>
      <c r="AN15" s="38" t="n"/>
      <c r="AO15" s="38" t="n"/>
      <c r="AP15" s="38" t="n"/>
      <c r="AQ15" s="38" t="n"/>
      <c r="AR15" s="38" t="n"/>
      <c r="AS15" s="38" t="n"/>
      <c r="AT15" s="38" t="n"/>
      <c r="AU15" s="38" t="n"/>
      <c r="AV15" s="38" t="n"/>
      <c r="AW15" s="38" t="n"/>
      <c r="AX15" s="38" t="n"/>
      <c r="AY15" s="38" t="n"/>
      <c r="AZ15" s="38" t="n"/>
      <c r="BA15" s="38" t="n"/>
      <c r="BB15" s="38" t="n"/>
    </row>
    <row r="16">
      <c r="A16" s="33" t="inlineStr">
        <is>
          <t>SEC-04</t>
        </is>
      </c>
      <c r="B16" s="34" t="inlineStr">
        <is>
          <t>Ratify the two approval rules set on the Plant Head's behalf:…</t>
        </is>
      </c>
      <c r="C16" s="35" t="inlineStr">
        <is>
          <t>Test rollout</t>
        </is>
      </c>
      <c r="D16" s="36">
        <f>COUNTIF(E16:BB16,"●")</f>
        <v/>
      </c>
      <c r="E16" s="38" t="n"/>
      <c r="F16" s="38" t="n"/>
      <c r="G16" s="38" t="n"/>
      <c r="H16" s="38" t="n"/>
      <c r="I16" s="38" t="n"/>
      <c r="J16" s="38" t="n"/>
      <c r="K16" s="38" t="n"/>
      <c r="L16" s="38" t="n"/>
      <c r="M16" s="38" t="n"/>
      <c r="N16" s="37" t="n"/>
      <c r="O16" s="38" t="n"/>
      <c r="P16" s="38" t="n"/>
      <c r="Q16" s="38" t="n"/>
      <c r="R16" s="38" t="n"/>
      <c r="S16" s="38" t="n"/>
      <c r="T16" s="38" t="n"/>
      <c r="U16" s="38" t="n"/>
      <c r="V16" s="38" t="n"/>
      <c r="W16" s="38" t="n"/>
      <c r="X16" s="38" t="n"/>
      <c r="Y16" s="38" t="n"/>
      <c r="Z16" s="38" t="n"/>
      <c r="AA16" s="38" t="n"/>
      <c r="AB16" s="38" t="n"/>
      <c r="AC16" s="38" t="n"/>
      <c r="AD16" s="38" t="n"/>
      <c r="AE16" s="38" t="n"/>
      <c r="AF16" s="38" t="n"/>
      <c r="AG16" s="38" t="n"/>
      <c r="AH16" s="38" t="n"/>
      <c r="AI16" s="38" t="n"/>
      <c r="AJ16" s="38" t="n"/>
      <c r="AK16" s="38" t="n"/>
      <c r="AL16" s="38" t="n"/>
      <c r="AM16" s="38" t="n"/>
      <c r="AN16" s="38" t="n"/>
      <c r="AO16" s="38" t="n"/>
      <c r="AP16" s="38" t="n"/>
      <c r="AQ16" s="38" t="n"/>
      <c r="AR16" s="38" t="n"/>
      <c r="AS16" s="38" t="n"/>
      <c r="AT16" s="38" t="n"/>
      <c r="AU16" s="38" t="n"/>
      <c r="AV16" s="38" t="n"/>
      <c r="AW16" s="38" t="n"/>
      <c r="AX16" s="38" t="n"/>
      <c r="AY16" s="38" t="n"/>
      <c r="AZ16" s="38" t="n"/>
      <c r="BA16" s="38" t="n"/>
      <c r="BB16" s="38" t="n"/>
    </row>
    <row r="17">
      <c r="A17" s="33" t="inlineStr">
        <is>
          <t>SEC-05</t>
        </is>
      </c>
      <c r="B17" s="34" t="inlineStr">
        <is>
          <t>Decide the open access-policy gaps: (a) monthly MIS exports are…</t>
        </is>
      </c>
      <c r="C17" s="35" t="inlineStr">
        <is>
          <t>Test rollout</t>
        </is>
      </c>
      <c r="D17" s="36">
        <f>COUNTIF(E17:BB17,"●")</f>
        <v/>
      </c>
      <c r="E17" s="38" t="n"/>
      <c r="F17" s="38" t="n"/>
      <c r="G17" s="38" t="n"/>
      <c r="H17" s="38" t="n"/>
      <c r="I17" s="38" t="n"/>
      <c r="J17" s="38" t="n"/>
      <c r="K17" s="38" t="n"/>
      <c r="L17" s="38" t="n"/>
      <c r="M17" s="38" t="n"/>
      <c r="N17" s="38" t="n"/>
      <c r="O17" s="37" t="n"/>
      <c r="P17" s="38" t="n"/>
      <c r="Q17" s="38" t="n"/>
      <c r="R17" s="38" t="n"/>
      <c r="S17" s="38" t="n"/>
      <c r="T17" s="38" t="n"/>
      <c r="U17" s="38" t="n"/>
      <c r="V17" s="38" t="n"/>
      <c r="W17" s="38" t="n"/>
      <c r="X17" s="38" t="n"/>
      <c r="Y17" s="38" t="n"/>
      <c r="Z17" s="38" t="n"/>
      <c r="AA17" s="38" t="n"/>
      <c r="AB17" s="38" t="n"/>
      <c r="AC17" s="38" t="n"/>
      <c r="AD17" s="38" t="n"/>
      <c r="AE17" s="38" t="n"/>
      <c r="AF17" s="38" t="n"/>
      <c r="AG17" s="38" t="n"/>
      <c r="AH17" s="38" t="n"/>
      <c r="AI17" s="38" t="n"/>
      <c r="AJ17" s="38" t="n"/>
      <c r="AK17" s="38" t="n"/>
      <c r="AL17" s="38" t="n"/>
      <c r="AM17" s="38" t="n"/>
      <c r="AN17" s="38" t="n"/>
      <c r="AO17" s="38" t="n"/>
      <c r="AP17" s="38" t="n"/>
      <c r="AQ17" s="38" t="n"/>
      <c r="AR17" s="38" t="n"/>
      <c r="AS17" s="38" t="n"/>
      <c r="AT17" s="38" t="n"/>
      <c r="AU17" s="38" t="n"/>
      <c r="AV17" s="38" t="n"/>
      <c r="AW17" s="38" t="n"/>
      <c r="AX17" s="38" t="n"/>
      <c r="AY17" s="38" t="n"/>
      <c r="AZ17" s="38" t="n"/>
      <c r="BA17" s="38" t="n"/>
      <c r="BB17" s="38" t="n"/>
    </row>
    <row r="18">
      <c r="A18" s="33" t="inlineStr">
        <is>
          <t>ACC-01</t>
        </is>
      </c>
      <c r="B18" s="34" t="inlineStr">
        <is>
          <t>Decide the account policy: (a) staff without a company mailbox…</t>
        </is>
      </c>
      <c r="C18" s="35" t="inlineStr">
        <is>
          <t>Test rollout</t>
        </is>
      </c>
      <c r="D18" s="36">
        <f>COUNTIF(E18:BB18,"●")</f>
        <v/>
      </c>
      <c r="E18" s="38" t="n"/>
      <c r="F18" s="38" t="n"/>
      <c r="G18" s="38" t="n"/>
      <c r="H18" s="38" t="n"/>
      <c r="I18" s="38" t="n"/>
      <c r="J18" s="38" t="n"/>
      <c r="K18" s="38" t="n"/>
      <c r="L18" s="38" t="n"/>
      <c r="M18" s="38" t="n"/>
      <c r="N18" s="38" t="n"/>
      <c r="O18" s="38" t="n"/>
      <c r="P18" s="37" t="n"/>
      <c r="Q18" s="38" t="n"/>
      <c r="R18" s="38" t="n"/>
      <c r="S18" s="38" t="n"/>
      <c r="T18" s="38" t="n"/>
      <c r="U18" s="38" t="n"/>
      <c r="V18" s="38" t="n"/>
      <c r="W18" s="38" t="n"/>
      <c r="X18" s="38" t="n"/>
      <c r="Y18" s="38" t="n"/>
      <c r="Z18" s="38" t="n"/>
      <c r="AA18" s="38" t="n"/>
      <c r="AB18" s="38" t="n"/>
      <c r="AC18" s="38" t="n"/>
      <c r="AD18" s="38" t="n"/>
      <c r="AE18" s="38" t="n"/>
      <c r="AF18" s="38" t="n"/>
      <c r="AG18" s="38" t="n"/>
      <c r="AH18" s="38" t="n"/>
      <c r="AI18" s="38" t="n"/>
      <c r="AJ18" s="38" t="n"/>
      <c r="AK18" s="38" t="n"/>
      <c r="AL18" s="38" t="n"/>
      <c r="AM18" s="38" t="n"/>
      <c r="AN18" s="38" t="n"/>
      <c r="AO18" s="38" t="n"/>
      <c r="AP18" s="38" t="n"/>
      <c r="AQ18" s="38" t="n"/>
      <c r="AR18" s="38" t="n"/>
      <c r="AS18" s="38" t="n"/>
      <c r="AT18" s="38" t="n"/>
      <c r="AU18" s="38" t="n"/>
      <c r="AV18" s="38" t="n"/>
      <c r="AW18" s="38" t="n"/>
      <c r="AX18" s="38" t="n"/>
      <c r="AY18" s="38" t="n"/>
      <c r="AZ18" s="38" t="n"/>
      <c r="BA18" s="38" t="n"/>
      <c r="BB18" s="38" t="n"/>
    </row>
    <row r="19">
      <c r="A19" s="33" t="inlineStr">
        <is>
          <t>ACC-02</t>
        </is>
      </c>
      <c r="B19" s="34" t="inlineStr">
        <is>
          <t>Collect the holder's name, company email, mobile and staff number…</t>
        </is>
      </c>
      <c r="C19" s="35" t="inlineStr">
        <is>
          <t>Test rollout</t>
        </is>
      </c>
      <c r="D19" s="36">
        <f>COUNTIF(E19:BB19,"●")</f>
        <v/>
      </c>
      <c r="E19" s="38" t="n"/>
      <c r="F19" s="38" t="n"/>
      <c r="G19" s="38" t="n"/>
      <c r="H19" s="38" t="n"/>
      <c r="I19" s="38" t="n"/>
      <c r="J19" s="38" t="n"/>
      <c r="K19" s="38" t="n"/>
      <c r="L19" s="38" t="n"/>
      <c r="M19" s="38" t="n"/>
      <c r="N19" s="38" t="n"/>
      <c r="O19" s="38" t="n"/>
      <c r="P19" s="40" t="inlineStr">
        <is>
          <t>●</t>
        </is>
      </c>
      <c r="Q19" s="37" t="n"/>
      <c r="R19" s="38" t="n"/>
      <c r="S19" s="38" t="n"/>
      <c r="T19" s="38" t="n"/>
      <c r="U19" s="38" t="n"/>
      <c r="V19" s="38" t="n"/>
      <c r="W19" s="38" t="n"/>
      <c r="X19" s="38" t="n"/>
      <c r="Y19" s="38" t="n"/>
      <c r="Z19" s="38" t="n"/>
      <c r="AA19" s="38" t="n"/>
      <c r="AB19" s="38" t="n"/>
      <c r="AC19" s="38" t="n"/>
      <c r="AD19" s="38" t="n"/>
      <c r="AE19" s="38" t="n"/>
      <c r="AF19" s="38" t="n"/>
      <c r="AG19" s="38" t="n"/>
      <c r="AH19" s="38" t="n"/>
      <c r="AI19" s="38" t="n"/>
      <c r="AJ19" s="38" t="n"/>
      <c r="AK19" s="38" t="n"/>
      <c r="AL19" s="38" t="n"/>
      <c r="AM19" s="38" t="n"/>
      <c r="AN19" s="38" t="n"/>
      <c r="AO19" s="38" t="n"/>
      <c r="AP19" s="38" t="n"/>
      <c r="AQ19" s="38" t="n"/>
      <c r="AR19" s="38" t="n"/>
      <c r="AS19" s="38" t="n"/>
      <c r="AT19" s="38" t="n"/>
      <c r="AU19" s="38" t="n"/>
      <c r="AV19" s="38" t="n"/>
      <c r="AW19" s="38" t="n"/>
      <c r="AX19" s="38" t="n"/>
      <c r="AY19" s="38" t="n"/>
      <c r="AZ19" s="38" t="n"/>
      <c r="BA19" s="38" t="n"/>
      <c r="BB19" s="38" t="n"/>
    </row>
    <row r="20">
      <c r="A20" s="33" t="inlineStr">
        <is>
          <t>ACC-03</t>
        </is>
      </c>
      <c r="B20" s="34" t="inlineStr">
        <is>
          <t>Load the returned names in the admin screen, confirm each person's…</t>
        </is>
      </c>
      <c r="C20" s="35" t="inlineStr">
        <is>
          <t>Test rollout</t>
        </is>
      </c>
      <c r="D20" s="36">
        <f>COUNTIF(E20:BB20,"●")</f>
        <v/>
      </c>
      <c r="E20" s="38" t="n"/>
      <c r="F20" s="38" t="n"/>
      <c r="G20" s="38" t="n"/>
      <c r="H20" s="38" t="n"/>
      <c r="I20" s="38" t="n"/>
      <c r="J20" s="38" t="n"/>
      <c r="K20" s="38" t="n"/>
      <c r="L20" s="38" t="n"/>
      <c r="M20" s="38" t="n"/>
      <c r="N20" s="38" t="n"/>
      <c r="O20" s="38" t="n"/>
      <c r="P20" s="38" t="n"/>
      <c r="Q20" s="40" t="inlineStr">
        <is>
          <t>●</t>
        </is>
      </c>
      <c r="R20" s="37" t="n"/>
      <c r="S20" s="38" t="n"/>
      <c r="T20" s="38" t="n"/>
      <c r="U20" s="38" t="n"/>
      <c r="V20" s="38" t="n"/>
      <c r="W20" s="38" t="n"/>
      <c r="X20" s="38" t="n"/>
      <c r="Y20" s="38" t="n"/>
      <c r="Z20" s="38" t="n"/>
      <c r="AA20" s="38" t="n"/>
      <c r="AB20" s="38" t="n"/>
      <c r="AC20" s="38" t="n"/>
      <c r="AD20" s="38" t="n"/>
      <c r="AE20" s="38" t="n"/>
      <c r="AF20" s="38" t="n"/>
      <c r="AG20" s="38" t="n"/>
      <c r="AH20" s="38" t="n"/>
      <c r="AI20" s="38" t="n"/>
      <c r="AJ20" s="38" t="n"/>
      <c r="AK20" s="38" t="n"/>
      <c r="AL20" s="38" t="n"/>
      <c r="AM20" s="38" t="n"/>
      <c r="AN20" s="38" t="n"/>
      <c r="AO20" s="38" t="n"/>
      <c r="AP20" s="38" t="n"/>
      <c r="AQ20" s="38" t="n"/>
      <c r="AR20" s="38" t="n"/>
      <c r="AS20" s="38" t="n"/>
      <c r="AT20" s="38" t="n"/>
      <c r="AU20" s="38" t="n"/>
      <c r="AV20" s="38" t="n"/>
      <c r="AW20" s="38" t="n"/>
      <c r="AX20" s="38" t="n"/>
      <c r="AY20" s="38" t="n"/>
      <c r="AZ20" s="38" t="n"/>
      <c r="BA20" s="38" t="n"/>
      <c r="BB20" s="38" t="n"/>
    </row>
    <row r="21">
      <c r="A21" s="33" t="inlineStr">
        <is>
          <t>ACC-04</t>
        </is>
      </c>
      <c r="B21" s="34" t="inlineStr">
        <is>
          <t>Update LCL_Access_Matrix_2026.xlsx to the 15 current departments and…</t>
        </is>
      </c>
      <c r="C21" s="35" t="inlineStr">
        <is>
          <t>Production go-live</t>
        </is>
      </c>
      <c r="D21" s="36">
        <f>COUNTIF(E21:BB21,"●")</f>
        <v/>
      </c>
      <c r="E21" s="38" t="n"/>
      <c r="F21" s="38" t="n"/>
      <c r="G21" s="38" t="n"/>
      <c r="H21" s="38" t="n"/>
      <c r="I21" s="38" t="n"/>
      <c r="J21" s="38" t="n"/>
      <c r="K21" s="38" t="n"/>
      <c r="L21" s="38" t="n"/>
      <c r="M21" s="38" t="n"/>
      <c r="N21" s="39" t="inlineStr">
        <is>
          <t>●</t>
        </is>
      </c>
      <c r="O21" s="39" t="inlineStr">
        <is>
          <t>●</t>
        </is>
      </c>
      <c r="P21" s="38" t="n"/>
      <c r="Q21" s="38" t="n"/>
      <c r="R21" s="38" t="n"/>
      <c r="S21" s="37" t="n"/>
      <c r="T21" s="38" t="n"/>
      <c r="U21" s="38" t="n"/>
      <c r="V21" s="38" t="n"/>
      <c r="W21" s="38" t="n"/>
      <c r="X21" s="38" t="n"/>
      <c r="Y21" s="38" t="n"/>
      <c r="Z21" s="38" t="n"/>
      <c r="AA21" s="38" t="n"/>
      <c r="AB21" s="38" t="n"/>
      <c r="AC21" s="38" t="n"/>
      <c r="AD21" s="38" t="n"/>
      <c r="AE21" s="38" t="n"/>
      <c r="AF21" s="38" t="n"/>
      <c r="AG21" s="38" t="n"/>
      <c r="AH21" s="38" t="n"/>
      <c r="AI21" s="38" t="n"/>
      <c r="AJ21" s="38" t="n"/>
      <c r="AK21" s="38" t="n"/>
      <c r="AL21" s="38" t="n"/>
      <c r="AM21" s="38" t="n"/>
      <c r="AN21" s="38" t="n"/>
      <c r="AO21" s="38" t="n"/>
      <c r="AP21" s="38" t="n"/>
      <c r="AQ21" s="38" t="n"/>
      <c r="AR21" s="38" t="n"/>
      <c r="AS21" s="38" t="n"/>
      <c r="AT21" s="38" t="n"/>
      <c r="AU21" s="38" t="n"/>
      <c r="AV21" s="38" t="n"/>
      <c r="AW21" s="38" t="n"/>
      <c r="AX21" s="38" t="n"/>
      <c r="AY21" s="38" t="n"/>
      <c r="AZ21" s="38" t="n"/>
      <c r="BA21" s="38" t="n"/>
      <c r="BB21" s="38" t="n"/>
    </row>
    <row r="22">
      <c r="A22" s="33" t="inlineStr">
        <is>
          <t>EML-01</t>
        </is>
      </c>
      <c r="B22" s="34" t="inlineStr">
        <is>
          <t>Enable SMTP AUTH for the digital@lakecement.co.tz mailbox in…</t>
        </is>
      </c>
      <c r="C22" s="35" t="inlineStr">
        <is>
          <t>Test rollout</t>
        </is>
      </c>
      <c r="D22" s="36">
        <f>COUNTIF(E22:BB22,"●")</f>
        <v/>
      </c>
      <c r="E22" s="38" t="n"/>
      <c r="F22" s="38" t="n"/>
      <c r="G22" s="38" t="n"/>
      <c r="H22" s="38" t="n"/>
      <c r="I22" s="38" t="n"/>
      <c r="J22" s="38" t="n"/>
      <c r="K22" s="38" t="n"/>
      <c r="L22" s="38" t="n"/>
      <c r="M22" s="38" t="n"/>
      <c r="N22" s="38" t="n"/>
      <c r="O22" s="38" t="n"/>
      <c r="P22" s="38" t="n"/>
      <c r="Q22" s="38" t="n"/>
      <c r="R22" s="38" t="n"/>
      <c r="S22" s="38" t="n"/>
      <c r="T22" s="37" t="n"/>
      <c r="U22" s="38" t="n"/>
      <c r="V22" s="38" t="n"/>
      <c r="W22" s="38" t="n"/>
      <c r="X22" s="38" t="n"/>
      <c r="Y22" s="38" t="n"/>
      <c r="Z22" s="38" t="n"/>
      <c r="AA22" s="38" t="n"/>
      <c r="AB22" s="38" t="n"/>
      <c r="AC22" s="38" t="n"/>
      <c r="AD22" s="38" t="n"/>
      <c r="AE22" s="38" t="n"/>
      <c r="AF22" s="38" t="n"/>
      <c r="AG22" s="38" t="n"/>
      <c r="AH22" s="38" t="n"/>
      <c r="AI22" s="38" t="n"/>
      <c r="AJ22" s="38" t="n"/>
      <c r="AK22" s="38" t="n"/>
      <c r="AL22" s="38" t="n"/>
      <c r="AM22" s="38" t="n"/>
      <c r="AN22" s="38" t="n"/>
      <c r="AO22" s="38" t="n"/>
      <c r="AP22" s="38" t="n"/>
      <c r="AQ22" s="38" t="n"/>
      <c r="AR22" s="38" t="n"/>
      <c r="AS22" s="38" t="n"/>
      <c r="AT22" s="38" t="n"/>
      <c r="AU22" s="38" t="n"/>
      <c r="AV22" s="38" t="n"/>
      <c r="AW22" s="38" t="n"/>
      <c r="AX22" s="38" t="n"/>
      <c r="AY22" s="38" t="n"/>
      <c r="AZ22" s="38" t="n"/>
      <c r="BA22" s="38" t="n"/>
      <c r="BB22" s="38" t="n"/>
    </row>
    <row r="23">
      <c r="A23" s="33" t="inlineStr">
        <is>
          <t>EML-02</t>
        </is>
      </c>
      <c r="B23" s="34" t="inlineStr">
        <is>
          <t>Name who receives the 06:00 daily KPI digest and who receives system…</t>
        </is>
      </c>
      <c r="C23" s="35" t="inlineStr">
        <is>
          <t>Test rollout</t>
        </is>
      </c>
      <c r="D23" s="36">
        <f>COUNTIF(E23:BB23,"●")</f>
        <v/>
      </c>
      <c r="E23" s="38" t="n"/>
      <c r="F23" s="38" t="n"/>
      <c r="G23" s="38" t="n"/>
      <c r="H23" s="38" t="n"/>
      <c r="I23" s="38" t="n"/>
      <c r="J23" s="38" t="n"/>
      <c r="K23" s="38" t="n"/>
      <c r="L23" s="38" t="n"/>
      <c r="M23" s="38" t="n"/>
      <c r="N23" s="38" t="n"/>
      <c r="O23" s="38" t="n"/>
      <c r="P23" s="38" t="n"/>
      <c r="Q23" s="38" t="n"/>
      <c r="R23" s="38" t="n"/>
      <c r="S23" s="38" t="n"/>
      <c r="T23" s="38" t="n"/>
      <c r="U23" s="37" t="n"/>
      <c r="V23" s="38" t="n"/>
      <c r="W23" s="38" t="n"/>
      <c r="X23" s="38" t="n"/>
      <c r="Y23" s="38" t="n"/>
      <c r="Z23" s="38" t="n"/>
      <c r="AA23" s="38" t="n"/>
      <c r="AB23" s="38" t="n"/>
      <c r="AC23" s="38" t="n"/>
      <c r="AD23" s="38" t="n"/>
      <c r="AE23" s="38" t="n"/>
      <c r="AF23" s="38" t="n"/>
      <c r="AG23" s="38" t="n"/>
      <c r="AH23" s="38" t="n"/>
      <c r="AI23" s="38" t="n"/>
      <c r="AJ23" s="38" t="n"/>
      <c r="AK23" s="38" t="n"/>
      <c r="AL23" s="38" t="n"/>
      <c r="AM23" s="38" t="n"/>
      <c r="AN23" s="38" t="n"/>
      <c r="AO23" s="38" t="n"/>
      <c r="AP23" s="38" t="n"/>
      <c r="AQ23" s="38" t="n"/>
      <c r="AR23" s="38" t="n"/>
      <c r="AS23" s="38" t="n"/>
      <c r="AT23" s="38" t="n"/>
      <c r="AU23" s="38" t="n"/>
      <c r="AV23" s="38" t="n"/>
      <c r="AW23" s="38" t="n"/>
      <c r="AX23" s="38" t="n"/>
      <c r="AY23" s="38" t="n"/>
      <c r="AZ23" s="38" t="n"/>
      <c r="BA23" s="38" t="n"/>
      <c r="BB23" s="38" t="n"/>
    </row>
    <row r="24">
      <c r="A24" s="33" t="inlineStr">
        <is>
          <t>EML-03</t>
        </is>
      </c>
      <c r="B24" s="34" t="inlineStr">
        <is>
          <t>Set the digest and alert recipients on the production server, send a…</t>
        </is>
      </c>
      <c r="C24" s="35" t="inlineStr">
        <is>
          <t>Test rollout</t>
        </is>
      </c>
      <c r="D24" s="36">
        <f>COUNTIF(E24:BB24,"●")</f>
        <v/>
      </c>
      <c r="E24" s="40" t="inlineStr">
        <is>
          <t>●</t>
        </is>
      </c>
      <c r="F24" s="38" t="n"/>
      <c r="G24" s="38" t="n"/>
      <c r="H24" s="38" t="n"/>
      <c r="I24" s="38" t="n"/>
      <c r="J24" s="38" t="n"/>
      <c r="K24" s="38" t="n"/>
      <c r="L24" s="38" t="n"/>
      <c r="M24" s="38" t="n"/>
      <c r="N24" s="38" t="n"/>
      <c r="O24" s="38" t="n"/>
      <c r="P24" s="38" t="n"/>
      <c r="Q24" s="38" t="n"/>
      <c r="R24" s="38" t="n"/>
      <c r="S24" s="38" t="n"/>
      <c r="T24" s="40" t="inlineStr">
        <is>
          <t>●</t>
        </is>
      </c>
      <c r="U24" s="40" t="inlineStr">
        <is>
          <t>●</t>
        </is>
      </c>
      <c r="V24" s="37" t="n"/>
      <c r="W24" s="38" t="n"/>
      <c r="X24" s="38" t="n"/>
      <c r="Y24" s="38" t="n"/>
      <c r="Z24" s="38" t="n"/>
      <c r="AA24" s="38" t="n"/>
      <c r="AB24" s="38" t="n"/>
      <c r="AC24" s="38" t="n"/>
      <c r="AD24" s="38" t="n"/>
      <c r="AE24" s="38" t="n"/>
      <c r="AF24" s="38" t="n"/>
      <c r="AG24" s="38" t="n"/>
      <c r="AH24" s="38" t="n"/>
      <c r="AI24" s="38" t="n"/>
      <c r="AJ24" s="38" t="n"/>
      <c r="AK24" s="38" t="n"/>
      <c r="AL24" s="38" t="n"/>
      <c r="AM24" s="38" t="n"/>
      <c r="AN24" s="38" t="n"/>
      <c r="AO24" s="38" t="n"/>
      <c r="AP24" s="38" t="n"/>
      <c r="AQ24" s="38" t="n"/>
      <c r="AR24" s="38" t="n"/>
      <c r="AS24" s="38" t="n"/>
      <c r="AT24" s="38" t="n"/>
      <c r="AU24" s="38" t="n"/>
      <c r="AV24" s="38" t="n"/>
      <c r="AW24" s="38" t="n"/>
      <c r="AX24" s="38" t="n"/>
      <c r="AY24" s="38" t="n"/>
      <c r="AZ24" s="38" t="n"/>
      <c r="BA24" s="38" t="n"/>
      <c r="BB24" s="38" t="n"/>
    </row>
    <row r="25">
      <c r="A25" s="33" t="inlineStr">
        <is>
          <t>ODO-01</t>
        </is>
      </c>
      <c r="B25" s="34" t="inlineStr">
        <is>
          <t>Connect the MIS to the production Odoo database: deploy the four…</t>
        </is>
      </c>
      <c r="C25" s="35" t="inlineStr">
        <is>
          <t>Production go-live</t>
        </is>
      </c>
      <c r="D25" s="36">
        <f>COUNTIF(E25:BB25,"●")</f>
        <v/>
      </c>
      <c r="E25" s="38" t="n"/>
      <c r="F25" s="38" t="n"/>
      <c r="G25" s="38" t="n"/>
      <c r="H25" s="38" t="n"/>
      <c r="I25" s="38" t="n"/>
      <c r="J25" s="38" t="n"/>
      <c r="K25" s="38" t="n"/>
      <c r="L25" s="38" t="n"/>
      <c r="M25" s="38" t="n"/>
      <c r="N25" s="38" t="n"/>
      <c r="O25" s="38" t="n"/>
      <c r="P25" s="38" t="n"/>
      <c r="Q25" s="38" t="n"/>
      <c r="R25" s="38" t="n"/>
      <c r="S25" s="38" t="n"/>
      <c r="T25" s="38" t="n"/>
      <c r="U25" s="38" t="n"/>
      <c r="V25" s="38" t="n"/>
      <c r="W25" s="37" t="n"/>
      <c r="X25" s="38" t="n"/>
      <c r="Y25" s="38" t="n"/>
      <c r="Z25" s="38" t="n"/>
      <c r="AA25" s="38" t="n"/>
      <c r="AB25" s="38" t="n"/>
      <c r="AC25" s="38" t="n"/>
      <c r="AD25" s="38" t="n"/>
      <c r="AE25" s="38" t="n"/>
      <c r="AF25" s="38" t="n"/>
      <c r="AG25" s="38" t="n"/>
      <c r="AH25" s="38" t="n"/>
      <c r="AI25" s="38" t="n"/>
      <c r="AJ25" s="38" t="n"/>
      <c r="AK25" s="38" t="n"/>
      <c r="AL25" s="38" t="n"/>
      <c r="AM25" s="38" t="n"/>
      <c r="AN25" s="38" t="n"/>
      <c r="AO25" s="38" t="n"/>
      <c r="AP25" s="38" t="n"/>
      <c r="AQ25" s="38" t="n"/>
      <c r="AR25" s="38" t="n"/>
      <c r="AS25" s="38" t="n"/>
      <c r="AT25" s="38" t="n"/>
      <c r="AU25" s="38" t="n"/>
      <c r="AV25" s="38" t="n"/>
      <c r="AW25" s="38" t="n"/>
      <c r="AX25" s="38" t="n"/>
      <c r="AY25" s="38" t="n"/>
      <c r="AZ25" s="38" t="n"/>
      <c r="BA25" s="38" t="n"/>
      <c r="BB25" s="38" t="n"/>
    </row>
    <row r="26">
      <c r="A26" s="33" t="inlineStr">
        <is>
          <t>ODO-02</t>
        </is>
      </c>
      <c r="B26" s="34" t="inlineStr">
        <is>
          <t>Fix the Odoo endpoint defects already reported: customer receipts…</t>
        </is>
      </c>
      <c r="C26" s="35" t="inlineStr">
        <is>
          <t>Production go-live</t>
        </is>
      </c>
      <c r="D26" s="36">
        <f>COUNTIF(E26:BB26,"●")</f>
        <v/>
      </c>
      <c r="E26" s="38" t="n"/>
      <c r="F26" s="38" t="n"/>
      <c r="G26" s="38" t="n"/>
      <c r="H26" s="38" t="n"/>
      <c r="I26" s="38" t="n"/>
      <c r="J26" s="38" t="n"/>
      <c r="K26" s="38" t="n"/>
      <c r="L26" s="38" t="n"/>
      <c r="M26" s="38" t="n"/>
      <c r="N26" s="38" t="n"/>
      <c r="O26" s="38" t="n"/>
      <c r="P26" s="38" t="n"/>
      <c r="Q26" s="38" t="n"/>
      <c r="R26" s="38" t="n"/>
      <c r="S26" s="38" t="n"/>
      <c r="T26" s="38" t="n"/>
      <c r="U26" s="38" t="n"/>
      <c r="V26" s="38" t="n"/>
      <c r="W26" s="38" t="n"/>
      <c r="X26" s="37" t="n"/>
      <c r="Y26" s="38" t="n"/>
      <c r="Z26" s="38" t="n"/>
      <c r="AA26" s="38" t="n"/>
      <c r="AB26" s="38" t="n"/>
      <c r="AC26" s="38" t="n"/>
      <c r="AD26" s="38" t="n"/>
      <c r="AE26" s="38" t="n"/>
      <c r="AF26" s="38" t="n"/>
      <c r="AG26" s="38" t="n"/>
      <c r="AH26" s="38" t="n"/>
      <c r="AI26" s="38" t="n"/>
      <c r="AJ26" s="38" t="n"/>
      <c r="AK26" s="38" t="n"/>
      <c r="AL26" s="38" t="n"/>
      <c r="AM26" s="38" t="n"/>
      <c r="AN26" s="38" t="n"/>
      <c r="AO26" s="38" t="n"/>
      <c r="AP26" s="38" t="n"/>
      <c r="AQ26" s="38" t="n"/>
      <c r="AR26" s="38" t="n"/>
      <c r="AS26" s="38" t="n"/>
      <c r="AT26" s="38" t="n"/>
      <c r="AU26" s="38" t="n"/>
      <c r="AV26" s="38" t="n"/>
      <c r="AW26" s="38" t="n"/>
      <c r="AX26" s="38" t="n"/>
      <c r="AY26" s="38" t="n"/>
      <c r="AZ26" s="38" t="n"/>
      <c r="BA26" s="38" t="n"/>
      <c r="BB26" s="38" t="n"/>
    </row>
    <row r="27">
      <c r="A27" s="33" t="inlineStr">
        <is>
          <t>ODO-03</t>
        </is>
      </c>
      <c r="B27" s="34" t="inlineStr">
        <is>
          <t>Send the Production Entry API request (Odoo model…</t>
        </is>
      </c>
      <c r="C27" s="35" t="inlineStr">
        <is>
          <t>Post go-live</t>
        </is>
      </c>
      <c r="D27" s="36">
        <f>COUNTIF(E27:BB27,"●")</f>
        <v/>
      </c>
      <c r="E27" s="38" t="n"/>
      <c r="F27" s="38" t="n"/>
      <c r="G27" s="38" t="n"/>
      <c r="H27" s="38" t="n"/>
      <c r="I27" s="38" t="n"/>
      <c r="J27" s="38" t="n"/>
      <c r="K27" s="38" t="n"/>
      <c r="L27" s="38" t="n"/>
      <c r="M27" s="38" t="n"/>
      <c r="N27" s="38" t="n"/>
      <c r="O27" s="38" t="n"/>
      <c r="P27" s="38" t="n"/>
      <c r="Q27" s="38" t="n"/>
      <c r="R27" s="38" t="n"/>
      <c r="S27" s="38" t="n"/>
      <c r="T27" s="38" t="n"/>
      <c r="U27" s="38" t="n"/>
      <c r="V27" s="38" t="n"/>
      <c r="W27" s="38" t="n"/>
      <c r="X27" s="38" t="n"/>
      <c r="Y27" s="37" t="n"/>
      <c r="Z27" s="38" t="n"/>
      <c r="AA27" s="38" t="n"/>
      <c r="AB27" s="38" t="n"/>
      <c r="AC27" s="38" t="n"/>
      <c r="AD27" s="38" t="n"/>
      <c r="AE27" s="38" t="n"/>
      <c r="AF27" s="38" t="n"/>
      <c r="AG27" s="38" t="n"/>
      <c r="AH27" s="38" t="n"/>
      <c r="AI27" s="38" t="n"/>
      <c r="AJ27" s="38" t="n"/>
      <c r="AK27" s="38" t="n"/>
      <c r="AL27" s="38" t="n"/>
      <c r="AM27" s="38" t="n"/>
      <c r="AN27" s="38" t="n"/>
      <c r="AO27" s="38" t="n"/>
      <c r="AP27" s="38" t="n"/>
      <c r="AQ27" s="38" t="n"/>
      <c r="AR27" s="38" t="n"/>
      <c r="AS27" s="38" t="n"/>
      <c r="AT27" s="38" t="n"/>
      <c r="AU27" s="38" t="n"/>
      <c r="AV27" s="38" t="n"/>
      <c r="AW27" s="38" t="n"/>
      <c r="AX27" s="38" t="n"/>
      <c r="AY27" s="38" t="n"/>
      <c r="AZ27" s="38" t="n"/>
      <c r="BA27" s="38" t="n"/>
      <c r="BB27" s="38" t="n"/>
    </row>
    <row r="28">
      <c r="A28" s="33" t="inlineStr">
        <is>
          <t>ODO-04</t>
        </is>
      </c>
      <c r="B28" s="34" t="inlineStr">
        <is>
          <t>Confirm the Purchases and Stores data sources: open purchase…</t>
        </is>
      </c>
      <c r="C28" s="35" t="inlineStr">
        <is>
          <t>Post go-live</t>
        </is>
      </c>
      <c r="D28" s="36">
        <f>COUNTIF(E28:BB28,"●")</f>
        <v/>
      </c>
      <c r="E28" s="38" t="n"/>
      <c r="F28" s="38" t="n"/>
      <c r="G28" s="38" t="n"/>
      <c r="H28" s="38" t="n"/>
      <c r="I28" s="38" t="n"/>
      <c r="J28" s="38" t="n"/>
      <c r="K28" s="38" t="n"/>
      <c r="L28" s="38" t="n"/>
      <c r="M28" s="38" t="n"/>
      <c r="N28" s="38" t="n"/>
      <c r="O28" s="38" t="n"/>
      <c r="P28" s="38" t="n"/>
      <c r="Q28" s="38" t="n"/>
      <c r="R28" s="38" t="n"/>
      <c r="S28" s="38" t="n"/>
      <c r="T28" s="38" t="n"/>
      <c r="U28" s="38" t="n"/>
      <c r="V28" s="38" t="n"/>
      <c r="W28" s="41" t="inlineStr">
        <is>
          <t>●</t>
        </is>
      </c>
      <c r="X28" s="38" t="n"/>
      <c r="Y28" s="38" t="n"/>
      <c r="Z28" s="37" t="n"/>
      <c r="AA28" s="38" t="n"/>
      <c r="AB28" s="38" t="n"/>
      <c r="AC28" s="38" t="n"/>
      <c r="AD28" s="38" t="n"/>
      <c r="AE28" s="38" t="n"/>
      <c r="AF28" s="38" t="n"/>
      <c r="AG28" s="38" t="n"/>
      <c r="AH28" s="38" t="n"/>
      <c r="AI28" s="38" t="n"/>
      <c r="AJ28" s="38" t="n"/>
      <c r="AK28" s="38" t="n"/>
      <c r="AL28" s="38" t="n"/>
      <c r="AM28" s="38" t="n"/>
      <c r="AN28" s="38" t="n"/>
      <c r="AO28" s="38" t="n"/>
      <c r="AP28" s="38" t="n"/>
      <c r="AQ28" s="38" t="n"/>
      <c r="AR28" s="38" t="n"/>
      <c r="AS28" s="38" t="n"/>
      <c r="AT28" s="38" t="n"/>
      <c r="AU28" s="38" t="n"/>
      <c r="AV28" s="38" t="n"/>
      <c r="AW28" s="38" t="n"/>
      <c r="AX28" s="38" t="n"/>
      <c r="AY28" s="38" t="n"/>
      <c r="AZ28" s="38" t="n"/>
      <c r="BA28" s="38" t="n"/>
      <c r="BB28" s="38" t="n"/>
    </row>
    <row r="29">
      <c r="A29" s="33" t="inlineStr">
        <is>
          <t>ODO-05</t>
        </is>
      </c>
      <c r="B29" s="34" t="inlineStr">
        <is>
          <t>Provide the sales master data: the real Division → Zone → Sales…</t>
        </is>
      </c>
      <c r="C29" s="35" t="inlineStr">
        <is>
          <t>Production go-live</t>
        </is>
      </c>
      <c r="D29" s="36">
        <f>COUNTIF(E29:BB29,"●")</f>
        <v/>
      </c>
      <c r="E29" s="38" t="n"/>
      <c r="F29" s="38" t="n"/>
      <c r="G29" s="38" t="n"/>
      <c r="H29" s="38" t="n"/>
      <c r="I29" s="38" t="n"/>
      <c r="J29" s="38" t="n"/>
      <c r="K29" s="38" t="n"/>
      <c r="L29" s="38" t="n"/>
      <c r="M29" s="38" t="n"/>
      <c r="N29" s="38" t="n"/>
      <c r="O29" s="38" t="n"/>
      <c r="P29" s="38" t="n"/>
      <c r="Q29" s="38" t="n"/>
      <c r="R29" s="38" t="n"/>
      <c r="S29" s="38" t="n"/>
      <c r="T29" s="38" t="n"/>
      <c r="U29" s="38" t="n"/>
      <c r="V29" s="38" t="n"/>
      <c r="W29" s="38" t="n"/>
      <c r="X29" s="38" t="n"/>
      <c r="Y29" s="38" t="n"/>
      <c r="Z29" s="38" t="n"/>
      <c r="AA29" s="37" t="n"/>
      <c r="AB29" s="38" t="n"/>
      <c r="AC29" s="38" t="n"/>
      <c r="AD29" s="38" t="n"/>
      <c r="AE29" s="38" t="n"/>
      <c r="AF29" s="38" t="n"/>
      <c r="AG29" s="38" t="n"/>
      <c r="AH29" s="38" t="n"/>
      <c r="AI29" s="38" t="n"/>
      <c r="AJ29" s="38" t="n"/>
      <c r="AK29" s="38" t="n"/>
      <c r="AL29" s="38" t="n"/>
      <c r="AM29" s="38" t="n"/>
      <c r="AN29" s="38" t="n"/>
      <c r="AO29" s="38" t="n"/>
      <c r="AP29" s="38" t="n"/>
      <c r="AQ29" s="38" t="n"/>
      <c r="AR29" s="38" t="n"/>
      <c r="AS29" s="38" t="n"/>
      <c r="AT29" s="38" t="n"/>
      <c r="AU29" s="38" t="n"/>
      <c r="AV29" s="38" t="n"/>
      <c r="AW29" s="38" t="n"/>
      <c r="AX29" s="38" t="n"/>
      <c r="AY29" s="38" t="n"/>
      <c r="AZ29" s="38" t="n"/>
      <c r="BA29" s="38" t="n"/>
      <c r="BB29" s="38" t="n"/>
    </row>
    <row r="30">
      <c r="A30" s="33" t="inlineStr">
        <is>
          <t>ODO-06</t>
        </is>
      </c>
      <c r="B30" s="34" t="inlineStr">
        <is>
          <t>Fix or retire the 'npm run odoo:test' check so it reports each live…</t>
        </is>
      </c>
      <c r="C30" s="35" t="inlineStr">
        <is>
          <t>Production go-live</t>
        </is>
      </c>
      <c r="D30" s="36">
        <f>COUNTIF(E30:BB30,"●")</f>
        <v/>
      </c>
      <c r="E30" s="38" t="n"/>
      <c r="F30" s="38" t="n"/>
      <c r="G30" s="38" t="n"/>
      <c r="H30" s="38" t="n"/>
      <c r="I30" s="38" t="n"/>
      <c r="J30" s="38" t="n"/>
      <c r="K30" s="38" t="n"/>
      <c r="L30" s="38" t="n"/>
      <c r="M30" s="38" t="n"/>
      <c r="N30" s="38" t="n"/>
      <c r="O30" s="38" t="n"/>
      <c r="P30" s="38" t="n"/>
      <c r="Q30" s="38" t="n"/>
      <c r="R30" s="38" t="n"/>
      <c r="S30" s="38" t="n"/>
      <c r="T30" s="38" t="n"/>
      <c r="U30" s="38" t="n"/>
      <c r="V30" s="38" t="n"/>
      <c r="W30" s="38" t="n"/>
      <c r="X30" s="38" t="n"/>
      <c r="Y30" s="38" t="n"/>
      <c r="Z30" s="38" t="n"/>
      <c r="AA30" s="38" t="n"/>
      <c r="AB30" s="37" t="n"/>
      <c r="AC30" s="38" t="n"/>
      <c r="AD30" s="38" t="n"/>
      <c r="AE30" s="38" t="n"/>
      <c r="AF30" s="38" t="n"/>
      <c r="AG30" s="38" t="n"/>
      <c r="AH30" s="38" t="n"/>
      <c r="AI30" s="38" t="n"/>
      <c r="AJ30" s="38" t="n"/>
      <c r="AK30" s="38" t="n"/>
      <c r="AL30" s="38" t="n"/>
      <c r="AM30" s="38" t="n"/>
      <c r="AN30" s="38" t="n"/>
      <c r="AO30" s="38" t="n"/>
      <c r="AP30" s="38" t="n"/>
      <c r="AQ30" s="38" t="n"/>
      <c r="AR30" s="38" t="n"/>
      <c r="AS30" s="38" t="n"/>
      <c r="AT30" s="38" t="n"/>
      <c r="AU30" s="38" t="n"/>
      <c r="AV30" s="38" t="n"/>
      <c r="AW30" s="38" t="n"/>
      <c r="AX30" s="38" t="n"/>
      <c r="AY30" s="38" t="n"/>
      <c r="AZ30" s="38" t="n"/>
      <c r="BA30" s="38" t="n"/>
      <c r="BB30" s="38" t="n"/>
    </row>
    <row r="31">
      <c r="A31" s="33" t="inlineStr">
        <is>
          <t>DAT-01</t>
        </is>
      </c>
      <c r="B31" s="34" t="inlineStr">
        <is>
          <t>Decide the data baseline for the pilot: backfill July–September 2026…</t>
        </is>
      </c>
      <c r="C31" s="35" t="inlineStr">
        <is>
          <t>Test rollout</t>
        </is>
      </c>
      <c r="D31" s="36">
        <f>COUNTIF(E31:BB31,"●")</f>
        <v/>
      </c>
      <c r="E31" s="38" t="n"/>
      <c r="F31" s="38" t="n"/>
      <c r="G31" s="38" t="n"/>
      <c r="H31" s="38" t="n"/>
      <c r="I31" s="38" t="n"/>
      <c r="J31" s="38" t="n"/>
      <c r="K31" s="38" t="n"/>
      <c r="L31" s="38" t="n"/>
      <c r="M31" s="38" t="n"/>
      <c r="N31" s="38" t="n"/>
      <c r="O31" s="38" t="n"/>
      <c r="P31" s="38" t="n"/>
      <c r="Q31" s="38" t="n"/>
      <c r="R31" s="38" t="n"/>
      <c r="S31" s="38" t="n"/>
      <c r="T31" s="38" t="n"/>
      <c r="U31" s="38" t="n"/>
      <c r="V31" s="38" t="n"/>
      <c r="W31" s="38" t="n"/>
      <c r="X31" s="38" t="n"/>
      <c r="Y31" s="38" t="n"/>
      <c r="Z31" s="38" t="n"/>
      <c r="AA31" s="38" t="n"/>
      <c r="AB31" s="38" t="n"/>
      <c r="AC31" s="37" t="n"/>
      <c r="AD31" s="38" t="n"/>
      <c r="AE31" s="38" t="n"/>
      <c r="AF31" s="38" t="n"/>
      <c r="AG31" s="38" t="n"/>
      <c r="AH31" s="38" t="n"/>
      <c r="AI31" s="38" t="n"/>
      <c r="AJ31" s="38" t="n"/>
      <c r="AK31" s="38" t="n"/>
      <c r="AL31" s="38" t="n"/>
      <c r="AM31" s="38" t="n"/>
      <c r="AN31" s="38" t="n"/>
      <c r="AO31" s="38" t="n"/>
      <c r="AP31" s="38" t="n"/>
      <c r="AQ31" s="38" t="n"/>
      <c r="AR31" s="38" t="n"/>
      <c r="AS31" s="38" t="n"/>
      <c r="AT31" s="38" t="n"/>
      <c r="AU31" s="40" t="inlineStr">
        <is>
          <t>●</t>
        </is>
      </c>
      <c r="AV31" s="38" t="n"/>
      <c r="AW31" s="38" t="n"/>
      <c r="AX31" s="38" t="n"/>
      <c r="AY31" s="38" t="n"/>
      <c r="AZ31" s="38" t="n"/>
      <c r="BA31" s="38" t="n"/>
      <c r="BB31" s="38" t="n"/>
    </row>
    <row r="32">
      <c r="A32" s="33" t="inlineStr">
        <is>
          <t>DAT-02</t>
        </is>
      </c>
      <c r="B32" s="34" t="inlineStr">
        <is>
          <t>Remove demo and placeholder records that make pages open on an empty…</t>
        </is>
      </c>
      <c r="C32" s="35" t="inlineStr">
        <is>
          <t>Test rollout</t>
        </is>
      </c>
      <c r="D32" s="36">
        <f>COUNTIF(E32:BB32,"●")</f>
        <v/>
      </c>
      <c r="E32" s="38" t="n"/>
      <c r="F32" s="38" t="n"/>
      <c r="G32" s="38" t="n"/>
      <c r="H32" s="38" t="n"/>
      <c r="I32" s="38" t="n"/>
      <c r="J32" s="38" t="n"/>
      <c r="K32" s="38" t="n"/>
      <c r="L32" s="38" t="n"/>
      <c r="M32" s="38" t="n"/>
      <c r="N32" s="38" t="n"/>
      <c r="O32" s="38" t="n"/>
      <c r="P32" s="38" t="n"/>
      <c r="Q32" s="38" t="n"/>
      <c r="R32" s="38" t="n"/>
      <c r="S32" s="38" t="n"/>
      <c r="T32" s="38" t="n"/>
      <c r="U32" s="38" t="n"/>
      <c r="V32" s="38" t="n"/>
      <c r="W32" s="38" t="n"/>
      <c r="X32" s="38" t="n"/>
      <c r="Y32" s="38" t="n"/>
      <c r="Z32" s="38" t="n"/>
      <c r="AA32" s="38" t="n"/>
      <c r="AB32" s="38" t="n"/>
      <c r="AC32" s="38" t="n"/>
      <c r="AD32" s="37" t="n"/>
      <c r="AE32" s="38" t="n"/>
      <c r="AF32" s="38" t="n"/>
      <c r="AG32" s="38" t="n"/>
      <c r="AH32" s="38" t="n"/>
      <c r="AI32" s="38" t="n"/>
      <c r="AJ32" s="38" t="n"/>
      <c r="AK32" s="38" t="n"/>
      <c r="AL32" s="38" t="n"/>
      <c r="AM32" s="38" t="n"/>
      <c r="AN32" s="38" t="n"/>
      <c r="AO32" s="38" t="n"/>
      <c r="AP32" s="38" t="n"/>
      <c r="AQ32" s="38" t="n"/>
      <c r="AR32" s="38" t="n"/>
      <c r="AS32" s="38" t="n"/>
      <c r="AT32" s="38" t="n"/>
      <c r="AU32" s="38" t="n"/>
      <c r="AV32" s="38" t="n"/>
      <c r="AW32" s="38" t="n"/>
      <c r="AX32" s="38" t="n"/>
      <c r="AY32" s="38" t="n"/>
      <c r="AZ32" s="38" t="n"/>
      <c r="BA32" s="38" t="n"/>
      <c r="BB32" s="38" t="n"/>
    </row>
    <row r="33">
      <c r="A33" s="33" t="inlineStr">
        <is>
          <t>DAT-03</t>
        </is>
      </c>
      <c r="B33" s="34" t="inlineStr">
        <is>
          <t>Validate the Quality KPIs against the lab's Excel records for…</t>
        </is>
      </c>
      <c r="C33" s="35" t="inlineStr">
        <is>
          <t>Production go-live</t>
        </is>
      </c>
      <c r="D33" s="36">
        <f>COUNTIF(E33:BB33,"●")</f>
        <v/>
      </c>
      <c r="E33" s="38" t="n"/>
      <c r="F33" s="38" t="n"/>
      <c r="G33" s="38" t="n"/>
      <c r="H33" s="38" t="n"/>
      <c r="I33" s="38" t="n"/>
      <c r="J33" s="38" t="n"/>
      <c r="K33" s="38" t="n"/>
      <c r="L33" s="38" t="n"/>
      <c r="M33" s="38" t="n"/>
      <c r="N33" s="38" t="n"/>
      <c r="O33" s="38" t="n"/>
      <c r="P33" s="38" t="n"/>
      <c r="Q33" s="38" t="n"/>
      <c r="R33" s="38" t="n"/>
      <c r="S33" s="38" t="n"/>
      <c r="T33" s="38" t="n"/>
      <c r="U33" s="38" t="n"/>
      <c r="V33" s="38" t="n"/>
      <c r="W33" s="38" t="n"/>
      <c r="X33" s="38" t="n"/>
      <c r="Y33" s="38" t="n"/>
      <c r="Z33" s="38" t="n"/>
      <c r="AA33" s="38" t="n"/>
      <c r="AB33" s="38" t="n"/>
      <c r="AC33" s="38" t="n"/>
      <c r="AD33" s="38" t="n"/>
      <c r="AE33" s="37" t="n"/>
      <c r="AF33" s="38" t="n"/>
      <c r="AG33" s="38" t="n"/>
      <c r="AH33" s="38" t="n"/>
      <c r="AI33" s="38" t="n"/>
      <c r="AJ33" s="38" t="n"/>
      <c r="AK33" s="38" t="n"/>
      <c r="AL33" s="38" t="n"/>
      <c r="AM33" s="38" t="n"/>
      <c r="AN33" s="38" t="n"/>
      <c r="AO33" s="38" t="n"/>
      <c r="AP33" s="38" t="n"/>
      <c r="AQ33" s="38" t="n"/>
      <c r="AR33" s="38" t="n"/>
      <c r="AS33" s="38" t="n"/>
      <c r="AT33" s="38" t="n"/>
      <c r="AU33" s="38" t="n"/>
      <c r="AV33" s="38" t="n"/>
      <c r="AW33" s="38" t="n"/>
      <c r="AX33" s="38" t="n"/>
      <c r="AY33" s="38" t="n"/>
      <c r="AZ33" s="38" t="n"/>
      <c r="BA33" s="38" t="n"/>
      <c r="BB33" s="38" t="n"/>
    </row>
    <row r="34">
      <c r="A34" s="33" t="inlineStr">
        <is>
          <t>DAT-04</t>
        </is>
      </c>
      <c r="B34" s="34" t="inlineStr">
        <is>
          <t>Provide the cost figures the reports need: a TZS-per-hour rate for…</t>
        </is>
      </c>
      <c r="C34" s="35" t="inlineStr">
        <is>
          <t>Post go-live</t>
        </is>
      </c>
      <c r="D34" s="36">
        <f>COUNTIF(E34:BB34,"●")</f>
        <v/>
      </c>
      <c r="E34" s="38" t="n"/>
      <c r="F34" s="38" t="n"/>
      <c r="G34" s="38" t="n"/>
      <c r="H34" s="38" t="n"/>
      <c r="I34" s="38" t="n"/>
      <c r="J34" s="38" t="n"/>
      <c r="K34" s="38" t="n"/>
      <c r="L34" s="38" t="n"/>
      <c r="M34" s="38" t="n"/>
      <c r="N34" s="38" t="n"/>
      <c r="O34" s="38" t="n"/>
      <c r="P34" s="38" t="n"/>
      <c r="Q34" s="38" t="n"/>
      <c r="R34" s="38" t="n"/>
      <c r="S34" s="38" t="n"/>
      <c r="T34" s="38" t="n"/>
      <c r="U34" s="38" t="n"/>
      <c r="V34" s="38" t="n"/>
      <c r="W34" s="38" t="n"/>
      <c r="X34" s="38" t="n"/>
      <c r="Y34" s="38" t="n"/>
      <c r="Z34" s="38" t="n"/>
      <c r="AA34" s="38" t="n"/>
      <c r="AB34" s="38" t="n"/>
      <c r="AC34" s="38" t="n"/>
      <c r="AD34" s="38" t="n"/>
      <c r="AE34" s="38" t="n"/>
      <c r="AF34" s="37" t="n"/>
      <c r="AG34" s="38" t="n"/>
      <c r="AH34" s="38" t="n"/>
      <c r="AI34" s="38" t="n"/>
      <c r="AJ34" s="38" t="n"/>
      <c r="AK34" s="38" t="n"/>
      <c r="AL34" s="38" t="n"/>
      <c r="AM34" s="38" t="n"/>
      <c r="AN34" s="38" t="n"/>
      <c r="AO34" s="38" t="n"/>
      <c r="AP34" s="38" t="n"/>
      <c r="AQ34" s="38" t="n"/>
      <c r="AR34" s="38" t="n"/>
      <c r="AS34" s="38" t="n"/>
      <c r="AT34" s="38" t="n"/>
      <c r="AU34" s="38" t="n"/>
      <c r="AV34" s="38" t="n"/>
      <c r="AW34" s="38" t="n"/>
      <c r="AX34" s="38" t="n"/>
      <c r="AY34" s="38" t="n"/>
      <c r="AZ34" s="38" t="n"/>
      <c r="BA34" s="38" t="n"/>
      <c r="BB34" s="38" t="n"/>
    </row>
    <row r="35">
      <c r="A35" s="33" t="inlineStr">
        <is>
          <t>DAT-05</t>
        </is>
      </c>
      <c r="B35" s="34" t="inlineStr">
        <is>
          <t>Stop the Quarry page downloading every weighbridge ticket ever…</t>
        </is>
      </c>
      <c r="C35" s="35" t="inlineStr">
        <is>
          <t>Production go-live</t>
        </is>
      </c>
      <c r="D35" s="36">
        <f>COUNTIF(E35:BB35,"●")</f>
        <v/>
      </c>
      <c r="E35" s="38" t="n"/>
      <c r="F35" s="38" t="n"/>
      <c r="G35" s="38" t="n"/>
      <c r="H35" s="38" t="n"/>
      <c r="I35" s="38" t="n"/>
      <c r="J35" s="38" t="n"/>
      <c r="K35" s="38" t="n"/>
      <c r="L35" s="38" t="n"/>
      <c r="M35" s="38" t="n"/>
      <c r="N35" s="38" t="n"/>
      <c r="O35" s="38" t="n"/>
      <c r="P35" s="38" t="n"/>
      <c r="Q35" s="38" t="n"/>
      <c r="R35" s="38" t="n"/>
      <c r="S35" s="38" t="n"/>
      <c r="T35" s="38" t="n"/>
      <c r="U35" s="38" t="n"/>
      <c r="V35" s="38" t="n"/>
      <c r="W35" s="38" t="n"/>
      <c r="X35" s="38" t="n"/>
      <c r="Y35" s="38" t="n"/>
      <c r="Z35" s="38" t="n"/>
      <c r="AA35" s="38" t="n"/>
      <c r="AB35" s="38" t="n"/>
      <c r="AC35" s="38" t="n"/>
      <c r="AD35" s="38" t="n"/>
      <c r="AE35" s="38" t="n"/>
      <c r="AF35" s="38" t="n"/>
      <c r="AG35" s="37" t="n"/>
      <c r="AH35" s="38" t="n"/>
      <c r="AI35" s="38" t="n"/>
      <c r="AJ35" s="38" t="n"/>
      <c r="AK35" s="38" t="n"/>
      <c r="AL35" s="38" t="n"/>
      <c r="AM35" s="38" t="n"/>
      <c r="AN35" s="38" t="n"/>
      <c r="AO35" s="38" t="n"/>
      <c r="AP35" s="38" t="n"/>
      <c r="AQ35" s="38" t="n"/>
      <c r="AR35" s="38" t="n"/>
      <c r="AS35" s="38" t="n"/>
      <c r="AT35" s="38" t="n"/>
      <c r="AU35" s="38" t="n"/>
      <c r="AV35" s="38" t="n"/>
      <c r="AW35" s="38" t="n"/>
      <c r="AX35" s="38" t="n"/>
      <c r="AY35" s="38" t="n"/>
      <c r="AZ35" s="38" t="n"/>
      <c r="BA35" s="38" t="n"/>
      <c r="BB35" s="38" t="n"/>
    </row>
    <row r="36">
      <c r="A36" s="33" t="inlineStr">
        <is>
          <t>DAT-06</t>
        </is>
      </c>
      <c r="B36" s="34" t="inlineStr">
        <is>
          <t>Decide what should happen when the Quarry report is opened with no…</t>
        </is>
      </c>
      <c r="C36" s="35" t="inlineStr">
        <is>
          <t>Test rollout</t>
        </is>
      </c>
      <c r="D36" s="36">
        <f>COUNTIF(E36:BB36,"●")</f>
        <v/>
      </c>
      <c r="E36" s="38" t="n"/>
      <c r="F36" s="38" t="n"/>
      <c r="G36" s="38" t="n"/>
      <c r="H36" s="38" t="n"/>
      <c r="I36" s="38" t="n"/>
      <c r="J36" s="38" t="n"/>
      <c r="K36" s="38" t="n"/>
      <c r="L36" s="38" t="n"/>
      <c r="M36" s="38" t="n"/>
      <c r="N36" s="38" t="n"/>
      <c r="O36" s="38" t="n"/>
      <c r="P36" s="38" t="n"/>
      <c r="Q36" s="38" t="n"/>
      <c r="R36" s="38" t="n"/>
      <c r="S36" s="38" t="n"/>
      <c r="T36" s="38" t="n"/>
      <c r="U36" s="38" t="n"/>
      <c r="V36" s="38" t="n"/>
      <c r="W36" s="38" t="n"/>
      <c r="X36" s="38" t="n"/>
      <c r="Y36" s="38" t="n"/>
      <c r="Z36" s="38" t="n"/>
      <c r="AA36" s="38" t="n"/>
      <c r="AB36" s="38" t="n"/>
      <c r="AC36" s="38" t="n"/>
      <c r="AD36" s="38" t="n"/>
      <c r="AE36" s="38" t="n"/>
      <c r="AF36" s="38" t="n"/>
      <c r="AG36" s="38" t="n"/>
      <c r="AH36" s="37" t="n"/>
      <c r="AI36" s="38" t="n"/>
      <c r="AJ36" s="38" t="n"/>
      <c r="AK36" s="38" t="n"/>
      <c r="AL36" s="38" t="n"/>
      <c r="AM36" s="38" t="n"/>
      <c r="AN36" s="38" t="n"/>
      <c r="AO36" s="38" t="n"/>
      <c r="AP36" s="38" t="n"/>
      <c r="AQ36" s="38" t="n"/>
      <c r="AR36" s="38" t="n"/>
      <c r="AS36" s="38" t="n"/>
      <c r="AT36" s="38" t="n"/>
      <c r="AU36" s="38" t="n"/>
      <c r="AV36" s="38" t="n"/>
      <c r="AW36" s="38" t="n"/>
      <c r="AX36" s="38" t="n"/>
      <c r="AY36" s="38" t="n"/>
      <c r="AZ36" s="38" t="n"/>
      <c r="BA36" s="38" t="n"/>
      <c r="BB36" s="38" t="n"/>
    </row>
    <row r="37">
      <c r="A37" s="33" t="inlineStr">
        <is>
          <t>APP-01</t>
        </is>
      </c>
      <c r="B37" s="34" t="inlineStr">
        <is>
          <t>Finish and release the work in progress: fix the broken mailer test,…</t>
        </is>
      </c>
      <c r="C37" s="35" t="inlineStr">
        <is>
          <t>Test rollout</t>
        </is>
      </c>
      <c r="D37" s="36">
        <f>COUNTIF(E37:BB37,"●")</f>
        <v/>
      </c>
      <c r="E37" s="38" t="n"/>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c r="AA37" s="38" t="n"/>
      <c r="AB37" s="38" t="n"/>
      <c r="AC37" s="38" t="n"/>
      <c r="AD37" s="38" t="n"/>
      <c r="AE37" s="38" t="n"/>
      <c r="AF37" s="38" t="n"/>
      <c r="AG37" s="38" t="n"/>
      <c r="AH37" s="38" t="n"/>
      <c r="AI37" s="37" t="n"/>
      <c r="AJ37" s="38" t="n"/>
      <c r="AK37" s="38" t="n"/>
      <c r="AL37" s="38" t="n"/>
      <c r="AM37" s="38" t="n"/>
      <c r="AN37" s="38" t="n"/>
      <c r="AO37" s="38" t="n"/>
      <c r="AP37" s="38" t="n"/>
      <c r="AQ37" s="38" t="n"/>
      <c r="AR37" s="38" t="n"/>
      <c r="AS37" s="38" t="n"/>
      <c r="AT37" s="38" t="n"/>
      <c r="AU37" s="38" t="n"/>
      <c r="AV37" s="38" t="n"/>
      <c r="AW37" s="38" t="n"/>
      <c r="AX37" s="38" t="n"/>
      <c r="AY37" s="38" t="n"/>
      <c r="AZ37" s="38" t="n"/>
      <c r="BA37" s="38" t="n"/>
      <c r="BB37" s="38" t="n"/>
    </row>
    <row r="38">
      <c r="A38" s="33" t="inlineStr">
        <is>
          <t>APP-02</t>
        </is>
      </c>
      <c r="B38" s="34" t="inlineStr">
        <is>
          <t>Check the 417-reason stoppage catalogue with maintenance and…</t>
        </is>
      </c>
      <c r="C38" s="35" t="inlineStr">
        <is>
          <t>Test rollout</t>
        </is>
      </c>
      <c r="D38" s="36">
        <f>COUNTIF(E38:BB38,"●")</f>
        <v/>
      </c>
      <c r="E38" s="38" t="n"/>
      <c r="F38" s="38" t="n"/>
      <c r="G38" s="38" t="n"/>
      <c r="H38" s="38" t="n"/>
      <c r="I38" s="38" t="n"/>
      <c r="J38" s="38" t="n"/>
      <c r="K38" s="38" t="n"/>
      <c r="L38" s="38" t="n"/>
      <c r="M38" s="38" t="n"/>
      <c r="N38" s="38" t="n"/>
      <c r="O38" s="38" t="n"/>
      <c r="P38" s="38" t="n"/>
      <c r="Q38" s="38" t="n"/>
      <c r="R38" s="38" t="n"/>
      <c r="S38" s="38" t="n"/>
      <c r="T38" s="38" t="n"/>
      <c r="U38" s="38" t="n"/>
      <c r="V38" s="38" t="n"/>
      <c r="W38" s="38" t="n"/>
      <c r="X38" s="38" t="n"/>
      <c r="Y38" s="38" t="n"/>
      <c r="Z38" s="38" t="n"/>
      <c r="AA38" s="38" t="n"/>
      <c r="AB38" s="38" t="n"/>
      <c r="AC38" s="38" t="n"/>
      <c r="AD38" s="38" t="n"/>
      <c r="AE38" s="38" t="n"/>
      <c r="AF38" s="38" t="n"/>
      <c r="AG38" s="38" t="n"/>
      <c r="AH38" s="38" t="n"/>
      <c r="AI38" s="40" t="inlineStr">
        <is>
          <t>●</t>
        </is>
      </c>
      <c r="AJ38" s="37" t="n"/>
      <c r="AK38" s="38" t="n"/>
      <c r="AL38" s="38" t="n"/>
      <c r="AM38" s="38" t="n"/>
      <c r="AN38" s="38" t="n"/>
      <c r="AO38" s="38" t="n"/>
      <c r="AP38" s="38" t="n"/>
      <c r="AQ38" s="38" t="n"/>
      <c r="AR38" s="38" t="n"/>
      <c r="AS38" s="38" t="n"/>
      <c r="AT38" s="38" t="n"/>
      <c r="AU38" s="38" t="n"/>
      <c r="AV38" s="38" t="n"/>
      <c r="AW38" s="38" t="n"/>
      <c r="AX38" s="38" t="n"/>
      <c r="AY38" s="38" t="n"/>
      <c r="AZ38" s="38" t="n"/>
      <c r="BA38" s="38" t="n"/>
      <c r="BB38" s="38" t="n"/>
    </row>
    <row r="39">
      <c r="A39" s="33" t="inlineStr">
        <is>
          <t>APP-03</t>
        </is>
      </c>
      <c r="B39" s="34" t="inlineStr">
        <is>
          <t>CPP HOD to confirm the Power Plant entry form (22 readings and the…</t>
        </is>
      </c>
      <c r="C39" s="35" t="inlineStr">
        <is>
          <t>Test rollout</t>
        </is>
      </c>
      <c r="D39" s="36">
        <f>COUNTIF(E39:BB39,"●")</f>
        <v/>
      </c>
      <c r="E39" s="38" t="n"/>
      <c r="F39" s="38" t="n"/>
      <c r="G39" s="38" t="n"/>
      <c r="H39" s="38" t="n"/>
      <c r="I39" s="38" t="n"/>
      <c r="J39" s="38" t="n"/>
      <c r="K39" s="38" t="n"/>
      <c r="L39" s="38" t="n"/>
      <c r="M39" s="38" t="n"/>
      <c r="N39" s="38" t="n"/>
      <c r="O39" s="38" t="n"/>
      <c r="P39" s="38" t="n"/>
      <c r="Q39" s="38" t="n"/>
      <c r="R39" s="38" t="n"/>
      <c r="S39" s="38" t="n"/>
      <c r="T39" s="38" t="n"/>
      <c r="U39" s="38" t="n"/>
      <c r="V39" s="38" t="n"/>
      <c r="W39" s="38" t="n"/>
      <c r="X39" s="38" t="n"/>
      <c r="Y39" s="38" t="n"/>
      <c r="Z39" s="38" t="n"/>
      <c r="AA39" s="38" t="n"/>
      <c r="AB39" s="38" t="n"/>
      <c r="AC39" s="38" t="n"/>
      <c r="AD39" s="38" t="n"/>
      <c r="AE39" s="38" t="n"/>
      <c r="AF39" s="38" t="n"/>
      <c r="AG39" s="38" t="n"/>
      <c r="AH39" s="38" t="n"/>
      <c r="AI39" s="40" t="inlineStr">
        <is>
          <t>●</t>
        </is>
      </c>
      <c r="AJ39" s="38" t="n"/>
      <c r="AK39" s="37" t="n"/>
      <c r="AL39" s="38" t="n"/>
      <c r="AM39" s="38" t="n"/>
      <c r="AN39" s="38" t="n"/>
      <c r="AO39" s="38" t="n"/>
      <c r="AP39" s="38" t="n"/>
      <c r="AQ39" s="38" t="n"/>
      <c r="AR39" s="38" t="n"/>
      <c r="AS39" s="38" t="n"/>
      <c r="AT39" s="38" t="n"/>
      <c r="AU39" s="38" t="n"/>
      <c r="AV39" s="38" t="n"/>
      <c r="AW39" s="38" t="n"/>
      <c r="AX39" s="38" t="n"/>
      <c r="AY39" s="38" t="n"/>
      <c r="AZ39" s="38" t="n"/>
      <c r="BA39" s="38" t="n"/>
      <c r="BB39" s="38" t="n"/>
    </row>
    <row r="40">
      <c r="A40" s="33" t="inlineStr">
        <is>
          <t>APP-04</t>
        </is>
      </c>
      <c r="B40" s="34" t="inlineStr">
        <is>
          <t>Stop the Sales and Purchases dashboards presenting a March-2026 test…</t>
        </is>
      </c>
      <c r="C40" s="35" t="inlineStr">
        <is>
          <t>Test rollout</t>
        </is>
      </c>
      <c r="D40" s="36">
        <f>COUNTIF(E40:BB40,"●")</f>
        <v/>
      </c>
      <c r="E40" s="38" t="n"/>
      <c r="F40" s="38" t="n"/>
      <c r="G40" s="38" t="n"/>
      <c r="H40" s="38" t="n"/>
      <c r="I40" s="38" t="n"/>
      <c r="J40" s="38" t="n"/>
      <c r="K40" s="38" t="n"/>
      <c r="L40" s="38" t="n"/>
      <c r="M40" s="38" t="n"/>
      <c r="N40" s="38" t="n"/>
      <c r="O40" s="38" t="n"/>
      <c r="P40" s="38" t="n"/>
      <c r="Q40" s="38" t="n"/>
      <c r="R40" s="38" t="n"/>
      <c r="S40" s="38" t="n"/>
      <c r="T40" s="38" t="n"/>
      <c r="U40" s="38" t="n"/>
      <c r="V40" s="38" t="n"/>
      <c r="W40" s="38" t="n"/>
      <c r="X40" s="38" t="n"/>
      <c r="Y40" s="38" t="n"/>
      <c r="Z40" s="38" t="n"/>
      <c r="AA40" s="38" t="n"/>
      <c r="AB40" s="38" t="n"/>
      <c r="AC40" s="38" t="n"/>
      <c r="AD40" s="38" t="n"/>
      <c r="AE40" s="38" t="n"/>
      <c r="AF40" s="38" t="n"/>
      <c r="AG40" s="38" t="n"/>
      <c r="AH40" s="38" t="n"/>
      <c r="AI40" s="38" t="n"/>
      <c r="AJ40" s="38" t="n"/>
      <c r="AK40" s="38" t="n"/>
      <c r="AL40" s="37" t="n"/>
      <c r="AM40" s="38" t="n"/>
      <c r="AN40" s="38" t="n"/>
      <c r="AO40" s="38" t="n"/>
      <c r="AP40" s="38" t="n"/>
      <c r="AQ40" s="38" t="n"/>
      <c r="AR40" s="38" t="n"/>
      <c r="AS40" s="38" t="n"/>
      <c r="AT40" s="38" t="n"/>
      <c r="AU40" s="38" t="n"/>
      <c r="AV40" s="38" t="n"/>
      <c r="AW40" s="38" t="n"/>
      <c r="AX40" s="38" t="n"/>
      <c r="AY40" s="38" t="n"/>
      <c r="AZ40" s="38" t="n"/>
      <c r="BA40" s="38" t="n"/>
      <c r="BB40" s="38" t="n"/>
    </row>
    <row r="41">
      <c r="A41" s="33" t="inlineStr">
        <is>
          <t>APP-05</t>
        </is>
      </c>
      <c r="B41" s="34" t="inlineStr">
        <is>
          <t>Fix 'most recent date with data' so it ignores near-empty reports.…</t>
        </is>
      </c>
      <c r="C41" s="35" t="inlineStr">
        <is>
          <t>Test rollout</t>
        </is>
      </c>
      <c r="D41" s="36">
        <f>COUNTIF(E41:BB41,"●")</f>
        <v/>
      </c>
      <c r="E41" s="38" t="n"/>
      <c r="F41" s="38" t="n"/>
      <c r="G41" s="38" t="n"/>
      <c r="H41" s="38" t="n"/>
      <c r="I41" s="38" t="n"/>
      <c r="J41" s="38" t="n"/>
      <c r="K41" s="38" t="n"/>
      <c r="L41" s="38" t="n"/>
      <c r="M41" s="38" t="n"/>
      <c r="N41" s="38" t="n"/>
      <c r="O41" s="38" t="n"/>
      <c r="P41" s="38" t="n"/>
      <c r="Q41" s="38" t="n"/>
      <c r="R41" s="38" t="n"/>
      <c r="S41" s="38" t="n"/>
      <c r="T41" s="38" t="n"/>
      <c r="U41" s="38" t="n"/>
      <c r="V41" s="38" t="n"/>
      <c r="W41" s="38" t="n"/>
      <c r="X41" s="38" t="n"/>
      <c r="Y41" s="38" t="n"/>
      <c r="Z41" s="38" t="n"/>
      <c r="AA41" s="38" t="n"/>
      <c r="AB41" s="38" t="n"/>
      <c r="AC41" s="38" t="n"/>
      <c r="AD41" s="38" t="n"/>
      <c r="AE41" s="38" t="n"/>
      <c r="AF41" s="38" t="n"/>
      <c r="AG41" s="38" t="n"/>
      <c r="AH41" s="38" t="n"/>
      <c r="AI41" s="38" t="n"/>
      <c r="AJ41" s="38" t="n"/>
      <c r="AK41" s="38" t="n"/>
      <c r="AL41" s="38" t="n"/>
      <c r="AM41" s="37" t="n"/>
      <c r="AN41" s="38" t="n"/>
      <c r="AO41" s="38" t="n"/>
      <c r="AP41" s="38" t="n"/>
      <c r="AQ41" s="38" t="n"/>
      <c r="AR41" s="38" t="n"/>
      <c r="AS41" s="38" t="n"/>
      <c r="AT41" s="38" t="n"/>
      <c r="AU41" s="38" t="n"/>
      <c r="AV41" s="38" t="n"/>
      <c r="AW41" s="38" t="n"/>
      <c r="AX41" s="38" t="n"/>
      <c r="AY41" s="38" t="n"/>
      <c r="AZ41" s="38" t="n"/>
      <c r="BA41" s="38" t="n"/>
      <c r="BB41" s="38" t="n"/>
    </row>
    <row r="42">
      <c r="A42" s="33" t="inlineStr">
        <is>
          <t>APP-06</t>
        </is>
      </c>
      <c r="B42" s="34" t="inlineStr">
        <is>
          <t>Complete the review page / entry form split for the remaining…</t>
        </is>
      </c>
      <c r="C42" s="35" t="inlineStr">
        <is>
          <t>Production go-live</t>
        </is>
      </c>
      <c r="D42" s="36">
        <f>COUNTIF(E42:BB42,"●")</f>
        <v/>
      </c>
      <c r="E42" s="38" t="n"/>
      <c r="F42" s="38" t="n"/>
      <c r="G42" s="38" t="n"/>
      <c r="H42" s="38" t="n"/>
      <c r="I42" s="38" t="n"/>
      <c r="J42" s="38" t="n"/>
      <c r="K42" s="38" t="n"/>
      <c r="L42" s="38" t="n"/>
      <c r="M42" s="38" t="n"/>
      <c r="N42" s="38" t="n"/>
      <c r="O42" s="38" t="n"/>
      <c r="P42" s="38" t="n"/>
      <c r="Q42" s="38" t="n"/>
      <c r="R42" s="38" t="n"/>
      <c r="S42" s="38" t="n"/>
      <c r="T42" s="38" t="n"/>
      <c r="U42" s="38" t="n"/>
      <c r="V42" s="38" t="n"/>
      <c r="W42" s="38" t="n"/>
      <c r="X42" s="38" t="n"/>
      <c r="Y42" s="38" t="n"/>
      <c r="Z42" s="38" t="n"/>
      <c r="AA42" s="38" t="n"/>
      <c r="AB42" s="38" t="n"/>
      <c r="AC42" s="38" t="n"/>
      <c r="AD42" s="38" t="n"/>
      <c r="AE42" s="38" t="n"/>
      <c r="AF42" s="38" t="n"/>
      <c r="AG42" s="38" t="n"/>
      <c r="AH42" s="38" t="n"/>
      <c r="AI42" s="39" t="inlineStr">
        <is>
          <t>●</t>
        </is>
      </c>
      <c r="AJ42" s="38" t="n"/>
      <c r="AK42" s="38" t="n"/>
      <c r="AL42" s="38" t="n"/>
      <c r="AM42" s="38" t="n"/>
      <c r="AN42" s="37" t="n"/>
      <c r="AO42" s="38" t="n"/>
      <c r="AP42" s="38" t="n"/>
      <c r="AQ42" s="38" t="n"/>
      <c r="AR42" s="38" t="n"/>
      <c r="AS42" s="38" t="n"/>
      <c r="AT42" s="38" t="n"/>
      <c r="AU42" s="38" t="n"/>
      <c r="AV42" s="38" t="n"/>
      <c r="AW42" s="38" t="n"/>
      <c r="AX42" s="38" t="n"/>
      <c r="AY42" s="38" t="n"/>
      <c r="AZ42" s="38" t="n"/>
      <c r="BA42" s="38" t="n"/>
      <c r="BB42" s="38" t="n"/>
    </row>
    <row r="43">
      <c r="A43" s="33" t="inlineStr">
        <is>
          <t>APP-07</t>
        </is>
      </c>
      <c r="B43" s="34" t="inlineStr">
        <is>
          <t>Executive Summary: 11 KPI cards (MTBF, NAI, stack emission, network…</t>
        </is>
      </c>
      <c r="C43" s="35" t="inlineStr">
        <is>
          <t>Production go-live</t>
        </is>
      </c>
      <c r="D43" s="36">
        <f>COUNTIF(E43:BB43,"●")</f>
        <v/>
      </c>
      <c r="E43" s="38" t="n"/>
      <c r="F43" s="38" t="n"/>
      <c r="G43" s="38" t="n"/>
      <c r="H43" s="38" t="n"/>
      <c r="I43" s="38" t="n"/>
      <c r="J43" s="38" t="n"/>
      <c r="K43" s="38" t="n"/>
      <c r="L43" s="38" t="n"/>
      <c r="M43" s="38" t="n"/>
      <c r="N43" s="38" t="n"/>
      <c r="O43" s="38" t="n"/>
      <c r="P43" s="38" t="n"/>
      <c r="Q43" s="38" t="n"/>
      <c r="R43" s="38" t="n"/>
      <c r="S43" s="38" t="n"/>
      <c r="T43" s="38" t="n"/>
      <c r="U43" s="38" t="n"/>
      <c r="V43" s="38" t="n"/>
      <c r="W43" s="38" t="n"/>
      <c r="X43" s="38" t="n"/>
      <c r="Y43" s="38" t="n"/>
      <c r="Z43" s="38" t="n"/>
      <c r="AA43" s="38" t="n"/>
      <c r="AB43" s="38" t="n"/>
      <c r="AC43" s="38" t="n"/>
      <c r="AD43" s="38" t="n"/>
      <c r="AE43" s="38" t="n"/>
      <c r="AF43" s="38" t="n"/>
      <c r="AG43" s="38" t="n"/>
      <c r="AH43" s="38" t="n"/>
      <c r="AI43" s="38" t="n"/>
      <c r="AJ43" s="38" t="n"/>
      <c r="AK43" s="38" t="n"/>
      <c r="AL43" s="38" t="n"/>
      <c r="AM43" s="38" t="n"/>
      <c r="AN43" s="38" t="n"/>
      <c r="AO43" s="37" t="n"/>
      <c r="AP43" s="38" t="n"/>
      <c r="AQ43" s="38" t="n"/>
      <c r="AR43" s="38" t="n"/>
      <c r="AS43" s="38" t="n"/>
      <c r="AT43" s="38" t="n"/>
      <c r="AU43" s="38" t="n"/>
      <c r="AV43" s="38" t="n"/>
      <c r="AW43" s="38" t="n"/>
      <c r="AX43" s="38" t="n"/>
      <c r="AY43" s="38" t="n"/>
      <c r="AZ43" s="38" t="n"/>
      <c r="BA43" s="38" t="n"/>
      <c r="BB43" s="38" t="n"/>
    </row>
    <row r="44">
      <c r="A44" s="33" t="inlineStr">
        <is>
          <t>APP-08</t>
        </is>
      </c>
      <c r="B44" s="34" t="inlineStr">
        <is>
          <t>Decide whether plant-floor screens need Swahili labels…</t>
        </is>
      </c>
      <c r="C44" s="35" t="inlineStr">
        <is>
          <t>Post go-live</t>
        </is>
      </c>
      <c r="D44" s="36">
        <f>COUNTIF(E44:BB44,"●")</f>
        <v/>
      </c>
      <c r="E44" s="38" t="n"/>
      <c r="F44" s="38" t="n"/>
      <c r="G44" s="38" t="n"/>
      <c r="H44" s="38" t="n"/>
      <c r="I44" s="38" t="n"/>
      <c r="J44" s="38" t="n"/>
      <c r="K44" s="38" t="n"/>
      <c r="L44" s="38" t="n"/>
      <c r="M44" s="38" t="n"/>
      <c r="N44" s="38" t="n"/>
      <c r="O44" s="38" t="n"/>
      <c r="P44" s="38" t="n"/>
      <c r="Q44" s="38" t="n"/>
      <c r="R44" s="38" t="n"/>
      <c r="S44" s="38" t="n"/>
      <c r="T44" s="38" t="n"/>
      <c r="U44" s="38" t="n"/>
      <c r="V44" s="38" t="n"/>
      <c r="W44" s="38" t="n"/>
      <c r="X44" s="38" t="n"/>
      <c r="Y44" s="38" t="n"/>
      <c r="Z44" s="38" t="n"/>
      <c r="AA44" s="38" t="n"/>
      <c r="AB44" s="38" t="n"/>
      <c r="AC44" s="38" t="n"/>
      <c r="AD44" s="38" t="n"/>
      <c r="AE44" s="38" t="n"/>
      <c r="AF44" s="38" t="n"/>
      <c r="AG44" s="38" t="n"/>
      <c r="AH44" s="38" t="n"/>
      <c r="AI44" s="38" t="n"/>
      <c r="AJ44" s="38" t="n"/>
      <c r="AK44" s="38" t="n"/>
      <c r="AL44" s="38" t="n"/>
      <c r="AM44" s="38" t="n"/>
      <c r="AN44" s="38" t="n"/>
      <c r="AO44" s="38" t="n"/>
      <c r="AP44" s="37" t="n"/>
      <c r="AQ44" s="38" t="n"/>
      <c r="AR44" s="38" t="n"/>
      <c r="AS44" s="38" t="n"/>
      <c r="AT44" s="38" t="n"/>
      <c r="AU44" s="38" t="n"/>
      <c r="AV44" s="38" t="n"/>
      <c r="AW44" s="38" t="n"/>
      <c r="AX44" s="38" t="n"/>
      <c r="AY44" s="38" t="n"/>
      <c r="AZ44" s="38" t="n"/>
      <c r="BA44" s="38" t="n"/>
      <c r="BB44" s="38" t="n"/>
    </row>
    <row r="45">
      <c r="A45" s="33" t="inlineStr">
        <is>
          <t>APP-09</t>
        </is>
      </c>
      <c r="B45" s="34" t="inlineStr">
        <is>
          <t>Make the live KPI previews on entry forms treat a blank field as 'no…</t>
        </is>
      </c>
      <c r="C45" s="35" t="inlineStr">
        <is>
          <t>Production go-live</t>
        </is>
      </c>
      <c r="D45" s="36">
        <f>COUNTIF(E45:BB45,"●")</f>
        <v/>
      </c>
      <c r="E45" s="38" t="n"/>
      <c r="F45" s="38" t="n"/>
      <c r="G45" s="38" t="n"/>
      <c r="H45" s="38" t="n"/>
      <c r="I45" s="38" t="n"/>
      <c r="J45" s="38" t="n"/>
      <c r="K45" s="38" t="n"/>
      <c r="L45" s="38" t="n"/>
      <c r="M45" s="38" t="n"/>
      <c r="N45" s="38" t="n"/>
      <c r="O45" s="38" t="n"/>
      <c r="P45" s="38" t="n"/>
      <c r="Q45" s="38" t="n"/>
      <c r="R45" s="38" t="n"/>
      <c r="S45" s="38" t="n"/>
      <c r="T45" s="38" t="n"/>
      <c r="U45" s="38" t="n"/>
      <c r="V45" s="38" t="n"/>
      <c r="W45" s="38" t="n"/>
      <c r="X45" s="38" t="n"/>
      <c r="Y45" s="38" t="n"/>
      <c r="Z45" s="38" t="n"/>
      <c r="AA45" s="38" t="n"/>
      <c r="AB45" s="38" t="n"/>
      <c r="AC45" s="38" t="n"/>
      <c r="AD45" s="38" t="n"/>
      <c r="AE45" s="38" t="n"/>
      <c r="AF45" s="38" t="n"/>
      <c r="AG45" s="38" t="n"/>
      <c r="AH45" s="38" t="n"/>
      <c r="AI45" s="39" t="inlineStr">
        <is>
          <t>●</t>
        </is>
      </c>
      <c r="AJ45" s="38" t="n"/>
      <c r="AK45" s="38" t="n"/>
      <c r="AL45" s="38" t="n"/>
      <c r="AM45" s="38" t="n"/>
      <c r="AN45" s="38" t="n"/>
      <c r="AO45" s="38" t="n"/>
      <c r="AP45" s="38" t="n"/>
      <c r="AQ45" s="37" t="n"/>
      <c r="AR45" s="38" t="n"/>
      <c r="AS45" s="38" t="n"/>
      <c r="AT45" s="38" t="n"/>
      <c r="AU45" s="38" t="n"/>
      <c r="AV45" s="38" t="n"/>
      <c r="AW45" s="38" t="n"/>
      <c r="AX45" s="38" t="n"/>
      <c r="AY45" s="38" t="n"/>
      <c r="AZ45" s="38" t="n"/>
      <c r="BA45" s="38" t="n"/>
      <c r="BB45" s="38" t="n"/>
    </row>
    <row r="46">
      <c r="A46" s="33" t="inlineStr">
        <is>
          <t>QA-01</t>
        </is>
      </c>
      <c r="B46" s="34" t="inlineStr">
        <is>
          <t>Run the full regression on the release candidate (backend tests plus…</t>
        </is>
      </c>
      <c r="C46" s="35" t="inlineStr">
        <is>
          <t>Test rollout</t>
        </is>
      </c>
      <c r="D46" s="36">
        <f>COUNTIF(E46:BB46,"●")</f>
        <v/>
      </c>
      <c r="E46" s="38" t="n"/>
      <c r="F46" s="38" t="n"/>
      <c r="G46" s="38" t="n"/>
      <c r="H46" s="38" t="n"/>
      <c r="I46" s="38" t="n"/>
      <c r="J46" s="38" t="n"/>
      <c r="K46" s="38" t="n"/>
      <c r="L46" s="38" t="n"/>
      <c r="M46" s="38" t="n"/>
      <c r="N46" s="38" t="n"/>
      <c r="O46" s="38" t="n"/>
      <c r="P46" s="38" t="n"/>
      <c r="Q46" s="38" t="n"/>
      <c r="R46" s="38" t="n"/>
      <c r="S46" s="38" t="n"/>
      <c r="T46" s="38" t="n"/>
      <c r="U46" s="38" t="n"/>
      <c r="V46" s="38" t="n"/>
      <c r="W46" s="38" t="n"/>
      <c r="X46" s="38" t="n"/>
      <c r="Y46" s="38" t="n"/>
      <c r="Z46" s="38" t="n"/>
      <c r="AA46" s="38" t="n"/>
      <c r="AB46" s="38" t="n"/>
      <c r="AC46" s="38" t="n"/>
      <c r="AD46" s="38" t="n"/>
      <c r="AE46" s="38" t="n"/>
      <c r="AF46" s="38" t="n"/>
      <c r="AG46" s="38" t="n"/>
      <c r="AH46" s="38" t="n"/>
      <c r="AI46" s="40" t="inlineStr">
        <is>
          <t>●</t>
        </is>
      </c>
      <c r="AJ46" s="38" t="n"/>
      <c r="AK46" s="38" t="n"/>
      <c r="AL46" s="40" t="inlineStr">
        <is>
          <t>●</t>
        </is>
      </c>
      <c r="AM46" s="40" t="inlineStr">
        <is>
          <t>●</t>
        </is>
      </c>
      <c r="AN46" s="38" t="n"/>
      <c r="AO46" s="38" t="n"/>
      <c r="AP46" s="38" t="n"/>
      <c r="AQ46" s="38" t="n"/>
      <c r="AR46" s="37" t="n"/>
      <c r="AS46" s="38" t="n"/>
      <c r="AT46" s="38" t="n"/>
      <c r="AU46" s="38" t="n"/>
      <c r="AV46" s="38" t="n"/>
      <c r="AW46" s="38" t="n"/>
      <c r="AX46" s="38" t="n"/>
      <c r="AY46" s="38" t="n"/>
      <c r="AZ46" s="38" t="n"/>
      <c r="BA46" s="38" t="n"/>
      <c r="BB46" s="38" t="n"/>
    </row>
    <row r="47">
      <c r="A47" s="33" t="inlineStr">
        <is>
          <t>QA-02</t>
        </is>
      </c>
      <c r="B47" s="34" t="inlineStr">
        <is>
          <t>User acceptance test on production: each department's named user…</t>
        </is>
      </c>
      <c r="C47" s="35" t="inlineStr">
        <is>
          <t>Test rollout</t>
        </is>
      </c>
      <c r="D47" s="36">
        <f>COUNTIF(E47:BB47,"●")</f>
        <v/>
      </c>
      <c r="E47" s="40" t="inlineStr">
        <is>
          <t>●</t>
        </is>
      </c>
      <c r="F47" s="38" t="n"/>
      <c r="G47" s="38" t="n"/>
      <c r="H47" s="38" t="n"/>
      <c r="I47" s="38" t="n"/>
      <c r="J47" s="38" t="n"/>
      <c r="K47" s="38" t="n"/>
      <c r="L47" s="38" t="n"/>
      <c r="M47" s="38" t="n"/>
      <c r="N47" s="38" t="n"/>
      <c r="O47" s="38" t="n"/>
      <c r="P47" s="38" t="n"/>
      <c r="Q47" s="38" t="n"/>
      <c r="R47" s="40" t="inlineStr">
        <is>
          <t>●</t>
        </is>
      </c>
      <c r="S47" s="38" t="n"/>
      <c r="T47" s="38" t="n"/>
      <c r="U47" s="38" t="n"/>
      <c r="V47" s="38" t="n"/>
      <c r="W47" s="38" t="n"/>
      <c r="X47" s="38" t="n"/>
      <c r="Y47" s="38" t="n"/>
      <c r="Z47" s="38" t="n"/>
      <c r="AA47" s="38" t="n"/>
      <c r="AB47" s="38" t="n"/>
      <c r="AC47" s="38" t="n"/>
      <c r="AD47" s="38" t="n"/>
      <c r="AE47" s="38" t="n"/>
      <c r="AF47" s="38" t="n"/>
      <c r="AG47" s="38" t="n"/>
      <c r="AH47" s="38" t="n"/>
      <c r="AI47" s="38" t="n"/>
      <c r="AJ47" s="40" t="inlineStr">
        <is>
          <t>●</t>
        </is>
      </c>
      <c r="AK47" s="40" t="inlineStr">
        <is>
          <t>●</t>
        </is>
      </c>
      <c r="AL47" s="38" t="n"/>
      <c r="AM47" s="38" t="n"/>
      <c r="AN47" s="38" t="n"/>
      <c r="AO47" s="38" t="n"/>
      <c r="AP47" s="38" t="n"/>
      <c r="AQ47" s="38" t="n"/>
      <c r="AR47" s="40" t="inlineStr">
        <is>
          <t>●</t>
        </is>
      </c>
      <c r="AS47" s="37" t="n"/>
      <c r="AT47" s="38" t="n"/>
      <c r="AU47" s="38" t="n"/>
      <c r="AV47" s="38" t="n"/>
      <c r="AW47" s="38" t="n"/>
      <c r="AX47" s="38" t="n"/>
      <c r="AY47" s="38" t="n"/>
      <c r="AZ47" s="38" t="n"/>
      <c r="BA47" s="38" t="n"/>
      <c r="BB47" s="38" t="n"/>
    </row>
    <row r="48">
      <c r="A48" s="33" t="inlineStr">
        <is>
          <t>QA-03</t>
        </is>
      </c>
      <c r="B48" s="34" t="inlineStr">
        <is>
          <t>Fix the flaky admin-users browser test, then add the browser tests…</t>
        </is>
      </c>
      <c r="C48" s="35" t="inlineStr">
        <is>
          <t>Production go-live</t>
        </is>
      </c>
      <c r="D48" s="36">
        <f>COUNTIF(E48:BB48,"●")</f>
        <v/>
      </c>
      <c r="E48" s="38" t="n"/>
      <c r="F48" s="38" t="n"/>
      <c r="G48" s="38" t="n"/>
      <c r="H48" s="38" t="n"/>
      <c r="I48" s="38" t="n"/>
      <c r="J48" s="38" t="n"/>
      <c r="K48" s="38" t="n"/>
      <c r="L48" s="38" t="n"/>
      <c r="M48" s="38" t="n"/>
      <c r="N48" s="38" t="n"/>
      <c r="O48" s="38" t="n"/>
      <c r="P48" s="38" t="n"/>
      <c r="Q48" s="38" t="n"/>
      <c r="R48" s="38" t="n"/>
      <c r="S48" s="38" t="n"/>
      <c r="T48" s="38" t="n"/>
      <c r="U48" s="38" t="n"/>
      <c r="V48" s="38" t="n"/>
      <c r="W48" s="38" t="n"/>
      <c r="X48" s="38" t="n"/>
      <c r="Y48" s="38" t="n"/>
      <c r="Z48" s="38" t="n"/>
      <c r="AA48" s="38" t="n"/>
      <c r="AB48" s="38" t="n"/>
      <c r="AC48" s="38" t="n"/>
      <c r="AD48" s="38" t="n"/>
      <c r="AE48" s="38" t="n"/>
      <c r="AF48" s="38" t="n"/>
      <c r="AG48" s="38" t="n"/>
      <c r="AH48" s="38" t="n"/>
      <c r="AI48" s="38" t="n"/>
      <c r="AJ48" s="38" t="n"/>
      <c r="AK48" s="38" t="n"/>
      <c r="AL48" s="38" t="n"/>
      <c r="AM48" s="38" t="n"/>
      <c r="AN48" s="38" t="n"/>
      <c r="AO48" s="38" t="n"/>
      <c r="AP48" s="38" t="n"/>
      <c r="AQ48" s="38" t="n"/>
      <c r="AR48" s="39" t="inlineStr">
        <is>
          <t>●</t>
        </is>
      </c>
      <c r="AS48" s="38" t="n"/>
      <c r="AT48" s="37" t="n"/>
      <c r="AU48" s="38" t="n"/>
      <c r="AV48" s="38" t="n"/>
      <c r="AW48" s="38" t="n"/>
      <c r="AX48" s="38" t="n"/>
      <c r="AY48" s="38" t="n"/>
      <c r="AZ48" s="38" t="n"/>
      <c r="BA48" s="38" t="n"/>
      <c r="BB48" s="38" t="n"/>
    </row>
    <row r="49">
      <c r="A49" s="33" t="inlineStr">
        <is>
          <t>OPS-01</t>
        </is>
      </c>
      <c r="B49" s="34" t="inlineStr">
        <is>
          <t>Approve the test rollout plan: pilot start date (proposed Mon…</t>
        </is>
      </c>
      <c r="C49" s="35" t="inlineStr">
        <is>
          <t>Test rollout</t>
        </is>
      </c>
      <c r="D49" s="36">
        <f>COUNTIF(E49:BB49,"●")</f>
        <v/>
      </c>
      <c r="E49" s="38" t="n"/>
      <c r="F49" s="38" t="n"/>
      <c r="G49" s="38" t="n"/>
      <c r="H49" s="38" t="n"/>
      <c r="I49" s="38" t="n"/>
      <c r="J49" s="38" t="n"/>
      <c r="K49" s="38" t="n"/>
      <c r="L49" s="38" t="n"/>
      <c r="M49" s="38" t="n"/>
      <c r="N49" s="38" t="n"/>
      <c r="O49" s="38" t="n"/>
      <c r="P49" s="38" t="n"/>
      <c r="Q49" s="38" t="n"/>
      <c r="R49" s="38" t="n"/>
      <c r="S49" s="38" t="n"/>
      <c r="T49" s="38" t="n"/>
      <c r="U49" s="38" t="n"/>
      <c r="V49" s="38" t="n"/>
      <c r="W49" s="38" t="n"/>
      <c r="X49" s="38" t="n"/>
      <c r="Y49" s="38" t="n"/>
      <c r="Z49" s="38" t="n"/>
      <c r="AA49" s="38" t="n"/>
      <c r="AB49" s="38" t="n"/>
      <c r="AC49" s="38" t="n"/>
      <c r="AD49" s="38" t="n"/>
      <c r="AE49" s="38" t="n"/>
      <c r="AF49" s="38" t="n"/>
      <c r="AG49" s="38" t="n"/>
      <c r="AH49" s="38" t="n"/>
      <c r="AI49" s="38" t="n"/>
      <c r="AJ49" s="38" t="n"/>
      <c r="AK49" s="38" t="n"/>
      <c r="AL49" s="38" t="n"/>
      <c r="AM49" s="38" t="n"/>
      <c r="AN49" s="38" t="n"/>
      <c r="AO49" s="38" t="n"/>
      <c r="AP49" s="38" t="n"/>
      <c r="AQ49" s="38" t="n"/>
      <c r="AR49" s="38" t="n"/>
      <c r="AS49" s="38" t="n"/>
      <c r="AT49" s="38" t="n"/>
      <c r="AU49" s="37" t="n"/>
      <c r="AV49" s="38" t="n"/>
      <c r="AW49" s="38" t="n"/>
      <c r="AX49" s="38" t="n"/>
      <c r="AY49" s="38" t="n"/>
      <c r="AZ49" s="38" t="n"/>
      <c r="BA49" s="38" t="n"/>
      <c r="BB49" s="38" t="n"/>
    </row>
    <row r="50">
      <c r="A50" s="33" t="inlineStr">
        <is>
          <t>OPS-02</t>
        </is>
      </c>
      <c r="B50" s="34" t="inlineStr">
        <is>
          <t>Name one accountable data-entry owner per daily form, and one daily…</t>
        </is>
      </c>
      <c r="C50" s="35" t="inlineStr">
        <is>
          <t>Test rollout</t>
        </is>
      </c>
      <c r="D50" s="36">
        <f>COUNTIF(E50:BB50,"●")</f>
        <v/>
      </c>
      <c r="E50" s="38" t="n"/>
      <c r="F50" s="38" t="n"/>
      <c r="G50" s="38" t="n"/>
      <c r="H50" s="38" t="n"/>
      <c r="I50" s="38" t="n"/>
      <c r="J50" s="38" t="n"/>
      <c r="K50" s="38" t="n"/>
      <c r="L50" s="38" t="n"/>
      <c r="M50" s="38" t="n"/>
      <c r="N50" s="38" t="n"/>
      <c r="O50" s="38" t="n"/>
      <c r="P50" s="38" t="n"/>
      <c r="Q50" s="38" t="n"/>
      <c r="R50" s="38" t="n"/>
      <c r="S50" s="38" t="n"/>
      <c r="T50" s="38" t="n"/>
      <c r="U50" s="38" t="n"/>
      <c r="V50" s="38" t="n"/>
      <c r="W50" s="38" t="n"/>
      <c r="X50" s="38" t="n"/>
      <c r="Y50" s="38" t="n"/>
      <c r="Z50" s="38" t="n"/>
      <c r="AA50" s="38" t="n"/>
      <c r="AB50" s="38" t="n"/>
      <c r="AC50" s="38" t="n"/>
      <c r="AD50" s="38" t="n"/>
      <c r="AE50" s="38" t="n"/>
      <c r="AF50" s="38" t="n"/>
      <c r="AG50" s="38" t="n"/>
      <c r="AH50" s="38" t="n"/>
      <c r="AI50" s="38" t="n"/>
      <c r="AJ50" s="38" t="n"/>
      <c r="AK50" s="38" t="n"/>
      <c r="AL50" s="38" t="n"/>
      <c r="AM50" s="38" t="n"/>
      <c r="AN50" s="38" t="n"/>
      <c r="AO50" s="38" t="n"/>
      <c r="AP50" s="38" t="n"/>
      <c r="AQ50" s="38" t="n"/>
      <c r="AR50" s="38" t="n"/>
      <c r="AS50" s="38" t="n"/>
      <c r="AT50" s="38" t="n"/>
      <c r="AU50" s="40" t="inlineStr">
        <is>
          <t>●</t>
        </is>
      </c>
      <c r="AV50" s="37" t="n"/>
      <c r="AW50" s="38" t="n"/>
      <c r="AX50" s="38" t="n"/>
      <c r="AY50" s="38" t="n"/>
      <c r="AZ50" s="38" t="n"/>
      <c r="BA50" s="38" t="n"/>
      <c r="BB50" s="38" t="n"/>
    </row>
    <row r="51">
      <c r="A51" s="33" t="inlineStr">
        <is>
          <t>OPS-03</t>
        </is>
      </c>
      <c r="B51" s="34" t="inlineStr">
        <is>
          <t>Train pilot users by role (enter and submit; HOD approval; setting a…</t>
        </is>
      </c>
      <c r="C51" s="35" t="inlineStr">
        <is>
          <t>Test rollout</t>
        </is>
      </c>
      <c r="D51" s="36">
        <f>COUNTIF(E51:BB51,"●")</f>
        <v/>
      </c>
      <c r="E51" s="38" t="n"/>
      <c r="F51" s="38" t="n"/>
      <c r="G51" s="38" t="n"/>
      <c r="H51" s="38" t="n"/>
      <c r="I51" s="38" t="n"/>
      <c r="J51" s="38" t="n"/>
      <c r="K51" s="38" t="n"/>
      <c r="L51" s="38" t="n"/>
      <c r="M51" s="38" t="n"/>
      <c r="N51" s="38" t="n"/>
      <c r="O51" s="38" t="n"/>
      <c r="P51" s="38" t="n"/>
      <c r="Q51" s="38" t="n"/>
      <c r="R51" s="40" t="inlineStr">
        <is>
          <t>●</t>
        </is>
      </c>
      <c r="S51" s="38" t="n"/>
      <c r="T51" s="38" t="n"/>
      <c r="U51" s="38" t="n"/>
      <c r="V51" s="38" t="n"/>
      <c r="W51" s="38" t="n"/>
      <c r="X51" s="38" t="n"/>
      <c r="Y51" s="38" t="n"/>
      <c r="Z51" s="38" t="n"/>
      <c r="AA51" s="38" t="n"/>
      <c r="AB51" s="38" t="n"/>
      <c r="AC51" s="38" t="n"/>
      <c r="AD51" s="38" t="n"/>
      <c r="AE51" s="38" t="n"/>
      <c r="AF51" s="38" t="n"/>
      <c r="AG51" s="38" t="n"/>
      <c r="AH51" s="38" t="n"/>
      <c r="AI51" s="38" t="n"/>
      <c r="AJ51" s="38" t="n"/>
      <c r="AK51" s="38" t="n"/>
      <c r="AL51" s="38" t="n"/>
      <c r="AM51" s="38" t="n"/>
      <c r="AN51" s="38" t="n"/>
      <c r="AO51" s="38" t="n"/>
      <c r="AP51" s="38" t="n"/>
      <c r="AQ51" s="38" t="n"/>
      <c r="AR51" s="40" t="inlineStr">
        <is>
          <t>●</t>
        </is>
      </c>
      <c r="AS51" s="38" t="n"/>
      <c r="AT51" s="38" t="n"/>
      <c r="AU51" s="38" t="n"/>
      <c r="AV51" s="38" t="n"/>
      <c r="AW51" s="37" t="n"/>
      <c r="AX51" s="38" t="n"/>
      <c r="AY51" s="38" t="n"/>
      <c r="AZ51" s="38" t="n"/>
      <c r="BA51" s="38" t="n"/>
      <c r="BB51" s="38" t="n"/>
    </row>
    <row r="52">
      <c r="A52" s="33" t="inlineStr">
        <is>
          <t>OPS-04</t>
        </is>
      </c>
      <c r="B52" s="34" t="inlineStr">
        <is>
          <t>Confirm every data-entry point (control room, CPP, packing, stores,…</t>
        </is>
      </c>
      <c r="C52" s="35" t="inlineStr">
        <is>
          <t>Test rollout</t>
        </is>
      </c>
      <c r="D52" s="36">
        <f>COUNTIF(E52:BB52,"●")</f>
        <v/>
      </c>
      <c r="E52" s="40" t="inlineStr">
        <is>
          <t>●</t>
        </is>
      </c>
      <c r="F52" s="38" t="n"/>
      <c r="G52" s="38" t="n"/>
      <c r="H52" s="38" t="n"/>
      <c r="I52" s="38" t="n"/>
      <c r="J52" s="38" t="n"/>
      <c r="K52" s="38" t="n"/>
      <c r="L52" s="38" t="n"/>
      <c r="M52" s="38" t="n"/>
      <c r="N52" s="38" t="n"/>
      <c r="O52" s="38" t="n"/>
      <c r="P52" s="38" t="n"/>
      <c r="Q52" s="38" t="n"/>
      <c r="R52" s="38" t="n"/>
      <c r="S52" s="38" t="n"/>
      <c r="T52" s="38" t="n"/>
      <c r="U52" s="38" t="n"/>
      <c r="V52" s="38" t="n"/>
      <c r="W52" s="38" t="n"/>
      <c r="X52" s="38" t="n"/>
      <c r="Y52" s="38" t="n"/>
      <c r="Z52" s="38" t="n"/>
      <c r="AA52" s="38" t="n"/>
      <c r="AB52" s="38" t="n"/>
      <c r="AC52" s="38" t="n"/>
      <c r="AD52" s="38" t="n"/>
      <c r="AE52" s="38" t="n"/>
      <c r="AF52" s="38" t="n"/>
      <c r="AG52" s="38" t="n"/>
      <c r="AH52" s="38" t="n"/>
      <c r="AI52" s="38" t="n"/>
      <c r="AJ52" s="38" t="n"/>
      <c r="AK52" s="38" t="n"/>
      <c r="AL52" s="38" t="n"/>
      <c r="AM52" s="38" t="n"/>
      <c r="AN52" s="38" t="n"/>
      <c r="AO52" s="38" t="n"/>
      <c r="AP52" s="38" t="n"/>
      <c r="AQ52" s="38" t="n"/>
      <c r="AR52" s="38" t="n"/>
      <c r="AS52" s="38" t="n"/>
      <c r="AT52" s="38" t="n"/>
      <c r="AU52" s="38" t="n"/>
      <c r="AV52" s="38" t="n"/>
      <c r="AW52" s="38" t="n"/>
      <c r="AX52" s="37" t="n"/>
      <c r="AY52" s="38" t="n"/>
      <c r="AZ52" s="38" t="n"/>
      <c r="BA52" s="38" t="n"/>
      <c r="BB52" s="38" t="n"/>
    </row>
    <row r="53">
      <c r="A53" s="33" t="inlineStr">
        <is>
          <t>OPS-05</t>
        </is>
      </c>
      <c r="B53" s="34" t="inlineStr">
        <is>
          <t>Announce the pilot (URL, login steps, support contact, how to report…</t>
        </is>
      </c>
      <c r="C53" s="35" t="inlineStr">
        <is>
          <t>Test rollout</t>
        </is>
      </c>
      <c r="D53" s="36">
        <f>COUNTIF(E53:BB53,"●")</f>
        <v/>
      </c>
      <c r="E53" s="40" t="inlineStr">
        <is>
          <t>●</t>
        </is>
      </c>
      <c r="F53" s="38" t="n"/>
      <c r="G53" s="38" t="n"/>
      <c r="H53" s="38" t="n"/>
      <c r="I53" s="38" t="n"/>
      <c r="J53" s="38" t="n"/>
      <c r="K53" s="38" t="n"/>
      <c r="L53" s="38" t="n"/>
      <c r="M53" s="38" t="n"/>
      <c r="N53" s="38" t="n"/>
      <c r="O53" s="38" t="n"/>
      <c r="P53" s="38" t="n"/>
      <c r="Q53" s="38" t="n"/>
      <c r="R53" s="38" t="n"/>
      <c r="S53" s="38" t="n"/>
      <c r="T53" s="38" t="n"/>
      <c r="U53" s="38" t="n"/>
      <c r="V53" s="38" t="n"/>
      <c r="W53" s="38" t="n"/>
      <c r="X53" s="38" t="n"/>
      <c r="Y53" s="38" t="n"/>
      <c r="Z53" s="38" t="n"/>
      <c r="AA53" s="38" t="n"/>
      <c r="AB53" s="38" t="n"/>
      <c r="AC53" s="38" t="n"/>
      <c r="AD53" s="38" t="n"/>
      <c r="AE53" s="38" t="n"/>
      <c r="AF53" s="38" t="n"/>
      <c r="AG53" s="38" t="n"/>
      <c r="AH53" s="38" t="n"/>
      <c r="AI53" s="38" t="n"/>
      <c r="AJ53" s="38" t="n"/>
      <c r="AK53" s="38" t="n"/>
      <c r="AL53" s="38" t="n"/>
      <c r="AM53" s="38" t="n"/>
      <c r="AN53" s="38" t="n"/>
      <c r="AO53" s="38" t="n"/>
      <c r="AP53" s="38" t="n"/>
      <c r="AQ53" s="38" t="n"/>
      <c r="AR53" s="38" t="n"/>
      <c r="AS53" s="38" t="n"/>
      <c r="AT53" s="38" t="n"/>
      <c r="AU53" s="40" t="inlineStr">
        <is>
          <t>●</t>
        </is>
      </c>
      <c r="AV53" s="38" t="n"/>
      <c r="AW53" s="38" t="n"/>
      <c r="AX53" s="38" t="n"/>
      <c r="AY53" s="37" t="n"/>
      <c r="AZ53" s="38" t="n"/>
      <c r="BA53" s="38" t="n"/>
      <c r="BB53" s="38" t="n"/>
    </row>
    <row r="54">
      <c r="A54" s="33" t="inlineStr">
        <is>
          <t>OPS-06</t>
        </is>
      </c>
      <c r="B54" s="34" t="inlineStr">
        <is>
          <t>Cutover decision at the end of the parallel run: sign off against…</t>
        </is>
      </c>
      <c r="C54" s="35" t="inlineStr">
        <is>
          <t>Production go-live</t>
        </is>
      </c>
      <c r="D54" s="36">
        <f>COUNTIF(E54:BB54,"●")</f>
        <v/>
      </c>
      <c r="E54" s="38" t="n"/>
      <c r="F54" s="39" t="inlineStr">
        <is>
          <t>●</t>
        </is>
      </c>
      <c r="G54" s="38" t="n"/>
      <c r="H54" s="38" t="n"/>
      <c r="I54" s="38" t="n"/>
      <c r="J54" s="38" t="n"/>
      <c r="K54" s="38" t="n"/>
      <c r="L54" s="38" t="n"/>
      <c r="M54" s="39" t="inlineStr">
        <is>
          <t>●</t>
        </is>
      </c>
      <c r="N54" s="38" t="n"/>
      <c r="O54" s="38" t="n"/>
      <c r="P54" s="38" t="n"/>
      <c r="Q54" s="38" t="n"/>
      <c r="R54" s="38" t="n"/>
      <c r="S54" s="38" t="n"/>
      <c r="T54" s="38" t="n"/>
      <c r="U54" s="38" t="n"/>
      <c r="V54" s="39" t="inlineStr">
        <is>
          <t>●</t>
        </is>
      </c>
      <c r="W54" s="38" t="n"/>
      <c r="X54" s="38" t="n"/>
      <c r="Y54" s="38" t="n"/>
      <c r="Z54" s="38" t="n"/>
      <c r="AA54" s="38" t="n"/>
      <c r="AB54" s="38" t="n"/>
      <c r="AC54" s="38" t="n"/>
      <c r="AD54" s="38" t="n"/>
      <c r="AE54" s="39" t="inlineStr">
        <is>
          <t>●</t>
        </is>
      </c>
      <c r="AF54" s="38" t="n"/>
      <c r="AG54" s="38" t="n"/>
      <c r="AH54" s="38" t="n"/>
      <c r="AI54" s="38" t="n"/>
      <c r="AJ54" s="38" t="n"/>
      <c r="AK54" s="38" t="n"/>
      <c r="AL54" s="38" t="n"/>
      <c r="AM54" s="38" t="n"/>
      <c r="AN54" s="38" t="n"/>
      <c r="AO54" s="38" t="n"/>
      <c r="AP54" s="38" t="n"/>
      <c r="AQ54" s="38" t="n"/>
      <c r="AR54" s="38" t="n"/>
      <c r="AS54" s="39" t="inlineStr">
        <is>
          <t>●</t>
        </is>
      </c>
      <c r="AT54" s="38" t="n"/>
      <c r="AU54" s="38" t="n"/>
      <c r="AV54" s="39" t="inlineStr">
        <is>
          <t>●</t>
        </is>
      </c>
      <c r="AW54" s="38" t="n"/>
      <c r="AX54" s="38" t="n"/>
      <c r="AY54" s="38" t="n"/>
      <c r="AZ54" s="37" t="n"/>
      <c r="BA54" s="38" t="n"/>
      <c r="BB54" s="38" t="n"/>
    </row>
    <row r="55">
      <c r="A55" s="33" t="inlineStr">
        <is>
          <t>GOV-01</t>
        </is>
      </c>
      <c r="B55" s="34" t="inlineStr">
        <is>
          <t>Confirm who pays for and holds the contracts for the DigitalOcean…</t>
        </is>
      </c>
      <c r="C55" s="35" t="inlineStr">
        <is>
          <t>Production go-live</t>
        </is>
      </c>
      <c r="D55" s="36">
        <f>COUNTIF(E55:BB55,"●")</f>
        <v/>
      </c>
      <c r="E55" s="38" t="n"/>
      <c r="F55" s="38" t="n"/>
      <c r="G55" s="38" t="n"/>
      <c r="H55" s="38" t="n"/>
      <c r="I55" s="38" t="n"/>
      <c r="J55" s="38" t="n"/>
      <c r="K55" s="38" t="n"/>
      <c r="L55" s="38" t="n"/>
      <c r="M55" s="38" t="n"/>
      <c r="N55" s="38" t="n"/>
      <c r="O55" s="38" t="n"/>
      <c r="P55" s="38" t="n"/>
      <c r="Q55" s="38" t="n"/>
      <c r="R55" s="38" t="n"/>
      <c r="S55" s="38" t="n"/>
      <c r="T55" s="38" t="n"/>
      <c r="U55" s="38" t="n"/>
      <c r="V55" s="38" t="n"/>
      <c r="W55" s="38" t="n"/>
      <c r="X55" s="38" t="n"/>
      <c r="Y55" s="38" t="n"/>
      <c r="Z55" s="38" t="n"/>
      <c r="AA55" s="38" t="n"/>
      <c r="AB55" s="38" t="n"/>
      <c r="AC55" s="38" t="n"/>
      <c r="AD55" s="38" t="n"/>
      <c r="AE55" s="38" t="n"/>
      <c r="AF55" s="38" t="n"/>
      <c r="AG55" s="38" t="n"/>
      <c r="AH55" s="38" t="n"/>
      <c r="AI55" s="38" t="n"/>
      <c r="AJ55" s="38" t="n"/>
      <c r="AK55" s="38" t="n"/>
      <c r="AL55" s="38" t="n"/>
      <c r="AM55" s="38" t="n"/>
      <c r="AN55" s="38" t="n"/>
      <c r="AO55" s="38" t="n"/>
      <c r="AP55" s="38" t="n"/>
      <c r="AQ55" s="38" t="n"/>
      <c r="AR55" s="38" t="n"/>
      <c r="AS55" s="38" t="n"/>
      <c r="AT55" s="38" t="n"/>
      <c r="AU55" s="38" t="n"/>
      <c r="AV55" s="38" t="n"/>
      <c r="AW55" s="38" t="n"/>
      <c r="AX55" s="38" t="n"/>
      <c r="AY55" s="38" t="n"/>
      <c r="AZ55" s="38" t="n"/>
      <c r="BA55" s="37" t="n"/>
      <c r="BB55" s="38" t="n"/>
    </row>
    <row r="56">
      <c r="A56" s="33" t="inlineStr">
        <is>
          <t>GOV-02</t>
        </is>
      </c>
      <c r="B56" s="34" t="inlineStr">
        <is>
          <t>Update the go-live documents to match the cloud setup…</t>
        </is>
      </c>
      <c r="C56" s="35" t="inlineStr">
        <is>
          <t>Production go-live</t>
        </is>
      </c>
      <c r="D56" s="36">
        <f>COUNTIF(E56:BB56,"●")</f>
        <v/>
      </c>
      <c r="E56" s="38" t="n"/>
      <c r="F56" s="38" t="n"/>
      <c r="G56" s="38" t="n"/>
      <c r="H56" s="38" t="n"/>
      <c r="I56" s="38" t="n"/>
      <c r="J56" s="38" t="n"/>
      <c r="K56" s="38" t="n"/>
      <c r="L56" s="38" t="n"/>
      <c r="M56" s="38" t="n"/>
      <c r="N56" s="38" t="n"/>
      <c r="O56" s="38" t="n"/>
      <c r="P56" s="38" t="n"/>
      <c r="Q56" s="38" t="n"/>
      <c r="R56" s="38" t="n"/>
      <c r="S56" s="38" t="n"/>
      <c r="T56" s="38" t="n"/>
      <c r="U56" s="38" t="n"/>
      <c r="V56" s="38" t="n"/>
      <c r="W56" s="38" t="n"/>
      <c r="X56" s="38" t="n"/>
      <c r="Y56" s="38" t="n"/>
      <c r="Z56" s="38" t="n"/>
      <c r="AA56" s="38" t="n"/>
      <c r="AB56" s="38" t="n"/>
      <c r="AC56" s="38" t="n"/>
      <c r="AD56" s="38" t="n"/>
      <c r="AE56" s="38" t="n"/>
      <c r="AF56" s="38" t="n"/>
      <c r="AG56" s="38" t="n"/>
      <c r="AH56" s="38" t="n"/>
      <c r="AI56" s="38" t="n"/>
      <c r="AJ56" s="38" t="n"/>
      <c r="AK56" s="38" t="n"/>
      <c r="AL56" s="38" t="n"/>
      <c r="AM56" s="38" t="n"/>
      <c r="AN56" s="38" t="n"/>
      <c r="AO56" s="38" t="n"/>
      <c r="AP56" s="38" t="n"/>
      <c r="AQ56" s="38" t="n"/>
      <c r="AR56" s="38" t="n"/>
      <c r="AS56" s="38" t="n"/>
      <c r="AT56" s="38" t="n"/>
      <c r="AU56" s="39" t="inlineStr">
        <is>
          <t>●</t>
        </is>
      </c>
      <c r="AV56" s="38" t="n"/>
      <c r="AW56" s="38" t="n"/>
      <c r="AX56" s="38" t="n"/>
      <c r="AY56" s="38" t="n"/>
      <c r="AZ56" s="38" t="n"/>
      <c r="BA56" s="38" t="n"/>
      <c r="BB56" s="37" t="n"/>
    </row>
    <row r="57" ht="20" customHeight="1">
      <c r="B57" s="42" t="inlineStr">
        <is>
          <t>Tasks waiting on this column's task →</t>
        </is>
      </c>
      <c r="E57" s="43">
        <f>COUNTIF(E7:E56,"●")</f>
        <v/>
      </c>
      <c r="F57" s="43">
        <f>COUNTIF(F7:F56,"●")</f>
        <v/>
      </c>
      <c r="G57" s="43">
        <f>COUNTIF(G7:G56,"●")</f>
        <v/>
      </c>
      <c r="H57" s="43">
        <f>COUNTIF(H7:H56,"●")</f>
        <v/>
      </c>
      <c r="I57" s="43">
        <f>COUNTIF(I7:I56,"●")</f>
        <v/>
      </c>
      <c r="J57" s="43">
        <f>COUNTIF(J7:J56,"●")</f>
        <v/>
      </c>
      <c r="K57" s="43">
        <f>COUNTIF(K7:K56,"●")</f>
        <v/>
      </c>
      <c r="L57" s="43">
        <f>COUNTIF(L7:L56,"●")</f>
        <v/>
      </c>
      <c r="M57" s="43">
        <f>COUNTIF(M7:M56,"●")</f>
        <v/>
      </c>
      <c r="N57" s="43">
        <f>COUNTIF(N7:N56,"●")</f>
        <v/>
      </c>
      <c r="O57" s="43">
        <f>COUNTIF(O7:O56,"●")</f>
        <v/>
      </c>
      <c r="P57" s="43">
        <f>COUNTIF(P7:P56,"●")</f>
        <v/>
      </c>
      <c r="Q57" s="43">
        <f>COUNTIF(Q7:Q56,"●")</f>
        <v/>
      </c>
      <c r="R57" s="43">
        <f>COUNTIF(R7:R56,"●")</f>
        <v/>
      </c>
      <c r="S57" s="43">
        <f>COUNTIF(S7:S56,"●")</f>
        <v/>
      </c>
      <c r="T57" s="43">
        <f>COUNTIF(T7:T56,"●")</f>
        <v/>
      </c>
      <c r="U57" s="43">
        <f>COUNTIF(U7:U56,"●")</f>
        <v/>
      </c>
      <c r="V57" s="43">
        <f>COUNTIF(V7:V56,"●")</f>
        <v/>
      </c>
      <c r="W57" s="43">
        <f>COUNTIF(W7:W56,"●")</f>
        <v/>
      </c>
      <c r="X57" s="43">
        <f>COUNTIF(X7:X56,"●")</f>
        <v/>
      </c>
      <c r="Y57" s="43">
        <f>COUNTIF(Y7:Y56,"●")</f>
        <v/>
      </c>
      <c r="Z57" s="43">
        <f>COUNTIF(Z7:Z56,"●")</f>
        <v/>
      </c>
      <c r="AA57" s="43">
        <f>COUNTIF(AA7:AA56,"●")</f>
        <v/>
      </c>
      <c r="AB57" s="43">
        <f>COUNTIF(AB7:AB56,"●")</f>
        <v/>
      </c>
      <c r="AC57" s="43">
        <f>COUNTIF(AC7:AC56,"●")</f>
        <v/>
      </c>
      <c r="AD57" s="43">
        <f>COUNTIF(AD7:AD56,"●")</f>
        <v/>
      </c>
      <c r="AE57" s="43">
        <f>COUNTIF(AE7:AE56,"●")</f>
        <v/>
      </c>
      <c r="AF57" s="43">
        <f>COUNTIF(AF7:AF56,"●")</f>
        <v/>
      </c>
      <c r="AG57" s="43">
        <f>COUNTIF(AG7:AG56,"●")</f>
        <v/>
      </c>
      <c r="AH57" s="43">
        <f>COUNTIF(AH7:AH56,"●")</f>
        <v/>
      </c>
      <c r="AI57" s="43">
        <f>COUNTIF(AI7:AI56,"●")</f>
        <v/>
      </c>
      <c r="AJ57" s="43">
        <f>COUNTIF(AJ7:AJ56,"●")</f>
        <v/>
      </c>
      <c r="AK57" s="43">
        <f>COUNTIF(AK7:AK56,"●")</f>
        <v/>
      </c>
      <c r="AL57" s="43">
        <f>COUNTIF(AL7:AL56,"●")</f>
        <v/>
      </c>
      <c r="AM57" s="43">
        <f>COUNTIF(AM7:AM56,"●")</f>
        <v/>
      </c>
      <c r="AN57" s="43">
        <f>COUNTIF(AN7:AN56,"●")</f>
        <v/>
      </c>
      <c r="AO57" s="43">
        <f>COUNTIF(AO7:AO56,"●")</f>
        <v/>
      </c>
      <c r="AP57" s="43">
        <f>COUNTIF(AP7:AP56,"●")</f>
        <v/>
      </c>
      <c r="AQ57" s="43">
        <f>COUNTIF(AQ7:AQ56,"●")</f>
        <v/>
      </c>
      <c r="AR57" s="43">
        <f>COUNTIF(AR7:AR56,"●")</f>
        <v/>
      </c>
      <c r="AS57" s="43">
        <f>COUNTIF(AS7:AS56,"●")</f>
        <v/>
      </c>
      <c r="AT57" s="43">
        <f>COUNTIF(AT7:AT56,"●")</f>
        <v/>
      </c>
      <c r="AU57" s="43">
        <f>COUNTIF(AU7:AU56,"●")</f>
        <v/>
      </c>
      <c r="AV57" s="43">
        <f>COUNTIF(AV7:AV56,"●")</f>
        <v/>
      </c>
      <c r="AW57" s="43">
        <f>COUNTIF(AW7:AW56,"●")</f>
        <v/>
      </c>
      <c r="AX57" s="43">
        <f>COUNTIF(AX7:AX56,"●")</f>
        <v/>
      </c>
      <c r="AY57" s="43">
        <f>COUNTIF(AY7:AY56,"●")</f>
        <v/>
      </c>
      <c r="AZ57" s="43">
        <f>COUNTIF(AZ7:AZ56,"●")</f>
        <v/>
      </c>
      <c r="BA57" s="43">
        <f>COUNTIF(BA7:BA56,"●")</f>
        <v/>
      </c>
      <c r="BB57" s="43">
        <f>COUNTIF(BB7:BB56,"●")</f>
        <v/>
      </c>
    </row>
    <row r="58">
      <c r="B58" s="24" t="inlineStr">
        <is>
          <t>Cell colour = the row task's gate:</t>
        </is>
      </c>
    </row>
    <row r="59">
      <c r="B59" s="44" t="inlineStr">
        <is>
          <t>Test rollout</t>
        </is>
      </c>
    </row>
    <row r="60">
      <c r="B60" s="45" t="inlineStr">
        <is>
          <t>Production go-live</t>
        </is>
      </c>
    </row>
    <row r="61">
      <c r="B61" s="46" t="inlineStr">
        <is>
          <t>Post go-live</t>
        </is>
      </c>
    </row>
    <row r="63">
      <c r="A63" s="31" t="inlineStr">
        <is>
          <t>B. Department involvement (O = owns · C = coordinates / supports · D = decision or approval needed)</t>
        </is>
      </c>
    </row>
    <row r="64" ht="120" customHeight="1">
      <c r="A64" s="4" t="inlineStr">
        <is>
          <t>Task ID</t>
        </is>
      </c>
      <c r="B64" s="4" t="inlineStr">
        <is>
          <t>Task</t>
        </is>
      </c>
      <c r="C64" s="4" t="inlineStr">
        <is>
          <t>Rollout Gate</t>
        </is>
      </c>
      <c r="D64" s="4" t="inlineStr">
        <is>
          <t>Deadline</t>
        </is>
      </c>
      <c r="E64" s="47" t="inlineStr">
        <is>
          <t>Managing Director</t>
        </is>
      </c>
      <c r="F64" s="47" t="inlineStr">
        <is>
          <t>Plant Head / COO</t>
        </is>
      </c>
      <c r="G64" s="47" t="inlineStr">
        <is>
          <t>CFO / Finance</t>
        </is>
      </c>
      <c r="H64" s="47" t="inlineStr">
        <is>
          <t>IT</t>
        </is>
      </c>
      <c r="I64" s="47" t="inlineStr">
        <is>
          <t>MIS (Razak Mbaga)</t>
        </is>
      </c>
      <c r="J64" s="47" t="inlineStr">
        <is>
          <t>Odoo vendor (Teckzilla)</t>
        </is>
      </c>
      <c r="K64" s="47" t="inlineStr">
        <is>
          <t>HR &amp; Admin</t>
        </is>
      </c>
      <c r="L64" s="47" t="inlineStr">
        <is>
          <t>Production &amp; QC</t>
        </is>
      </c>
      <c r="M64" s="47" t="inlineStr">
        <is>
          <t>Power Plant (CPP)</t>
        </is>
      </c>
      <c r="N64" s="47" t="inlineStr">
        <is>
          <t>P &amp; M</t>
        </is>
      </c>
      <c r="O64" s="47" t="inlineStr">
        <is>
          <t>E &amp; I</t>
        </is>
      </c>
      <c r="P64" s="47" t="inlineStr">
        <is>
          <t>Packing</t>
        </is>
      </c>
      <c r="Q64" s="47" t="inlineStr">
        <is>
          <t>Logistics</t>
        </is>
      </c>
      <c r="R64" s="47" t="inlineStr">
        <is>
          <t>Stores</t>
        </is>
      </c>
      <c r="S64" s="47" t="inlineStr">
        <is>
          <t>Quarry</t>
        </is>
      </c>
      <c r="T64" s="47" t="inlineStr">
        <is>
          <t>Sales &amp; Marketing</t>
        </is>
      </c>
      <c r="U64" s="47" t="inlineStr">
        <is>
          <t>Purchase</t>
        </is>
      </c>
    </row>
    <row r="65">
      <c r="A65" s="33" t="inlineStr">
        <is>
          <t>INF-01</t>
        </is>
      </c>
      <c r="B65" s="34" t="inlineStr">
        <is>
          <t>Turn on HTTPS for the MIS site: approve the hostname…</t>
        </is>
      </c>
      <c r="C65" s="35" t="inlineStr">
        <is>
          <t>Test rollout</t>
        </is>
      </c>
      <c r="D65" s="48" t="n">
        <v>46294</v>
      </c>
      <c r="E65" s="38" t="n"/>
      <c r="F65" s="38" t="n"/>
      <c r="G65" s="38" t="n"/>
      <c r="H65" s="49" t="inlineStr">
        <is>
          <t>D</t>
        </is>
      </c>
      <c r="I65" s="50" t="inlineStr">
        <is>
          <t>C</t>
        </is>
      </c>
      <c r="J65" s="51" t="inlineStr">
        <is>
          <t>O</t>
        </is>
      </c>
      <c r="K65" s="38" t="n"/>
      <c r="L65" s="38" t="n"/>
      <c r="M65" s="38" t="n"/>
      <c r="N65" s="38" t="n"/>
      <c r="O65" s="38" t="n"/>
      <c r="P65" s="38" t="n"/>
      <c r="Q65" s="38" t="n"/>
      <c r="R65" s="38" t="n"/>
      <c r="S65" s="38" t="n"/>
      <c r="T65" s="38" t="n"/>
      <c r="U65" s="38" t="n"/>
    </row>
    <row r="66">
      <c r="A66" s="33" t="inlineStr">
        <is>
          <t>INF-02</t>
        </is>
      </c>
      <c r="B66" s="34" t="inlineStr">
        <is>
          <t>Move nightly database backups off the application disk (second…</t>
        </is>
      </c>
      <c r="C66" s="35" t="inlineStr">
        <is>
          <t>Test rollout</t>
        </is>
      </c>
      <c r="D66" s="48" t="n">
        <v>46297</v>
      </c>
      <c r="E66" s="38" t="n"/>
      <c r="F66" s="38" t="n"/>
      <c r="G66" s="50" t="inlineStr">
        <is>
          <t>C</t>
        </is>
      </c>
      <c r="H66" s="49" t="inlineStr">
        <is>
          <t>D</t>
        </is>
      </c>
      <c r="I66" s="50" t="inlineStr">
        <is>
          <t>C</t>
        </is>
      </c>
      <c r="J66" s="51" t="inlineStr">
        <is>
          <t>O</t>
        </is>
      </c>
      <c r="K66" s="38" t="n"/>
      <c r="L66" s="38" t="n"/>
      <c r="M66" s="38" t="n"/>
      <c r="N66" s="38" t="n"/>
      <c r="O66" s="38" t="n"/>
      <c r="P66" s="38" t="n"/>
      <c r="Q66" s="38" t="n"/>
      <c r="R66" s="38" t="n"/>
      <c r="S66" s="38" t="n"/>
      <c r="T66" s="38" t="n"/>
      <c r="U66" s="38" t="n"/>
    </row>
    <row r="67">
      <c r="A67" s="33" t="inlineStr">
        <is>
          <t>INF-03</t>
        </is>
      </c>
      <c r="B67" s="34" t="inlineStr">
        <is>
          <t>Confirm which code version production is running and that the GitHub…</t>
        </is>
      </c>
      <c r="C67" s="35" t="inlineStr">
        <is>
          <t>Test rollout</t>
        </is>
      </c>
      <c r="D67" s="48" t="n">
        <v>46290</v>
      </c>
      <c r="E67" s="38" t="n"/>
      <c r="F67" s="38" t="n"/>
      <c r="G67" s="38" t="n"/>
      <c r="H67" s="38" t="n"/>
      <c r="I67" s="51" t="inlineStr">
        <is>
          <t>O</t>
        </is>
      </c>
      <c r="J67" s="50" t="inlineStr">
        <is>
          <t>C</t>
        </is>
      </c>
      <c r="K67" s="38" t="n"/>
      <c r="L67" s="38" t="n"/>
      <c r="M67" s="38" t="n"/>
      <c r="N67" s="38" t="n"/>
      <c r="O67" s="38" t="n"/>
      <c r="P67" s="38" t="n"/>
      <c r="Q67" s="38" t="n"/>
      <c r="R67" s="38" t="n"/>
      <c r="S67" s="38" t="n"/>
      <c r="T67" s="38" t="n"/>
      <c r="U67" s="38" t="n"/>
    </row>
    <row r="68">
      <c r="A68" s="33" t="inlineStr">
        <is>
          <t>INF-04</t>
        </is>
      </c>
      <c r="B68" s="34" t="inlineStr">
        <is>
          <t>Set up a private, encrypted network path from the MIS server to the…</t>
        </is>
      </c>
      <c r="C68" s="35" t="inlineStr">
        <is>
          <t>Production go-live</t>
        </is>
      </c>
      <c r="D68" s="48" t="n">
        <v>46325</v>
      </c>
      <c r="E68" s="38" t="n"/>
      <c r="F68" s="38" t="n"/>
      <c r="G68" s="38" t="n"/>
      <c r="H68" s="49" t="inlineStr">
        <is>
          <t>D</t>
        </is>
      </c>
      <c r="I68" s="38" t="n"/>
      <c r="J68" s="51" t="inlineStr">
        <is>
          <t>O</t>
        </is>
      </c>
      <c r="K68" s="38" t="n"/>
      <c r="L68" s="38" t="n"/>
      <c r="M68" s="38" t="n"/>
      <c r="N68" s="38" t="n"/>
      <c r="O68" s="38" t="n"/>
      <c r="P68" s="38" t="n"/>
      <c r="Q68" s="38" t="n"/>
      <c r="R68" s="38" t="n"/>
      <c r="S68" s="38" t="n"/>
      <c r="T68" s="38" t="n"/>
      <c r="U68" s="38" t="n"/>
    </row>
    <row r="69">
      <c r="A69" s="33" t="inlineStr">
        <is>
          <t>INF-05</t>
        </is>
      </c>
      <c r="B69" s="34" t="inlineStr">
        <is>
          <t>Reboot test: restart the production server and confirm the site and…</t>
        </is>
      </c>
      <c r="C69" s="35" t="inlineStr">
        <is>
          <t>Test rollout</t>
        </is>
      </c>
      <c r="D69" s="48" t="n">
        <v>46297</v>
      </c>
      <c r="E69" s="38" t="n"/>
      <c r="F69" s="38" t="n"/>
      <c r="G69" s="38" t="n"/>
      <c r="H69" s="38" t="n"/>
      <c r="I69" s="50" t="inlineStr">
        <is>
          <t>C</t>
        </is>
      </c>
      <c r="J69" s="51" t="inlineStr">
        <is>
          <t>O</t>
        </is>
      </c>
      <c r="K69" s="38" t="n"/>
      <c r="L69" s="38" t="n"/>
      <c r="M69" s="38" t="n"/>
      <c r="N69" s="38" t="n"/>
      <c r="O69" s="38" t="n"/>
      <c r="P69" s="38" t="n"/>
      <c r="Q69" s="38" t="n"/>
      <c r="R69" s="38" t="n"/>
      <c r="S69" s="38" t="n"/>
      <c r="T69" s="38" t="n"/>
      <c r="U69" s="38" t="n"/>
    </row>
    <row r="70">
      <c r="A70" s="33" t="inlineStr">
        <is>
          <t>INF-06</t>
        </is>
      </c>
      <c r="B70" s="34" t="inlineStr">
        <is>
          <t>Move the code repository and deploy keys from the personal GitHub…</t>
        </is>
      </c>
      <c r="C70" s="35" t="inlineStr">
        <is>
          <t>Production go-live</t>
        </is>
      </c>
      <c r="D70" s="48" t="n">
        <v>46325</v>
      </c>
      <c r="E70" s="49" t="inlineStr">
        <is>
          <t>D</t>
        </is>
      </c>
      <c r="F70" s="38" t="n"/>
      <c r="G70" s="38" t="n"/>
      <c r="H70" s="51" t="inlineStr">
        <is>
          <t>O</t>
        </is>
      </c>
      <c r="I70" s="50" t="inlineStr">
        <is>
          <t>C</t>
        </is>
      </c>
      <c r="J70" s="50" t="inlineStr">
        <is>
          <t>C</t>
        </is>
      </c>
      <c r="K70" s="38" t="n"/>
      <c r="L70" s="38" t="n"/>
      <c r="M70" s="38" t="n"/>
      <c r="N70" s="38" t="n"/>
      <c r="O70" s="38" t="n"/>
      <c r="P70" s="38" t="n"/>
      <c r="Q70" s="38" t="n"/>
      <c r="R70" s="38" t="n"/>
      <c r="S70" s="38" t="n"/>
      <c r="T70" s="38" t="n"/>
      <c r="U70" s="38" t="n"/>
    </row>
    <row r="71">
      <c r="A71" s="33" t="inlineStr">
        <is>
          <t>SEC-01</t>
        </is>
      </c>
      <c r="B71" s="34" t="inlineStr">
        <is>
          <t>Check, and if needed change, the Odoo-bundled Postgres superuser…</t>
        </is>
      </c>
      <c r="C71" s="35" t="inlineStr">
        <is>
          <t>Test rollout</t>
        </is>
      </c>
      <c r="D71" s="48" t="n">
        <v>46295</v>
      </c>
      <c r="E71" s="38" t="n"/>
      <c r="F71" s="38" t="n"/>
      <c r="G71" s="38" t="n"/>
      <c r="H71" s="50" t="inlineStr">
        <is>
          <t>C</t>
        </is>
      </c>
      <c r="I71" s="38" t="n"/>
      <c r="J71" s="51" t="inlineStr">
        <is>
          <t>O</t>
        </is>
      </c>
      <c r="K71" s="38" t="n"/>
      <c r="L71" s="38" t="n"/>
      <c r="M71" s="38" t="n"/>
      <c r="N71" s="38" t="n"/>
      <c r="O71" s="38" t="n"/>
      <c r="P71" s="38" t="n"/>
      <c r="Q71" s="38" t="n"/>
      <c r="R71" s="38" t="n"/>
      <c r="S71" s="38" t="n"/>
      <c r="T71" s="38" t="n"/>
      <c r="U71" s="38" t="n"/>
    </row>
    <row r="72">
      <c r="A72" s="33" t="inlineStr">
        <is>
          <t>SEC-02</t>
        </is>
      </c>
      <c r="B72" s="34" t="inlineStr">
        <is>
          <t>Remove test and scratch accounts before real users log in…</t>
        </is>
      </c>
      <c r="C72" s="35" t="inlineStr">
        <is>
          <t>Test rollout</t>
        </is>
      </c>
      <c r="D72" s="48" t="n">
        <v>46295</v>
      </c>
      <c r="E72" s="38" t="n"/>
      <c r="F72" s="38" t="n"/>
      <c r="G72" s="38" t="n"/>
      <c r="H72" s="49" t="inlineStr">
        <is>
          <t>D</t>
        </is>
      </c>
      <c r="I72" s="51" t="inlineStr">
        <is>
          <t>O</t>
        </is>
      </c>
      <c r="J72" s="38" t="n"/>
      <c r="K72" s="38" t="n"/>
      <c r="L72" s="38" t="n"/>
      <c r="M72" s="38" t="n"/>
      <c r="N72" s="38" t="n"/>
      <c r="O72" s="38" t="n"/>
      <c r="P72" s="38" t="n"/>
      <c r="Q72" s="38" t="n"/>
      <c r="R72" s="38" t="n"/>
      <c r="S72" s="38" t="n"/>
      <c r="T72" s="38" t="n"/>
      <c r="U72" s="38" t="n"/>
    </row>
    <row r="73">
      <c r="A73" s="33" t="inlineStr">
        <is>
          <t>SEC-03</t>
        </is>
      </c>
      <c r="B73" s="34" t="inlineStr">
        <is>
          <t>Retire every default password: send invite or reset links to all…</t>
        </is>
      </c>
      <c r="C73" s="35" t="inlineStr">
        <is>
          <t>Test rollout</t>
        </is>
      </c>
      <c r="D73" s="48" t="n">
        <v>46297</v>
      </c>
      <c r="E73" s="38" t="n"/>
      <c r="F73" s="38" t="n"/>
      <c r="G73" s="38" t="n"/>
      <c r="H73" s="50" t="inlineStr">
        <is>
          <t>C</t>
        </is>
      </c>
      <c r="I73" s="51" t="inlineStr">
        <is>
          <t>O</t>
        </is>
      </c>
      <c r="J73" s="38" t="n"/>
      <c r="K73" s="38" t="n"/>
      <c r="L73" s="50" t="inlineStr">
        <is>
          <t>C</t>
        </is>
      </c>
      <c r="M73" s="50" t="inlineStr">
        <is>
          <t>C</t>
        </is>
      </c>
      <c r="N73" s="50" t="inlineStr">
        <is>
          <t>C</t>
        </is>
      </c>
      <c r="O73" s="50" t="inlineStr">
        <is>
          <t>C</t>
        </is>
      </c>
      <c r="P73" s="50" t="inlineStr">
        <is>
          <t>C</t>
        </is>
      </c>
      <c r="Q73" s="50" t="inlineStr">
        <is>
          <t>C</t>
        </is>
      </c>
      <c r="R73" s="50" t="inlineStr">
        <is>
          <t>C</t>
        </is>
      </c>
      <c r="S73" s="50" t="inlineStr">
        <is>
          <t>C</t>
        </is>
      </c>
      <c r="T73" s="38" t="n"/>
      <c r="U73" s="38" t="n"/>
    </row>
    <row r="74">
      <c r="A74" s="33" t="inlineStr">
        <is>
          <t>SEC-04</t>
        </is>
      </c>
      <c r="B74" s="34" t="inlineStr">
        <is>
          <t>Ratify the two approval rules set on the Plant Head's behalf:…</t>
        </is>
      </c>
      <c r="C74" s="35" t="inlineStr">
        <is>
          <t>Test rollout</t>
        </is>
      </c>
      <c r="D74" s="48" t="n">
        <v>46289</v>
      </c>
      <c r="E74" s="38" t="n"/>
      <c r="F74" s="51" t="inlineStr">
        <is>
          <t>O</t>
        </is>
      </c>
      <c r="G74" s="38" t="n"/>
      <c r="H74" s="38" t="n"/>
      <c r="I74" s="50" t="inlineStr">
        <is>
          <t>C</t>
        </is>
      </c>
      <c r="J74" s="38" t="n"/>
      <c r="K74" s="38" t="n"/>
      <c r="L74" s="38" t="n"/>
      <c r="M74" s="38" t="n"/>
      <c r="N74" s="50" t="inlineStr">
        <is>
          <t>C</t>
        </is>
      </c>
      <c r="O74" s="50" t="inlineStr">
        <is>
          <t>C</t>
        </is>
      </c>
      <c r="P74" s="50" t="inlineStr">
        <is>
          <t>C</t>
        </is>
      </c>
      <c r="Q74" s="50" t="inlineStr">
        <is>
          <t>C</t>
        </is>
      </c>
      <c r="R74" s="38" t="n"/>
      <c r="S74" s="38" t="n"/>
      <c r="T74" s="38" t="n"/>
      <c r="U74" s="38" t="n"/>
    </row>
    <row r="75">
      <c r="A75" s="33" t="inlineStr">
        <is>
          <t>SEC-05</t>
        </is>
      </c>
      <c r="B75" s="34" t="inlineStr">
        <is>
          <t>Decide the open access-policy gaps: (a) monthly MIS exports are…</t>
        </is>
      </c>
      <c r="C75" s="35" t="inlineStr">
        <is>
          <t>Test rollout</t>
        </is>
      </c>
      <c r="D75" s="48" t="n">
        <v>46289</v>
      </c>
      <c r="E75" s="38" t="n"/>
      <c r="F75" s="51" t="inlineStr">
        <is>
          <t>O</t>
        </is>
      </c>
      <c r="G75" s="38" t="n"/>
      <c r="H75" s="50" t="inlineStr">
        <is>
          <t>C</t>
        </is>
      </c>
      <c r="I75" s="50" t="inlineStr">
        <is>
          <t>C</t>
        </is>
      </c>
      <c r="J75" s="38" t="n"/>
      <c r="K75" s="38" t="n"/>
      <c r="L75" s="38" t="n"/>
      <c r="M75" s="38" t="n"/>
      <c r="N75" s="38" t="n"/>
      <c r="O75" s="38" t="n"/>
      <c r="P75" s="38" t="n"/>
      <c r="Q75" s="38" t="n"/>
      <c r="R75" s="38" t="n"/>
      <c r="S75" s="38" t="n"/>
      <c r="T75" s="50" t="inlineStr">
        <is>
          <t>C</t>
        </is>
      </c>
      <c r="U75" s="50" t="inlineStr">
        <is>
          <t>C</t>
        </is>
      </c>
    </row>
    <row r="76">
      <c r="A76" s="33" t="inlineStr">
        <is>
          <t>ACC-01</t>
        </is>
      </c>
      <c r="B76" s="34" t="inlineStr">
        <is>
          <t>Decide the account policy: (a) staff without a company mailbox…</t>
        </is>
      </c>
      <c r="C76" s="35" t="inlineStr">
        <is>
          <t>Test rollout</t>
        </is>
      </c>
      <c r="D76" s="48" t="n">
        <v>46289</v>
      </c>
      <c r="E76" s="38" t="n"/>
      <c r="F76" s="51" t="inlineStr">
        <is>
          <t>O</t>
        </is>
      </c>
      <c r="G76" s="50" t="inlineStr">
        <is>
          <t>C</t>
        </is>
      </c>
      <c r="H76" s="50" t="inlineStr">
        <is>
          <t>C</t>
        </is>
      </c>
      <c r="I76" s="38" t="n"/>
      <c r="J76" s="38" t="n"/>
      <c r="K76" s="50" t="inlineStr">
        <is>
          <t>C</t>
        </is>
      </c>
      <c r="L76" s="38" t="n"/>
      <c r="M76" s="38" t="n"/>
      <c r="N76" s="38" t="n"/>
      <c r="O76" s="38" t="n"/>
      <c r="P76" s="38" t="n"/>
      <c r="Q76" s="38" t="n"/>
      <c r="R76" s="38" t="n"/>
      <c r="S76" s="38" t="n"/>
      <c r="T76" s="38" t="n"/>
      <c r="U76" s="38" t="n"/>
    </row>
    <row r="77">
      <c r="A77" s="33" t="inlineStr">
        <is>
          <t>ACC-02</t>
        </is>
      </c>
      <c r="B77" s="34" t="inlineStr">
        <is>
          <t>Collect the holder's name, company email, mobile and staff number…</t>
        </is>
      </c>
      <c r="C77" s="35" t="inlineStr">
        <is>
          <t>Test rollout</t>
        </is>
      </c>
      <c r="D77" s="48" t="n">
        <v>46294</v>
      </c>
      <c r="E77" s="38" t="n"/>
      <c r="F77" s="38" t="n"/>
      <c r="G77" s="38" t="n"/>
      <c r="H77" s="51" t="inlineStr">
        <is>
          <t>O</t>
        </is>
      </c>
      <c r="I77" s="50" t="inlineStr">
        <is>
          <t>C</t>
        </is>
      </c>
      <c r="J77" s="38" t="n"/>
      <c r="K77" s="50" t="inlineStr">
        <is>
          <t>C</t>
        </is>
      </c>
      <c r="L77" s="50" t="inlineStr">
        <is>
          <t>C</t>
        </is>
      </c>
      <c r="M77" s="50" t="inlineStr">
        <is>
          <t>C</t>
        </is>
      </c>
      <c r="N77" s="50" t="inlineStr">
        <is>
          <t>C</t>
        </is>
      </c>
      <c r="O77" s="50" t="inlineStr">
        <is>
          <t>C</t>
        </is>
      </c>
      <c r="P77" s="50" t="inlineStr">
        <is>
          <t>C</t>
        </is>
      </c>
      <c r="Q77" s="50" t="inlineStr">
        <is>
          <t>C</t>
        </is>
      </c>
      <c r="R77" s="50" t="inlineStr">
        <is>
          <t>C</t>
        </is>
      </c>
      <c r="S77" s="50" t="inlineStr">
        <is>
          <t>C</t>
        </is>
      </c>
      <c r="T77" s="50" t="inlineStr">
        <is>
          <t>C</t>
        </is>
      </c>
      <c r="U77" s="50" t="inlineStr">
        <is>
          <t>C</t>
        </is>
      </c>
    </row>
    <row r="78">
      <c r="A78" s="33" t="inlineStr">
        <is>
          <t>ACC-03</t>
        </is>
      </c>
      <c r="B78" s="34" t="inlineStr">
        <is>
          <t>Load the returned names in the admin screen, confirm each person's…</t>
        </is>
      </c>
      <c r="C78" s="35" t="inlineStr">
        <is>
          <t>Test rollout</t>
        </is>
      </c>
      <c r="D78" s="48" t="n">
        <v>46296</v>
      </c>
      <c r="E78" s="38" t="n"/>
      <c r="F78" s="38" t="n"/>
      <c r="G78" s="38" t="n"/>
      <c r="H78" s="50" t="inlineStr">
        <is>
          <t>C</t>
        </is>
      </c>
      <c r="I78" s="51" t="inlineStr">
        <is>
          <t>O</t>
        </is>
      </c>
      <c r="J78" s="38" t="n"/>
      <c r="K78" s="38" t="n"/>
      <c r="L78" s="50" t="inlineStr">
        <is>
          <t>C</t>
        </is>
      </c>
      <c r="M78" s="50" t="inlineStr">
        <is>
          <t>C</t>
        </is>
      </c>
      <c r="N78" s="50" t="inlineStr">
        <is>
          <t>C</t>
        </is>
      </c>
      <c r="O78" s="50" t="inlineStr">
        <is>
          <t>C</t>
        </is>
      </c>
      <c r="P78" s="50" t="inlineStr">
        <is>
          <t>C</t>
        </is>
      </c>
      <c r="Q78" s="50" t="inlineStr">
        <is>
          <t>C</t>
        </is>
      </c>
      <c r="R78" s="50" t="inlineStr">
        <is>
          <t>C</t>
        </is>
      </c>
      <c r="S78" s="50" t="inlineStr">
        <is>
          <t>C</t>
        </is>
      </c>
      <c r="T78" s="50" t="inlineStr">
        <is>
          <t>C</t>
        </is>
      </c>
      <c r="U78" s="50" t="inlineStr">
        <is>
          <t>C</t>
        </is>
      </c>
    </row>
    <row r="79">
      <c r="A79" s="33" t="inlineStr">
        <is>
          <t>ACC-04</t>
        </is>
      </c>
      <c r="B79" s="34" t="inlineStr">
        <is>
          <t>Update LCL_Access_Matrix_2026.xlsx to the 15 current departments and…</t>
        </is>
      </c>
      <c r="C79" s="35" t="inlineStr">
        <is>
          <t>Production go-live</t>
        </is>
      </c>
      <c r="D79" s="48" t="n">
        <v>46325</v>
      </c>
      <c r="E79" s="38" t="n"/>
      <c r="F79" s="38" t="n"/>
      <c r="G79" s="38" t="n"/>
      <c r="H79" s="51" t="inlineStr">
        <is>
          <t>O</t>
        </is>
      </c>
      <c r="I79" s="50" t="inlineStr">
        <is>
          <t>C</t>
        </is>
      </c>
      <c r="J79" s="38" t="n"/>
      <c r="K79" s="38" t="n"/>
      <c r="L79" s="38" t="n"/>
      <c r="M79" s="38" t="n"/>
      <c r="N79" s="38" t="n"/>
      <c r="O79" s="38" t="n"/>
      <c r="P79" s="38" t="n"/>
      <c r="Q79" s="38" t="n"/>
      <c r="R79" s="38" t="n"/>
      <c r="S79" s="38" t="n"/>
      <c r="T79" s="38" t="n"/>
      <c r="U79" s="38" t="n"/>
    </row>
    <row r="80">
      <c r="A80" s="33" t="inlineStr">
        <is>
          <t>EML-01</t>
        </is>
      </c>
      <c r="B80" s="34" t="inlineStr">
        <is>
          <t>Enable SMTP AUTH for the digital@lakecement.co.tz mailbox in…</t>
        </is>
      </c>
      <c r="C80" s="35" t="inlineStr">
        <is>
          <t>Test rollout</t>
        </is>
      </c>
      <c r="D80" s="48" t="n">
        <v>46290</v>
      </c>
      <c r="E80" s="38" t="n"/>
      <c r="F80" s="38" t="n"/>
      <c r="G80" s="38" t="n"/>
      <c r="H80" s="51" t="inlineStr">
        <is>
          <t>O</t>
        </is>
      </c>
      <c r="I80" s="50" t="inlineStr">
        <is>
          <t>C</t>
        </is>
      </c>
      <c r="J80" s="50" t="inlineStr">
        <is>
          <t>C</t>
        </is>
      </c>
      <c r="K80" s="38" t="n"/>
      <c r="L80" s="38" t="n"/>
      <c r="M80" s="38" t="n"/>
      <c r="N80" s="38" t="n"/>
      <c r="O80" s="38" t="n"/>
      <c r="P80" s="38" t="n"/>
      <c r="Q80" s="38" t="n"/>
      <c r="R80" s="38" t="n"/>
      <c r="S80" s="38" t="n"/>
      <c r="T80" s="38" t="n"/>
      <c r="U80" s="38" t="n"/>
    </row>
    <row r="81">
      <c r="A81" s="33" t="inlineStr">
        <is>
          <t>EML-02</t>
        </is>
      </c>
      <c r="B81" s="34" t="inlineStr">
        <is>
          <t>Name who receives the 06:00 daily KPI digest and who receives system…</t>
        </is>
      </c>
      <c r="C81" s="35" t="inlineStr">
        <is>
          <t>Test rollout</t>
        </is>
      </c>
      <c r="D81" s="48" t="n">
        <v>46289</v>
      </c>
      <c r="E81" s="50" t="inlineStr">
        <is>
          <t>C</t>
        </is>
      </c>
      <c r="F81" s="51" t="inlineStr">
        <is>
          <t>O</t>
        </is>
      </c>
      <c r="G81" s="38" t="n"/>
      <c r="H81" s="50" t="inlineStr">
        <is>
          <t>C</t>
        </is>
      </c>
      <c r="I81" s="38" t="n"/>
      <c r="J81" s="38" t="n"/>
      <c r="K81" s="38" t="n"/>
      <c r="L81" s="38" t="n"/>
      <c r="M81" s="38" t="n"/>
      <c r="N81" s="38" t="n"/>
      <c r="O81" s="38" t="n"/>
      <c r="P81" s="38" t="n"/>
      <c r="Q81" s="38" t="n"/>
      <c r="R81" s="38" t="n"/>
      <c r="S81" s="38" t="n"/>
      <c r="T81" s="38" t="n"/>
      <c r="U81" s="38" t="n"/>
    </row>
    <row r="82">
      <c r="A82" s="33" t="inlineStr">
        <is>
          <t>EML-03</t>
        </is>
      </c>
      <c r="B82" s="34" t="inlineStr">
        <is>
          <t>Set the digest and alert recipients on the production server, send a…</t>
        </is>
      </c>
      <c r="C82" s="35" t="inlineStr">
        <is>
          <t>Test rollout</t>
        </is>
      </c>
      <c r="D82" s="48" t="n">
        <v>46296</v>
      </c>
      <c r="E82" s="38" t="n"/>
      <c r="F82" s="50" t="inlineStr">
        <is>
          <t>C</t>
        </is>
      </c>
      <c r="G82" s="38" t="n"/>
      <c r="H82" s="50" t="inlineStr">
        <is>
          <t>C</t>
        </is>
      </c>
      <c r="I82" s="51" t="inlineStr">
        <is>
          <t>O</t>
        </is>
      </c>
      <c r="J82" s="50" t="inlineStr">
        <is>
          <t>C</t>
        </is>
      </c>
      <c r="K82" s="38" t="n"/>
      <c r="L82" s="38" t="n"/>
      <c r="M82" s="38" t="n"/>
      <c r="N82" s="38" t="n"/>
      <c r="O82" s="38" t="n"/>
      <c r="P82" s="38" t="n"/>
      <c r="Q82" s="38" t="n"/>
      <c r="R82" s="38" t="n"/>
      <c r="S82" s="38" t="n"/>
      <c r="T82" s="38" t="n"/>
      <c r="U82" s="38" t="n"/>
    </row>
    <row r="83">
      <c r="A83" s="33" t="inlineStr">
        <is>
          <t>ODO-01</t>
        </is>
      </c>
      <c r="B83" s="34" t="inlineStr">
        <is>
          <t>Connect the MIS to the production Odoo database: deploy the four…</t>
        </is>
      </c>
      <c r="C83" s="35" t="inlineStr">
        <is>
          <t>Production go-live</t>
        </is>
      </c>
      <c r="D83" s="48" t="n">
        <v>46311</v>
      </c>
      <c r="E83" s="49" t="inlineStr">
        <is>
          <t>D</t>
        </is>
      </c>
      <c r="F83" s="38" t="n"/>
      <c r="G83" s="38" t="n"/>
      <c r="H83" s="50" t="inlineStr">
        <is>
          <t>C</t>
        </is>
      </c>
      <c r="I83" s="50" t="inlineStr">
        <is>
          <t>C</t>
        </is>
      </c>
      <c r="J83" s="51" t="inlineStr">
        <is>
          <t>O</t>
        </is>
      </c>
      <c r="K83" s="38" t="n"/>
      <c r="L83" s="38" t="n"/>
      <c r="M83" s="38" t="n"/>
      <c r="N83" s="38" t="n"/>
      <c r="O83" s="38" t="n"/>
      <c r="P83" s="38" t="n"/>
      <c r="Q83" s="38" t="n"/>
      <c r="R83" s="38" t="n"/>
      <c r="S83" s="38" t="n"/>
      <c r="T83" s="38" t="n"/>
      <c r="U83" s="38" t="n"/>
    </row>
    <row r="84">
      <c r="A84" s="33" t="inlineStr">
        <is>
          <t>ODO-02</t>
        </is>
      </c>
      <c r="B84" s="34" t="inlineStr">
        <is>
          <t>Fix the Odoo endpoint defects already reported: customer receipts…</t>
        </is>
      </c>
      <c r="C84" s="35" t="inlineStr">
        <is>
          <t>Production go-live</t>
        </is>
      </c>
      <c r="D84" s="48" t="n">
        <v>46325</v>
      </c>
      <c r="E84" s="38" t="n"/>
      <c r="F84" s="38" t="n"/>
      <c r="G84" s="38" t="n"/>
      <c r="H84" s="38" t="n"/>
      <c r="I84" s="50" t="inlineStr">
        <is>
          <t>C</t>
        </is>
      </c>
      <c r="J84" s="51" t="inlineStr">
        <is>
          <t>O</t>
        </is>
      </c>
      <c r="K84" s="38" t="n"/>
      <c r="L84" s="38" t="n"/>
      <c r="M84" s="38" t="n"/>
      <c r="N84" s="38" t="n"/>
      <c r="O84" s="38" t="n"/>
      <c r="P84" s="38" t="n"/>
      <c r="Q84" s="38" t="n"/>
      <c r="R84" s="50" t="inlineStr">
        <is>
          <t>C</t>
        </is>
      </c>
      <c r="S84" s="50" t="inlineStr">
        <is>
          <t>C</t>
        </is>
      </c>
      <c r="T84" s="50" t="inlineStr">
        <is>
          <t>C</t>
        </is>
      </c>
      <c r="U84" s="50" t="inlineStr">
        <is>
          <t>C</t>
        </is>
      </c>
    </row>
    <row r="85">
      <c r="A85" s="33" t="inlineStr">
        <is>
          <t>ODO-03</t>
        </is>
      </c>
      <c r="B85" s="34" t="inlineStr">
        <is>
          <t>Send the Production Entry API request (Odoo model…</t>
        </is>
      </c>
      <c r="C85" s="35" t="inlineStr">
        <is>
          <t>Post go-live</t>
        </is>
      </c>
      <c r="D85" s="48" t="n">
        <v>46290</v>
      </c>
      <c r="E85" s="38" t="n"/>
      <c r="F85" s="50" t="inlineStr">
        <is>
          <t>C</t>
        </is>
      </c>
      <c r="G85" s="38" t="n"/>
      <c r="H85" s="50" t="inlineStr">
        <is>
          <t>C</t>
        </is>
      </c>
      <c r="I85" s="51" t="inlineStr">
        <is>
          <t>O</t>
        </is>
      </c>
      <c r="J85" s="50" t="inlineStr">
        <is>
          <t>C</t>
        </is>
      </c>
      <c r="K85" s="38" t="n"/>
      <c r="L85" s="50" t="inlineStr">
        <is>
          <t>C</t>
        </is>
      </c>
      <c r="M85" s="38" t="n"/>
      <c r="N85" s="38" t="n"/>
      <c r="O85" s="38" t="n"/>
      <c r="P85" s="38" t="n"/>
      <c r="Q85" s="38" t="n"/>
      <c r="R85" s="38" t="n"/>
      <c r="S85" s="38" t="n"/>
      <c r="T85" s="38" t="n"/>
      <c r="U85" s="38" t="n"/>
    </row>
    <row r="86">
      <c r="A86" s="33" t="inlineStr">
        <is>
          <t>ODO-04</t>
        </is>
      </c>
      <c r="B86" s="34" t="inlineStr">
        <is>
          <t>Confirm the Purchases and Stores data sources: open purchase…</t>
        </is>
      </c>
      <c r="C86" s="35" t="inlineStr">
        <is>
          <t>Post go-live</t>
        </is>
      </c>
      <c r="D86" s="48" t="n">
        <v>46356</v>
      </c>
      <c r="E86" s="38" t="n"/>
      <c r="F86" s="38" t="n"/>
      <c r="G86" s="38" t="n"/>
      <c r="H86" s="38" t="n"/>
      <c r="I86" s="50" t="inlineStr">
        <is>
          <t>C</t>
        </is>
      </c>
      <c r="J86" s="51" t="inlineStr">
        <is>
          <t>O</t>
        </is>
      </c>
      <c r="K86" s="38" t="n"/>
      <c r="L86" s="38" t="n"/>
      <c r="M86" s="38" t="n"/>
      <c r="N86" s="38" t="n"/>
      <c r="O86" s="38" t="n"/>
      <c r="P86" s="38" t="n"/>
      <c r="Q86" s="38" t="n"/>
      <c r="R86" s="50" t="inlineStr">
        <is>
          <t>C</t>
        </is>
      </c>
      <c r="S86" s="38" t="n"/>
      <c r="T86" s="38" t="n"/>
      <c r="U86" s="50" t="inlineStr">
        <is>
          <t>C</t>
        </is>
      </c>
    </row>
    <row r="87">
      <c r="A87" s="33" t="inlineStr">
        <is>
          <t>ODO-05</t>
        </is>
      </c>
      <c r="B87" s="34" t="inlineStr">
        <is>
          <t>Provide the sales master data: the real Division → Zone → Sales…</t>
        </is>
      </c>
      <c r="C87" s="35" t="inlineStr">
        <is>
          <t>Production go-live</t>
        </is>
      </c>
      <c r="D87" s="48" t="n">
        <v>46311</v>
      </c>
      <c r="E87" s="38" t="n"/>
      <c r="F87" s="38" t="n"/>
      <c r="G87" s="38" t="n"/>
      <c r="H87" s="38" t="n"/>
      <c r="I87" s="50" t="inlineStr">
        <is>
          <t>C</t>
        </is>
      </c>
      <c r="J87" s="50" t="inlineStr">
        <is>
          <t>C</t>
        </is>
      </c>
      <c r="K87" s="38" t="n"/>
      <c r="L87" s="38" t="n"/>
      <c r="M87" s="38" t="n"/>
      <c r="N87" s="38" t="n"/>
      <c r="O87" s="38" t="n"/>
      <c r="P87" s="38" t="n"/>
      <c r="Q87" s="38" t="n"/>
      <c r="R87" s="38" t="n"/>
      <c r="S87" s="38" t="n"/>
      <c r="T87" s="51" t="inlineStr">
        <is>
          <t>O</t>
        </is>
      </c>
      <c r="U87" s="38" t="n"/>
    </row>
    <row r="88">
      <c r="A88" s="33" t="inlineStr">
        <is>
          <t>ODO-06</t>
        </is>
      </c>
      <c r="B88" s="34" t="inlineStr">
        <is>
          <t>Fix or retire the 'npm run odoo:test' check so it reports each live…</t>
        </is>
      </c>
      <c r="C88" s="35" t="inlineStr">
        <is>
          <t>Production go-live</t>
        </is>
      </c>
      <c r="D88" s="48" t="n">
        <v>46325</v>
      </c>
      <c r="E88" s="38" t="n"/>
      <c r="F88" s="38" t="n"/>
      <c r="G88" s="38" t="n"/>
      <c r="H88" s="38" t="n"/>
      <c r="I88" s="51" t="inlineStr">
        <is>
          <t>O</t>
        </is>
      </c>
      <c r="J88" s="38" t="n"/>
      <c r="K88" s="38" t="n"/>
      <c r="L88" s="38" t="n"/>
      <c r="M88" s="38" t="n"/>
      <c r="N88" s="38" t="n"/>
      <c r="O88" s="38" t="n"/>
      <c r="P88" s="38" t="n"/>
      <c r="Q88" s="38" t="n"/>
      <c r="R88" s="38" t="n"/>
      <c r="S88" s="38" t="n"/>
      <c r="T88" s="38" t="n"/>
      <c r="U88" s="38" t="n"/>
    </row>
    <row r="89">
      <c r="A89" s="33" t="inlineStr">
        <is>
          <t>DAT-01</t>
        </is>
      </c>
      <c r="B89" s="34" t="inlineStr">
        <is>
          <t>Decide the data baseline for the pilot: backfill July–September 2026…</t>
        </is>
      </c>
      <c r="C89" s="35" t="inlineStr">
        <is>
          <t>Test rollout</t>
        </is>
      </c>
      <c r="D89" s="48" t="n">
        <v>46290</v>
      </c>
      <c r="E89" s="38" t="n"/>
      <c r="F89" s="51" t="inlineStr">
        <is>
          <t>O</t>
        </is>
      </c>
      <c r="G89" s="38" t="n"/>
      <c r="H89" s="38" t="n"/>
      <c r="I89" s="50" t="inlineStr">
        <is>
          <t>C</t>
        </is>
      </c>
      <c r="J89" s="38" t="n"/>
      <c r="K89" s="38" t="n"/>
      <c r="L89" s="50" t="inlineStr">
        <is>
          <t>C</t>
        </is>
      </c>
      <c r="M89" s="50" t="inlineStr">
        <is>
          <t>C</t>
        </is>
      </c>
      <c r="N89" s="50" t="inlineStr">
        <is>
          <t>C</t>
        </is>
      </c>
      <c r="O89" s="38" t="n"/>
      <c r="P89" s="38" t="n"/>
      <c r="Q89" s="38" t="n"/>
      <c r="R89" s="50" t="inlineStr">
        <is>
          <t>C</t>
        </is>
      </c>
      <c r="S89" s="50" t="inlineStr">
        <is>
          <t>C</t>
        </is>
      </c>
      <c r="T89" s="38" t="n"/>
      <c r="U89" s="38" t="n"/>
    </row>
    <row r="90">
      <c r="A90" s="33" t="inlineStr">
        <is>
          <t>DAT-02</t>
        </is>
      </c>
      <c r="B90" s="34" t="inlineStr">
        <is>
          <t>Remove demo and placeholder records that make pages open on an empty…</t>
        </is>
      </c>
      <c r="C90" s="35" t="inlineStr">
        <is>
          <t>Test rollout</t>
        </is>
      </c>
      <c r="D90" s="48" t="n">
        <v>46295</v>
      </c>
      <c r="E90" s="38" t="n"/>
      <c r="F90" s="38" t="n"/>
      <c r="G90" s="38" t="n"/>
      <c r="H90" s="38" t="n"/>
      <c r="I90" s="51" t="inlineStr">
        <is>
          <t>O</t>
        </is>
      </c>
      <c r="J90" s="38" t="n"/>
      <c r="K90" s="38" t="n"/>
      <c r="L90" s="38" t="n"/>
      <c r="M90" s="38" t="n"/>
      <c r="N90" s="38" t="n"/>
      <c r="O90" s="38" t="n"/>
      <c r="P90" s="38" t="n"/>
      <c r="Q90" s="38" t="n"/>
      <c r="R90" s="38" t="n"/>
      <c r="S90" s="49" t="inlineStr">
        <is>
          <t>D</t>
        </is>
      </c>
      <c r="T90" s="38" t="n"/>
      <c r="U90" s="38" t="n"/>
    </row>
    <row r="91">
      <c r="A91" s="33" t="inlineStr">
        <is>
          <t>DAT-03</t>
        </is>
      </c>
      <c r="B91" s="34" t="inlineStr">
        <is>
          <t>Validate the Quality KPIs against the lab's Excel records for…</t>
        </is>
      </c>
      <c r="C91" s="35" t="inlineStr">
        <is>
          <t>Production go-live</t>
        </is>
      </c>
      <c r="D91" s="48" t="n">
        <v>46311</v>
      </c>
      <c r="E91" s="38" t="n"/>
      <c r="F91" s="38" t="n"/>
      <c r="G91" s="38" t="n"/>
      <c r="H91" s="38" t="n"/>
      <c r="I91" s="51" t="inlineStr">
        <is>
          <t>O</t>
        </is>
      </c>
      <c r="J91" s="38" t="n"/>
      <c r="K91" s="38" t="n"/>
      <c r="L91" s="50" t="inlineStr">
        <is>
          <t>C</t>
        </is>
      </c>
      <c r="M91" s="38" t="n"/>
      <c r="N91" s="38" t="n"/>
      <c r="O91" s="38" t="n"/>
      <c r="P91" s="38" t="n"/>
      <c r="Q91" s="38" t="n"/>
      <c r="R91" s="38" t="n"/>
      <c r="S91" s="38" t="n"/>
      <c r="T91" s="38" t="n"/>
      <c r="U91" s="38" t="n"/>
    </row>
    <row r="92">
      <c r="A92" s="33" t="inlineStr">
        <is>
          <t>DAT-04</t>
        </is>
      </c>
      <c r="B92" s="34" t="inlineStr">
        <is>
          <t>Provide the cost figures the reports need: a TZS-per-hour rate for…</t>
        </is>
      </c>
      <c r="C92" s="35" t="inlineStr">
        <is>
          <t>Post go-live</t>
        </is>
      </c>
      <c r="D92" s="48" t="n">
        <v>46356</v>
      </c>
      <c r="E92" s="38" t="n"/>
      <c r="F92" s="38" t="n"/>
      <c r="G92" s="51" t="inlineStr">
        <is>
          <t>O</t>
        </is>
      </c>
      <c r="H92" s="38" t="n"/>
      <c r="I92" s="50" t="inlineStr">
        <is>
          <t>C</t>
        </is>
      </c>
      <c r="J92" s="38" t="n"/>
      <c r="K92" s="38" t="n"/>
      <c r="L92" s="38" t="n"/>
      <c r="M92" s="38" t="n"/>
      <c r="N92" s="50" t="inlineStr">
        <is>
          <t>C</t>
        </is>
      </c>
      <c r="O92" s="38" t="n"/>
      <c r="P92" s="38" t="n"/>
      <c r="Q92" s="38" t="n"/>
      <c r="R92" s="50" t="inlineStr">
        <is>
          <t>C</t>
        </is>
      </c>
      <c r="S92" s="38" t="n"/>
      <c r="T92" s="38" t="n"/>
      <c r="U92" s="38" t="n"/>
    </row>
    <row r="93">
      <c r="A93" s="33" t="inlineStr">
        <is>
          <t>DAT-05</t>
        </is>
      </c>
      <c r="B93" s="34" t="inlineStr">
        <is>
          <t>Stop the Quarry page downloading every weighbridge ticket ever…</t>
        </is>
      </c>
      <c r="C93" s="35" t="inlineStr">
        <is>
          <t>Production go-live</t>
        </is>
      </c>
      <c r="D93" s="48" t="n">
        <v>46325</v>
      </c>
      <c r="E93" s="38" t="n"/>
      <c r="F93" s="38" t="n"/>
      <c r="G93" s="38" t="n"/>
      <c r="H93" s="38" t="n"/>
      <c r="I93" s="51" t="inlineStr">
        <is>
          <t>O</t>
        </is>
      </c>
      <c r="J93" s="38" t="n"/>
      <c r="K93" s="38" t="n"/>
      <c r="L93" s="38" t="n"/>
      <c r="M93" s="38" t="n"/>
      <c r="N93" s="38" t="n"/>
      <c r="O93" s="38" t="n"/>
      <c r="P93" s="38" t="n"/>
      <c r="Q93" s="38" t="n"/>
      <c r="R93" s="38" t="n"/>
      <c r="S93" s="50" t="inlineStr">
        <is>
          <t>C</t>
        </is>
      </c>
      <c r="T93" s="38" t="n"/>
      <c r="U93" s="38" t="n"/>
    </row>
    <row r="94">
      <c r="A94" s="33" t="inlineStr">
        <is>
          <t>DAT-06</t>
        </is>
      </c>
      <c r="B94" s="34" t="inlineStr">
        <is>
          <t>Decide what should happen when the Quarry report is opened with no…</t>
        </is>
      </c>
      <c r="C94" s="35" t="inlineStr">
        <is>
          <t>Test rollout</t>
        </is>
      </c>
      <c r="D94" s="48" t="n">
        <v>46295</v>
      </c>
      <c r="E94" s="38" t="n"/>
      <c r="F94" s="38" t="n"/>
      <c r="G94" s="38" t="n"/>
      <c r="H94" s="38" t="n"/>
      <c r="I94" s="50" t="inlineStr">
        <is>
          <t>C</t>
        </is>
      </c>
      <c r="J94" s="38" t="n"/>
      <c r="K94" s="38" t="n"/>
      <c r="L94" s="38" t="n"/>
      <c r="M94" s="38" t="n"/>
      <c r="N94" s="38" t="n"/>
      <c r="O94" s="38" t="n"/>
      <c r="P94" s="38" t="n"/>
      <c r="Q94" s="38" t="n"/>
      <c r="R94" s="38" t="n"/>
      <c r="S94" s="51" t="inlineStr">
        <is>
          <t>O</t>
        </is>
      </c>
      <c r="T94" s="38" t="n"/>
      <c r="U94" s="38" t="n"/>
    </row>
    <row r="95">
      <c r="A95" s="33" t="inlineStr">
        <is>
          <t>APP-01</t>
        </is>
      </c>
      <c r="B95" s="34" t="inlineStr">
        <is>
          <t>Finish and release the work in progress: fix the broken mailer test,…</t>
        </is>
      </c>
      <c r="C95" s="35" t="inlineStr">
        <is>
          <t>Test rollout</t>
        </is>
      </c>
      <c r="D95" s="48" t="n">
        <v>46293</v>
      </c>
      <c r="E95" s="38" t="n"/>
      <c r="F95" s="49" t="inlineStr">
        <is>
          <t>D</t>
        </is>
      </c>
      <c r="G95" s="38" t="n"/>
      <c r="H95" s="38" t="n"/>
      <c r="I95" s="51" t="inlineStr">
        <is>
          <t>O</t>
        </is>
      </c>
      <c r="J95" s="38" t="n"/>
      <c r="K95" s="38" t="n"/>
      <c r="L95" s="38" t="n"/>
      <c r="M95" s="38" t="n"/>
      <c r="N95" s="38" t="n"/>
      <c r="O95" s="38" t="n"/>
      <c r="P95" s="38" t="n"/>
      <c r="Q95" s="38" t="n"/>
      <c r="R95" s="38" t="n"/>
      <c r="S95" s="38" t="n"/>
      <c r="T95" s="38" t="n"/>
      <c r="U95" s="38" t="n"/>
    </row>
    <row r="96">
      <c r="A96" s="33" t="inlineStr">
        <is>
          <t>APP-02</t>
        </is>
      </c>
      <c r="B96" s="34" t="inlineStr">
        <is>
          <t>Check the 417-reason stoppage catalogue with maintenance and…</t>
        </is>
      </c>
      <c r="C96" s="35" t="inlineStr">
        <is>
          <t>Test rollout</t>
        </is>
      </c>
      <c r="D96" s="48" t="n">
        <v>46296</v>
      </c>
      <c r="E96" s="38" t="n"/>
      <c r="F96" s="38" t="n"/>
      <c r="G96" s="38" t="n"/>
      <c r="H96" s="38" t="n"/>
      <c r="I96" s="50" t="inlineStr">
        <is>
          <t>C</t>
        </is>
      </c>
      <c r="J96" s="38" t="n"/>
      <c r="K96" s="38" t="n"/>
      <c r="L96" s="50" t="inlineStr">
        <is>
          <t>C</t>
        </is>
      </c>
      <c r="M96" s="38" t="n"/>
      <c r="N96" s="51" t="inlineStr">
        <is>
          <t>O</t>
        </is>
      </c>
      <c r="O96" s="50" t="inlineStr">
        <is>
          <t>C</t>
        </is>
      </c>
      <c r="P96" s="38" t="n"/>
      <c r="Q96" s="38" t="n"/>
      <c r="R96" s="38" t="n"/>
      <c r="S96" s="38" t="n"/>
      <c r="T96" s="38" t="n"/>
      <c r="U96" s="38" t="n"/>
    </row>
    <row r="97">
      <c r="A97" s="33" t="inlineStr">
        <is>
          <t>APP-03</t>
        </is>
      </c>
      <c r="B97" s="34" t="inlineStr">
        <is>
          <t>CPP HOD to confirm the Power Plant entry form (22 readings and the…</t>
        </is>
      </c>
      <c r="C97" s="35" t="inlineStr">
        <is>
          <t>Test rollout</t>
        </is>
      </c>
      <c r="D97" s="48" t="n">
        <v>46296</v>
      </c>
      <c r="E97" s="38" t="n"/>
      <c r="F97" s="38" t="n"/>
      <c r="G97" s="38" t="n"/>
      <c r="H97" s="38" t="n"/>
      <c r="I97" s="50" t="inlineStr">
        <is>
          <t>C</t>
        </is>
      </c>
      <c r="J97" s="38" t="n"/>
      <c r="K97" s="38" t="n"/>
      <c r="L97" s="38" t="n"/>
      <c r="M97" s="51" t="inlineStr">
        <is>
          <t>O</t>
        </is>
      </c>
      <c r="N97" s="38" t="n"/>
      <c r="O97" s="38" t="n"/>
      <c r="P97" s="38" t="n"/>
      <c r="Q97" s="38" t="n"/>
      <c r="R97" s="38" t="n"/>
      <c r="S97" s="38" t="n"/>
      <c r="T97" s="38" t="n"/>
      <c r="U97" s="38" t="n"/>
    </row>
    <row r="98">
      <c r="A98" s="33" t="inlineStr">
        <is>
          <t>APP-04</t>
        </is>
      </c>
      <c r="B98" s="34" t="inlineStr">
        <is>
          <t>Stop the Sales and Purchases dashboards presenting a March-2026 test…</t>
        </is>
      </c>
      <c r="C98" s="35" t="inlineStr">
        <is>
          <t>Test rollout</t>
        </is>
      </c>
      <c r="D98" s="48" t="n">
        <v>46293</v>
      </c>
      <c r="E98" s="49" t="inlineStr">
        <is>
          <t>D</t>
        </is>
      </c>
      <c r="F98" s="38" t="n"/>
      <c r="G98" s="38" t="n"/>
      <c r="H98" s="38" t="n"/>
      <c r="I98" s="51" t="inlineStr">
        <is>
          <t>O</t>
        </is>
      </c>
      <c r="J98" s="38" t="n"/>
      <c r="K98" s="38" t="n"/>
      <c r="L98" s="38" t="n"/>
      <c r="M98" s="38" t="n"/>
      <c r="N98" s="38" t="n"/>
      <c r="O98" s="38" t="n"/>
      <c r="P98" s="38" t="n"/>
      <c r="Q98" s="38" t="n"/>
      <c r="R98" s="38" t="n"/>
      <c r="S98" s="38" t="n"/>
      <c r="T98" s="50" t="inlineStr">
        <is>
          <t>C</t>
        </is>
      </c>
      <c r="U98" s="50" t="inlineStr">
        <is>
          <t>C</t>
        </is>
      </c>
    </row>
    <row r="99">
      <c r="A99" s="33" t="inlineStr">
        <is>
          <t>APP-05</t>
        </is>
      </c>
      <c r="B99" s="34" t="inlineStr">
        <is>
          <t>Fix 'most recent date with data' so it ignores near-empty reports.…</t>
        </is>
      </c>
      <c r="C99" s="35" t="inlineStr">
        <is>
          <t>Test rollout</t>
        </is>
      </c>
      <c r="D99" s="48" t="n">
        <v>46293</v>
      </c>
      <c r="E99" s="38" t="n"/>
      <c r="F99" s="38" t="n"/>
      <c r="G99" s="38" t="n"/>
      <c r="H99" s="38" t="n"/>
      <c r="I99" s="51" t="inlineStr">
        <is>
          <t>O</t>
        </is>
      </c>
      <c r="J99" s="38" t="n"/>
      <c r="K99" s="38" t="n"/>
      <c r="L99" s="38" t="n"/>
      <c r="M99" s="38" t="n"/>
      <c r="N99" s="38" t="n"/>
      <c r="O99" s="38" t="n"/>
      <c r="P99" s="38" t="n"/>
      <c r="Q99" s="38" t="n"/>
      <c r="R99" s="38" t="n"/>
      <c r="S99" s="38" t="n"/>
      <c r="T99" s="38" t="n"/>
      <c r="U99" s="38" t="n"/>
    </row>
    <row r="100">
      <c r="A100" s="33" t="inlineStr">
        <is>
          <t>APP-06</t>
        </is>
      </c>
      <c r="B100" s="34" t="inlineStr">
        <is>
          <t>Complete the review page / entry form split for the remaining…</t>
        </is>
      </c>
      <c r="C100" s="35" t="inlineStr">
        <is>
          <t>Production go-live</t>
        </is>
      </c>
      <c r="D100" s="48" t="n">
        <v>46325</v>
      </c>
      <c r="E100" s="38" t="n"/>
      <c r="F100" s="49" t="inlineStr">
        <is>
          <t>D</t>
        </is>
      </c>
      <c r="G100" s="38" t="n"/>
      <c r="H100" s="38" t="n"/>
      <c r="I100" s="51" t="inlineStr">
        <is>
          <t>O</t>
        </is>
      </c>
      <c r="J100" s="38" t="n"/>
      <c r="K100" s="38" t="n"/>
      <c r="L100" s="38" t="n"/>
      <c r="M100" s="38" t="n"/>
      <c r="N100" s="50" t="inlineStr">
        <is>
          <t>C</t>
        </is>
      </c>
      <c r="O100" s="38" t="n"/>
      <c r="P100" s="38" t="n"/>
      <c r="Q100" s="38" t="n"/>
      <c r="R100" s="38" t="n"/>
      <c r="S100" s="38" t="n"/>
      <c r="T100" s="38" t="n"/>
      <c r="U100" s="38" t="n"/>
    </row>
    <row r="101">
      <c r="A101" s="33" t="inlineStr">
        <is>
          <t>APP-07</t>
        </is>
      </c>
      <c r="B101" s="34" t="inlineStr">
        <is>
          <t>Executive Summary: 11 KPI cards (MTBF, NAI, stack emission, network…</t>
        </is>
      </c>
      <c r="C101" s="35" t="inlineStr">
        <is>
          <t>Production go-live</t>
        </is>
      </c>
      <c r="D101" s="48" t="n">
        <v>46325</v>
      </c>
      <c r="E101" s="38" t="n"/>
      <c r="F101" s="51" t="inlineStr">
        <is>
          <t>O</t>
        </is>
      </c>
      <c r="G101" s="38" t="n"/>
      <c r="H101" s="38" t="n"/>
      <c r="I101" s="50" t="inlineStr">
        <is>
          <t>C</t>
        </is>
      </c>
      <c r="J101" s="38" t="n"/>
      <c r="K101" s="50" t="inlineStr">
        <is>
          <t>C</t>
        </is>
      </c>
      <c r="L101" s="50" t="inlineStr">
        <is>
          <t>C</t>
        </is>
      </c>
      <c r="M101" s="38" t="n"/>
      <c r="N101" s="50" t="inlineStr">
        <is>
          <t>C</t>
        </is>
      </c>
      <c r="O101" s="50" t="inlineStr">
        <is>
          <t>C</t>
        </is>
      </c>
      <c r="P101" s="38" t="n"/>
      <c r="Q101" s="38" t="n"/>
      <c r="R101" s="38" t="n"/>
      <c r="S101" s="38" t="n"/>
      <c r="T101" s="38" t="n"/>
      <c r="U101" s="38" t="n"/>
    </row>
    <row r="102">
      <c r="A102" s="33" t="inlineStr">
        <is>
          <t>APP-08</t>
        </is>
      </c>
      <c r="B102" s="34" t="inlineStr">
        <is>
          <t>Decide whether plant-floor screens need Swahili labels…</t>
        </is>
      </c>
      <c r="C102" s="35" t="inlineStr">
        <is>
          <t>Post go-live</t>
        </is>
      </c>
      <c r="D102" s="48" t="n">
        <v>46325</v>
      </c>
      <c r="E102" s="38" t="n"/>
      <c r="F102" s="51" t="inlineStr">
        <is>
          <t>O</t>
        </is>
      </c>
      <c r="G102" s="38" t="n"/>
      <c r="H102" s="38" t="n"/>
      <c r="I102" s="50" t="inlineStr">
        <is>
          <t>C</t>
        </is>
      </c>
      <c r="J102" s="38" t="n"/>
      <c r="K102" s="50" t="inlineStr">
        <is>
          <t>C</t>
        </is>
      </c>
      <c r="L102" s="38" t="n"/>
      <c r="M102" s="38" t="n"/>
      <c r="N102" s="38" t="n"/>
      <c r="O102" s="38" t="n"/>
      <c r="P102" s="38" t="n"/>
      <c r="Q102" s="38" t="n"/>
      <c r="R102" s="38" t="n"/>
      <c r="S102" s="38" t="n"/>
      <c r="T102" s="38" t="n"/>
      <c r="U102" s="38" t="n"/>
    </row>
    <row r="103">
      <c r="A103" s="33" t="inlineStr">
        <is>
          <t>APP-09</t>
        </is>
      </c>
      <c r="B103" s="34" t="inlineStr">
        <is>
          <t>Make the live KPI previews on entry forms treat a blank field as 'no…</t>
        </is>
      </c>
      <c r="C103" s="35" t="inlineStr">
        <is>
          <t>Production go-live</t>
        </is>
      </c>
      <c r="D103" s="48" t="n">
        <v>46325</v>
      </c>
      <c r="E103" s="38" t="n"/>
      <c r="F103" s="38" t="n"/>
      <c r="G103" s="38" t="n"/>
      <c r="H103" s="38" t="n"/>
      <c r="I103" s="51" t="inlineStr">
        <is>
          <t>O</t>
        </is>
      </c>
      <c r="J103" s="38" t="n"/>
      <c r="K103" s="38" t="n"/>
      <c r="L103" s="38" t="n"/>
      <c r="M103" s="38" t="n"/>
      <c r="N103" s="38" t="n"/>
      <c r="O103" s="38" t="n"/>
      <c r="P103" s="38" t="n"/>
      <c r="Q103" s="38" t="n"/>
      <c r="R103" s="38" t="n"/>
      <c r="S103" s="38" t="n"/>
      <c r="T103" s="38" t="n"/>
      <c r="U103" s="38" t="n"/>
    </row>
    <row r="104">
      <c r="A104" s="33" t="inlineStr">
        <is>
          <t>QA-01</t>
        </is>
      </c>
      <c r="B104" s="34" t="inlineStr">
        <is>
          <t>Run the full regression on the release candidate (backend tests plus…</t>
        </is>
      </c>
      <c r="C104" s="35" t="inlineStr">
        <is>
          <t>Test rollout</t>
        </is>
      </c>
      <c r="D104" s="48" t="n">
        <v>46295</v>
      </c>
      <c r="E104" s="38" t="n"/>
      <c r="F104" s="38" t="n"/>
      <c r="G104" s="38" t="n"/>
      <c r="H104" s="38" t="n"/>
      <c r="I104" s="51" t="inlineStr">
        <is>
          <t>O</t>
        </is>
      </c>
      <c r="J104" s="38" t="n"/>
      <c r="K104" s="38" t="n"/>
      <c r="L104" s="38" t="n"/>
      <c r="M104" s="38" t="n"/>
      <c r="N104" s="38" t="n"/>
      <c r="O104" s="38" t="n"/>
      <c r="P104" s="38" t="n"/>
      <c r="Q104" s="38" t="n"/>
      <c r="R104" s="38" t="n"/>
      <c r="S104" s="38" t="n"/>
      <c r="T104" s="38" t="n"/>
      <c r="U104" s="38" t="n"/>
    </row>
    <row r="105">
      <c r="A105" s="33" t="inlineStr">
        <is>
          <t>QA-02</t>
        </is>
      </c>
      <c r="B105" s="34" t="inlineStr">
        <is>
          <t>User acceptance test on production: each department's named user…</t>
        </is>
      </c>
      <c r="C105" s="35" t="inlineStr">
        <is>
          <t>Test rollout</t>
        </is>
      </c>
      <c r="D105" s="48" t="n">
        <v>46297</v>
      </c>
      <c r="E105" s="38" t="n"/>
      <c r="F105" s="51" t="inlineStr">
        <is>
          <t>O</t>
        </is>
      </c>
      <c r="G105" s="38" t="n"/>
      <c r="H105" s="38" t="n"/>
      <c r="I105" s="50" t="inlineStr">
        <is>
          <t>C</t>
        </is>
      </c>
      <c r="J105" s="38" t="n"/>
      <c r="K105" s="38" t="n"/>
      <c r="L105" s="50" t="inlineStr">
        <is>
          <t>C</t>
        </is>
      </c>
      <c r="M105" s="50" t="inlineStr">
        <is>
          <t>C</t>
        </is>
      </c>
      <c r="N105" s="50" t="inlineStr">
        <is>
          <t>C</t>
        </is>
      </c>
      <c r="O105" s="50" t="inlineStr">
        <is>
          <t>C</t>
        </is>
      </c>
      <c r="P105" s="50" t="inlineStr">
        <is>
          <t>C</t>
        </is>
      </c>
      <c r="Q105" s="50" t="inlineStr">
        <is>
          <t>C</t>
        </is>
      </c>
      <c r="R105" s="50" t="inlineStr">
        <is>
          <t>C</t>
        </is>
      </c>
      <c r="S105" s="50" t="inlineStr">
        <is>
          <t>C</t>
        </is>
      </c>
      <c r="T105" s="38" t="n"/>
      <c r="U105" s="38" t="n"/>
    </row>
    <row r="106">
      <c r="A106" s="33" t="inlineStr">
        <is>
          <t>QA-03</t>
        </is>
      </c>
      <c r="B106" s="34" t="inlineStr">
        <is>
          <t>Fix the flaky admin-users browser test, then add the browser tests…</t>
        </is>
      </c>
      <c r="C106" s="35" t="inlineStr">
        <is>
          <t>Production go-live</t>
        </is>
      </c>
      <c r="D106" s="48" t="n">
        <v>46325</v>
      </c>
      <c r="E106" s="38" t="n"/>
      <c r="F106" s="38" t="n"/>
      <c r="G106" s="38" t="n"/>
      <c r="H106" s="38" t="n"/>
      <c r="I106" s="51" t="inlineStr">
        <is>
          <t>O</t>
        </is>
      </c>
      <c r="J106" s="38" t="n"/>
      <c r="K106" s="38" t="n"/>
      <c r="L106" s="38" t="n"/>
      <c r="M106" s="38" t="n"/>
      <c r="N106" s="38" t="n"/>
      <c r="O106" s="38" t="n"/>
      <c r="P106" s="38" t="n"/>
      <c r="Q106" s="38" t="n"/>
      <c r="R106" s="38" t="n"/>
      <c r="S106" s="38" t="n"/>
      <c r="T106" s="38" t="n"/>
      <c r="U106" s="38" t="n"/>
    </row>
    <row r="107">
      <c r="A107" s="33" t="inlineStr">
        <is>
          <t>OPS-01</t>
        </is>
      </c>
      <c r="B107" s="34" t="inlineStr">
        <is>
          <t>Approve the test rollout plan: pilot start date (proposed Mon…</t>
        </is>
      </c>
      <c r="C107" s="35" t="inlineStr">
        <is>
          <t>Test rollout</t>
        </is>
      </c>
      <c r="D107" s="48" t="n">
        <v>46289</v>
      </c>
      <c r="E107" s="51" t="inlineStr">
        <is>
          <t>O</t>
        </is>
      </c>
      <c r="F107" s="49" t="inlineStr">
        <is>
          <t>D</t>
        </is>
      </c>
      <c r="G107" s="38" t="n"/>
      <c r="H107" s="50" t="inlineStr">
        <is>
          <t>C</t>
        </is>
      </c>
      <c r="I107" s="50" t="inlineStr">
        <is>
          <t>C</t>
        </is>
      </c>
      <c r="J107" s="38" t="n"/>
      <c r="K107" s="38" t="n"/>
      <c r="L107" s="50" t="inlineStr">
        <is>
          <t>C</t>
        </is>
      </c>
      <c r="M107" s="50" t="inlineStr">
        <is>
          <t>C</t>
        </is>
      </c>
      <c r="N107" s="50" t="inlineStr">
        <is>
          <t>C</t>
        </is>
      </c>
      <c r="O107" s="50" t="inlineStr">
        <is>
          <t>C</t>
        </is>
      </c>
      <c r="P107" s="50" t="inlineStr">
        <is>
          <t>C</t>
        </is>
      </c>
      <c r="Q107" s="50" t="inlineStr">
        <is>
          <t>C</t>
        </is>
      </c>
      <c r="R107" s="50" t="inlineStr">
        <is>
          <t>C</t>
        </is>
      </c>
      <c r="S107" s="50" t="inlineStr">
        <is>
          <t>C</t>
        </is>
      </c>
      <c r="T107" s="38" t="n"/>
      <c r="U107" s="38" t="n"/>
    </row>
    <row r="108">
      <c r="A108" s="33" t="inlineStr">
        <is>
          <t>OPS-02</t>
        </is>
      </c>
      <c r="B108" s="34" t="inlineStr">
        <is>
          <t>Name one accountable data-entry owner per daily form, and one daily…</t>
        </is>
      </c>
      <c r="C108" s="35" t="inlineStr">
        <is>
          <t>Test rollout</t>
        </is>
      </c>
      <c r="D108" s="48" t="n">
        <v>46295</v>
      </c>
      <c r="E108" s="38" t="n"/>
      <c r="F108" s="51" t="inlineStr">
        <is>
          <t>O</t>
        </is>
      </c>
      <c r="G108" s="38" t="n"/>
      <c r="H108" s="38" t="n"/>
      <c r="I108" s="38" t="n"/>
      <c r="J108" s="38" t="n"/>
      <c r="K108" s="38" t="n"/>
      <c r="L108" s="50" t="inlineStr">
        <is>
          <t>C</t>
        </is>
      </c>
      <c r="M108" s="50" t="inlineStr">
        <is>
          <t>C</t>
        </is>
      </c>
      <c r="N108" s="50" t="inlineStr">
        <is>
          <t>C</t>
        </is>
      </c>
      <c r="O108" s="50" t="inlineStr">
        <is>
          <t>C</t>
        </is>
      </c>
      <c r="P108" s="50" t="inlineStr">
        <is>
          <t>C</t>
        </is>
      </c>
      <c r="Q108" s="50" t="inlineStr">
        <is>
          <t>C</t>
        </is>
      </c>
      <c r="R108" s="50" t="inlineStr">
        <is>
          <t>C</t>
        </is>
      </c>
      <c r="S108" s="50" t="inlineStr">
        <is>
          <t>C</t>
        </is>
      </c>
      <c r="T108" s="38" t="n"/>
      <c r="U108" s="38" t="n"/>
    </row>
    <row r="109">
      <c r="A109" s="33" t="inlineStr">
        <is>
          <t>OPS-03</t>
        </is>
      </c>
      <c r="B109" s="34" t="inlineStr">
        <is>
          <t>Train pilot users by role (enter and submit; HOD approval; setting a…</t>
        </is>
      </c>
      <c r="C109" s="35" t="inlineStr">
        <is>
          <t>Test rollout</t>
        </is>
      </c>
      <c r="D109" s="48" t="n">
        <v>46297</v>
      </c>
      <c r="E109" s="38" t="n"/>
      <c r="F109" s="38" t="n"/>
      <c r="G109" s="38" t="n"/>
      <c r="H109" s="38" t="n"/>
      <c r="I109" s="51" t="inlineStr">
        <is>
          <t>O</t>
        </is>
      </c>
      <c r="J109" s="38" t="n"/>
      <c r="K109" s="50" t="inlineStr">
        <is>
          <t>C</t>
        </is>
      </c>
      <c r="L109" s="50" t="inlineStr">
        <is>
          <t>C</t>
        </is>
      </c>
      <c r="M109" s="50" t="inlineStr">
        <is>
          <t>C</t>
        </is>
      </c>
      <c r="N109" s="50" t="inlineStr">
        <is>
          <t>C</t>
        </is>
      </c>
      <c r="O109" s="50" t="inlineStr">
        <is>
          <t>C</t>
        </is>
      </c>
      <c r="P109" s="50" t="inlineStr">
        <is>
          <t>C</t>
        </is>
      </c>
      <c r="Q109" s="50" t="inlineStr">
        <is>
          <t>C</t>
        </is>
      </c>
      <c r="R109" s="50" t="inlineStr">
        <is>
          <t>C</t>
        </is>
      </c>
      <c r="S109" s="50" t="inlineStr">
        <is>
          <t>C</t>
        </is>
      </c>
      <c r="T109" s="38" t="n"/>
      <c r="U109" s="38" t="n"/>
    </row>
    <row r="110">
      <c r="A110" s="33" t="inlineStr">
        <is>
          <t>OPS-04</t>
        </is>
      </c>
      <c r="B110" s="34" t="inlineStr">
        <is>
          <t>Confirm every data-entry point (control room, CPP, packing, stores,…</t>
        </is>
      </c>
      <c r="C110" s="35" t="inlineStr">
        <is>
          <t>Test rollout</t>
        </is>
      </c>
      <c r="D110" s="48" t="n">
        <v>46295</v>
      </c>
      <c r="E110" s="38" t="n"/>
      <c r="F110" s="38" t="n"/>
      <c r="G110" s="38" t="n"/>
      <c r="H110" s="51" t="inlineStr">
        <is>
          <t>O</t>
        </is>
      </c>
      <c r="I110" s="38" t="n"/>
      <c r="J110" s="38" t="n"/>
      <c r="K110" s="38" t="n"/>
      <c r="L110" s="50" t="inlineStr">
        <is>
          <t>C</t>
        </is>
      </c>
      <c r="M110" s="50" t="inlineStr">
        <is>
          <t>C</t>
        </is>
      </c>
      <c r="N110" s="50" t="inlineStr">
        <is>
          <t>C</t>
        </is>
      </c>
      <c r="O110" s="50" t="inlineStr">
        <is>
          <t>C</t>
        </is>
      </c>
      <c r="P110" s="50" t="inlineStr">
        <is>
          <t>C</t>
        </is>
      </c>
      <c r="Q110" s="50" t="inlineStr">
        <is>
          <t>C</t>
        </is>
      </c>
      <c r="R110" s="50" t="inlineStr">
        <is>
          <t>C</t>
        </is>
      </c>
      <c r="S110" s="50" t="inlineStr">
        <is>
          <t>C</t>
        </is>
      </c>
      <c r="T110" s="38" t="n"/>
      <c r="U110" s="38" t="n"/>
    </row>
    <row r="111">
      <c r="A111" s="33" t="inlineStr">
        <is>
          <t>OPS-05</t>
        </is>
      </c>
      <c r="B111" s="34" t="inlineStr">
        <is>
          <t>Announce the pilot (URL, login steps, support contact, how to report…</t>
        </is>
      </c>
      <c r="C111" s="35" t="inlineStr">
        <is>
          <t>Test rollout</t>
        </is>
      </c>
      <c r="D111" s="48" t="n">
        <v>46297</v>
      </c>
      <c r="E111" s="38" t="n"/>
      <c r="F111" s="51" t="inlineStr">
        <is>
          <t>O</t>
        </is>
      </c>
      <c r="G111" s="38" t="n"/>
      <c r="H111" s="50" t="inlineStr">
        <is>
          <t>C</t>
        </is>
      </c>
      <c r="I111" s="50" t="inlineStr">
        <is>
          <t>C</t>
        </is>
      </c>
      <c r="J111" s="38" t="n"/>
      <c r="K111" s="38" t="n"/>
      <c r="L111" s="38" t="n"/>
      <c r="M111" s="38" t="n"/>
      <c r="N111" s="38" t="n"/>
      <c r="O111" s="38" t="n"/>
      <c r="P111" s="38" t="n"/>
      <c r="Q111" s="38" t="n"/>
      <c r="R111" s="38" t="n"/>
      <c r="S111" s="38" t="n"/>
      <c r="T111" s="38" t="n"/>
      <c r="U111" s="38" t="n"/>
    </row>
    <row r="112">
      <c r="A112" s="33" t="inlineStr">
        <is>
          <t>OPS-06</t>
        </is>
      </c>
      <c r="B112" s="34" t="inlineStr">
        <is>
          <t>Cutover decision at the end of the parallel run: sign off against…</t>
        </is>
      </c>
      <c r="C112" s="35" t="inlineStr">
        <is>
          <t>Production go-live</t>
        </is>
      </c>
      <c r="D112" s="48" t="n">
        <v>46328</v>
      </c>
      <c r="E112" s="51" t="inlineStr">
        <is>
          <t>O</t>
        </is>
      </c>
      <c r="F112" s="49" t="inlineStr">
        <is>
          <t>D</t>
        </is>
      </c>
      <c r="G112" s="38" t="n"/>
      <c r="H112" s="50" t="inlineStr">
        <is>
          <t>C</t>
        </is>
      </c>
      <c r="I112" s="50" t="inlineStr">
        <is>
          <t>C</t>
        </is>
      </c>
      <c r="J112" s="38" t="n"/>
      <c r="K112" s="38" t="n"/>
      <c r="L112" s="50" t="inlineStr">
        <is>
          <t>C</t>
        </is>
      </c>
      <c r="M112" s="50" t="inlineStr">
        <is>
          <t>C</t>
        </is>
      </c>
      <c r="N112" s="50" t="inlineStr">
        <is>
          <t>C</t>
        </is>
      </c>
      <c r="O112" s="50" t="inlineStr">
        <is>
          <t>C</t>
        </is>
      </c>
      <c r="P112" s="50" t="inlineStr">
        <is>
          <t>C</t>
        </is>
      </c>
      <c r="Q112" s="50" t="inlineStr">
        <is>
          <t>C</t>
        </is>
      </c>
      <c r="R112" s="50" t="inlineStr">
        <is>
          <t>C</t>
        </is>
      </c>
      <c r="S112" s="50" t="inlineStr">
        <is>
          <t>C</t>
        </is>
      </c>
      <c r="T112" s="38" t="n"/>
      <c r="U112" s="38" t="n"/>
    </row>
    <row r="113">
      <c r="A113" s="33" t="inlineStr">
        <is>
          <t>GOV-01</t>
        </is>
      </c>
      <c r="B113" s="34" t="inlineStr">
        <is>
          <t>Confirm who pays for and holds the contracts for the DigitalOcean…</t>
        </is>
      </c>
      <c r="C113" s="35" t="inlineStr">
        <is>
          <t>Production go-live</t>
        </is>
      </c>
      <c r="D113" s="48" t="n">
        <v>46295</v>
      </c>
      <c r="E113" s="49" t="inlineStr">
        <is>
          <t>D</t>
        </is>
      </c>
      <c r="F113" s="38" t="n"/>
      <c r="G113" s="51" t="inlineStr">
        <is>
          <t>O</t>
        </is>
      </c>
      <c r="H113" s="50" t="inlineStr">
        <is>
          <t>C</t>
        </is>
      </c>
      <c r="I113" s="38" t="n"/>
      <c r="J113" s="50" t="inlineStr">
        <is>
          <t>C</t>
        </is>
      </c>
      <c r="K113" s="38" t="n"/>
      <c r="L113" s="38" t="n"/>
      <c r="M113" s="38" t="n"/>
      <c r="N113" s="38" t="n"/>
      <c r="O113" s="38" t="n"/>
      <c r="P113" s="38" t="n"/>
      <c r="Q113" s="38" t="n"/>
      <c r="R113" s="38" t="n"/>
      <c r="S113" s="38" t="n"/>
      <c r="T113" s="38" t="n"/>
      <c r="U113" s="38" t="n"/>
    </row>
    <row r="114">
      <c r="A114" s="33" t="inlineStr">
        <is>
          <t>GOV-02</t>
        </is>
      </c>
      <c r="B114" s="34" t="inlineStr">
        <is>
          <t>Update the go-live documents to match the cloud setup…</t>
        </is>
      </c>
      <c r="C114" s="35" t="inlineStr">
        <is>
          <t>Production go-live</t>
        </is>
      </c>
      <c r="D114" s="48" t="n">
        <v>46311</v>
      </c>
      <c r="E114" s="38" t="n"/>
      <c r="F114" s="38" t="n"/>
      <c r="G114" s="38" t="n"/>
      <c r="H114" s="38" t="n"/>
      <c r="I114" s="51" t="inlineStr">
        <is>
          <t>O</t>
        </is>
      </c>
      <c r="J114" s="50" t="inlineStr">
        <is>
          <t>C</t>
        </is>
      </c>
      <c r="K114" s="38" t="n"/>
      <c r="L114" s="38" t="n"/>
      <c r="M114" s="38" t="n"/>
      <c r="N114" s="38" t="n"/>
      <c r="O114" s="38" t="n"/>
      <c r="P114" s="38" t="n"/>
      <c r="Q114" s="38" t="n"/>
      <c r="R114" s="38" t="n"/>
      <c r="S114" s="38" t="n"/>
      <c r="T114" s="38" t="n"/>
      <c r="U114" s="38" t="n"/>
    </row>
    <row r="115">
      <c r="B115" s="42" t="inlineStr">
        <is>
          <t>Tasks owned →</t>
        </is>
      </c>
      <c r="E115" s="52">
        <f>COUNTIF(E65:E114,"O")</f>
        <v/>
      </c>
      <c r="F115" s="52">
        <f>COUNTIF(F65:F114,"O")</f>
        <v/>
      </c>
      <c r="G115" s="52">
        <f>COUNTIF(G65:G114,"O")</f>
        <v/>
      </c>
      <c r="H115" s="52">
        <f>COUNTIF(H65:H114,"O")</f>
        <v/>
      </c>
      <c r="I115" s="52">
        <f>COUNTIF(I65:I114,"O")</f>
        <v/>
      </c>
      <c r="J115" s="52">
        <f>COUNTIF(J65:J114,"O")</f>
        <v/>
      </c>
      <c r="K115" s="52">
        <f>COUNTIF(K65:K114,"O")</f>
        <v/>
      </c>
      <c r="L115" s="52">
        <f>COUNTIF(L65:L114,"O")</f>
        <v/>
      </c>
      <c r="M115" s="52">
        <f>COUNTIF(M65:M114,"O")</f>
        <v/>
      </c>
      <c r="N115" s="52">
        <f>COUNTIF(N65:N114,"O")</f>
        <v/>
      </c>
      <c r="O115" s="52">
        <f>COUNTIF(O65:O114,"O")</f>
        <v/>
      </c>
      <c r="P115" s="52">
        <f>COUNTIF(P65:P114,"O")</f>
        <v/>
      </c>
      <c r="Q115" s="52">
        <f>COUNTIF(Q65:Q114,"O")</f>
        <v/>
      </c>
      <c r="R115" s="52">
        <f>COUNTIF(R65:R114,"O")</f>
        <v/>
      </c>
      <c r="S115" s="52">
        <f>COUNTIF(S65:S114,"O")</f>
        <v/>
      </c>
      <c r="T115" s="52">
        <f>COUNTIF(T65:T114,"O")</f>
        <v/>
      </c>
      <c r="U115" s="52">
        <f>COUNTIF(U65:U114,"O")</f>
        <v/>
      </c>
    </row>
    <row r="116">
      <c r="B116" s="42" t="inlineStr">
        <is>
          <t>Tasks to coordinate on →</t>
        </is>
      </c>
      <c r="E116" s="52">
        <f>COUNTIF(E65:E114,"C")</f>
        <v/>
      </c>
      <c r="F116" s="52">
        <f>COUNTIF(F65:F114,"C")</f>
        <v/>
      </c>
      <c r="G116" s="52">
        <f>COUNTIF(G65:G114,"C")</f>
        <v/>
      </c>
      <c r="H116" s="52">
        <f>COUNTIF(H65:H114,"C")</f>
        <v/>
      </c>
      <c r="I116" s="52">
        <f>COUNTIF(I65:I114,"C")</f>
        <v/>
      </c>
      <c r="J116" s="52">
        <f>COUNTIF(J65:J114,"C")</f>
        <v/>
      </c>
      <c r="K116" s="52">
        <f>COUNTIF(K65:K114,"C")</f>
        <v/>
      </c>
      <c r="L116" s="52">
        <f>COUNTIF(L65:L114,"C")</f>
        <v/>
      </c>
      <c r="M116" s="52">
        <f>COUNTIF(M65:M114,"C")</f>
        <v/>
      </c>
      <c r="N116" s="52">
        <f>COUNTIF(N65:N114,"C")</f>
        <v/>
      </c>
      <c r="O116" s="52">
        <f>COUNTIF(O65:O114,"C")</f>
        <v/>
      </c>
      <c r="P116" s="52">
        <f>COUNTIF(P65:P114,"C")</f>
        <v/>
      </c>
      <c r="Q116" s="52">
        <f>COUNTIF(Q65:Q114,"C")</f>
        <v/>
      </c>
      <c r="R116" s="52">
        <f>COUNTIF(R65:R114,"C")</f>
        <v/>
      </c>
      <c r="S116" s="52">
        <f>COUNTIF(S65:S114,"C")</f>
        <v/>
      </c>
      <c r="T116" s="52">
        <f>COUNTIF(T65:T114,"C")</f>
        <v/>
      </c>
      <c r="U116" s="52">
        <f>COUNTIF(U65:U114,"C")</f>
        <v/>
      </c>
    </row>
    <row r="117">
      <c r="B117" s="42" t="inlineStr">
        <is>
          <t>Decisions / approvals needed →</t>
        </is>
      </c>
      <c r="E117" s="52">
        <f>COUNTIF(E65:E114,"D")</f>
        <v/>
      </c>
      <c r="F117" s="52">
        <f>COUNTIF(F65:F114,"D")</f>
        <v/>
      </c>
      <c r="G117" s="52">
        <f>COUNTIF(G65:G114,"D")</f>
        <v/>
      </c>
      <c r="H117" s="52">
        <f>COUNTIF(H65:H114,"D")</f>
        <v/>
      </c>
      <c r="I117" s="52">
        <f>COUNTIF(I65:I114,"D")</f>
        <v/>
      </c>
      <c r="J117" s="52">
        <f>COUNTIF(J65:J114,"D")</f>
        <v/>
      </c>
      <c r="K117" s="52">
        <f>COUNTIF(K65:K114,"D")</f>
        <v/>
      </c>
      <c r="L117" s="52">
        <f>COUNTIF(L65:L114,"D")</f>
        <v/>
      </c>
      <c r="M117" s="52">
        <f>COUNTIF(M65:M114,"D")</f>
        <v/>
      </c>
      <c r="N117" s="52">
        <f>COUNTIF(N65:N114,"D")</f>
        <v/>
      </c>
      <c r="O117" s="52">
        <f>COUNTIF(O65:O114,"D")</f>
        <v/>
      </c>
      <c r="P117" s="52">
        <f>COUNTIF(P65:P114,"D")</f>
        <v/>
      </c>
      <c r="Q117" s="52">
        <f>COUNTIF(Q65:Q114,"D")</f>
        <v/>
      </c>
      <c r="R117" s="52">
        <f>COUNTIF(R65:R114,"D")</f>
        <v/>
      </c>
      <c r="S117" s="52">
        <f>COUNTIF(S65:S114,"D")</f>
        <v/>
      </c>
      <c r="T117" s="52">
        <f>COUNTIF(T65:T114,"D")</f>
        <v/>
      </c>
      <c r="U117" s="52">
        <f>COUNTIF(U65:U114,"D")</f>
        <v/>
      </c>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I39"/>
  <sheetViews>
    <sheetView workbookViewId="0">
      <selection activeCell="A1" sqref="A1"/>
    </sheetView>
  </sheetViews>
  <sheetFormatPr baseColWidth="8" defaultRowHeight="15"/>
  <cols>
    <col width="4" customWidth="1" min="1" max="1"/>
    <col width="34" customWidth="1" min="2" max="2"/>
    <col width="50" customWidth="1" min="3" max="3"/>
    <col width="34" customWidth="1" min="4" max="4"/>
    <col width="34" customWidth="1" min="5" max="5"/>
    <col width="11" customWidth="1" min="6" max="6"/>
    <col width="12" customWidth="1" min="7" max="7"/>
    <col width="13" customWidth="1" min="8" max="8"/>
    <col width="22" customWidth="1" min="9" max="9"/>
  </cols>
  <sheetData>
    <row r="1">
      <c r="A1" s="1" t="inlineStr">
        <is>
          <t>Top 10 Actions Before Test Rollout</t>
        </is>
      </c>
    </row>
    <row r="2">
      <c r="A2" s="2" t="inlineStr">
        <is>
          <t>Lake Cement MIS (Nyati Dashboard) · Status verified on 17-Sep-2026 against the code, database and live production server</t>
        </is>
      </c>
    </row>
    <row r="3" ht="4" customHeight="1">
      <c r="A3" s="3" t="n"/>
      <c r="B3" s="3" t="n"/>
      <c r="C3" s="3" t="n"/>
      <c r="D3" s="3" t="n"/>
      <c r="E3" s="3" t="n"/>
      <c r="F3" s="3" t="n"/>
      <c r="G3" s="3" t="n"/>
      <c r="H3" s="3" t="n"/>
      <c r="I3" s="3" t="n"/>
    </row>
    <row r="5">
      <c r="B5" s="31" t="inlineStr">
        <is>
          <t>Proposed key dates</t>
        </is>
      </c>
      <c r="D5" s="31" t="inlineStr">
        <is>
          <t>Snapshot (updates from the tracker)</t>
        </is>
      </c>
    </row>
    <row r="6">
      <c r="B6" s="6" t="inlineStr">
        <is>
          <t>Management decisions</t>
        </is>
      </c>
      <c r="C6" s="53" t="n">
        <v>46289</v>
      </c>
      <c r="D6" s="6" t="inlineStr">
        <is>
          <t>Open tasks – total</t>
        </is>
      </c>
      <c r="E6" s="54">
        <f>COUNTIFS('Go-Live Master Tracker'!$D$6:$D$300,"?*",'Go-Live Master Tracker'!$D$6:$D$300,"&lt;&gt;Done")</f>
        <v/>
      </c>
    </row>
    <row r="7">
      <c r="B7" s="6" t="inlineStr">
        <is>
          <t>Email and HTTPS fixed</t>
        </is>
      </c>
      <c r="C7" s="53" t="n">
        <v>46294</v>
      </c>
      <c r="D7" s="6" t="inlineStr">
        <is>
          <t>Open – needed before test rollout</t>
        </is>
      </c>
      <c r="E7" s="54">
        <f>COUNTIFS('Go-Live Master Tracker'!$K$6:$K$300,"Test rollout",'Go-Live Master Tracker'!$D$6:$D$300,"&lt;&gt;Done")</f>
        <v/>
      </c>
    </row>
    <row r="8">
      <c r="B8" s="6" t="inlineStr">
        <is>
          <t>Release tested and deployed</t>
        </is>
      </c>
      <c r="C8" s="53" t="n">
        <v>46295</v>
      </c>
      <c r="D8" s="6" t="inlineStr">
        <is>
          <t>Open – needed before production go-live</t>
        </is>
      </c>
      <c r="E8" s="54">
        <f>COUNTIFS('Go-Live Master Tracker'!$K$6:$K$300,"Production go-live",'Go-Live Master Tracker'!$D$6:$D$300,"&lt;&gt;Done")</f>
        <v/>
      </c>
    </row>
    <row r="9">
      <c r="B9" s="6" t="inlineStr">
        <is>
          <t>UAT, accounts and training</t>
        </is>
      </c>
      <c r="C9" s="53" t="n">
        <v>46297</v>
      </c>
      <c r="D9" s="6" t="inlineStr">
        <is>
          <t>Open – post go-live improvements</t>
        </is>
      </c>
      <c r="E9" s="54">
        <f>COUNTIFS('Go-Live Master Tracker'!$K$6:$K$300,"Post go-live",'Go-Live Master Tracker'!$D$6:$D$300,"&lt;&gt;Done")</f>
        <v/>
      </c>
    </row>
    <row r="10">
      <c r="B10" s="55" t="inlineStr">
        <is>
          <t>Pilot starts (parallel run with Excel)</t>
        </is>
      </c>
      <c r="C10" s="56" t="n">
        <v>46300</v>
      </c>
      <c r="D10" s="6" t="inlineStr">
        <is>
          <t>Awaiting a management decision</t>
        </is>
      </c>
      <c r="E10" s="54">
        <f>COUNTIFS('Go-Live Master Tracker'!$M$6:$M$300,"Yes",'Go-Live Master Tracker'!$D$6:$D$300,"&lt;&gt;Done")</f>
        <v/>
      </c>
    </row>
    <row r="11">
      <c r="B11" s="6" t="inlineStr">
        <is>
          <t>Parallel run ends</t>
        </is>
      </c>
      <c r="C11" s="53" t="n">
        <v>46325</v>
      </c>
      <c r="D11" s="6" t="inlineStr">
        <is>
          <t>Blocked</t>
        </is>
      </c>
      <c r="E11" s="54">
        <f>COUNTIF('Go-Live Master Tracker'!$D$6:$D$300,"Blocked")</f>
        <v/>
      </c>
    </row>
    <row r="12">
      <c r="B12" s="6" t="inlineStr">
        <is>
          <t>Cutover decision</t>
        </is>
      </c>
      <c r="C12" s="53" t="n">
        <v>46328</v>
      </c>
      <c r="D12" s="6" t="inlineStr">
        <is>
          <t>Critical and not started</t>
        </is>
      </c>
      <c r="E12" s="54">
        <f>COUNTIFS('Go-Live Master Tracker'!$L$6:$L$300,"Critical",'Go-Live Master Tracker'!$D$6:$D$300,"Not Started")</f>
        <v/>
      </c>
    </row>
    <row r="13">
      <c r="B13" s="57" t="inlineStr">
        <is>
          <t>Proposed only. No rollout date exists in the project; confirm under OPS-01.</t>
        </is>
      </c>
      <c r="D13" s="6" t="inlineStr">
        <is>
          <t>Overdue (deadline passed, not Done)</t>
        </is>
      </c>
      <c r="E13" s="54">
        <f>COUNTIFS('Go-Live Master Tracker'!$I$6:$I$300,"&lt;"&amp;TODAY(),'Go-Live Master Tracker'!$D$6:$D$300,"&lt;&gt;Done")</f>
        <v/>
      </c>
    </row>
    <row r="16">
      <c r="A16" s="31" t="inlineStr">
        <is>
          <t>The 10 actions</t>
        </is>
      </c>
    </row>
    <row r="17" ht="34" customHeight="1">
      <c r="A17" s="4" t="inlineStr">
        <is>
          <t>#</t>
        </is>
      </c>
      <c r="B17" s="4" t="inlineStr">
        <is>
          <t>Action</t>
        </is>
      </c>
      <c r="C17" s="4" t="inlineStr">
        <is>
          <t>Why it blocks the pilot</t>
        </is>
      </c>
      <c r="D17" s="4" t="inlineStr">
        <is>
          <t>Owner</t>
        </is>
      </c>
      <c r="E17" s="4" t="inlineStr">
        <is>
          <t>Coordinate with</t>
        </is>
      </c>
      <c r="F17" s="4" t="inlineStr">
        <is>
          <t>Deadline</t>
        </is>
      </c>
      <c r="G17" s="4" t="inlineStr">
        <is>
          <t>Management input?</t>
        </is>
      </c>
      <c r="H17" s="4" t="inlineStr">
        <is>
          <t>Dept coordination?</t>
        </is>
      </c>
      <c r="I17" s="4" t="inlineStr">
        <is>
          <t>Tracker IDs</t>
        </is>
      </c>
    </row>
    <row r="18">
      <c r="A18" s="58" t="n">
        <v>1</v>
      </c>
      <c r="B18" s="5" t="inlineStr">
        <is>
          <t>Approve the pilot plan and dates</t>
        </is>
      </c>
      <c r="C18" s="6" t="inlineStr">
        <is>
          <t>Nothing can be scheduled. No rollout date, pilot scope or cutover sign-off authority is recorded anywhere.</t>
        </is>
      </c>
      <c r="D18" s="6" t="inlineStr">
        <is>
          <t>Kush Patel (Managing Director) with Pavan Gandhi (Plant Head / COO)</t>
        </is>
      </c>
      <c r="E18" s="6" t="inlineStr">
        <is>
          <t>All operating HODs; IT</t>
        </is>
      </c>
      <c r="F18" s="59" t="n">
        <v>46289</v>
      </c>
      <c r="G18" s="60" t="inlineStr">
        <is>
          <t>Yes</t>
        </is>
      </c>
      <c r="H18" s="60" t="inlineStr">
        <is>
          <t>Yes</t>
        </is>
      </c>
      <c r="I18" s="10" t="inlineStr">
        <is>
          <t>OPS-01</t>
        </is>
      </c>
    </row>
    <row r="19">
      <c r="A19" s="61" t="n">
        <v>2</v>
      </c>
      <c r="B19" s="11" t="inlineStr">
        <is>
          <t>Turn on HTTPS for the MIS site</t>
        </is>
      </c>
      <c r="C19" s="12" t="inlineStr">
        <is>
          <t>Port 443 is closed on production, so logins travel unencrypted. Invite and reset links also need the final https address.</t>
        </is>
      </c>
      <c r="D19" s="12" t="inlineStr">
        <is>
          <t>Teckzilla – Odoo &amp; hosting vendor (contact: Ankita)</t>
        </is>
      </c>
      <c r="E19" s="12" t="inlineStr">
        <is>
          <t>IT (DNS record and hostname approval); MIS</t>
        </is>
      </c>
      <c r="F19" s="62" t="n">
        <v>46294</v>
      </c>
      <c r="G19" s="27" t="inlineStr">
        <is>
          <t>No</t>
        </is>
      </c>
      <c r="H19" s="60" t="inlineStr">
        <is>
          <t>Yes</t>
        </is>
      </c>
      <c r="I19" s="16" t="inlineStr">
        <is>
          <t>INF-01</t>
        </is>
      </c>
    </row>
    <row r="20">
      <c r="A20" s="58" t="n">
        <v>3</v>
      </c>
      <c r="B20" s="5" t="inlineStr">
        <is>
          <t>Unblock email and name the recipients</t>
        </is>
      </c>
      <c r="C20" s="6" t="inlineStr">
        <is>
          <t>Microsoft 365 blocks the MIS mailbox, so no invite, password reset, KPI digest or alert can be sent. Nobody has been named to receive the digest or alerts.</t>
        </is>
      </c>
      <c r="D20" s="6" t="inlineStr">
        <is>
          <t>Saurabh Bhattacharya (IT HOD) (mailbox); Pavan Gandhi (Plant Head / COO) (recipients)</t>
        </is>
      </c>
      <c r="E20" s="6" t="inlineStr">
        <is>
          <t>IT; Plant Head; MD; MIS</t>
        </is>
      </c>
      <c r="F20" s="59" t="n">
        <v>46290</v>
      </c>
      <c r="G20" s="60" t="inlineStr">
        <is>
          <t>Yes</t>
        </is>
      </c>
      <c r="H20" s="60" t="inlineStr">
        <is>
          <t>Yes</t>
        </is>
      </c>
      <c r="I20" s="10" t="inlineStr">
        <is>
          <t>EML-01, EML-02, EML-03</t>
        </is>
      </c>
    </row>
    <row r="21">
      <c r="A21" s="61" t="n">
        <v>4</v>
      </c>
      <c r="B21" s="11" t="inlineStr">
        <is>
          <t>Ship one clean, tested release</t>
        </is>
      </c>
      <c r="C21" s="12" t="inlineStr">
        <is>
          <t>36 files are uncommitted, and the test suite currently fails (a broken mailer test), which blocks every deploy. What production runs is unconfirmed.</t>
        </is>
      </c>
      <c r="D21" s="12" t="inlineStr">
        <is>
          <t>Razak Mbaga (MIS developer)</t>
        </is>
      </c>
      <c r="E21" s="12" t="inlineStr">
        <is>
          <t>Plant Head (approve page layouts)</t>
        </is>
      </c>
      <c r="F21" s="62" t="n">
        <v>46295</v>
      </c>
      <c r="G21" s="27" t="inlineStr">
        <is>
          <t>No</t>
        </is>
      </c>
      <c r="H21" s="27" t="inlineStr">
        <is>
          <t>No</t>
        </is>
      </c>
      <c r="I21" s="16" t="inlineStr">
        <is>
          <t>APP-01, QA-01, INF-03</t>
        </is>
      </c>
    </row>
    <row r="22">
      <c r="A22" s="58" t="n">
        <v>5</v>
      </c>
      <c r="B22" s="5" t="inlineStr">
        <is>
          <t>Give every pilot user a named account</t>
        </is>
      </c>
      <c r="C22" s="6" t="inlineStr">
        <is>
          <t>33 staff slots have no named person, and staff without a company mailbox have no way to receive a login.</t>
        </is>
      </c>
      <c r="D22" s="6" t="inlineStr">
        <is>
          <t>Saurabh Bhattacharya (IT HOD) (collection); Pavan Gandhi (Plant Head / COO) (mailbox policy)</t>
        </is>
      </c>
      <c r="E22" s="6" t="inlineStr">
        <is>
          <t>All 15 HODs; HR; MIS</t>
        </is>
      </c>
      <c r="F22" s="59" t="n">
        <v>46296</v>
      </c>
      <c r="G22" s="60" t="inlineStr">
        <is>
          <t>Yes</t>
        </is>
      </c>
      <c r="H22" s="60" t="inlineStr">
        <is>
          <t>Yes</t>
        </is>
      </c>
      <c r="I22" s="10" t="inlineStr">
        <is>
          <t>ACC-01, ACC-02, ACC-03</t>
        </is>
      </c>
    </row>
    <row r="23">
      <c r="A23" s="61" t="n">
        <v>6</v>
      </c>
      <c r="B23" s="11" t="inlineStr">
        <is>
          <t>Remove test accounts and default passwords</t>
        </is>
      </c>
      <c r="C23" s="12" t="inlineStr">
        <is>
          <t>A test account with admin rights is still active, and 37 of 46 accounts use passwords stored in the code repository.</t>
        </is>
      </c>
      <c r="D23" s="12" t="inlineStr">
        <is>
          <t>Razak Mbaga (MIS developer)</t>
        </is>
      </c>
      <c r="E23" s="12" t="inlineStr">
        <is>
          <t>IT; all HODs (holders set passwords)</t>
        </is>
      </c>
      <c r="F23" s="62" t="n">
        <v>46297</v>
      </c>
      <c r="G23" s="27" t="inlineStr">
        <is>
          <t>No</t>
        </is>
      </c>
      <c r="H23" s="60" t="inlineStr">
        <is>
          <t>Yes</t>
        </is>
      </c>
      <c r="I23" s="16" t="inlineStr">
        <is>
          <t>SEC-02, SEC-03, SEC-01</t>
        </is>
      </c>
    </row>
    <row r="24">
      <c r="A24" s="58" t="n">
        <v>7</v>
      </c>
      <c r="B24" s="5" t="inlineStr">
        <is>
          <t>Put backups on a separate disk and prove a restore</t>
        </is>
      </c>
      <c r="C24" s="6" t="inlineStr">
        <is>
          <t>Production health is 'degraded': backups share the app's disk, so one disk failure loses both.</t>
        </is>
      </c>
      <c r="D24" s="6" t="inlineStr">
        <is>
          <t>Teckzilla – Odoo &amp; hosting vendor (contact: Ankita)</t>
        </is>
      </c>
      <c r="E24" s="6" t="inlineStr">
        <is>
          <t>IT (destination); Finance (storage cost); MIS</t>
        </is>
      </c>
      <c r="F24" s="59" t="n">
        <v>46297</v>
      </c>
      <c r="G24" s="25" t="inlineStr">
        <is>
          <t>No</t>
        </is>
      </c>
      <c r="H24" s="60" t="inlineStr">
        <is>
          <t>Yes</t>
        </is>
      </c>
      <c r="I24" s="10" t="inlineStr">
        <is>
          <t>INF-02, INF-05</t>
        </is>
      </c>
    </row>
    <row r="25">
      <c r="A25" s="61" t="n">
        <v>8</v>
      </c>
      <c r="B25" s="11" t="inlineStr">
        <is>
          <t>Confirm who approves what</t>
        </is>
      </c>
      <c r="C25" s="12" t="inlineStr">
        <is>
          <t>Two approval rules (Power Consumption, Dispatch &amp; SO) were set on the Plant Head's behalf and never ratified. Three access gaps are undecided.</t>
        </is>
      </c>
      <c r="D25" s="12" t="inlineStr">
        <is>
          <t>Pavan Gandhi (Plant Head / COO)</t>
        </is>
      </c>
      <c r="E25" s="12" t="inlineStr">
        <is>
          <t>E&amp;I; P&amp;M; Packing; Logistics; Sales; Purchase; IT</t>
        </is>
      </c>
      <c r="F25" s="62" t="n">
        <v>46289</v>
      </c>
      <c r="G25" s="60" t="inlineStr">
        <is>
          <t>Yes</t>
        </is>
      </c>
      <c r="H25" s="60" t="inlineStr">
        <is>
          <t>Yes</t>
        </is>
      </c>
      <c r="I25" s="16" t="inlineStr">
        <is>
          <t>SEC-04, SEC-05</t>
        </is>
      </c>
    </row>
    <row r="26">
      <c r="A26" s="58" t="n">
        <v>9</v>
      </c>
      <c r="B26" s="5" t="inlineStr">
        <is>
          <t>Make pilot dashboards tell the truth</t>
        </is>
      </c>
      <c r="C26" s="6" t="inlineStr">
        <is>
          <t>Data stops at 30 Jun, demo rows make pages open on blank days, and Sales and Purchases show a March test snapshot as if it were current.</t>
        </is>
      </c>
      <c r="D26" s="6" t="inlineStr">
        <is>
          <t>Pavan Gandhi (Plant Head / COO) (data baseline); Razak Mbaga (MIS developer) (fixes)</t>
        </is>
      </c>
      <c r="E26" s="6" t="inlineStr">
        <is>
          <t>MD; Sales; Purchase; Quarry; operating HODs</t>
        </is>
      </c>
      <c r="F26" s="59" t="n">
        <v>46295</v>
      </c>
      <c r="G26" s="60" t="inlineStr">
        <is>
          <t>Yes</t>
        </is>
      </c>
      <c r="H26" s="60" t="inlineStr">
        <is>
          <t>Yes</t>
        </is>
      </c>
      <c r="I26" s="10" t="inlineStr">
        <is>
          <t>DAT-01, DAT-02, APP-04, APP-05</t>
        </is>
      </c>
    </row>
    <row r="27">
      <c r="A27" s="61" t="n">
        <v>10</v>
      </c>
      <c r="B27" s="11" t="inlineStr">
        <is>
          <t>Run UAT and train the pilot users</t>
        </is>
      </c>
      <c r="C27" s="12" t="inlineStr">
        <is>
          <t>The 417-reason stoppage list and the CPP entry form have not been checked by the people who fill them. No data-entry owners, Excel checker or training exist yet.</t>
        </is>
      </c>
      <c r="D27" s="12" t="inlineStr">
        <is>
          <t>Pavan Gandhi (Plant Head / COO) (UAT sign-off); Razak Mbaga (MIS developer) (sessions)</t>
        </is>
      </c>
      <c r="E27" s="12" t="inlineStr">
        <is>
          <t>P&amp;M; E&amp;I; CPP; Production &amp; QC; Packing; Logistics; Stores; Quarry; HR</t>
        </is>
      </c>
      <c r="F27" s="62" t="n">
        <v>46297</v>
      </c>
      <c r="G27" s="27" t="inlineStr">
        <is>
          <t>No</t>
        </is>
      </c>
      <c r="H27" s="60" t="inlineStr">
        <is>
          <t>Yes</t>
        </is>
      </c>
      <c r="I27" s="16" t="inlineStr">
        <is>
          <t>QA-02, APP-02, APP-03, OPS-02, OPS-03</t>
        </is>
      </c>
    </row>
    <row r="29">
      <c r="A29" s="31" t="inlineStr">
        <is>
          <t>Start now: not pilot blockers, but they take the longest</t>
        </is>
      </c>
    </row>
    <row r="30" ht="30" customHeight="1">
      <c r="B30" s="5" t="inlineStr">
        <is>
          <t>ODO-01 · Teckzilla – Odoo &amp; hosting vendor (contact: Ankita)</t>
        </is>
      </c>
      <c r="C30" s="6" t="inlineStr">
        <is>
          <t>Escalate the production Odoo connection with Teckzilla. The test database stops at 28-Mar-2026, so Sales, Purchases and Quarry auto-sync cannot show current data at go-live without it.</t>
        </is>
      </c>
      <c r="G30" s="60" t="inlineStr">
        <is>
          <t>Yes</t>
        </is>
      </c>
    </row>
    <row r="31" ht="30" customHeight="1">
      <c r="B31" s="5" t="inlineStr">
        <is>
          <t>GOV-01 · Sankalp Jaithalia (CFO)</t>
        </is>
      </c>
      <c r="C31" s="6" t="inlineStr">
        <is>
          <t>Settle who pays for hosting, backup storage and Odoo vendor work. No budget or contract information exists in the project.</t>
        </is>
      </c>
      <c r="G31" s="60" t="inlineStr">
        <is>
          <t>Yes</t>
        </is>
      </c>
    </row>
    <row r="32" ht="30" customHeight="1">
      <c r="B32" s="5" t="inlineStr">
        <is>
          <t>DAT-03 · Razak Mbaga (MIS developer)</t>
        </is>
      </c>
      <c r="C32" s="6" t="inlineStr">
        <is>
          <t>Get the quality lab workbooks from Production &amp; QC. Quality KPIs are validated on 1 day of data, against 91 days for everything else.</t>
        </is>
      </c>
      <c r="G32" s="25" t="inlineStr">
        <is>
          <t>No</t>
        </is>
      </c>
    </row>
    <row r="34">
      <c r="A34" s="31" t="inlineStr">
        <is>
          <t>Already in place (verified)</t>
        </is>
      </c>
    </row>
    <row r="35">
      <c r="B35" s="63" t="inlineStr">
        <is>
          <t>✓  Production server is running and its database is healthy (checked 17-Sep-2026).</t>
        </is>
      </c>
    </row>
    <row r="36">
      <c r="B36" s="64" t="inlineStr">
        <is>
          <t>✓  Nightly backups are running on production (on the wrong disk; see action 7).</t>
        </is>
      </c>
    </row>
    <row r="37">
      <c r="B37" s="64" t="inlineStr">
        <is>
          <t>✓  Dispatch, mining and sales/purchase Odoo connectors are configured and pulling, but from a test snapshot.</t>
        </is>
      </c>
    </row>
    <row r="38">
      <c r="B38" s="63" t="inlineStr">
        <is>
          <t>✓  Security fixes from 13–15 Sep (forgot-password timing, invite links, log rotation, audit trail) are on main.</t>
        </is>
      </c>
    </row>
    <row r="39">
      <c r="B39" s="63" t="inlineStr">
        <is>
          <t>✓  Last UI audit (15-Sep): 72/72 responsive checks and 0 accessibility violations.</t>
        </is>
      </c>
    </row>
  </sheetData>
  <mergeCells count="3">
    <mergeCell ref="C30:F30"/>
    <mergeCell ref="C31:F31"/>
    <mergeCell ref="C32:F32"/>
  </mergeCells>
  <conditionalFormatting sqref="F18:F27">
    <cfRule type="expression" priority="1" dxfId="0">
      <formula>F18&lt;TODAY()</formula>
    </cfRule>
  </conditionalFormatting>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Razak Mbaga (IT / MIS)</dc:creator>
  <dc:title>Lake Cement MIS – Go-Live Tracker</dc:title>
  <dcterms:created xsi:type="dcterms:W3CDTF">2026-09-17T06:28:21Z</dcterms:created>
  <dcterms:modified xsi:type="dcterms:W3CDTF">2026-09-17T06:28:21Z</dcterms:modified>
</cp:coreProperties>
</file>