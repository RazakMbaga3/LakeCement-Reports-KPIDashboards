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filterPrivacy="1"/>
  <xr:revisionPtr revIDLastSave="0" documentId="8_{DA6C1DDD-6988-4BA4-ABD9-BEC65A12BB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01.07.2026" sheetId="6" r:id="rId1"/>
  </sheets>
  <externalReferences>
    <externalReference r:id="rId2"/>
  </externalReferences>
  <definedNames>
    <definedName name="_xlnm.Print_Area" localSheetId="0">'01.07.2026'!$B$2:$Q$67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3" i="6" l="1"/>
  <c r="H63" i="6" s="1"/>
  <c r="F62" i="6"/>
  <c r="G62" i="6" s="1"/>
  <c r="F61" i="6"/>
  <c r="H61" i="6" s="1"/>
  <c r="F60" i="6"/>
  <c r="G60" i="6" s="1"/>
  <c r="F59" i="6"/>
  <c r="G59" i="6" s="1"/>
  <c r="L55" i="6"/>
  <c r="K55" i="6"/>
  <c r="J55" i="6"/>
  <c r="I55" i="6"/>
  <c r="H55" i="6"/>
  <c r="G55" i="6"/>
  <c r="M55" i="6" s="1"/>
  <c r="F55" i="6"/>
  <c r="F52" i="6" s="1"/>
  <c r="F53" i="6" s="1"/>
  <c r="E55" i="6"/>
  <c r="I48" i="6"/>
  <c r="J47" i="6"/>
  <c r="Q47" i="6" s="1"/>
  <c r="G47" i="6"/>
  <c r="F47" i="6"/>
  <c r="H47" i="6" s="1"/>
  <c r="J46" i="6"/>
  <c r="L46" i="6" s="1"/>
  <c r="H46" i="6"/>
  <c r="G46" i="6"/>
  <c r="F46" i="6"/>
  <c r="L45" i="6"/>
  <c r="J45" i="6"/>
  <c r="K45" i="6" s="1"/>
  <c r="F45" i="6"/>
  <c r="H45" i="6" s="1"/>
  <c r="J44" i="6"/>
  <c r="L44" i="6" s="1"/>
  <c r="F44" i="6"/>
  <c r="J43" i="6"/>
  <c r="Q43" i="6" s="1"/>
  <c r="H43" i="6"/>
  <c r="G43" i="6"/>
  <c r="F43" i="6"/>
  <c r="M41" i="6"/>
  <c r="N41" i="6" s="1"/>
  <c r="J41" i="6"/>
  <c r="L41" i="6" s="1"/>
  <c r="I41" i="6"/>
  <c r="F41" i="6"/>
  <c r="H41" i="6" s="1"/>
  <c r="M40" i="6"/>
  <c r="N40" i="6" s="1"/>
  <c r="L40" i="6"/>
  <c r="K40" i="6"/>
  <c r="I40" i="6"/>
  <c r="F40" i="6"/>
  <c r="Q40" i="6" s="1"/>
  <c r="M39" i="6"/>
  <c r="O39" i="6" s="1"/>
  <c r="J39" i="6"/>
  <c r="Q39" i="6" s="1"/>
  <c r="I39" i="6"/>
  <c r="F39" i="6"/>
  <c r="G39" i="6" s="1"/>
  <c r="M38" i="6"/>
  <c r="O38" i="6" s="1"/>
  <c r="J38" i="6"/>
  <c r="I38" i="6"/>
  <c r="F38" i="6"/>
  <c r="H38" i="6" s="1"/>
  <c r="M37" i="6"/>
  <c r="O37" i="6" s="1"/>
  <c r="L37" i="6"/>
  <c r="J37" i="6"/>
  <c r="I37" i="6"/>
  <c r="F37" i="6"/>
  <c r="O36" i="6"/>
  <c r="J36" i="6"/>
  <c r="I36" i="6"/>
  <c r="F36" i="6"/>
  <c r="H36" i="6" s="1"/>
  <c r="M35" i="6"/>
  <c r="Q52" i="6" s="1"/>
  <c r="Q54" i="6" s="1"/>
  <c r="L35" i="6"/>
  <c r="J35" i="6"/>
  <c r="Q35" i="6" s="1"/>
  <c r="I35" i="6"/>
  <c r="F35" i="6"/>
  <c r="G35" i="6" s="1"/>
  <c r="J34" i="6"/>
  <c r="Q34" i="6" s="1"/>
  <c r="F34" i="6"/>
  <c r="H34" i="6" s="1"/>
  <c r="Q33" i="6"/>
  <c r="K33" i="6"/>
  <c r="J33" i="6"/>
  <c r="L33" i="6" s="1"/>
  <c r="I33" i="6"/>
  <c r="F33" i="6"/>
  <c r="G33" i="6" s="1"/>
  <c r="M32" i="6"/>
  <c r="O32" i="6" s="1"/>
  <c r="I32" i="6"/>
  <c r="F32" i="6"/>
  <c r="H32" i="6" s="1"/>
  <c r="F27" i="6"/>
  <c r="J26" i="6"/>
  <c r="I26" i="6"/>
  <c r="K26" i="6" s="1"/>
  <c r="H26" i="6"/>
  <c r="F26" i="6"/>
  <c r="G26" i="6" s="1"/>
  <c r="E26" i="6"/>
  <c r="K25" i="6"/>
  <c r="J25" i="6"/>
  <c r="I25" i="6"/>
  <c r="F25" i="6"/>
  <c r="G25" i="6" s="1"/>
  <c r="E25" i="6"/>
  <c r="I24" i="6"/>
  <c r="J24" i="6" s="1"/>
  <c r="H24" i="6"/>
  <c r="F24" i="6"/>
  <c r="G24" i="6" s="1"/>
  <c r="E24" i="6"/>
  <c r="I23" i="6"/>
  <c r="J23" i="6" s="1"/>
  <c r="F23" i="6"/>
  <c r="H23" i="6" s="1"/>
  <c r="I22" i="6"/>
  <c r="J22" i="6" s="1"/>
  <c r="F22" i="6"/>
  <c r="G22" i="6" s="1"/>
  <c r="I21" i="6"/>
  <c r="J21" i="6" s="1"/>
  <c r="G21" i="6"/>
  <c r="F21" i="6"/>
  <c r="H21" i="6" s="1"/>
  <c r="E21" i="6"/>
  <c r="I20" i="6"/>
  <c r="M36" i="6" s="1"/>
  <c r="F20" i="6"/>
  <c r="G20" i="6" s="1"/>
  <c r="E20" i="6"/>
  <c r="I17" i="6"/>
  <c r="K17" i="6" s="1"/>
  <c r="F17" i="6"/>
  <c r="G17" i="6" s="1"/>
  <c r="E17" i="6"/>
  <c r="Q16" i="6"/>
  <c r="I16" i="6"/>
  <c r="J16" i="6" s="1"/>
  <c r="F16" i="6"/>
  <c r="H16" i="6" s="1"/>
  <c r="E16" i="6"/>
  <c r="Q14" i="6"/>
  <c r="I14" i="6"/>
  <c r="J14" i="6" s="1"/>
  <c r="G14" i="6"/>
  <c r="F14" i="6"/>
  <c r="H14" i="6" s="1"/>
  <c r="E14" i="6"/>
  <c r="I13" i="6"/>
  <c r="J13" i="6" s="1"/>
  <c r="F13" i="6"/>
  <c r="G13" i="6" s="1"/>
  <c r="E13" i="6"/>
  <c r="Q12" i="6"/>
  <c r="I12" i="6"/>
  <c r="M12" i="6" s="1"/>
  <c r="H12" i="6"/>
  <c r="G12" i="6"/>
  <c r="F12" i="6"/>
  <c r="E12" i="6"/>
  <c r="Q11" i="6"/>
  <c r="I11" i="6"/>
  <c r="K11" i="6" s="1"/>
  <c r="F11" i="6"/>
  <c r="G11" i="6" s="1"/>
  <c r="E11" i="6"/>
  <c r="Q10" i="6"/>
  <c r="I10" i="6"/>
  <c r="J10" i="6" s="1"/>
  <c r="G10" i="6"/>
  <c r="F10" i="6"/>
  <c r="H10" i="6" s="1"/>
  <c r="E10" i="6"/>
  <c r="Q9" i="6"/>
  <c r="K9" i="6"/>
  <c r="J9" i="6"/>
  <c r="I9" i="6"/>
  <c r="M9" i="6" s="1"/>
  <c r="F9" i="6"/>
  <c r="E9" i="6"/>
  <c r="G23" i="6" l="1"/>
  <c r="K44" i="6"/>
  <c r="L39" i="6"/>
  <c r="E15" i="6"/>
  <c r="M10" i="6"/>
  <c r="J20" i="6"/>
  <c r="K23" i="6"/>
  <c r="H33" i="6"/>
  <c r="Q37" i="6"/>
  <c r="H59" i="6"/>
  <c r="H20" i="6"/>
  <c r="K34" i="6"/>
  <c r="F42" i="6"/>
  <c r="K10" i="6"/>
  <c r="K14" i="6"/>
  <c r="L26" i="6"/>
  <c r="L34" i="6"/>
  <c r="I42" i="6"/>
  <c r="P37" i="6"/>
  <c r="K41" i="6"/>
  <c r="J32" i="6"/>
  <c r="E52" i="6" s="1"/>
  <c r="E53" i="6" s="1"/>
  <c r="M53" i="6" s="1"/>
  <c r="E18" i="6"/>
  <c r="L21" i="6"/>
  <c r="L24" i="6"/>
  <c r="P35" i="6"/>
  <c r="Q41" i="6"/>
  <c r="L13" i="6"/>
  <c r="P40" i="6"/>
  <c r="Q46" i="6"/>
  <c r="H60" i="6"/>
  <c r="G61" i="6"/>
  <c r="H62" i="6"/>
  <c r="H13" i="6"/>
  <c r="M11" i="6"/>
  <c r="M15" i="6" s="1"/>
  <c r="K21" i="6"/>
  <c r="Q38" i="6"/>
  <c r="G32" i="6"/>
  <c r="L38" i="6"/>
  <c r="L42" i="6" s="1"/>
  <c r="K43" i="6"/>
  <c r="K46" i="6"/>
  <c r="L10" i="6"/>
  <c r="L12" i="6"/>
  <c r="L14" i="6"/>
  <c r="G34" i="6"/>
  <c r="Q36" i="6"/>
  <c r="M33" i="6"/>
  <c r="N33" i="6" s="1"/>
  <c r="G41" i="6"/>
  <c r="L43" i="6"/>
  <c r="E27" i="6"/>
  <c r="K22" i="6"/>
  <c r="L36" i="6"/>
  <c r="F48" i="6"/>
  <c r="G63" i="6"/>
  <c r="L32" i="6"/>
  <c r="Q32" i="6"/>
  <c r="K32" i="6"/>
  <c r="G27" i="6"/>
  <c r="J27" i="6"/>
  <c r="L9" i="6"/>
  <c r="H11" i="6"/>
  <c r="I15" i="6"/>
  <c r="K16" i="6"/>
  <c r="K18" i="6" s="1"/>
  <c r="F18" i="6"/>
  <c r="L25" i="6"/>
  <c r="K13" i="6"/>
  <c r="L16" i="6"/>
  <c r="K20" i="6"/>
  <c r="N32" i="6"/>
  <c r="G36" i="6"/>
  <c r="G37" i="6"/>
  <c r="G38" i="6"/>
  <c r="G44" i="6"/>
  <c r="G48" i="6" s="1"/>
  <c r="H9" i="6"/>
  <c r="J11" i="6"/>
  <c r="K12" i="6"/>
  <c r="G16" i="6"/>
  <c r="G18" i="6" s="1"/>
  <c r="J17" i="6"/>
  <c r="J18" i="6" s="1"/>
  <c r="L20" i="6"/>
  <c r="H25" i="6"/>
  <c r="H35" i="6"/>
  <c r="N35" i="6"/>
  <c r="N36" i="6"/>
  <c r="H37" i="6"/>
  <c r="N37" i="6"/>
  <c r="N38" i="6"/>
  <c r="H39" i="6"/>
  <c r="N39" i="6"/>
  <c r="H40" i="6"/>
  <c r="O40" i="6"/>
  <c r="O41" i="6"/>
  <c r="H44" i="6"/>
  <c r="H48" i="6" s="1"/>
  <c r="G45" i="6"/>
  <c r="L47" i="6"/>
  <c r="L48" i="6" s="1"/>
  <c r="J48" i="6"/>
  <c r="G52" i="6"/>
  <c r="G53" i="6" s="1"/>
  <c r="H17" i="6"/>
  <c r="H18" i="6" s="1"/>
  <c r="M42" i="6"/>
  <c r="K54" i="6" s="1"/>
  <c r="Q44" i="6"/>
  <c r="G9" i="6"/>
  <c r="G15" i="6" s="1"/>
  <c r="J12" i="6"/>
  <c r="J15" i="6" s="1"/>
  <c r="K24" i="6"/>
  <c r="I27" i="6"/>
  <c r="G40" i="6"/>
  <c r="Q45" i="6"/>
  <c r="K47" i="6"/>
  <c r="K48" i="6" s="1"/>
  <c r="F15" i="6"/>
  <c r="I18" i="6"/>
  <c r="O35" i="6"/>
  <c r="P41" i="6"/>
  <c r="J42" i="6"/>
  <c r="L54" i="6" s="1"/>
  <c r="H52" i="6"/>
  <c r="H53" i="6" s="1"/>
  <c r="P36" i="6"/>
  <c r="P38" i="6"/>
  <c r="P39" i="6"/>
  <c r="L11" i="6"/>
  <c r="L17" i="6"/>
  <c r="K35" i="6"/>
  <c r="K36" i="6"/>
  <c r="K37" i="6"/>
  <c r="K38" i="6"/>
  <c r="K39" i="6"/>
  <c r="M20" i="6" l="1"/>
  <c r="F54" i="6" s="1"/>
  <c r="N42" i="6"/>
  <c r="Q48" i="6"/>
  <c r="K15" i="6"/>
  <c r="H42" i="6"/>
  <c r="O33" i="6"/>
  <c r="H15" i="6"/>
  <c r="P32" i="6"/>
  <c r="H27" i="6"/>
  <c r="K27" i="6"/>
  <c r="O42" i="6"/>
  <c r="L27" i="6"/>
  <c r="P33" i="6"/>
  <c r="N9" i="6"/>
  <c r="N14" i="6"/>
  <c r="N10" i="6"/>
  <c r="N11" i="6"/>
  <c r="G54" i="6"/>
  <c r="L18" i="6"/>
  <c r="N13" i="6"/>
  <c r="H54" i="6"/>
  <c r="L15" i="6"/>
  <c r="N12" i="6"/>
  <c r="J54" i="6"/>
  <c r="M23" i="6"/>
  <c r="Q42" i="6"/>
  <c r="G42" i="6"/>
  <c r="I54" i="6"/>
  <c r="M24" i="6"/>
  <c r="K42" i="6"/>
  <c r="P42" i="6"/>
  <c r="E54" i="6"/>
  <c r="M54" i="6" l="1"/>
  <c r="N15" i="6"/>
</calcChain>
</file>

<file path=xl/sharedStrings.xml><?xml version="1.0" encoding="utf-8"?>
<sst xmlns="http://schemas.openxmlformats.org/spreadsheetml/2006/main" count="120" uniqueCount="84">
  <si>
    <t>LAKE CEMENT LIMITED</t>
  </si>
  <si>
    <t>DATE</t>
  </si>
  <si>
    <t>RAW MATERIAL CONSUMPTION</t>
  </si>
  <si>
    <t>SN</t>
  </si>
  <si>
    <t>DESCRIPTION</t>
  </si>
  <si>
    <t>SECTION</t>
  </si>
  <si>
    <t>OPENING STOCK</t>
  </si>
  <si>
    <t>RECEIVED QUANTITY (MT)</t>
  </si>
  <si>
    <t>MATERIAL CONSUMPTION (MT)</t>
  </si>
  <si>
    <t>CLOSING STOCK</t>
  </si>
  <si>
    <t>% MATL CONSUMPTION</t>
  </si>
  <si>
    <t>ON DATE</t>
  </si>
  <si>
    <t>MTD</t>
  </si>
  <si>
    <t>YTD</t>
  </si>
  <si>
    <t xml:space="preserve"> </t>
  </si>
  <si>
    <t>LIMESTONE</t>
  </si>
  <si>
    <t>CLAY</t>
  </si>
  <si>
    <t>IRON ORE</t>
  </si>
  <si>
    <t>INDUSTRIAL CLAY</t>
  </si>
  <si>
    <t>TOTAL MATL - RAW MILL</t>
  </si>
  <si>
    <t xml:space="preserve">COAL </t>
  </si>
  <si>
    <t>KILN</t>
  </si>
  <si>
    <t>CPP</t>
  </si>
  <si>
    <t>TOTAL</t>
  </si>
  <si>
    <t xml:space="preserve">CEMENT GRINDING </t>
  </si>
  <si>
    <t xml:space="preserve">CLINKER </t>
  </si>
  <si>
    <t>OWN</t>
  </si>
  <si>
    <t>CLINKER PURCHASED</t>
  </si>
  <si>
    <t>CLINKER DESPATCH</t>
  </si>
  <si>
    <t>GYPSUM</t>
  </si>
  <si>
    <t>GRINDING AID</t>
  </si>
  <si>
    <t>STAREX</t>
  </si>
  <si>
    <t>MAPIE</t>
  </si>
  <si>
    <t>TOTAL MATL - CEMENT MILL</t>
  </si>
  <si>
    <t>PLANT OPERATIONS</t>
  </si>
  <si>
    <t>DEPARTMENTS</t>
  </si>
  <si>
    <t>RATED CAP.</t>
  </si>
  <si>
    <t>RUNNING HOURS</t>
  </si>
  <si>
    <t>OPENING BALANCE</t>
  </si>
  <si>
    <t>PRODUCTION</t>
  </si>
  <si>
    <t>CONSUMPTION</t>
  </si>
  <si>
    <t>TPH</t>
  </si>
  <si>
    <t>MT / HR</t>
  </si>
  <si>
    <t>LS CRUSHER</t>
  </si>
  <si>
    <t>COAL MILL</t>
  </si>
  <si>
    <t>32.5 N</t>
  </si>
  <si>
    <t>42.5 R</t>
  </si>
  <si>
    <t>42.5 N</t>
  </si>
  <si>
    <t>OPC</t>
  </si>
  <si>
    <t>CEMENT MILL -2</t>
  </si>
  <si>
    <t>SPECIFIC POWER</t>
  </si>
  <si>
    <t>SPECIFIC HEAT CONSUMPTION (KILN)</t>
  </si>
  <si>
    <t>CRUSHER</t>
  </si>
  <si>
    <t>PYRO -KILN</t>
  </si>
  <si>
    <t>CEM MILL</t>
  </si>
  <si>
    <t>LOSSES</t>
  </si>
  <si>
    <t>P.PLANT</t>
  </si>
  <si>
    <t>OTHERS -Water Pump, Utility, Factory &amp; Colony</t>
  </si>
  <si>
    <t>PER TON OF MATERIAL</t>
  </si>
  <si>
    <t>COAL CONSUMPTION, %</t>
  </si>
  <si>
    <t>PER TON OF CLINKER</t>
  </si>
  <si>
    <t>COAL NCV, KCAL / KG COAL</t>
  </si>
  <si>
    <t>UNIT PER TON EQ.CEMENT</t>
  </si>
  <si>
    <t>HEAT CONSUMPTION. KCAL / KG CLINKER</t>
  </si>
  <si>
    <t>TOTAL UNIT CONSUMED</t>
  </si>
  <si>
    <t>MATERIAL RETURN &amp; INTERNAL CONSUMPTION</t>
  </si>
  <si>
    <t>MATERIAL</t>
  </si>
  <si>
    <t>DAY</t>
  </si>
  <si>
    <t>INTERNAL USE CEMENT</t>
  </si>
  <si>
    <t>42.5N</t>
  </si>
  <si>
    <t>MATL CONSUMPTION</t>
  </si>
  <si>
    <t xml:space="preserve">PYRO PROCESSING </t>
  </si>
  <si>
    <t>RAW MILL -2</t>
  </si>
  <si>
    <t>42.5 N BM</t>
  </si>
  <si>
    <t>PRODUCTION HEAD</t>
  </si>
  <si>
    <t>BAUXITE</t>
  </si>
  <si>
    <t>MILL DUST IRON ORE</t>
  </si>
  <si>
    <t>42.5NBM</t>
  </si>
  <si>
    <t>RAW MILL -1</t>
  </si>
  <si>
    <t xml:space="preserve">                                                          PRODUCTION REPORT</t>
  </si>
  <si>
    <t>01.07.2026</t>
  </si>
  <si>
    <t>MOISTURE %</t>
  </si>
  <si>
    <t>CEMENT MILL -1</t>
  </si>
  <si>
    <t>RAW MILL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</si>
</sst>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0.000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3" fillId="0" borderId="0"/>
    <xf numFmtId="164" fontId="3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28">
    <xf numFmtId="0" fontId="0" fillId="0" borderId="0" xfId="0"/>
    <xf numFmtId="0" fontId="1" fillId="3" borderId="36" xfId="0" applyFont="1" applyFill="1" applyBorder="1"/>
    <xf numFmtId="0" fontId="1" fillId="3" borderId="37" xfId="0" applyFont="1" applyFill="1" applyBorder="1"/>
    <xf numFmtId="0" fontId="1" fillId="3" borderId="38" xfId="0" applyFont="1" applyFill="1" applyBorder="1" applyAlignment="1">
      <alignment horizontal="center" vertical="center" wrapText="1"/>
    </xf>
    <xf numFmtId="0" fontId="1" fillId="3" borderId="39" xfId="0" applyFont="1" applyFill="1" applyBorder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3" xfId="0" applyFont="1" applyBorder="1" applyAlignment="1">
      <alignment vertical="center" wrapText="1"/>
    </xf>
    <xf numFmtId="1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1" fontId="2" fillId="0" borderId="2" xfId="0" applyNumberFormat="1" applyFont="1" applyBorder="1" applyAlignment="1">
      <alignment horizontal="left" vertical="top" wrapText="1"/>
    </xf>
    <xf numFmtId="1" fontId="2" fillId="0" borderId="4" xfId="0" applyNumberFormat="1" applyFont="1" applyBorder="1" applyAlignment="1">
      <alignment horizontal="left" vertical="top" wrapText="1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2" fontId="2" fillId="0" borderId="18" xfId="0" applyNumberFormat="1" applyFont="1" applyBorder="1" applyAlignment="1">
      <alignment horizontal="center"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165" fontId="2" fillId="0" borderId="5" xfId="0" applyNumberFormat="1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165" fontId="2" fillId="0" borderId="4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1" fontId="1" fillId="0" borderId="0" xfId="0" applyNumberFormat="1" applyFont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4" borderId="10" xfId="0" applyFont="1" applyFill="1" applyBorder="1" applyAlignment="1">
      <alignment horizontal="center" vertical="center" wrapText="1"/>
    </xf>
    <xf numFmtId="165" fontId="2" fillId="4" borderId="22" xfId="0" applyNumberFormat="1" applyFont="1" applyFill="1" applyBorder="1" applyAlignment="1">
      <alignment horizontal="center" vertical="center" wrapText="1"/>
    </xf>
    <xf numFmtId="1" fontId="2" fillId="4" borderId="21" xfId="0" applyNumberFormat="1" applyFont="1" applyFill="1" applyBorder="1" applyAlignment="1">
      <alignment horizontal="left" vertical="center" wrapText="1"/>
    </xf>
    <xf numFmtId="1" fontId="2" fillId="4" borderId="21" xfId="0" applyNumberFormat="1" applyFont="1" applyFill="1" applyBorder="1" applyAlignment="1">
      <alignment horizontal="center" vertical="center" wrapText="1"/>
    </xf>
    <xf numFmtId="0" fontId="2" fillId="4" borderId="21" xfId="0" applyFont="1" applyFill="1" applyBorder="1"/>
    <xf numFmtId="1" fontId="2" fillId="4" borderId="4" xfId="0" applyNumberFormat="1" applyFont="1" applyFill="1" applyBorder="1" applyAlignment="1">
      <alignment horizontal="center" vertical="center" wrapText="1"/>
    </xf>
    <xf numFmtId="2" fontId="2" fillId="4" borderId="6" xfId="0" applyNumberFormat="1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2" fontId="1" fillId="3" borderId="6" xfId="0" applyNumberFormat="1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left" vertical="center" wrapText="1"/>
    </xf>
    <xf numFmtId="10" fontId="2" fillId="0" borderId="2" xfId="0" applyNumberFormat="1" applyFont="1" applyBorder="1" applyAlignment="1">
      <alignment horizontal="center" vertical="center" wrapText="1"/>
    </xf>
    <xf numFmtId="10" fontId="2" fillId="0" borderId="4" xfId="0" applyNumberFormat="1" applyFont="1" applyBorder="1" applyAlignment="1">
      <alignment horizontal="center" vertical="center" wrapText="1"/>
    </xf>
    <xf numFmtId="9" fontId="2" fillId="0" borderId="5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righ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1" fontId="2" fillId="0" borderId="0" xfId="0" applyNumberFormat="1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2" fillId="4" borderId="6" xfId="5" applyNumberFormat="1" applyFont="1" applyFill="1" applyBorder="1" applyAlignment="1">
      <alignment horizontal="center" vertical="center" wrapText="1"/>
    </xf>
    <xf numFmtId="0" fontId="2" fillId="4" borderId="22" xfId="5" applyNumberFormat="1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2" fillId="0" borderId="4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3" borderId="24" xfId="0" applyFont="1" applyFill="1" applyBorder="1"/>
    <xf numFmtId="0" fontId="2" fillId="0" borderId="31" xfId="0" applyFont="1" applyBorder="1" applyAlignment="1">
      <alignment horizontal="center" vertical="center" wrapText="1"/>
    </xf>
    <xf numFmtId="1" fontId="2" fillId="0" borderId="6" xfId="0" applyNumberFormat="1" applyFont="1" applyBorder="1" applyAlignment="1">
      <alignment vertical="center" wrapText="1"/>
    </xf>
    <xf numFmtId="2" fontId="2" fillId="0" borderId="6" xfId="0" applyNumberFormat="1" applyFont="1" applyBorder="1" applyAlignment="1">
      <alignment horizontal="center" vertical="center" wrapText="1"/>
    </xf>
    <xf numFmtId="0" fontId="2" fillId="0" borderId="22" xfId="0" applyFont="1" applyBorder="1"/>
    <xf numFmtId="2" fontId="2" fillId="0" borderId="2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1" fontId="2" fillId="0" borderId="2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166" fontId="1" fillId="3" borderId="54" xfId="0" applyNumberFormat="1" applyFont="1" applyFill="1" applyBorder="1" applyAlignment="1">
      <alignment horizontal="left" vertical="center" wrapText="1"/>
    </xf>
    <xf numFmtId="166" fontId="1" fillId="3" borderId="38" xfId="0" applyNumberFormat="1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 wrapText="1"/>
    </xf>
    <xf numFmtId="14" fontId="1" fillId="2" borderId="35" xfId="0" applyNumberFormat="1" applyFont="1" applyFill="1" applyBorder="1" applyAlignment="1">
      <alignment horizontal="center" vertical="center" wrapText="1"/>
    </xf>
    <xf numFmtId="166" fontId="1" fillId="3" borderId="13" xfId="0" applyNumberFormat="1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top" wrapText="1"/>
    </xf>
    <xf numFmtId="166" fontId="1" fillId="3" borderId="13" xfId="0" applyNumberFormat="1" applyFont="1" applyFill="1" applyBorder="1" applyAlignment="1">
      <alignment horizontal="right" vertical="center" wrapText="1"/>
    </xf>
    <xf numFmtId="0" fontId="2" fillId="0" borderId="3" xfId="0" applyFont="1" applyBorder="1" applyAlignment="1">
      <alignment horizontal="right" vertical="center" wrapText="1"/>
    </xf>
    <xf numFmtId="0" fontId="2" fillId="0" borderId="44" xfId="0" applyFont="1" applyBorder="1"/>
    <xf numFmtId="166" fontId="1" fillId="3" borderId="9" xfId="0" applyNumberFormat="1" applyFont="1" applyFill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6" fontId="2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165" fontId="2" fillId="0" borderId="6" xfId="0" applyNumberFormat="1" applyFont="1" applyBorder="1" applyAlignment="1">
      <alignment horizontal="center" vertical="center" wrapText="1"/>
    </xf>
    <xf numFmtId="1" fontId="2" fillId="6" borderId="4" xfId="0" applyNumberFormat="1" applyFont="1" applyFill="1" applyBorder="1" applyAlignment="1">
      <alignment horizontal="center" vertical="center" wrapText="1"/>
    </xf>
    <xf numFmtId="1" fontId="2" fillId="6" borderId="2" xfId="0" applyNumberFormat="1" applyFont="1" applyFill="1" applyBorder="1" applyAlignment="1">
      <alignment horizontal="center" vertical="center" wrapText="1"/>
    </xf>
    <xf numFmtId="165" fontId="2" fillId="2" borderId="2" xfId="0" applyNumberFormat="1" applyFont="1" applyFill="1" applyBorder="1" applyAlignment="1">
      <alignment horizontal="center" vertical="center" wrapText="1"/>
    </xf>
    <xf numFmtId="165" fontId="2" fillId="2" borderId="18" xfId="0" applyNumberFormat="1" applyFont="1" applyFill="1" applyBorder="1" applyAlignment="1">
      <alignment horizontal="center" vertical="center" wrapText="1"/>
    </xf>
    <xf numFmtId="165" fontId="2" fillId="2" borderId="4" xfId="0" applyNumberFormat="1" applyFont="1" applyFill="1" applyBorder="1" applyAlignment="1">
      <alignment horizontal="center" vertical="center" wrapText="1"/>
    </xf>
    <xf numFmtId="165" fontId="2" fillId="2" borderId="5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2" borderId="21" xfId="0" applyNumberFormat="1" applyFont="1" applyFill="1" applyBorder="1" applyAlignment="1">
      <alignment horizontal="center" vertical="center" wrapText="1"/>
    </xf>
    <xf numFmtId="1" fontId="2" fillId="2" borderId="4" xfId="0" applyNumberFormat="1" applyFont="1" applyFill="1" applyBorder="1" applyAlignment="1">
      <alignment horizontal="center" vertical="center" wrapText="1"/>
    </xf>
    <xf numFmtId="1" fontId="2" fillId="2" borderId="6" xfId="0" applyNumberFormat="1" applyFont="1" applyFill="1" applyBorder="1" applyAlignment="1">
      <alignment horizontal="center" vertical="center" wrapText="1"/>
    </xf>
    <xf numFmtId="2" fontId="2" fillId="2" borderId="18" xfId="0" applyNumberFormat="1" applyFont="1" applyFill="1" applyBorder="1" applyAlignment="1">
      <alignment horizontal="center" vertical="center" wrapText="1"/>
    </xf>
    <xf numFmtId="1" fontId="2" fillId="2" borderId="5" xfId="0" applyNumberFormat="1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vertical="center" wrapText="1"/>
    </xf>
    <xf numFmtId="0" fontId="1" fillId="3" borderId="54" xfId="0" applyFont="1" applyFill="1" applyBorder="1" applyAlignment="1">
      <alignment horizontal="left" vertical="center" wrapText="1"/>
    </xf>
    <xf numFmtId="0" fontId="1" fillId="3" borderId="38" xfId="0" applyFont="1" applyFill="1" applyBorder="1" applyAlignment="1">
      <alignment horizontal="left" vertical="center" wrapText="1"/>
    </xf>
    <xf numFmtId="0" fontId="1" fillId="3" borderId="55" xfId="0" applyFont="1" applyFill="1" applyBorder="1" applyAlignment="1">
      <alignment horizontal="left" vertical="center" wrapText="1"/>
    </xf>
    <xf numFmtId="1" fontId="2" fillId="0" borderId="45" xfId="0" applyNumberFormat="1" applyFont="1" applyBorder="1" applyAlignment="1">
      <alignment horizontal="center" vertical="center" wrapText="1"/>
    </xf>
    <xf numFmtId="1" fontId="2" fillId="0" borderId="46" xfId="0" applyNumberFormat="1" applyFont="1" applyBorder="1" applyAlignment="1">
      <alignment horizontal="center" vertical="center" wrapText="1"/>
    </xf>
    <xf numFmtId="1" fontId="2" fillId="0" borderId="47" xfId="0" applyNumberFormat="1" applyFont="1" applyBorder="1" applyAlignment="1">
      <alignment horizontal="center" vertical="center" wrapText="1"/>
    </xf>
    <xf numFmtId="1" fontId="2" fillId="0" borderId="25" xfId="0" applyNumberFormat="1" applyFont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2" fillId="0" borderId="26" xfId="0" applyNumberFormat="1" applyFont="1" applyBorder="1" applyAlignment="1">
      <alignment horizontal="center" vertical="center" wrapText="1"/>
    </xf>
    <xf numFmtId="1" fontId="2" fillId="0" borderId="28" xfId="0" applyNumberFormat="1" applyFont="1" applyBorder="1" applyAlignment="1">
      <alignment horizontal="center" vertical="center" wrapText="1"/>
    </xf>
    <xf numFmtId="1" fontId="2" fillId="0" borderId="29" xfId="0" applyNumberFormat="1" applyFont="1" applyBorder="1" applyAlignment="1">
      <alignment horizontal="center" vertical="center" wrapText="1"/>
    </xf>
    <xf numFmtId="1" fontId="2" fillId="0" borderId="30" xfId="0" applyNumberFormat="1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27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" fontId="2" fillId="0" borderId="32" xfId="0" applyNumberFormat="1" applyFont="1" applyBorder="1" applyAlignment="1">
      <alignment horizontal="center" vertical="center" wrapText="1"/>
    </xf>
    <xf numFmtId="1" fontId="2" fillId="0" borderId="27" xfId="0" applyNumberFormat="1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20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wrapText="1"/>
    </xf>
    <xf numFmtId="0" fontId="2" fillId="6" borderId="11" xfId="0" applyFont="1" applyFill="1" applyBorder="1" applyAlignment="1">
      <alignment horizontal="center" wrapText="1"/>
    </xf>
    <xf numFmtId="0" fontId="2" fillId="6" borderId="19" xfId="0" applyFont="1" applyFill="1" applyBorder="1" applyAlignment="1">
      <alignment horizontal="center" wrapText="1"/>
    </xf>
    <xf numFmtId="0" fontId="6" fillId="2" borderId="49" xfId="1" applyFont="1" applyFill="1" applyBorder="1" applyAlignment="1">
      <alignment horizontal="center" vertical="center" wrapText="1"/>
    </xf>
    <xf numFmtId="0" fontId="6" fillId="2" borderId="50" xfId="1" applyFont="1" applyFill="1" applyBorder="1" applyAlignment="1">
      <alignment horizontal="center" vertical="center" wrapText="1"/>
    </xf>
    <xf numFmtId="0" fontId="6" fillId="2" borderId="24" xfId="1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vertical="top" wrapText="1"/>
    </xf>
    <xf numFmtId="0" fontId="2" fillId="0" borderId="19" xfId="0" applyFont="1" applyBorder="1" applyAlignment="1">
      <alignment vertical="top" wrapText="1"/>
    </xf>
    <xf numFmtId="0" fontId="2" fillId="0" borderId="4" xfId="0" applyFont="1" applyBorder="1" applyAlignment="1">
      <alignment horizontal="left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0" borderId="48" xfId="0" applyFont="1" applyBorder="1" applyAlignment="1">
      <alignment horizontal="left" vertical="center" wrapText="1"/>
    </xf>
    <xf numFmtId="0" fontId="1" fillId="0" borderId="37" xfId="0" applyFont="1" applyBorder="1" applyAlignment="1">
      <alignment horizontal="left" vertical="center" wrapText="1"/>
    </xf>
    <xf numFmtId="0" fontId="1" fillId="0" borderId="39" xfId="0" applyFont="1" applyBorder="1" applyAlignment="1">
      <alignment horizontal="left" vertical="center" wrapText="1"/>
    </xf>
    <xf numFmtId="0" fontId="1" fillId="0" borderId="27" xfId="0" applyFont="1" applyBorder="1" applyAlignment="1">
      <alignment horizontal="center"/>
    </xf>
    <xf numFmtId="0" fontId="2" fillId="4" borderId="4" xfId="0" applyFont="1" applyFill="1" applyBorder="1" applyAlignment="1">
      <alignment horizontal="left" vertical="center" wrapText="1"/>
    </xf>
    <xf numFmtId="2" fontId="2" fillId="0" borderId="9" xfId="0" applyNumberFormat="1" applyFont="1" applyBorder="1" applyAlignment="1">
      <alignment horizontal="center" vertical="center" wrapText="1"/>
    </xf>
    <xf numFmtId="2" fontId="2" fillId="0" borderId="23" xfId="0" applyNumberFormat="1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 vertical="center" wrapText="1"/>
    </xf>
    <xf numFmtId="0" fontId="1" fillId="3" borderId="21" xfId="0" applyFont="1" applyFill="1" applyBorder="1" applyAlignment="1">
      <alignment horizontal="center"/>
    </xf>
    <xf numFmtId="0" fontId="1" fillId="3" borderId="27" xfId="0" applyFont="1" applyFill="1" applyBorder="1" applyAlignment="1">
      <alignment horizontal="center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left" vertical="top" wrapText="1"/>
    </xf>
    <xf numFmtId="0" fontId="1" fillId="0" borderId="9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2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top" wrapText="1"/>
    </xf>
    <xf numFmtId="2" fontId="2" fillId="0" borderId="21" xfId="0" applyNumberFormat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42" xfId="0" applyFont="1" applyBorder="1" applyAlignment="1">
      <alignment horizontal="center"/>
    </xf>
    <xf numFmtId="0" fontId="2" fillId="0" borderId="33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2" fontId="2" fillId="0" borderId="4" xfId="0" applyNumberFormat="1" applyFont="1" applyBorder="1" applyAlignment="1">
      <alignment horizontal="center" vertical="center" wrapText="1"/>
    </xf>
    <xf numFmtId="0" fontId="2" fillId="0" borderId="31" xfId="0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1" fontId="2" fillId="4" borderId="6" xfId="0" applyNumberFormat="1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/>
    </xf>
    <xf numFmtId="0" fontId="1" fillId="3" borderId="36" xfId="0" applyFont="1" applyFill="1" applyBorder="1" applyAlignment="1">
      <alignment horizontal="left" vertical="center" wrapText="1"/>
    </xf>
    <xf numFmtId="0" fontId="1" fillId="3" borderId="37" xfId="0" applyFont="1" applyFill="1" applyBorder="1" applyAlignment="1">
      <alignment horizontal="left" vertical="center" wrapText="1"/>
    </xf>
    <xf numFmtId="0" fontId="1" fillId="3" borderId="39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13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left" vertical="center" wrapText="1"/>
    </xf>
    <xf numFmtId="0" fontId="1" fillId="3" borderId="26" xfId="0" applyFont="1" applyFill="1" applyBorder="1" applyAlignment="1">
      <alignment horizontal="left" vertical="center" wrapText="1"/>
    </xf>
    <xf numFmtId="0" fontId="1" fillId="3" borderId="14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left" vertical="center" wrapText="1"/>
    </xf>
    <xf numFmtId="2" fontId="1" fillId="3" borderId="28" xfId="0" applyNumberFormat="1" applyFont="1" applyFill="1" applyBorder="1" applyAlignment="1">
      <alignment horizontal="center" vertical="center" wrapText="1"/>
    </xf>
    <xf numFmtId="2" fontId="1" fillId="3" borderId="29" xfId="0" applyNumberFormat="1" applyFont="1" applyFill="1" applyBorder="1" applyAlignment="1">
      <alignment horizontal="center" vertical="center" wrapText="1"/>
    </xf>
    <xf numFmtId="2" fontId="1" fillId="3" borderId="30" xfId="0" applyNumberFormat="1" applyFont="1" applyFill="1" applyBorder="1" applyAlignment="1">
      <alignment horizontal="center" vertical="center" wrapText="1"/>
    </xf>
    <xf numFmtId="0" fontId="1" fillId="3" borderId="27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28" xfId="0" applyFont="1" applyFill="1" applyBorder="1" applyAlignment="1">
      <alignment horizontal="center" vertical="center" wrapText="1"/>
    </xf>
    <xf numFmtId="0" fontId="1" fillId="3" borderId="29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3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1" fontId="2" fillId="2" borderId="21" xfId="0" applyNumberFormat="1" applyFont="1" applyFill="1" applyBorder="1" applyAlignment="1">
      <alignment horizontal="center" vertical="center" wrapText="1"/>
    </xf>
    <xf numFmtId="1" fontId="2" fillId="2" borderId="2" xfId="0" applyNumberFormat="1" applyFont="1" applyFill="1" applyBorder="1" applyAlignment="1">
      <alignment horizontal="center" vertical="center" wrapText="1"/>
    </xf>
    <xf numFmtId="1" fontId="2" fillId="6" borderId="21" xfId="0" applyNumberFormat="1" applyFont="1" applyFill="1" applyBorder="1" applyAlignment="1">
      <alignment horizontal="center" vertical="center" wrapText="1"/>
    </xf>
    <xf numFmtId="1" fontId="2" fillId="6" borderId="2" xfId="0" applyNumberFormat="1" applyFont="1" applyFill="1" applyBorder="1" applyAlignment="1">
      <alignment horizontal="center" vertical="center" wrapText="1"/>
    </xf>
    <xf numFmtId="1" fontId="2" fillId="0" borderId="21" xfId="0" applyNumberFormat="1" applyFont="1" applyBorder="1" applyAlignment="1">
      <alignment horizontal="center" vertical="center" wrapText="1"/>
    </xf>
    <xf numFmtId="1" fontId="2" fillId="4" borderId="6" xfId="0" applyNumberFormat="1" applyFont="1" applyFill="1" applyBorder="1" applyAlignment="1">
      <alignment vertical="center" wrapText="1"/>
    </xf>
    <xf numFmtId="0" fontId="2" fillId="0" borderId="51" xfId="0" applyFont="1" applyBorder="1" applyAlignment="1">
      <alignment horizontal="center" vertical="center" wrapText="1"/>
    </xf>
    <xf numFmtId="0" fontId="2" fillId="0" borderId="46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vertical="center"/>
    </xf>
    <xf numFmtId="0" fontId="1" fillId="3" borderId="7" xfId="0" applyFont="1" applyFill="1" applyBorder="1" applyAlignment="1">
      <alignment horizontal="left" vertical="center" wrapText="1"/>
    </xf>
    <xf numFmtId="0" fontId="1" fillId="3" borderId="8" xfId="0" applyFont="1" applyFill="1" applyBorder="1" applyAlignment="1">
      <alignment horizontal="left" vertical="center" wrapText="1"/>
    </xf>
    <xf numFmtId="0" fontId="1" fillId="3" borderId="46" xfId="0" applyFont="1" applyFill="1" applyBorder="1" applyAlignment="1">
      <alignment horizontal="left" vertical="center" wrapText="1"/>
    </xf>
    <xf numFmtId="0" fontId="2" fillId="5" borderId="51" xfId="0" applyFont="1" applyFill="1" applyBorder="1" applyAlignment="1">
      <alignment horizontal="right"/>
    </xf>
    <xf numFmtId="0" fontId="2" fillId="5" borderId="46" xfId="0" applyFont="1" applyFill="1" applyBorder="1" applyAlignment="1">
      <alignment horizontal="right"/>
    </xf>
    <xf numFmtId="0" fontId="2" fillId="5" borderId="52" xfId="0" applyFont="1" applyFill="1" applyBorder="1" applyAlignment="1">
      <alignment horizontal="right"/>
    </xf>
    <xf numFmtId="0" fontId="2" fillId="5" borderId="53" xfId="0" applyFont="1" applyFill="1" applyBorder="1" applyAlignment="1">
      <alignment horizontal="right"/>
    </xf>
    <xf numFmtId="0" fontId="2" fillId="5" borderId="0" xfId="0" applyFont="1" applyFill="1" applyAlignment="1">
      <alignment horizontal="right"/>
    </xf>
    <xf numFmtId="0" fontId="2" fillId="5" borderId="41" xfId="0" applyFont="1" applyFill="1" applyBorder="1" applyAlignment="1">
      <alignment horizontal="right"/>
    </xf>
    <xf numFmtId="0" fontId="2" fillId="5" borderId="50" xfId="0" applyFont="1" applyFill="1" applyBorder="1" applyAlignment="1">
      <alignment horizontal="right"/>
    </xf>
    <xf numFmtId="0" fontId="2" fillId="5" borderId="24" xfId="0" applyFont="1" applyFill="1" applyBorder="1" applyAlignment="1">
      <alignment horizontal="right"/>
    </xf>
    <xf numFmtId="0" fontId="2" fillId="0" borderId="4" xfId="0" applyFont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2" fillId="0" borderId="44" xfId="0" applyFont="1" applyBorder="1" applyAlignment="1">
      <alignment horizontal="center" vertical="top" wrapText="1"/>
    </xf>
  </cellXfs>
  <cellStyles count="7">
    <cellStyle name="Comma 2" xfId="4" xr:uid="{00000000-0005-0000-0000-000001000000}"/>
    <cellStyle name="Comma 2 2" xfId="6" xr:uid="{00000000-0005-0000-0000-000001000000}"/>
    <cellStyle name="Comma 3" xfId="5" xr:uid="{00000000-0005-0000-0000-000033000000}"/>
    <cellStyle name="Normal" xfId="0" builtinId="0"/>
    <cellStyle name="Normal 2" xfId="2" xr:uid="{00000000-0005-0000-0000-000003000000}"/>
    <cellStyle name="Normal 2 2" xfId="3" xr:uid="{00000000-0005-0000-0000-000004000000}"/>
    <cellStyle name="Normal 3" xfId="1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26671</xdr:colOff>
      <xdr:row>1</xdr:row>
      <xdr:rowOff>19050</xdr:rowOff>
    </xdr:from>
    <xdr:to>
      <xdr:col>2</xdr:col>
      <xdr:colOff>190501</xdr:colOff>
      <xdr:row>2</xdr:row>
      <xdr:rowOff>220980</xdr:rowOff>
    </xdr:to>
    <xdr:pic>
      <xdr:nvPicPr>
        <xdr:cNvPr id="4" name="Picture 10" descr="http://www.lakecement.com/images/logo.jpg">
          <a:extLst>
            <a:ext uri="{FF2B5EF4-FFF2-40B4-BE49-F238E27FC236}">
              <a16:creationId xmlns:a16="http://schemas.microsoft.com/office/drawing/2014/main" id="{5B9F8B1C-BA6F-428C-9BCD-2E910886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74321" y="219075"/>
          <a:ext cx="430530" cy="54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8</xdr:col>
      <xdr:colOff>476250</xdr:colOff>
      <xdr:row>1</xdr:row>
      <xdr:rowOff>0</xdr:rowOff>
    </xdr:from>
    <xdr:ext cx="184731" cy="264560"/>
    <xdr:sp macro="" textlink="">
      <xdr:nvSpPr>
        <xdr:cNvPr id="900" name="TextBox 899">
          <a:extLst>
            <a:ext uri="{FF2B5EF4-FFF2-40B4-BE49-F238E27FC236}">
              <a16:creationId xmlns:a16="http://schemas.microsoft.com/office/drawing/2014/main" id="{78290F5E-6B4B-4F8B-9ED7-BD8329461662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8</xdr:col>
      <xdr:colOff>476250</xdr:colOff>
      <xdr:row>1</xdr:row>
      <xdr:rowOff>0</xdr:rowOff>
    </xdr:from>
    <xdr:ext cx="184731" cy="264560"/>
    <xdr:sp macro="" textlink="">
      <xdr:nvSpPr>
        <xdr:cNvPr id="903" name="TextBox 902">
          <a:extLst>
            <a:ext uri="{FF2B5EF4-FFF2-40B4-BE49-F238E27FC236}">
              <a16:creationId xmlns:a16="http://schemas.microsoft.com/office/drawing/2014/main" id="{60276965-A8D8-46CE-8CD7-27B7069BDA4A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0</xdr:rowOff>
    </xdr:from>
    <xdr:to>
      <xdr:col>14</xdr:col>
      <xdr:colOff>0</xdr:colOff>
      <xdr:row>1</xdr:row>
      <xdr:rowOff>19050</xdr:rowOff>
    </xdr:to>
    <xdr:cxnSp macro="">
      <xdr:nvCxnSpPr>
        <xdr:cNvPr id="870" name="Straight Connector 869">
          <a:extLst>
            <a:ext uri="{FF2B5EF4-FFF2-40B4-BE49-F238E27FC236}">
              <a16:creationId xmlns:a16="http://schemas.microsoft.com/office/drawing/2014/main" id="{B2E44223-6E3F-4958-A4DF-45A136030BD0}"/>
            </a:ext>
          </a:extLst>
        </xdr:cNvPr>
        <xdr:cNvCxnSpPr/>
      </xdr:nvCxnSpPr>
      <xdr:spPr>
        <a:xfrm>
          <a:off x="8848725" y="200025"/>
          <a:ext cx="0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1</xdr:row>
      <xdr:rowOff>9525</xdr:rowOff>
    </xdr:to>
    <xdr:cxnSp macro="">
      <xdr:nvCxnSpPr>
        <xdr:cNvPr id="872" name="Straight Connector 871">
          <a:extLst>
            <a:ext uri="{FF2B5EF4-FFF2-40B4-BE49-F238E27FC236}">
              <a16:creationId xmlns:a16="http://schemas.microsoft.com/office/drawing/2014/main" id="{C0C3B19D-B439-4E56-9ACA-79042E2A7473}"/>
            </a:ext>
          </a:extLst>
        </xdr:cNvPr>
        <xdr:cNvCxnSpPr/>
      </xdr:nvCxnSpPr>
      <xdr:spPr>
        <a:xfrm>
          <a:off x="2228850" y="190500"/>
          <a:ext cx="9525" cy="1000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8</xdr:col>
      <xdr:colOff>476250</xdr:colOff>
      <xdr:row>1</xdr:row>
      <xdr:rowOff>0</xdr:rowOff>
    </xdr:from>
    <xdr:ext cx="184731" cy="264560"/>
    <xdr:sp macro="" textlink="">
      <xdr:nvSpPr>
        <xdr:cNvPr id="879" name="TextBox 878">
          <a:extLst>
            <a:ext uri="{FF2B5EF4-FFF2-40B4-BE49-F238E27FC236}">
              <a16:creationId xmlns:a16="http://schemas.microsoft.com/office/drawing/2014/main" id="{BF69D604-9962-4343-99FC-DC52B7FDB6A4}"/>
            </a:ext>
          </a:extLst>
        </xdr:cNvPr>
        <xdr:cNvSpPr txBox="1"/>
      </xdr:nvSpPr>
      <xdr:spPr>
        <a:xfrm>
          <a:off x="535305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14</xdr:col>
      <xdr:colOff>0</xdr:colOff>
      <xdr:row>1</xdr:row>
      <xdr:rowOff>9525</xdr:rowOff>
    </xdr:from>
    <xdr:to>
      <xdr:col>14</xdr:col>
      <xdr:colOff>0</xdr:colOff>
      <xdr:row>3</xdr:row>
      <xdr:rowOff>0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ED0E5FF4-FD6C-40AD-8840-C0B303DF0DC2}"/>
            </a:ext>
          </a:extLst>
        </xdr:cNvPr>
        <xdr:cNvCxnSpPr/>
      </xdr:nvCxnSpPr>
      <xdr:spPr>
        <a:xfrm>
          <a:off x="9182100" y="200025"/>
          <a:ext cx="0" cy="60960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0</xdr:colOff>
      <xdr:row>1</xdr:row>
      <xdr:rowOff>0</xdr:rowOff>
    </xdr:from>
    <xdr:to>
      <xdr:col>4</xdr:col>
      <xdr:colOff>9525</xdr:colOff>
      <xdr:row>3</xdr:row>
      <xdr:rowOff>0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902C3C1D-B014-46CD-9656-80291ACBCC70}"/>
            </a:ext>
          </a:extLst>
        </xdr:cNvPr>
        <xdr:cNvCxnSpPr/>
      </xdr:nvCxnSpPr>
      <xdr:spPr>
        <a:xfrm>
          <a:off x="2228850" y="190500"/>
          <a:ext cx="9525" cy="6191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</xdr:col>
      <xdr:colOff>9525</xdr:colOff>
      <xdr:row>2</xdr:row>
      <xdr:rowOff>9525</xdr:rowOff>
    </xdr:from>
    <xdr:ext cx="1876425" cy="26670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C35002C5-B24C-43F7-BC7D-FC208AB4FB52}"/>
            </a:ext>
          </a:extLst>
        </xdr:cNvPr>
        <xdr:cNvSpPr txBox="1"/>
      </xdr:nvSpPr>
      <xdr:spPr>
        <a:xfrm>
          <a:off x="257175" y="542925"/>
          <a:ext cx="1876425" cy="266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Document # FRM-LCL-MR-07</a:t>
          </a:r>
          <a:endParaRPr lang="en-TZ">
            <a:effectLst/>
          </a:endParaRPr>
        </a:p>
        <a:p>
          <a:endParaRPr lang="en-TZ" sz="1100"/>
        </a:p>
      </xdr:txBody>
    </xdr:sp>
    <xdr:clientData/>
  </xdr:oneCellAnchor>
  <xdr:twoCellAnchor>
    <xdr:from>
      <xdr:col>7</xdr:col>
      <xdr:colOff>219075</xdr:colOff>
      <xdr:row>1</xdr:row>
      <xdr:rowOff>257176</xdr:rowOff>
    </xdr:from>
    <xdr:to>
      <xdr:col>11</xdr:col>
      <xdr:colOff>323850</xdr:colOff>
      <xdr:row>1</xdr:row>
      <xdr:rowOff>809626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AD92C0A-F852-4708-A6C3-C39F04276A53}"/>
            </a:ext>
          </a:extLst>
        </xdr:cNvPr>
        <xdr:cNvSpPr txBox="1"/>
      </xdr:nvSpPr>
      <xdr:spPr>
        <a:xfrm>
          <a:off x="4495800" y="447676"/>
          <a:ext cx="2838450" cy="85725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1</xdr:row>
      <xdr:rowOff>247650</xdr:rowOff>
    </xdr:from>
    <xdr:ext cx="184731" cy="264560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E6D81A74-8BE6-4F50-A7E6-A040BD210DC9}"/>
            </a:ext>
          </a:extLst>
        </xdr:cNvPr>
        <xdr:cNvSpPr txBox="1"/>
      </xdr:nvSpPr>
      <xdr:spPr>
        <a:xfrm>
          <a:off x="5448300" y="43815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>
    <xdr:from>
      <xdr:col>4</xdr:col>
      <xdr:colOff>0</xdr:colOff>
      <xdr:row>2</xdr:row>
      <xdr:rowOff>0</xdr:rowOff>
    </xdr:from>
    <xdr:to>
      <xdr:col>4</xdr:col>
      <xdr:colOff>9525</xdr:colOff>
      <xdr:row>3</xdr:row>
      <xdr:rowOff>9525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4FCA2521-B1EE-4E11-A6FB-69D0B51D3D7B}"/>
            </a:ext>
          </a:extLst>
        </xdr:cNvPr>
        <xdr:cNvCxnSpPr/>
      </xdr:nvCxnSpPr>
      <xdr:spPr>
        <a:xfrm>
          <a:off x="2228850" y="533400"/>
          <a:ext cx="9525" cy="28575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219075</xdr:colOff>
      <xdr:row>2</xdr:row>
      <xdr:rowOff>0</xdr:rowOff>
    </xdr:from>
    <xdr:to>
      <xdr:col>11</xdr:col>
      <xdr:colOff>323850</xdr:colOff>
      <xdr:row>2</xdr:row>
      <xdr:rowOff>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0E00AB9-6DC3-49DD-8ED9-3EEE4FD9B837}"/>
            </a:ext>
          </a:extLst>
        </xdr:cNvPr>
        <xdr:cNvSpPr txBox="1"/>
      </xdr:nvSpPr>
      <xdr:spPr>
        <a:xfrm>
          <a:off x="4495800" y="533400"/>
          <a:ext cx="2838450" cy="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6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LAKE CEMENT LTD</a:t>
          </a:r>
          <a:endParaRPr lang="en-TZ" sz="1600">
            <a:effectLst/>
          </a:endParaRPr>
        </a:p>
        <a:p>
          <a:endParaRPr lang="en-TZ" sz="1100"/>
        </a:p>
      </xdr:txBody>
    </xdr:sp>
    <xdr:clientData/>
  </xdr:twoCellAnchor>
  <xdr:oneCellAnchor>
    <xdr:from>
      <xdr:col>8</xdr:col>
      <xdr:colOff>476250</xdr:colOff>
      <xdr:row>2</xdr:row>
      <xdr:rowOff>0</xdr:rowOff>
    </xdr:from>
    <xdr:ext cx="184731" cy="264560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24FEA0D-44B5-4693-81B3-E305770381BA}"/>
            </a:ext>
          </a:extLst>
        </xdr:cNvPr>
        <xdr:cNvSpPr txBox="1"/>
      </xdr:nvSpPr>
      <xdr:spPr>
        <a:xfrm>
          <a:off x="5448300" y="5334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/>
        </a:p>
      </xdr:txBody>
    </xdr:sp>
    <xdr:clientData/>
  </xdr:oneCellAnchor>
  <xdr:twoCellAnchor editAs="oneCell">
    <xdr:from>
      <xdr:col>1</xdr:col>
      <xdr:colOff>21167</xdr:colOff>
      <xdr:row>0</xdr:row>
      <xdr:rowOff>156633</xdr:rowOff>
    </xdr:from>
    <xdr:to>
      <xdr:col>2</xdr:col>
      <xdr:colOff>354542</xdr:colOff>
      <xdr:row>2</xdr:row>
      <xdr:rowOff>2115</xdr:rowOff>
    </xdr:to>
    <xdr:pic>
      <xdr:nvPicPr>
        <xdr:cNvPr id="16" name="Picture 10" descr="http://www.lakecement.com/images/logo.jpg">
          <a:extLst>
            <a:ext uri="{FF2B5EF4-FFF2-40B4-BE49-F238E27FC236}">
              <a16:creationId xmlns:a16="http://schemas.microsoft.com/office/drawing/2014/main" id="{BD62758A-191A-4B4D-98FD-1EFAEB32F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286" b="4286"/>
        <a:stretch>
          <a:fillRect/>
        </a:stretch>
      </xdr:blipFill>
      <xdr:spPr bwMode="auto">
        <a:xfrm>
          <a:off x="268817" y="156633"/>
          <a:ext cx="600075" cy="37888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8</xdr:col>
      <xdr:colOff>379942</xdr:colOff>
      <xdr:row>1</xdr:row>
      <xdr:rowOff>113876</xdr:rowOff>
    </xdr:from>
    <xdr:to>
      <xdr:col>12</xdr:col>
      <xdr:colOff>587592</xdr:colOff>
      <xdr:row>2</xdr:row>
      <xdr:rowOff>26669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C0DD4E3-5C31-4350-B0BB-2F66FD70E0A4}"/>
            </a:ext>
          </a:extLst>
        </xdr:cNvPr>
        <xdr:cNvSpPr/>
      </xdr:nvSpPr>
      <xdr:spPr>
        <a:xfrm>
          <a:off x="5351992" y="304376"/>
          <a:ext cx="2941325" cy="25569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INTEGRATED MANAGEMENT SYSTEM </a:t>
          </a:r>
        </a:p>
      </xdr:txBody>
    </xdr:sp>
    <xdr:clientData/>
  </xdr:twoCellAnchor>
  <xdr:twoCellAnchor>
    <xdr:from>
      <xdr:col>11</xdr:col>
      <xdr:colOff>766657</xdr:colOff>
      <xdr:row>2</xdr:row>
      <xdr:rowOff>36407</xdr:rowOff>
    </xdr:from>
    <xdr:to>
      <xdr:col>11</xdr:col>
      <xdr:colOff>766657</xdr:colOff>
      <xdr:row>3</xdr:row>
      <xdr:rowOff>21167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6044663-E5E4-4805-B412-0E3244BE6207}"/>
            </a:ext>
          </a:extLst>
        </xdr:cNvPr>
        <xdr:cNvCxnSpPr/>
      </xdr:nvCxnSpPr>
      <xdr:spPr>
        <a:xfrm>
          <a:off x="7710382" y="569807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219075</xdr:colOff>
      <xdr:row>2</xdr:row>
      <xdr:rowOff>22860</xdr:rowOff>
    </xdr:from>
    <xdr:to>
      <xdr:col>13</xdr:col>
      <xdr:colOff>544813</xdr:colOff>
      <xdr:row>2</xdr:row>
      <xdr:rowOff>234633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A3CD7F5-C44B-4DFA-937F-D69CD7CD3DDB}"/>
            </a:ext>
          </a:extLst>
        </xdr:cNvPr>
        <xdr:cNvSpPr/>
      </xdr:nvSpPr>
      <xdr:spPr>
        <a:xfrm>
          <a:off x="7924800" y="556260"/>
          <a:ext cx="1049638" cy="211773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Rev:3</a:t>
          </a:r>
        </a:p>
      </xdr:txBody>
    </xdr: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260985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788F936E-FA7A-4B73-A841-39F5D6392AA9}"/>
            </a:ext>
          </a:extLst>
        </xdr:cNvPr>
        <xdr:cNvCxnSpPr/>
      </xdr:nvCxnSpPr>
      <xdr:spPr>
        <a:xfrm>
          <a:off x="247650" y="533400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2</xdr:row>
      <xdr:rowOff>0</xdr:rowOff>
    </xdr:from>
    <xdr:to>
      <xdr:col>1</xdr:col>
      <xdr:colOff>0</xdr:colOff>
      <xdr:row>2</xdr:row>
      <xdr:rowOff>259926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58C49539-CEE8-489D-BEDC-6F2FAF29C41A}"/>
            </a:ext>
          </a:extLst>
        </xdr:cNvPr>
        <xdr:cNvCxnSpPr/>
      </xdr:nvCxnSpPr>
      <xdr:spPr>
        <a:xfrm>
          <a:off x="247650" y="533400"/>
          <a:ext cx="0" cy="25992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2</xdr:row>
      <xdr:rowOff>21166</xdr:rowOff>
    </xdr:from>
    <xdr:to>
      <xdr:col>14</xdr:col>
      <xdr:colOff>0</xdr:colOff>
      <xdr:row>3</xdr:row>
      <xdr:rowOff>5926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634125D7-6D1A-40BC-9164-B887FC51C55A}"/>
            </a:ext>
          </a:extLst>
        </xdr:cNvPr>
        <xdr:cNvCxnSpPr/>
      </xdr:nvCxnSpPr>
      <xdr:spPr>
        <a:xfrm>
          <a:off x="9182100" y="554566"/>
          <a:ext cx="0" cy="26098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lakecementt-my.sharepoint.com/personal/production_lakecement_co_tz/Documents/JULY%202026/Master%20production%20report%20JULY26'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ines (2)"/>
      <sheetName val="Clinker"/>
      <sheetName val="RAW MILL 2"/>
      <sheetName val="Cement"/>
      <sheetName val="Production2"/>
      <sheetName val="CPP"/>
      <sheetName val="Daily unit"/>
      <sheetName val="Daily CEM-1"/>
      <sheetName val="Daily  CEM - 2"/>
      <sheetName val="Internal use cement"/>
      <sheetName val="Raw mill moisture content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</sheetNames>
    <sheetDataSet>
      <sheetData sheetId="0">
        <row r="3">
          <cell r="C3">
            <v>9867.08318000297</v>
          </cell>
          <cell r="H3">
            <v>14102.210979948331</v>
          </cell>
          <cell r="L3">
            <v>3819.2799999999997</v>
          </cell>
          <cell r="M3">
            <v>0</v>
          </cell>
          <cell r="N3">
            <v>13</v>
          </cell>
          <cell r="Q3">
            <v>3.999999999996362E-2</v>
          </cell>
          <cell r="R3">
            <v>0</v>
          </cell>
          <cell r="S3">
            <v>0</v>
          </cell>
          <cell r="V3">
            <v>0</v>
          </cell>
          <cell r="Z3">
            <v>728.2</v>
          </cell>
          <cell r="AD3">
            <v>0</v>
          </cell>
          <cell r="AH3">
            <v>317.7</v>
          </cell>
          <cell r="AI3">
            <v>0</v>
          </cell>
          <cell r="AJ3">
            <v>12</v>
          </cell>
          <cell r="AM3">
            <v>0</v>
          </cell>
          <cell r="AN3">
            <v>0</v>
          </cell>
          <cell r="AO3">
            <v>0</v>
          </cell>
        </row>
        <row r="36">
          <cell r="M36">
            <v>7400.2400000000016</v>
          </cell>
          <cell r="N36">
            <v>3705</v>
          </cell>
          <cell r="R36">
            <v>137.76</v>
          </cell>
          <cell r="S36">
            <v>738</v>
          </cell>
          <cell r="AI36">
            <v>217.33999999999997</v>
          </cell>
          <cell r="AJ36">
            <v>198</v>
          </cell>
          <cell r="AN36">
            <v>0</v>
          </cell>
          <cell r="AO36">
            <v>0</v>
          </cell>
        </row>
      </sheetData>
      <sheetData sheetId="1">
        <row r="3">
          <cell r="C3">
            <v>1148.3200000000002</v>
          </cell>
          <cell r="D3">
            <v>64.14</v>
          </cell>
          <cell r="E3">
            <v>35</v>
          </cell>
          <cell r="N3">
            <v>0</v>
          </cell>
          <cell r="Z3">
            <v>0</v>
          </cell>
          <cell r="AE3">
            <v>0</v>
          </cell>
          <cell r="AJ3">
            <v>78</v>
          </cell>
          <cell r="AS3">
            <v>0</v>
          </cell>
          <cell r="AX3">
            <v>0</v>
          </cell>
          <cell r="BC3">
            <v>26</v>
          </cell>
          <cell r="BH3">
            <v>0</v>
          </cell>
          <cell r="BM3">
            <v>0</v>
          </cell>
          <cell r="BR3">
            <v>0</v>
          </cell>
          <cell r="BW3">
            <v>0</v>
          </cell>
          <cell r="CG3">
            <v>0</v>
          </cell>
          <cell r="CL3">
            <v>0</v>
          </cell>
          <cell r="CQ3">
            <v>0</v>
          </cell>
          <cell r="CV3">
            <v>0</v>
          </cell>
          <cell r="DP3">
            <v>0</v>
          </cell>
          <cell r="EB3">
            <v>3307.2169999999905</v>
          </cell>
          <cell r="EC3">
            <v>216.04</v>
          </cell>
          <cell r="ED3">
            <v>160</v>
          </cell>
          <cell r="EF3">
            <v>3534.0199999999936</v>
          </cell>
          <cell r="EG3">
            <v>90.05</v>
          </cell>
          <cell r="EH3">
            <v>104</v>
          </cell>
          <cell r="EJ3">
            <v>9946.2770610879707</v>
          </cell>
          <cell r="EK3">
            <v>890</v>
          </cell>
          <cell r="EL3">
            <v>2414.5550001184802</v>
          </cell>
          <cell r="EN3">
            <v>0</v>
          </cell>
          <cell r="EO3">
            <v>89.258008000135931</v>
          </cell>
          <cell r="EP3">
            <v>0</v>
          </cell>
          <cell r="EQ3">
            <v>0</v>
          </cell>
        </row>
        <row r="36">
          <cell r="D36">
            <v>671.68000000000006</v>
          </cell>
          <cell r="E36">
            <v>4889</v>
          </cell>
          <cell r="EC36">
            <v>6589.920000000001</v>
          </cell>
          <cell r="ED36">
            <v>21812.86</v>
          </cell>
          <cell r="EG36">
            <v>5904.25</v>
          </cell>
          <cell r="EH36">
            <v>12460</v>
          </cell>
          <cell r="EK36">
            <v>126324</v>
          </cell>
          <cell r="EL36">
            <v>119659.26303853876</v>
          </cell>
          <cell r="EN36">
            <v>0</v>
          </cell>
          <cell r="EP36">
            <v>13390.660000000003</v>
          </cell>
          <cell r="EQ36">
            <v>22150.951000000001</v>
          </cell>
        </row>
      </sheetData>
      <sheetData sheetId="2"/>
      <sheetData sheetId="3">
        <row r="3">
          <cell r="C3">
            <v>3193.2820013296368</v>
          </cell>
          <cell r="D3">
            <v>218.56</v>
          </cell>
          <cell r="F3">
            <v>155.73999983947368</v>
          </cell>
          <cell r="H3">
            <v>0.23999999999796273</v>
          </cell>
          <cell r="I3">
            <v>0</v>
          </cell>
          <cell r="J3">
            <v>0</v>
          </cell>
          <cell r="L3">
            <v>0</v>
          </cell>
          <cell r="M3">
            <v>0</v>
          </cell>
          <cell r="N3">
            <v>0</v>
          </cell>
          <cell r="Q3">
            <v>0</v>
          </cell>
          <cell r="S3">
            <v>441.65777781557711</v>
          </cell>
          <cell r="U3">
            <v>0</v>
          </cell>
          <cell r="Y3">
            <v>0</v>
          </cell>
        </row>
        <row r="36">
          <cell r="D36">
            <v>5216.08</v>
          </cell>
          <cell r="F36">
            <v>9468.1780578201451</v>
          </cell>
          <cell r="I36">
            <v>0</v>
          </cell>
          <cell r="J36">
            <v>0</v>
          </cell>
          <cell r="M36">
            <v>0</v>
          </cell>
          <cell r="N36">
            <v>0</v>
          </cell>
          <cell r="Q36">
            <v>0</v>
          </cell>
          <cell r="S36">
            <v>33716.597537232548</v>
          </cell>
        </row>
      </sheetData>
      <sheetData sheetId="4">
        <row r="3">
          <cell r="C3">
            <v>18.02</v>
          </cell>
          <cell r="D3">
            <v>4123.3</v>
          </cell>
          <cell r="E3">
            <v>982</v>
          </cell>
          <cell r="G3">
            <v>7</v>
          </cell>
          <cell r="H3">
            <v>1290.9000168375183</v>
          </cell>
          <cell r="N3">
            <v>819</v>
          </cell>
          <cell r="P3">
            <v>15.12</v>
          </cell>
          <cell r="Q3">
            <v>120.21</v>
          </cell>
          <cell r="S3">
            <v>10.55</v>
          </cell>
          <cell r="T3">
            <v>51.109999999999786</v>
          </cell>
          <cell r="U3">
            <v>144</v>
          </cell>
          <cell r="V3">
            <v>160</v>
          </cell>
          <cell r="Y3">
            <v>13.63</v>
          </cell>
          <cell r="AB3">
            <v>21</v>
          </cell>
          <cell r="AC3">
            <v>1375</v>
          </cell>
          <cell r="AE3">
            <v>0.5</v>
          </cell>
          <cell r="AF3">
            <v>35</v>
          </cell>
          <cell r="AH3">
            <v>0</v>
          </cell>
          <cell r="AI3">
            <v>0</v>
          </cell>
          <cell r="AK3">
            <v>0</v>
          </cell>
          <cell r="AN3">
            <v>2.5</v>
          </cell>
          <cell r="AO3">
            <v>175</v>
          </cell>
          <cell r="AQ3">
            <v>18.3</v>
          </cell>
          <cell r="AR3">
            <v>1134</v>
          </cell>
          <cell r="AT3">
            <v>0</v>
          </cell>
          <cell r="AU3">
            <v>0</v>
          </cell>
          <cell r="AW3">
            <v>0</v>
          </cell>
          <cell r="AX3">
            <v>0</v>
          </cell>
          <cell r="AZ3">
            <v>3</v>
          </cell>
          <cell r="BA3">
            <v>175</v>
          </cell>
          <cell r="BC3">
            <v>1</v>
          </cell>
          <cell r="BD3">
            <v>66</v>
          </cell>
          <cell r="BF3">
            <v>20.337999999977455</v>
          </cell>
          <cell r="BH3">
            <v>2385.3200000000002</v>
          </cell>
          <cell r="BJ3">
            <v>78.049999999999926</v>
          </cell>
          <cell r="BL3">
            <v>60</v>
          </cell>
          <cell r="BN3">
            <v>9.0000000000849845E-2</v>
          </cell>
          <cell r="BP3">
            <v>0</v>
          </cell>
          <cell r="BR3">
            <v>22.350000000000023</v>
          </cell>
          <cell r="BT3">
            <v>150</v>
          </cell>
          <cell r="BV3">
            <v>126.32000000000005</v>
          </cell>
          <cell r="BX3">
            <v>353.78</v>
          </cell>
        </row>
        <row r="36">
          <cell r="C36">
            <v>1520.6800000000003</v>
          </cell>
          <cell r="D36">
            <v>242389.22000000003</v>
          </cell>
          <cell r="E36">
            <v>207080</v>
          </cell>
          <cell r="G36">
            <v>1590.3</v>
          </cell>
          <cell r="K36">
            <v>195802.2</v>
          </cell>
          <cell r="N36">
            <v>186174.55</v>
          </cell>
          <cell r="P36">
            <v>998.64999999999986</v>
          </cell>
          <cell r="Q36">
            <v>8924.82</v>
          </cell>
          <cell r="S36">
            <v>1428.17</v>
          </cell>
          <cell r="U36">
            <v>19631.599999999999</v>
          </cell>
          <cell r="V36">
            <v>19596</v>
          </cell>
          <cell r="Y36">
            <v>1976.7199999999998</v>
          </cell>
          <cell r="AB36">
            <v>1059.0999999999999</v>
          </cell>
          <cell r="AC36">
            <v>68067</v>
          </cell>
          <cell r="AE36">
            <v>67.900000000000006</v>
          </cell>
          <cell r="AF36">
            <v>4566</v>
          </cell>
          <cell r="AH36">
            <v>0</v>
          </cell>
          <cell r="AI36">
            <v>0</v>
          </cell>
          <cell r="AK36">
            <v>8</v>
          </cell>
          <cell r="AL36">
            <v>485</v>
          </cell>
          <cell r="AN36">
            <v>191.67</v>
          </cell>
          <cell r="AO36">
            <v>12662</v>
          </cell>
          <cell r="AQ36">
            <v>1322.5100000000002</v>
          </cell>
          <cell r="AR36">
            <v>77611</v>
          </cell>
          <cell r="AT36">
            <v>71.929999999999993</v>
          </cell>
          <cell r="AU36">
            <v>4368</v>
          </cell>
          <cell r="AW36">
            <v>0</v>
          </cell>
          <cell r="AX36">
            <v>0</v>
          </cell>
          <cell r="AZ36">
            <v>80.650000000000006</v>
          </cell>
          <cell r="BA36">
            <v>4498</v>
          </cell>
          <cell r="BC36">
            <v>164.37</v>
          </cell>
          <cell r="BD36">
            <v>9990</v>
          </cell>
          <cell r="BH36">
            <v>146926.21999999997</v>
          </cell>
          <cell r="BL36">
            <v>9088</v>
          </cell>
          <cell r="BP36">
            <v>-0.15</v>
          </cell>
          <cell r="BT36">
            <v>5173.5</v>
          </cell>
          <cell r="BX36">
            <v>22895.239999999998</v>
          </cell>
        </row>
      </sheetData>
      <sheetData sheetId="5"/>
      <sheetData sheetId="6">
        <row r="3">
          <cell r="B3">
            <v>1560</v>
          </cell>
          <cell r="C3">
            <v>27973</v>
          </cell>
          <cell r="E3">
            <v>37973</v>
          </cell>
          <cell r="F3">
            <v>8830</v>
          </cell>
          <cell r="G3">
            <v>111604</v>
          </cell>
          <cell r="H3">
            <v>1762</v>
          </cell>
          <cell r="I3">
            <v>7458</v>
          </cell>
          <cell r="J3">
            <v>4166</v>
          </cell>
        </row>
      </sheetData>
      <sheetData sheetId="7"/>
      <sheetData sheetId="8"/>
      <sheetData sheetId="9">
        <row r="3">
          <cell r="F3">
            <v>0</v>
          </cell>
          <cell r="Q3">
            <v>0</v>
          </cell>
          <cell r="AB3">
            <v>0</v>
          </cell>
          <cell r="AJ3">
            <v>0</v>
          </cell>
          <cell r="AO3">
            <v>0</v>
          </cell>
        </row>
        <row r="36">
          <cell r="F36">
            <v>10</v>
          </cell>
          <cell r="N36">
            <v>2</v>
          </cell>
          <cell r="Y36">
            <v>0.25</v>
          </cell>
          <cell r="AJ36">
            <v>0.44999999999999996</v>
          </cell>
          <cell r="AO36">
            <v>4.1500000000000004</v>
          </cell>
        </row>
      </sheetData>
      <sheetData sheetId="10">
        <row r="35">
          <cell r="L35">
            <v>0.10000000000000003</v>
          </cell>
          <cell r="M35">
            <v>0.1</v>
          </cell>
          <cell r="N35">
            <v>7.0000000000000062E-2</v>
          </cell>
          <cell r="O35" t="e">
            <v>#DIV/0!</v>
          </cell>
          <cell r="S35">
            <v>9.9999999999999936E-2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U159"/>
  <sheetViews>
    <sheetView tabSelected="1" workbookViewId="0">
      <selection activeCell="Q45" sqref="Q45"/>
    </sheetView>
  </sheetViews>
  <sheetFormatPr defaultRowHeight="14.4" x14ac:dyDescent="0.3"/>
  <cols>
    <col min="1" max="1" width="3.6640625" style="7" customWidth="1"/>
    <col min="2" max="2" width="4" style="7" bestFit="1" customWidth="1"/>
    <col min="3" max="3" width="14.5546875" style="7" customWidth="1"/>
    <col min="4" max="4" width="11.109375" style="7" customWidth="1"/>
    <col min="5" max="5" width="10.109375" style="7" customWidth="1"/>
    <col min="6" max="6" width="9.6640625" style="7" bestFit="1" customWidth="1"/>
    <col min="7" max="7" width="10.88671875" style="7" customWidth="1"/>
    <col min="8" max="8" width="10.44140625" style="7" customWidth="1"/>
    <col min="9" max="9" width="9.6640625" style="7" bestFit="1" customWidth="1"/>
    <col min="10" max="11" width="10.44140625" style="7" bestFit="1" customWidth="1"/>
    <col min="12" max="12" width="10.44140625" style="7" customWidth="1"/>
    <col min="13" max="13" width="10.88671875" style="7" bestFit="1" customWidth="1"/>
    <col min="14" max="14" width="11.33203125" style="7" customWidth="1"/>
    <col min="15" max="15" width="12.5546875" style="7" customWidth="1"/>
    <col min="16" max="16" width="13.5546875" style="8" customWidth="1"/>
    <col min="17" max="17" width="13" style="7" customWidth="1"/>
    <col min="18" max="256" width="9.109375" style="7"/>
    <col min="257" max="257" width="3.6640625" style="7" customWidth="1"/>
    <col min="258" max="258" width="4" style="7" bestFit="1" customWidth="1"/>
    <col min="259" max="259" width="14.5546875" style="7" customWidth="1"/>
    <col min="260" max="260" width="11.109375" style="7" customWidth="1"/>
    <col min="261" max="261" width="8.6640625" style="7" customWidth="1"/>
    <col min="262" max="262" width="9.6640625" style="7" bestFit="1" customWidth="1"/>
    <col min="263" max="263" width="10.88671875" style="7" customWidth="1"/>
    <col min="264" max="264" width="10.44140625" style="7" customWidth="1"/>
    <col min="265" max="265" width="9.6640625" style="7" bestFit="1" customWidth="1"/>
    <col min="266" max="268" width="9.33203125" style="7" bestFit="1" customWidth="1"/>
    <col min="269" max="269" width="10.6640625" style="7" bestFit="1" customWidth="1"/>
    <col min="270" max="270" width="11.33203125" style="7" customWidth="1"/>
    <col min="271" max="271" width="12.5546875" style="7" customWidth="1"/>
    <col min="272" max="272" width="13.5546875" style="7" customWidth="1"/>
    <col min="273" max="273" width="13" style="7" customWidth="1"/>
    <col min="274" max="512" width="9.109375" style="7"/>
    <col min="513" max="513" width="3.6640625" style="7" customWidth="1"/>
    <col min="514" max="514" width="4" style="7" bestFit="1" customWidth="1"/>
    <col min="515" max="515" width="14.5546875" style="7" customWidth="1"/>
    <col min="516" max="516" width="11.109375" style="7" customWidth="1"/>
    <col min="517" max="517" width="8.6640625" style="7" customWidth="1"/>
    <col min="518" max="518" width="9.6640625" style="7" bestFit="1" customWidth="1"/>
    <col min="519" max="519" width="10.88671875" style="7" customWidth="1"/>
    <col min="520" max="520" width="10.44140625" style="7" customWidth="1"/>
    <col min="521" max="521" width="9.6640625" style="7" bestFit="1" customWidth="1"/>
    <col min="522" max="524" width="9.33203125" style="7" bestFit="1" customWidth="1"/>
    <col min="525" max="525" width="10.6640625" style="7" bestFit="1" customWidth="1"/>
    <col min="526" max="526" width="11.33203125" style="7" customWidth="1"/>
    <col min="527" max="527" width="12.5546875" style="7" customWidth="1"/>
    <col min="528" max="528" width="13.5546875" style="7" customWidth="1"/>
    <col min="529" max="529" width="13" style="7" customWidth="1"/>
    <col min="530" max="768" width="9.109375" style="7"/>
    <col min="769" max="769" width="3.6640625" style="7" customWidth="1"/>
    <col min="770" max="770" width="4" style="7" bestFit="1" customWidth="1"/>
    <col min="771" max="771" width="14.5546875" style="7" customWidth="1"/>
    <col min="772" max="772" width="11.109375" style="7" customWidth="1"/>
    <col min="773" max="773" width="8.6640625" style="7" customWidth="1"/>
    <col min="774" max="774" width="9.6640625" style="7" bestFit="1" customWidth="1"/>
    <col min="775" max="775" width="10.88671875" style="7" customWidth="1"/>
    <col min="776" max="776" width="10.44140625" style="7" customWidth="1"/>
    <col min="777" max="777" width="9.6640625" style="7" bestFit="1" customWidth="1"/>
    <col min="778" max="780" width="9.33203125" style="7" bestFit="1" customWidth="1"/>
    <col min="781" max="781" width="10.6640625" style="7" bestFit="1" customWidth="1"/>
    <col min="782" max="782" width="11.33203125" style="7" customWidth="1"/>
    <col min="783" max="783" width="12.5546875" style="7" customWidth="1"/>
    <col min="784" max="784" width="13.5546875" style="7" customWidth="1"/>
    <col min="785" max="785" width="13" style="7" customWidth="1"/>
    <col min="786" max="1024" width="9.109375" style="7"/>
    <col min="1025" max="1025" width="3.6640625" style="7" customWidth="1"/>
    <col min="1026" max="1026" width="4" style="7" bestFit="1" customWidth="1"/>
    <col min="1027" max="1027" width="14.5546875" style="7" customWidth="1"/>
    <col min="1028" max="1028" width="11.109375" style="7" customWidth="1"/>
    <col min="1029" max="1029" width="8.6640625" style="7" customWidth="1"/>
    <col min="1030" max="1030" width="9.6640625" style="7" bestFit="1" customWidth="1"/>
    <col min="1031" max="1031" width="10.88671875" style="7" customWidth="1"/>
    <col min="1032" max="1032" width="10.44140625" style="7" customWidth="1"/>
    <col min="1033" max="1033" width="9.6640625" style="7" bestFit="1" customWidth="1"/>
    <col min="1034" max="1036" width="9.33203125" style="7" bestFit="1" customWidth="1"/>
    <col min="1037" max="1037" width="10.6640625" style="7" bestFit="1" customWidth="1"/>
    <col min="1038" max="1038" width="11.33203125" style="7" customWidth="1"/>
    <col min="1039" max="1039" width="12.5546875" style="7" customWidth="1"/>
    <col min="1040" max="1040" width="13.5546875" style="7" customWidth="1"/>
    <col min="1041" max="1041" width="13" style="7" customWidth="1"/>
    <col min="1042" max="1280" width="9.109375" style="7"/>
    <col min="1281" max="1281" width="3.6640625" style="7" customWidth="1"/>
    <col min="1282" max="1282" width="4" style="7" bestFit="1" customWidth="1"/>
    <col min="1283" max="1283" width="14.5546875" style="7" customWidth="1"/>
    <col min="1284" max="1284" width="11.109375" style="7" customWidth="1"/>
    <col min="1285" max="1285" width="8.6640625" style="7" customWidth="1"/>
    <col min="1286" max="1286" width="9.6640625" style="7" bestFit="1" customWidth="1"/>
    <col min="1287" max="1287" width="10.88671875" style="7" customWidth="1"/>
    <col min="1288" max="1288" width="10.44140625" style="7" customWidth="1"/>
    <col min="1289" max="1289" width="9.6640625" style="7" bestFit="1" customWidth="1"/>
    <col min="1290" max="1292" width="9.33203125" style="7" bestFit="1" customWidth="1"/>
    <col min="1293" max="1293" width="10.6640625" style="7" bestFit="1" customWidth="1"/>
    <col min="1294" max="1294" width="11.33203125" style="7" customWidth="1"/>
    <col min="1295" max="1295" width="12.5546875" style="7" customWidth="1"/>
    <col min="1296" max="1296" width="13.5546875" style="7" customWidth="1"/>
    <col min="1297" max="1297" width="13" style="7" customWidth="1"/>
    <col min="1298" max="1536" width="9.109375" style="7"/>
    <col min="1537" max="1537" width="3.6640625" style="7" customWidth="1"/>
    <col min="1538" max="1538" width="4" style="7" bestFit="1" customWidth="1"/>
    <col min="1539" max="1539" width="14.5546875" style="7" customWidth="1"/>
    <col min="1540" max="1540" width="11.109375" style="7" customWidth="1"/>
    <col min="1541" max="1541" width="8.6640625" style="7" customWidth="1"/>
    <col min="1542" max="1542" width="9.6640625" style="7" bestFit="1" customWidth="1"/>
    <col min="1543" max="1543" width="10.88671875" style="7" customWidth="1"/>
    <col min="1544" max="1544" width="10.44140625" style="7" customWidth="1"/>
    <col min="1545" max="1545" width="9.6640625" style="7" bestFit="1" customWidth="1"/>
    <col min="1546" max="1548" width="9.33203125" style="7" bestFit="1" customWidth="1"/>
    <col min="1549" max="1549" width="10.6640625" style="7" bestFit="1" customWidth="1"/>
    <col min="1550" max="1550" width="11.33203125" style="7" customWidth="1"/>
    <col min="1551" max="1551" width="12.5546875" style="7" customWidth="1"/>
    <col min="1552" max="1552" width="13.5546875" style="7" customWidth="1"/>
    <col min="1553" max="1553" width="13" style="7" customWidth="1"/>
    <col min="1554" max="1792" width="9.109375" style="7"/>
    <col min="1793" max="1793" width="3.6640625" style="7" customWidth="1"/>
    <col min="1794" max="1794" width="4" style="7" bestFit="1" customWidth="1"/>
    <col min="1795" max="1795" width="14.5546875" style="7" customWidth="1"/>
    <col min="1796" max="1796" width="11.109375" style="7" customWidth="1"/>
    <col min="1797" max="1797" width="8.6640625" style="7" customWidth="1"/>
    <col min="1798" max="1798" width="9.6640625" style="7" bestFit="1" customWidth="1"/>
    <col min="1799" max="1799" width="10.88671875" style="7" customWidth="1"/>
    <col min="1800" max="1800" width="10.44140625" style="7" customWidth="1"/>
    <col min="1801" max="1801" width="9.6640625" style="7" bestFit="1" customWidth="1"/>
    <col min="1802" max="1804" width="9.33203125" style="7" bestFit="1" customWidth="1"/>
    <col min="1805" max="1805" width="10.6640625" style="7" bestFit="1" customWidth="1"/>
    <col min="1806" max="1806" width="11.33203125" style="7" customWidth="1"/>
    <col min="1807" max="1807" width="12.5546875" style="7" customWidth="1"/>
    <col min="1808" max="1808" width="13.5546875" style="7" customWidth="1"/>
    <col min="1809" max="1809" width="13" style="7" customWidth="1"/>
    <col min="1810" max="2048" width="9.109375" style="7"/>
    <col min="2049" max="2049" width="3.6640625" style="7" customWidth="1"/>
    <col min="2050" max="2050" width="4" style="7" bestFit="1" customWidth="1"/>
    <col min="2051" max="2051" width="14.5546875" style="7" customWidth="1"/>
    <col min="2052" max="2052" width="11.109375" style="7" customWidth="1"/>
    <col min="2053" max="2053" width="8.6640625" style="7" customWidth="1"/>
    <col min="2054" max="2054" width="9.6640625" style="7" bestFit="1" customWidth="1"/>
    <col min="2055" max="2055" width="10.88671875" style="7" customWidth="1"/>
    <col min="2056" max="2056" width="10.44140625" style="7" customWidth="1"/>
    <col min="2057" max="2057" width="9.6640625" style="7" bestFit="1" customWidth="1"/>
    <col min="2058" max="2060" width="9.33203125" style="7" bestFit="1" customWidth="1"/>
    <col min="2061" max="2061" width="10.6640625" style="7" bestFit="1" customWidth="1"/>
    <col min="2062" max="2062" width="11.33203125" style="7" customWidth="1"/>
    <col min="2063" max="2063" width="12.5546875" style="7" customWidth="1"/>
    <col min="2064" max="2064" width="13.5546875" style="7" customWidth="1"/>
    <col min="2065" max="2065" width="13" style="7" customWidth="1"/>
    <col min="2066" max="2304" width="9.109375" style="7"/>
    <col min="2305" max="2305" width="3.6640625" style="7" customWidth="1"/>
    <col min="2306" max="2306" width="4" style="7" bestFit="1" customWidth="1"/>
    <col min="2307" max="2307" width="14.5546875" style="7" customWidth="1"/>
    <col min="2308" max="2308" width="11.109375" style="7" customWidth="1"/>
    <col min="2309" max="2309" width="8.6640625" style="7" customWidth="1"/>
    <col min="2310" max="2310" width="9.6640625" style="7" bestFit="1" customWidth="1"/>
    <col min="2311" max="2311" width="10.88671875" style="7" customWidth="1"/>
    <col min="2312" max="2312" width="10.44140625" style="7" customWidth="1"/>
    <col min="2313" max="2313" width="9.6640625" style="7" bestFit="1" customWidth="1"/>
    <col min="2314" max="2316" width="9.33203125" style="7" bestFit="1" customWidth="1"/>
    <col min="2317" max="2317" width="10.6640625" style="7" bestFit="1" customWidth="1"/>
    <col min="2318" max="2318" width="11.33203125" style="7" customWidth="1"/>
    <col min="2319" max="2319" width="12.5546875" style="7" customWidth="1"/>
    <col min="2320" max="2320" width="13.5546875" style="7" customWidth="1"/>
    <col min="2321" max="2321" width="13" style="7" customWidth="1"/>
    <col min="2322" max="2560" width="9.109375" style="7"/>
    <col min="2561" max="2561" width="3.6640625" style="7" customWidth="1"/>
    <col min="2562" max="2562" width="4" style="7" bestFit="1" customWidth="1"/>
    <col min="2563" max="2563" width="14.5546875" style="7" customWidth="1"/>
    <col min="2564" max="2564" width="11.109375" style="7" customWidth="1"/>
    <col min="2565" max="2565" width="8.6640625" style="7" customWidth="1"/>
    <col min="2566" max="2566" width="9.6640625" style="7" bestFit="1" customWidth="1"/>
    <col min="2567" max="2567" width="10.88671875" style="7" customWidth="1"/>
    <col min="2568" max="2568" width="10.44140625" style="7" customWidth="1"/>
    <col min="2569" max="2569" width="9.6640625" style="7" bestFit="1" customWidth="1"/>
    <col min="2570" max="2572" width="9.33203125" style="7" bestFit="1" customWidth="1"/>
    <col min="2573" max="2573" width="10.6640625" style="7" bestFit="1" customWidth="1"/>
    <col min="2574" max="2574" width="11.33203125" style="7" customWidth="1"/>
    <col min="2575" max="2575" width="12.5546875" style="7" customWidth="1"/>
    <col min="2576" max="2576" width="13.5546875" style="7" customWidth="1"/>
    <col min="2577" max="2577" width="13" style="7" customWidth="1"/>
    <col min="2578" max="2816" width="9.109375" style="7"/>
    <col min="2817" max="2817" width="3.6640625" style="7" customWidth="1"/>
    <col min="2818" max="2818" width="4" style="7" bestFit="1" customWidth="1"/>
    <col min="2819" max="2819" width="14.5546875" style="7" customWidth="1"/>
    <col min="2820" max="2820" width="11.109375" style="7" customWidth="1"/>
    <col min="2821" max="2821" width="8.6640625" style="7" customWidth="1"/>
    <col min="2822" max="2822" width="9.6640625" style="7" bestFit="1" customWidth="1"/>
    <col min="2823" max="2823" width="10.88671875" style="7" customWidth="1"/>
    <col min="2824" max="2824" width="10.44140625" style="7" customWidth="1"/>
    <col min="2825" max="2825" width="9.6640625" style="7" bestFit="1" customWidth="1"/>
    <col min="2826" max="2828" width="9.33203125" style="7" bestFit="1" customWidth="1"/>
    <col min="2829" max="2829" width="10.6640625" style="7" bestFit="1" customWidth="1"/>
    <col min="2830" max="2830" width="11.33203125" style="7" customWidth="1"/>
    <col min="2831" max="2831" width="12.5546875" style="7" customWidth="1"/>
    <col min="2832" max="2832" width="13.5546875" style="7" customWidth="1"/>
    <col min="2833" max="2833" width="13" style="7" customWidth="1"/>
    <col min="2834" max="3072" width="9.109375" style="7"/>
    <col min="3073" max="3073" width="3.6640625" style="7" customWidth="1"/>
    <col min="3074" max="3074" width="4" style="7" bestFit="1" customWidth="1"/>
    <col min="3075" max="3075" width="14.5546875" style="7" customWidth="1"/>
    <col min="3076" max="3076" width="11.109375" style="7" customWidth="1"/>
    <col min="3077" max="3077" width="8.6640625" style="7" customWidth="1"/>
    <col min="3078" max="3078" width="9.6640625" style="7" bestFit="1" customWidth="1"/>
    <col min="3079" max="3079" width="10.88671875" style="7" customWidth="1"/>
    <col min="3080" max="3080" width="10.44140625" style="7" customWidth="1"/>
    <col min="3081" max="3081" width="9.6640625" style="7" bestFit="1" customWidth="1"/>
    <col min="3082" max="3084" width="9.33203125" style="7" bestFit="1" customWidth="1"/>
    <col min="3085" max="3085" width="10.6640625" style="7" bestFit="1" customWidth="1"/>
    <col min="3086" max="3086" width="11.33203125" style="7" customWidth="1"/>
    <col min="3087" max="3087" width="12.5546875" style="7" customWidth="1"/>
    <col min="3088" max="3088" width="13.5546875" style="7" customWidth="1"/>
    <col min="3089" max="3089" width="13" style="7" customWidth="1"/>
    <col min="3090" max="3328" width="9.109375" style="7"/>
    <col min="3329" max="3329" width="3.6640625" style="7" customWidth="1"/>
    <col min="3330" max="3330" width="4" style="7" bestFit="1" customWidth="1"/>
    <col min="3331" max="3331" width="14.5546875" style="7" customWidth="1"/>
    <col min="3332" max="3332" width="11.109375" style="7" customWidth="1"/>
    <col min="3333" max="3333" width="8.6640625" style="7" customWidth="1"/>
    <col min="3334" max="3334" width="9.6640625" style="7" bestFit="1" customWidth="1"/>
    <col min="3335" max="3335" width="10.88671875" style="7" customWidth="1"/>
    <col min="3336" max="3336" width="10.44140625" style="7" customWidth="1"/>
    <col min="3337" max="3337" width="9.6640625" style="7" bestFit="1" customWidth="1"/>
    <col min="3338" max="3340" width="9.33203125" style="7" bestFit="1" customWidth="1"/>
    <col min="3341" max="3341" width="10.6640625" style="7" bestFit="1" customWidth="1"/>
    <col min="3342" max="3342" width="11.33203125" style="7" customWidth="1"/>
    <col min="3343" max="3343" width="12.5546875" style="7" customWidth="1"/>
    <col min="3344" max="3344" width="13.5546875" style="7" customWidth="1"/>
    <col min="3345" max="3345" width="13" style="7" customWidth="1"/>
    <col min="3346" max="3584" width="9.109375" style="7"/>
    <col min="3585" max="3585" width="3.6640625" style="7" customWidth="1"/>
    <col min="3586" max="3586" width="4" style="7" bestFit="1" customWidth="1"/>
    <col min="3587" max="3587" width="14.5546875" style="7" customWidth="1"/>
    <col min="3588" max="3588" width="11.109375" style="7" customWidth="1"/>
    <col min="3589" max="3589" width="8.6640625" style="7" customWidth="1"/>
    <col min="3590" max="3590" width="9.6640625" style="7" bestFit="1" customWidth="1"/>
    <col min="3591" max="3591" width="10.88671875" style="7" customWidth="1"/>
    <col min="3592" max="3592" width="10.44140625" style="7" customWidth="1"/>
    <col min="3593" max="3593" width="9.6640625" style="7" bestFit="1" customWidth="1"/>
    <col min="3594" max="3596" width="9.33203125" style="7" bestFit="1" customWidth="1"/>
    <col min="3597" max="3597" width="10.6640625" style="7" bestFit="1" customWidth="1"/>
    <col min="3598" max="3598" width="11.33203125" style="7" customWidth="1"/>
    <col min="3599" max="3599" width="12.5546875" style="7" customWidth="1"/>
    <col min="3600" max="3600" width="13.5546875" style="7" customWidth="1"/>
    <col min="3601" max="3601" width="13" style="7" customWidth="1"/>
    <col min="3602" max="3840" width="9.109375" style="7"/>
    <col min="3841" max="3841" width="3.6640625" style="7" customWidth="1"/>
    <col min="3842" max="3842" width="4" style="7" bestFit="1" customWidth="1"/>
    <col min="3843" max="3843" width="14.5546875" style="7" customWidth="1"/>
    <col min="3844" max="3844" width="11.109375" style="7" customWidth="1"/>
    <col min="3845" max="3845" width="8.6640625" style="7" customWidth="1"/>
    <col min="3846" max="3846" width="9.6640625" style="7" bestFit="1" customWidth="1"/>
    <col min="3847" max="3847" width="10.88671875" style="7" customWidth="1"/>
    <col min="3848" max="3848" width="10.44140625" style="7" customWidth="1"/>
    <col min="3849" max="3849" width="9.6640625" style="7" bestFit="1" customWidth="1"/>
    <col min="3850" max="3852" width="9.33203125" style="7" bestFit="1" customWidth="1"/>
    <col min="3853" max="3853" width="10.6640625" style="7" bestFit="1" customWidth="1"/>
    <col min="3854" max="3854" width="11.33203125" style="7" customWidth="1"/>
    <col min="3855" max="3855" width="12.5546875" style="7" customWidth="1"/>
    <col min="3856" max="3856" width="13.5546875" style="7" customWidth="1"/>
    <col min="3857" max="3857" width="13" style="7" customWidth="1"/>
    <col min="3858" max="4096" width="9.109375" style="7"/>
    <col min="4097" max="4097" width="3.6640625" style="7" customWidth="1"/>
    <col min="4098" max="4098" width="4" style="7" bestFit="1" customWidth="1"/>
    <col min="4099" max="4099" width="14.5546875" style="7" customWidth="1"/>
    <col min="4100" max="4100" width="11.109375" style="7" customWidth="1"/>
    <col min="4101" max="4101" width="8.6640625" style="7" customWidth="1"/>
    <col min="4102" max="4102" width="9.6640625" style="7" bestFit="1" customWidth="1"/>
    <col min="4103" max="4103" width="10.88671875" style="7" customWidth="1"/>
    <col min="4104" max="4104" width="10.44140625" style="7" customWidth="1"/>
    <col min="4105" max="4105" width="9.6640625" style="7" bestFit="1" customWidth="1"/>
    <col min="4106" max="4108" width="9.33203125" style="7" bestFit="1" customWidth="1"/>
    <col min="4109" max="4109" width="10.6640625" style="7" bestFit="1" customWidth="1"/>
    <col min="4110" max="4110" width="11.33203125" style="7" customWidth="1"/>
    <col min="4111" max="4111" width="12.5546875" style="7" customWidth="1"/>
    <col min="4112" max="4112" width="13.5546875" style="7" customWidth="1"/>
    <col min="4113" max="4113" width="13" style="7" customWidth="1"/>
    <col min="4114" max="4352" width="9.109375" style="7"/>
    <col min="4353" max="4353" width="3.6640625" style="7" customWidth="1"/>
    <col min="4354" max="4354" width="4" style="7" bestFit="1" customWidth="1"/>
    <col min="4355" max="4355" width="14.5546875" style="7" customWidth="1"/>
    <col min="4356" max="4356" width="11.109375" style="7" customWidth="1"/>
    <col min="4357" max="4357" width="8.6640625" style="7" customWidth="1"/>
    <col min="4358" max="4358" width="9.6640625" style="7" bestFit="1" customWidth="1"/>
    <col min="4359" max="4359" width="10.88671875" style="7" customWidth="1"/>
    <col min="4360" max="4360" width="10.44140625" style="7" customWidth="1"/>
    <col min="4361" max="4361" width="9.6640625" style="7" bestFit="1" customWidth="1"/>
    <col min="4362" max="4364" width="9.33203125" style="7" bestFit="1" customWidth="1"/>
    <col min="4365" max="4365" width="10.6640625" style="7" bestFit="1" customWidth="1"/>
    <col min="4366" max="4366" width="11.33203125" style="7" customWidth="1"/>
    <col min="4367" max="4367" width="12.5546875" style="7" customWidth="1"/>
    <col min="4368" max="4368" width="13.5546875" style="7" customWidth="1"/>
    <col min="4369" max="4369" width="13" style="7" customWidth="1"/>
    <col min="4370" max="4608" width="9.109375" style="7"/>
    <col min="4609" max="4609" width="3.6640625" style="7" customWidth="1"/>
    <col min="4610" max="4610" width="4" style="7" bestFit="1" customWidth="1"/>
    <col min="4611" max="4611" width="14.5546875" style="7" customWidth="1"/>
    <col min="4612" max="4612" width="11.109375" style="7" customWidth="1"/>
    <col min="4613" max="4613" width="8.6640625" style="7" customWidth="1"/>
    <col min="4614" max="4614" width="9.6640625" style="7" bestFit="1" customWidth="1"/>
    <col min="4615" max="4615" width="10.88671875" style="7" customWidth="1"/>
    <col min="4616" max="4616" width="10.44140625" style="7" customWidth="1"/>
    <col min="4617" max="4617" width="9.6640625" style="7" bestFit="1" customWidth="1"/>
    <col min="4618" max="4620" width="9.33203125" style="7" bestFit="1" customWidth="1"/>
    <col min="4621" max="4621" width="10.6640625" style="7" bestFit="1" customWidth="1"/>
    <col min="4622" max="4622" width="11.33203125" style="7" customWidth="1"/>
    <col min="4623" max="4623" width="12.5546875" style="7" customWidth="1"/>
    <col min="4624" max="4624" width="13.5546875" style="7" customWidth="1"/>
    <col min="4625" max="4625" width="13" style="7" customWidth="1"/>
    <col min="4626" max="4864" width="9.109375" style="7"/>
    <col min="4865" max="4865" width="3.6640625" style="7" customWidth="1"/>
    <col min="4866" max="4866" width="4" style="7" bestFit="1" customWidth="1"/>
    <col min="4867" max="4867" width="14.5546875" style="7" customWidth="1"/>
    <col min="4868" max="4868" width="11.109375" style="7" customWidth="1"/>
    <col min="4869" max="4869" width="8.6640625" style="7" customWidth="1"/>
    <col min="4870" max="4870" width="9.6640625" style="7" bestFit="1" customWidth="1"/>
    <col min="4871" max="4871" width="10.88671875" style="7" customWidth="1"/>
    <col min="4872" max="4872" width="10.44140625" style="7" customWidth="1"/>
    <col min="4873" max="4873" width="9.6640625" style="7" bestFit="1" customWidth="1"/>
    <col min="4874" max="4876" width="9.33203125" style="7" bestFit="1" customWidth="1"/>
    <col min="4877" max="4877" width="10.6640625" style="7" bestFit="1" customWidth="1"/>
    <col min="4878" max="4878" width="11.33203125" style="7" customWidth="1"/>
    <col min="4879" max="4879" width="12.5546875" style="7" customWidth="1"/>
    <col min="4880" max="4880" width="13.5546875" style="7" customWidth="1"/>
    <col min="4881" max="4881" width="13" style="7" customWidth="1"/>
    <col min="4882" max="5120" width="9.109375" style="7"/>
    <col min="5121" max="5121" width="3.6640625" style="7" customWidth="1"/>
    <col min="5122" max="5122" width="4" style="7" bestFit="1" customWidth="1"/>
    <col min="5123" max="5123" width="14.5546875" style="7" customWidth="1"/>
    <col min="5124" max="5124" width="11.109375" style="7" customWidth="1"/>
    <col min="5125" max="5125" width="8.6640625" style="7" customWidth="1"/>
    <col min="5126" max="5126" width="9.6640625" style="7" bestFit="1" customWidth="1"/>
    <col min="5127" max="5127" width="10.88671875" style="7" customWidth="1"/>
    <col min="5128" max="5128" width="10.44140625" style="7" customWidth="1"/>
    <col min="5129" max="5129" width="9.6640625" style="7" bestFit="1" customWidth="1"/>
    <col min="5130" max="5132" width="9.33203125" style="7" bestFit="1" customWidth="1"/>
    <col min="5133" max="5133" width="10.6640625" style="7" bestFit="1" customWidth="1"/>
    <col min="5134" max="5134" width="11.33203125" style="7" customWidth="1"/>
    <col min="5135" max="5135" width="12.5546875" style="7" customWidth="1"/>
    <col min="5136" max="5136" width="13.5546875" style="7" customWidth="1"/>
    <col min="5137" max="5137" width="13" style="7" customWidth="1"/>
    <col min="5138" max="5376" width="9.109375" style="7"/>
    <col min="5377" max="5377" width="3.6640625" style="7" customWidth="1"/>
    <col min="5378" max="5378" width="4" style="7" bestFit="1" customWidth="1"/>
    <col min="5379" max="5379" width="14.5546875" style="7" customWidth="1"/>
    <col min="5380" max="5380" width="11.109375" style="7" customWidth="1"/>
    <col min="5381" max="5381" width="8.6640625" style="7" customWidth="1"/>
    <col min="5382" max="5382" width="9.6640625" style="7" bestFit="1" customWidth="1"/>
    <col min="5383" max="5383" width="10.88671875" style="7" customWidth="1"/>
    <col min="5384" max="5384" width="10.44140625" style="7" customWidth="1"/>
    <col min="5385" max="5385" width="9.6640625" style="7" bestFit="1" customWidth="1"/>
    <col min="5386" max="5388" width="9.33203125" style="7" bestFit="1" customWidth="1"/>
    <col min="5389" max="5389" width="10.6640625" style="7" bestFit="1" customWidth="1"/>
    <col min="5390" max="5390" width="11.33203125" style="7" customWidth="1"/>
    <col min="5391" max="5391" width="12.5546875" style="7" customWidth="1"/>
    <col min="5392" max="5392" width="13.5546875" style="7" customWidth="1"/>
    <col min="5393" max="5393" width="13" style="7" customWidth="1"/>
    <col min="5394" max="5632" width="9.109375" style="7"/>
    <col min="5633" max="5633" width="3.6640625" style="7" customWidth="1"/>
    <col min="5634" max="5634" width="4" style="7" bestFit="1" customWidth="1"/>
    <col min="5635" max="5635" width="14.5546875" style="7" customWidth="1"/>
    <col min="5636" max="5636" width="11.109375" style="7" customWidth="1"/>
    <col min="5637" max="5637" width="8.6640625" style="7" customWidth="1"/>
    <col min="5638" max="5638" width="9.6640625" style="7" bestFit="1" customWidth="1"/>
    <col min="5639" max="5639" width="10.88671875" style="7" customWidth="1"/>
    <col min="5640" max="5640" width="10.44140625" style="7" customWidth="1"/>
    <col min="5641" max="5641" width="9.6640625" style="7" bestFit="1" customWidth="1"/>
    <col min="5642" max="5644" width="9.33203125" style="7" bestFit="1" customWidth="1"/>
    <col min="5645" max="5645" width="10.6640625" style="7" bestFit="1" customWidth="1"/>
    <col min="5646" max="5646" width="11.33203125" style="7" customWidth="1"/>
    <col min="5647" max="5647" width="12.5546875" style="7" customWidth="1"/>
    <col min="5648" max="5648" width="13.5546875" style="7" customWidth="1"/>
    <col min="5649" max="5649" width="13" style="7" customWidth="1"/>
    <col min="5650" max="5888" width="9.109375" style="7"/>
    <col min="5889" max="5889" width="3.6640625" style="7" customWidth="1"/>
    <col min="5890" max="5890" width="4" style="7" bestFit="1" customWidth="1"/>
    <col min="5891" max="5891" width="14.5546875" style="7" customWidth="1"/>
    <col min="5892" max="5892" width="11.109375" style="7" customWidth="1"/>
    <col min="5893" max="5893" width="8.6640625" style="7" customWidth="1"/>
    <col min="5894" max="5894" width="9.6640625" style="7" bestFit="1" customWidth="1"/>
    <col min="5895" max="5895" width="10.88671875" style="7" customWidth="1"/>
    <col min="5896" max="5896" width="10.44140625" style="7" customWidth="1"/>
    <col min="5897" max="5897" width="9.6640625" style="7" bestFit="1" customWidth="1"/>
    <col min="5898" max="5900" width="9.33203125" style="7" bestFit="1" customWidth="1"/>
    <col min="5901" max="5901" width="10.6640625" style="7" bestFit="1" customWidth="1"/>
    <col min="5902" max="5902" width="11.33203125" style="7" customWidth="1"/>
    <col min="5903" max="5903" width="12.5546875" style="7" customWidth="1"/>
    <col min="5904" max="5904" width="13.5546875" style="7" customWidth="1"/>
    <col min="5905" max="5905" width="13" style="7" customWidth="1"/>
    <col min="5906" max="6144" width="9.109375" style="7"/>
    <col min="6145" max="6145" width="3.6640625" style="7" customWidth="1"/>
    <col min="6146" max="6146" width="4" style="7" bestFit="1" customWidth="1"/>
    <col min="6147" max="6147" width="14.5546875" style="7" customWidth="1"/>
    <col min="6148" max="6148" width="11.109375" style="7" customWidth="1"/>
    <col min="6149" max="6149" width="8.6640625" style="7" customWidth="1"/>
    <col min="6150" max="6150" width="9.6640625" style="7" bestFit="1" customWidth="1"/>
    <col min="6151" max="6151" width="10.88671875" style="7" customWidth="1"/>
    <col min="6152" max="6152" width="10.44140625" style="7" customWidth="1"/>
    <col min="6153" max="6153" width="9.6640625" style="7" bestFit="1" customWidth="1"/>
    <col min="6154" max="6156" width="9.33203125" style="7" bestFit="1" customWidth="1"/>
    <col min="6157" max="6157" width="10.6640625" style="7" bestFit="1" customWidth="1"/>
    <col min="6158" max="6158" width="11.33203125" style="7" customWidth="1"/>
    <col min="6159" max="6159" width="12.5546875" style="7" customWidth="1"/>
    <col min="6160" max="6160" width="13.5546875" style="7" customWidth="1"/>
    <col min="6161" max="6161" width="13" style="7" customWidth="1"/>
    <col min="6162" max="6400" width="9.109375" style="7"/>
    <col min="6401" max="6401" width="3.6640625" style="7" customWidth="1"/>
    <col min="6402" max="6402" width="4" style="7" bestFit="1" customWidth="1"/>
    <col min="6403" max="6403" width="14.5546875" style="7" customWidth="1"/>
    <col min="6404" max="6404" width="11.109375" style="7" customWidth="1"/>
    <col min="6405" max="6405" width="8.6640625" style="7" customWidth="1"/>
    <col min="6406" max="6406" width="9.6640625" style="7" bestFit="1" customWidth="1"/>
    <col min="6407" max="6407" width="10.88671875" style="7" customWidth="1"/>
    <col min="6408" max="6408" width="10.44140625" style="7" customWidth="1"/>
    <col min="6409" max="6409" width="9.6640625" style="7" bestFit="1" customWidth="1"/>
    <col min="6410" max="6412" width="9.33203125" style="7" bestFit="1" customWidth="1"/>
    <col min="6413" max="6413" width="10.6640625" style="7" bestFit="1" customWidth="1"/>
    <col min="6414" max="6414" width="11.33203125" style="7" customWidth="1"/>
    <col min="6415" max="6415" width="12.5546875" style="7" customWidth="1"/>
    <col min="6416" max="6416" width="13.5546875" style="7" customWidth="1"/>
    <col min="6417" max="6417" width="13" style="7" customWidth="1"/>
    <col min="6418" max="6656" width="9.109375" style="7"/>
    <col min="6657" max="6657" width="3.6640625" style="7" customWidth="1"/>
    <col min="6658" max="6658" width="4" style="7" bestFit="1" customWidth="1"/>
    <col min="6659" max="6659" width="14.5546875" style="7" customWidth="1"/>
    <col min="6660" max="6660" width="11.109375" style="7" customWidth="1"/>
    <col min="6661" max="6661" width="8.6640625" style="7" customWidth="1"/>
    <col min="6662" max="6662" width="9.6640625" style="7" bestFit="1" customWidth="1"/>
    <col min="6663" max="6663" width="10.88671875" style="7" customWidth="1"/>
    <col min="6664" max="6664" width="10.44140625" style="7" customWidth="1"/>
    <col min="6665" max="6665" width="9.6640625" style="7" bestFit="1" customWidth="1"/>
    <col min="6666" max="6668" width="9.33203125" style="7" bestFit="1" customWidth="1"/>
    <col min="6669" max="6669" width="10.6640625" style="7" bestFit="1" customWidth="1"/>
    <col min="6670" max="6670" width="11.33203125" style="7" customWidth="1"/>
    <col min="6671" max="6671" width="12.5546875" style="7" customWidth="1"/>
    <col min="6672" max="6672" width="13.5546875" style="7" customWidth="1"/>
    <col min="6673" max="6673" width="13" style="7" customWidth="1"/>
    <col min="6674" max="6912" width="9.109375" style="7"/>
    <col min="6913" max="6913" width="3.6640625" style="7" customWidth="1"/>
    <col min="6914" max="6914" width="4" style="7" bestFit="1" customWidth="1"/>
    <col min="6915" max="6915" width="14.5546875" style="7" customWidth="1"/>
    <col min="6916" max="6916" width="11.109375" style="7" customWidth="1"/>
    <col min="6917" max="6917" width="8.6640625" style="7" customWidth="1"/>
    <col min="6918" max="6918" width="9.6640625" style="7" bestFit="1" customWidth="1"/>
    <col min="6919" max="6919" width="10.88671875" style="7" customWidth="1"/>
    <col min="6920" max="6920" width="10.44140625" style="7" customWidth="1"/>
    <col min="6921" max="6921" width="9.6640625" style="7" bestFit="1" customWidth="1"/>
    <col min="6922" max="6924" width="9.33203125" style="7" bestFit="1" customWidth="1"/>
    <col min="6925" max="6925" width="10.6640625" style="7" bestFit="1" customWidth="1"/>
    <col min="6926" max="6926" width="11.33203125" style="7" customWidth="1"/>
    <col min="6927" max="6927" width="12.5546875" style="7" customWidth="1"/>
    <col min="6928" max="6928" width="13.5546875" style="7" customWidth="1"/>
    <col min="6929" max="6929" width="13" style="7" customWidth="1"/>
    <col min="6930" max="7168" width="9.109375" style="7"/>
    <col min="7169" max="7169" width="3.6640625" style="7" customWidth="1"/>
    <col min="7170" max="7170" width="4" style="7" bestFit="1" customWidth="1"/>
    <col min="7171" max="7171" width="14.5546875" style="7" customWidth="1"/>
    <col min="7172" max="7172" width="11.109375" style="7" customWidth="1"/>
    <col min="7173" max="7173" width="8.6640625" style="7" customWidth="1"/>
    <col min="7174" max="7174" width="9.6640625" style="7" bestFit="1" customWidth="1"/>
    <col min="7175" max="7175" width="10.88671875" style="7" customWidth="1"/>
    <col min="7176" max="7176" width="10.44140625" style="7" customWidth="1"/>
    <col min="7177" max="7177" width="9.6640625" style="7" bestFit="1" customWidth="1"/>
    <col min="7178" max="7180" width="9.33203125" style="7" bestFit="1" customWidth="1"/>
    <col min="7181" max="7181" width="10.6640625" style="7" bestFit="1" customWidth="1"/>
    <col min="7182" max="7182" width="11.33203125" style="7" customWidth="1"/>
    <col min="7183" max="7183" width="12.5546875" style="7" customWidth="1"/>
    <col min="7184" max="7184" width="13.5546875" style="7" customWidth="1"/>
    <col min="7185" max="7185" width="13" style="7" customWidth="1"/>
    <col min="7186" max="7424" width="9.109375" style="7"/>
    <col min="7425" max="7425" width="3.6640625" style="7" customWidth="1"/>
    <col min="7426" max="7426" width="4" style="7" bestFit="1" customWidth="1"/>
    <col min="7427" max="7427" width="14.5546875" style="7" customWidth="1"/>
    <col min="7428" max="7428" width="11.109375" style="7" customWidth="1"/>
    <col min="7429" max="7429" width="8.6640625" style="7" customWidth="1"/>
    <col min="7430" max="7430" width="9.6640625" style="7" bestFit="1" customWidth="1"/>
    <col min="7431" max="7431" width="10.88671875" style="7" customWidth="1"/>
    <col min="7432" max="7432" width="10.44140625" style="7" customWidth="1"/>
    <col min="7433" max="7433" width="9.6640625" style="7" bestFit="1" customWidth="1"/>
    <col min="7434" max="7436" width="9.33203125" style="7" bestFit="1" customWidth="1"/>
    <col min="7437" max="7437" width="10.6640625" style="7" bestFit="1" customWidth="1"/>
    <col min="7438" max="7438" width="11.33203125" style="7" customWidth="1"/>
    <col min="7439" max="7439" width="12.5546875" style="7" customWidth="1"/>
    <col min="7440" max="7440" width="13.5546875" style="7" customWidth="1"/>
    <col min="7441" max="7441" width="13" style="7" customWidth="1"/>
    <col min="7442" max="7680" width="9.109375" style="7"/>
    <col min="7681" max="7681" width="3.6640625" style="7" customWidth="1"/>
    <col min="7682" max="7682" width="4" style="7" bestFit="1" customWidth="1"/>
    <col min="7683" max="7683" width="14.5546875" style="7" customWidth="1"/>
    <col min="7684" max="7684" width="11.109375" style="7" customWidth="1"/>
    <col min="7685" max="7685" width="8.6640625" style="7" customWidth="1"/>
    <col min="7686" max="7686" width="9.6640625" style="7" bestFit="1" customWidth="1"/>
    <col min="7687" max="7687" width="10.88671875" style="7" customWidth="1"/>
    <col min="7688" max="7688" width="10.44140625" style="7" customWidth="1"/>
    <col min="7689" max="7689" width="9.6640625" style="7" bestFit="1" customWidth="1"/>
    <col min="7690" max="7692" width="9.33203125" style="7" bestFit="1" customWidth="1"/>
    <col min="7693" max="7693" width="10.6640625" style="7" bestFit="1" customWidth="1"/>
    <col min="7694" max="7694" width="11.33203125" style="7" customWidth="1"/>
    <col min="7695" max="7695" width="12.5546875" style="7" customWidth="1"/>
    <col min="7696" max="7696" width="13.5546875" style="7" customWidth="1"/>
    <col min="7697" max="7697" width="13" style="7" customWidth="1"/>
    <col min="7698" max="7936" width="9.109375" style="7"/>
    <col min="7937" max="7937" width="3.6640625" style="7" customWidth="1"/>
    <col min="7938" max="7938" width="4" style="7" bestFit="1" customWidth="1"/>
    <col min="7939" max="7939" width="14.5546875" style="7" customWidth="1"/>
    <col min="7940" max="7940" width="11.109375" style="7" customWidth="1"/>
    <col min="7941" max="7941" width="8.6640625" style="7" customWidth="1"/>
    <col min="7942" max="7942" width="9.6640625" style="7" bestFit="1" customWidth="1"/>
    <col min="7943" max="7943" width="10.88671875" style="7" customWidth="1"/>
    <col min="7944" max="7944" width="10.44140625" style="7" customWidth="1"/>
    <col min="7945" max="7945" width="9.6640625" style="7" bestFit="1" customWidth="1"/>
    <col min="7946" max="7948" width="9.33203125" style="7" bestFit="1" customWidth="1"/>
    <col min="7949" max="7949" width="10.6640625" style="7" bestFit="1" customWidth="1"/>
    <col min="7950" max="7950" width="11.33203125" style="7" customWidth="1"/>
    <col min="7951" max="7951" width="12.5546875" style="7" customWidth="1"/>
    <col min="7952" max="7952" width="13.5546875" style="7" customWidth="1"/>
    <col min="7953" max="7953" width="13" style="7" customWidth="1"/>
    <col min="7954" max="8192" width="9.109375" style="7"/>
    <col min="8193" max="8193" width="3.6640625" style="7" customWidth="1"/>
    <col min="8194" max="8194" width="4" style="7" bestFit="1" customWidth="1"/>
    <col min="8195" max="8195" width="14.5546875" style="7" customWidth="1"/>
    <col min="8196" max="8196" width="11.109375" style="7" customWidth="1"/>
    <col min="8197" max="8197" width="8.6640625" style="7" customWidth="1"/>
    <col min="8198" max="8198" width="9.6640625" style="7" bestFit="1" customWidth="1"/>
    <col min="8199" max="8199" width="10.88671875" style="7" customWidth="1"/>
    <col min="8200" max="8200" width="10.44140625" style="7" customWidth="1"/>
    <col min="8201" max="8201" width="9.6640625" style="7" bestFit="1" customWidth="1"/>
    <col min="8202" max="8204" width="9.33203125" style="7" bestFit="1" customWidth="1"/>
    <col min="8205" max="8205" width="10.6640625" style="7" bestFit="1" customWidth="1"/>
    <col min="8206" max="8206" width="11.33203125" style="7" customWidth="1"/>
    <col min="8207" max="8207" width="12.5546875" style="7" customWidth="1"/>
    <col min="8208" max="8208" width="13.5546875" style="7" customWidth="1"/>
    <col min="8209" max="8209" width="13" style="7" customWidth="1"/>
    <col min="8210" max="8448" width="9.109375" style="7"/>
    <col min="8449" max="8449" width="3.6640625" style="7" customWidth="1"/>
    <col min="8450" max="8450" width="4" style="7" bestFit="1" customWidth="1"/>
    <col min="8451" max="8451" width="14.5546875" style="7" customWidth="1"/>
    <col min="8452" max="8452" width="11.109375" style="7" customWidth="1"/>
    <col min="8453" max="8453" width="8.6640625" style="7" customWidth="1"/>
    <col min="8454" max="8454" width="9.6640625" style="7" bestFit="1" customWidth="1"/>
    <col min="8455" max="8455" width="10.88671875" style="7" customWidth="1"/>
    <col min="8456" max="8456" width="10.44140625" style="7" customWidth="1"/>
    <col min="8457" max="8457" width="9.6640625" style="7" bestFit="1" customWidth="1"/>
    <col min="8458" max="8460" width="9.33203125" style="7" bestFit="1" customWidth="1"/>
    <col min="8461" max="8461" width="10.6640625" style="7" bestFit="1" customWidth="1"/>
    <col min="8462" max="8462" width="11.33203125" style="7" customWidth="1"/>
    <col min="8463" max="8463" width="12.5546875" style="7" customWidth="1"/>
    <col min="8464" max="8464" width="13.5546875" style="7" customWidth="1"/>
    <col min="8465" max="8465" width="13" style="7" customWidth="1"/>
    <col min="8466" max="8704" width="9.109375" style="7"/>
    <col min="8705" max="8705" width="3.6640625" style="7" customWidth="1"/>
    <col min="8706" max="8706" width="4" style="7" bestFit="1" customWidth="1"/>
    <col min="8707" max="8707" width="14.5546875" style="7" customWidth="1"/>
    <col min="8708" max="8708" width="11.109375" style="7" customWidth="1"/>
    <col min="8709" max="8709" width="8.6640625" style="7" customWidth="1"/>
    <col min="8710" max="8710" width="9.6640625" style="7" bestFit="1" customWidth="1"/>
    <col min="8711" max="8711" width="10.88671875" style="7" customWidth="1"/>
    <col min="8712" max="8712" width="10.44140625" style="7" customWidth="1"/>
    <col min="8713" max="8713" width="9.6640625" style="7" bestFit="1" customWidth="1"/>
    <col min="8714" max="8716" width="9.33203125" style="7" bestFit="1" customWidth="1"/>
    <col min="8717" max="8717" width="10.6640625" style="7" bestFit="1" customWidth="1"/>
    <col min="8718" max="8718" width="11.33203125" style="7" customWidth="1"/>
    <col min="8719" max="8719" width="12.5546875" style="7" customWidth="1"/>
    <col min="8720" max="8720" width="13.5546875" style="7" customWidth="1"/>
    <col min="8721" max="8721" width="13" style="7" customWidth="1"/>
    <col min="8722" max="8960" width="9.109375" style="7"/>
    <col min="8961" max="8961" width="3.6640625" style="7" customWidth="1"/>
    <col min="8962" max="8962" width="4" style="7" bestFit="1" customWidth="1"/>
    <col min="8963" max="8963" width="14.5546875" style="7" customWidth="1"/>
    <col min="8964" max="8964" width="11.109375" style="7" customWidth="1"/>
    <col min="8965" max="8965" width="8.6640625" style="7" customWidth="1"/>
    <col min="8966" max="8966" width="9.6640625" style="7" bestFit="1" customWidth="1"/>
    <col min="8967" max="8967" width="10.88671875" style="7" customWidth="1"/>
    <col min="8968" max="8968" width="10.44140625" style="7" customWidth="1"/>
    <col min="8969" max="8969" width="9.6640625" style="7" bestFit="1" customWidth="1"/>
    <col min="8970" max="8972" width="9.33203125" style="7" bestFit="1" customWidth="1"/>
    <col min="8973" max="8973" width="10.6640625" style="7" bestFit="1" customWidth="1"/>
    <col min="8974" max="8974" width="11.33203125" style="7" customWidth="1"/>
    <col min="8975" max="8975" width="12.5546875" style="7" customWidth="1"/>
    <col min="8976" max="8976" width="13.5546875" style="7" customWidth="1"/>
    <col min="8977" max="8977" width="13" style="7" customWidth="1"/>
    <col min="8978" max="9216" width="9.109375" style="7"/>
    <col min="9217" max="9217" width="3.6640625" style="7" customWidth="1"/>
    <col min="9218" max="9218" width="4" style="7" bestFit="1" customWidth="1"/>
    <col min="9219" max="9219" width="14.5546875" style="7" customWidth="1"/>
    <col min="9220" max="9220" width="11.109375" style="7" customWidth="1"/>
    <col min="9221" max="9221" width="8.6640625" style="7" customWidth="1"/>
    <col min="9222" max="9222" width="9.6640625" style="7" bestFit="1" customWidth="1"/>
    <col min="9223" max="9223" width="10.88671875" style="7" customWidth="1"/>
    <col min="9224" max="9224" width="10.44140625" style="7" customWidth="1"/>
    <col min="9225" max="9225" width="9.6640625" style="7" bestFit="1" customWidth="1"/>
    <col min="9226" max="9228" width="9.33203125" style="7" bestFit="1" customWidth="1"/>
    <col min="9229" max="9229" width="10.6640625" style="7" bestFit="1" customWidth="1"/>
    <col min="9230" max="9230" width="11.33203125" style="7" customWidth="1"/>
    <col min="9231" max="9231" width="12.5546875" style="7" customWidth="1"/>
    <col min="9232" max="9232" width="13.5546875" style="7" customWidth="1"/>
    <col min="9233" max="9233" width="13" style="7" customWidth="1"/>
    <col min="9234" max="9472" width="9.109375" style="7"/>
    <col min="9473" max="9473" width="3.6640625" style="7" customWidth="1"/>
    <col min="9474" max="9474" width="4" style="7" bestFit="1" customWidth="1"/>
    <col min="9475" max="9475" width="14.5546875" style="7" customWidth="1"/>
    <col min="9476" max="9476" width="11.109375" style="7" customWidth="1"/>
    <col min="9477" max="9477" width="8.6640625" style="7" customWidth="1"/>
    <col min="9478" max="9478" width="9.6640625" style="7" bestFit="1" customWidth="1"/>
    <col min="9479" max="9479" width="10.88671875" style="7" customWidth="1"/>
    <col min="9480" max="9480" width="10.44140625" style="7" customWidth="1"/>
    <col min="9481" max="9481" width="9.6640625" style="7" bestFit="1" customWidth="1"/>
    <col min="9482" max="9484" width="9.33203125" style="7" bestFit="1" customWidth="1"/>
    <col min="9485" max="9485" width="10.6640625" style="7" bestFit="1" customWidth="1"/>
    <col min="9486" max="9486" width="11.33203125" style="7" customWidth="1"/>
    <col min="9487" max="9487" width="12.5546875" style="7" customWidth="1"/>
    <col min="9488" max="9488" width="13.5546875" style="7" customWidth="1"/>
    <col min="9489" max="9489" width="13" style="7" customWidth="1"/>
    <col min="9490" max="9728" width="9.109375" style="7"/>
    <col min="9729" max="9729" width="3.6640625" style="7" customWidth="1"/>
    <col min="9730" max="9730" width="4" style="7" bestFit="1" customWidth="1"/>
    <col min="9731" max="9731" width="14.5546875" style="7" customWidth="1"/>
    <col min="9732" max="9732" width="11.109375" style="7" customWidth="1"/>
    <col min="9733" max="9733" width="8.6640625" style="7" customWidth="1"/>
    <col min="9734" max="9734" width="9.6640625" style="7" bestFit="1" customWidth="1"/>
    <col min="9735" max="9735" width="10.88671875" style="7" customWidth="1"/>
    <col min="9736" max="9736" width="10.44140625" style="7" customWidth="1"/>
    <col min="9737" max="9737" width="9.6640625" style="7" bestFit="1" customWidth="1"/>
    <col min="9738" max="9740" width="9.33203125" style="7" bestFit="1" customWidth="1"/>
    <col min="9741" max="9741" width="10.6640625" style="7" bestFit="1" customWidth="1"/>
    <col min="9742" max="9742" width="11.33203125" style="7" customWidth="1"/>
    <col min="9743" max="9743" width="12.5546875" style="7" customWidth="1"/>
    <col min="9744" max="9744" width="13.5546875" style="7" customWidth="1"/>
    <col min="9745" max="9745" width="13" style="7" customWidth="1"/>
    <col min="9746" max="9984" width="9.109375" style="7"/>
    <col min="9985" max="9985" width="3.6640625" style="7" customWidth="1"/>
    <col min="9986" max="9986" width="4" style="7" bestFit="1" customWidth="1"/>
    <col min="9987" max="9987" width="14.5546875" style="7" customWidth="1"/>
    <col min="9988" max="9988" width="11.109375" style="7" customWidth="1"/>
    <col min="9989" max="9989" width="8.6640625" style="7" customWidth="1"/>
    <col min="9990" max="9990" width="9.6640625" style="7" bestFit="1" customWidth="1"/>
    <col min="9991" max="9991" width="10.88671875" style="7" customWidth="1"/>
    <col min="9992" max="9992" width="10.44140625" style="7" customWidth="1"/>
    <col min="9993" max="9993" width="9.6640625" style="7" bestFit="1" customWidth="1"/>
    <col min="9994" max="9996" width="9.33203125" style="7" bestFit="1" customWidth="1"/>
    <col min="9997" max="9997" width="10.6640625" style="7" bestFit="1" customWidth="1"/>
    <col min="9998" max="9998" width="11.33203125" style="7" customWidth="1"/>
    <col min="9999" max="9999" width="12.5546875" style="7" customWidth="1"/>
    <col min="10000" max="10000" width="13.5546875" style="7" customWidth="1"/>
    <col min="10001" max="10001" width="13" style="7" customWidth="1"/>
    <col min="10002" max="10240" width="9.109375" style="7"/>
    <col min="10241" max="10241" width="3.6640625" style="7" customWidth="1"/>
    <col min="10242" max="10242" width="4" style="7" bestFit="1" customWidth="1"/>
    <col min="10243" max="10243" width="14.5546875" style="7" customWidth="1"/>
    <col min="10244" max="10244" width="11.109375" style="7" customWidth="1"/>
    <col min="10245" max="10245" width="8.6640625" style="7" customWidth="1"/>
    <col min="10246" max="10246" width="9.6640625" style="7" bestFit="1" customWidth="1"/>
    <col min="10247" max="10247" width="10.88671875" style="7" customWidth="1"/>
    <col min="10248" max="10248" width="10.44140625" style="7" customWidth="1"/>
    <col min="10249" max="10249" width="9.6640625" style="7" bestFit="1" customWidth="1"/>
    <col min="10250" max="10252" width="9.33203125" style="7" bestFit="1" customWidth="1"/>
    <col min="10253" max="10253" width="10.6640625" style="7" bestFit="1" customWidth="1"/>
    <col min="10254" max="10254" width="11.33203125" style="7" customWidth="1"/>
    <col min="10255" max="10255" width="12.5546875" style="7" customWidth="1"/>
    <col min="10256" max="10256" width="13.5546875" style="7" customWidth="1"/>
    <col min="10257" max="10257" width="13" style="7" customWidth="1"/>
    <col min="10258" max="10496" width="9.109375" style="7"/>
    <col min="10497" max="10497" width="3.6640625" style="7" customWidth="1"/>
    <col min="10498" max="10498" width="4" style="7" bestFit="1" customWidth="1"/>
    <col min="10499" max="10499" width="14.5546875" style="7" customWidth="1"/>
    <col min="10500" max="10500" width="11.109375" style="7" customWidth="1"/>
    <col min="10501" max="10501" width="8.6640625" style="7" customWidth="1"/>
    <col min="10502" max="10502" width="9.6640625" style="7" bestFit="1" customWidth="1"/>
    <col min="10503" max="10503" width="10.88671875" style="7" customWidth="1"/>
    <col min="10504" max="10504" width="10.44140625" style="7" customWidth="1"/>
    <col min="10505" max="10505" width="9.6640625" style="7" bestFit="1" customWidth="1"/>
    <col min="10506" max="10508" width="9.33203125" style="7" bestFit="1" customWidth="1"/>
    <col min="10509" max="10509" width="10.6640625" style="7" bestFit="1" customWidth="1"/>
    <col min="10510" max="10510" width="11.33203125" style="7" customWidth="1"/>
    <col min="10511" max="10511" width="12.5546875" style="7" customWidth="1"/>
    <col min="10512" max="10512" width="13.5546875" style="7" customWidth="1"/>
    <col min="10513" max="10513" width="13" style="7" customWidth="1"/>
    <col min="10514" max="10752" width="9.109375" style="7"/>
    <col min="10753" max="10753" width="3.6640625" style="7" customWidth="1"/>
    <col min="10754" max="10754" width="4" style="7" bestFit="1" customWidth="1"/>
    <col min="10755" max="10755" width="14.5546875" style="7" customWidth="1"/>
    <col min="10756" max="10756" width="11.109375" style="7" customWidth="1"/>
    <col min="10757" max="10757" width="8.6640625" style="7" customWidth="1"/>
    <col min="10758" max="10758" width="9.6640625" style="7" bestFit="1" customWidth="1"/>
    <col min="10759" max="10759" width="10.88671875" style="7" customWidth="1"/>
    <col min="10760" max="10760" width="10.44140625" style="7" customWidth="1"/>
    <col min="10761" max="10761" width="9.6640625" style="7" bestFit="1" customWidth="1"/>
    <col min="10762" max="10764" width="9.33203125" style="7" bestFit="1" customWidth="1"/>
    <col min="10765" max="10765" width="10.6640625" style="7" bestFit="1" customWidth="1"/>
    <col min="10766" max="10766" width="11.33203125" style="7" customWidth="1"/>
    <col min="10767" max="10767" width="12.5546875" style="7" customWidth="1"/>
    <col min="10768" max="10768" width="13.5546875" style="7" customWidth="1"/>
    <col min="10769" max="10769" width="13" style="7" customWidth="1"/>
    <col min="10770" max="11008" width="9.109375" style="7"/>
    <col min="11009" max="11009" width="3.6640625" style="7" customWidth="1"/>
    <col min="11010" max="11010" width="4" style="7" bestFit="1" customWidth="1"/>
    <col min="11011" max="11011" width="14.5546875" style="7" customWidth="1"/>
    <col min="11012" max="11012" width="11.109375" style="7" customWidth="1"/>
    <col min="11013" max="11013" width="8.6640625" style="7" customWidth="1"/>
    <col min="11014" max="11014" width="9.6640625" style="7" bestFit="1" customWidth="1"/>
    <col min="11015" max="11015" width="10.88671875" style="7" customWidth="1"/>
    <col min="11016" max="11016" width="10.44140625" style="7" customWidth="1"/>
    <col min="11017" max="11017" width="9.6640625" style="7" bestFit="1" customWidth="1"/>
    <col min="11018" max="11020" width="9.33203125" style="7" bestFit="1" customWidth="1"/>
    <col min="11021" max="11021" width="10.6640625" style="7" bestFit="1" customWidth="1"/>
    <col min="11022" max="11022" width="11.33203125" style="7" customWidth="1"/>
    <col min="11023" max="11023" width="12.5546875" style="7" customWidth="1"/>
    <col min="11024" max="11024" width="13.5546875" style="7" customWidth="1"/>
    <col min="11025" max="11025" width="13" style="7" customWidth="1"/>
    <col min="11026" max="11264" width="9.109375" style="7"/>
    <col min="11265" max="11265" width="3.6640625" style="7" customWidth="1"/>
    <col min="11266" max="11266" width="4" style="7" bestFit="1" customWidth="1"/>
    <col min="11267" max="11267" width="14.5546875" style="7" customWidth="1"/>
    <col min="11268" max="11268" width="11.109375" style="7" customWidth="1"/>
    <col min="11269" max="11269" width="8.6640625" style="7" customWidth="1"/>
    <col min="11270" max="11270" width="9.6640625" style="7" bestFit="1" customWidth="1"/>
    <col min="11271" max="11271" width="10.88671875" style="7" customWidth="1"/>
    <col min="11272" max="11272" width="10.44140625" style="7" customWidth="1"/>
    <col min="11273" max="11273" width="9.6640625" style="7" bestFit="1" customWidth="1"/>
    <col min="11274" max="11276" width="9.33203125" style="7" bestFit="1" customWidth="1"/>
    <col min="11277" max="11277" width="10.6640625" style="7" bestFit="1" customWidth="1"/>
    <col min="11278" max="11278" width="11.33203125" style="7" customWidth="1"/>
    <col min="11279" max="11279" width="12.5546875" style="7" customWidth="1"/>
    <col min="11280" max="11280" width="13.5546875" style="7" customWidth="1"/>
    <col min="11281" max="11281" width="13" style="7" customWidth="1"/>
    <col min="11282" max="11520" width="9.109375" style="7"/>
    <col min="11521" max="11521" width="3.6640625" style="7" customWidth="1"/>
    <col min="11522" max="11522" width="4" style="7" bestFit="1" customWidth="1"/>
    <col min="11523" max="11523" width="14.5546875" style="7" customWidth="1"/>
    <col min="11524" max="11524" width="11.109375" style="7" customWidth="1"/>
    <col min="11525" max="11525" width="8.6640625" style="7" customWidth="1"/>
    <col min="11526" max="11526" width="9.6640625" style="7" bestFit="1" customWidth="1"/>
    <col min="11527" max="11527" width="10.88671875" style="7" customWidth="1"/>
    <col min="11528" max="11528" width="10.44140625" style="7" customWidth="1"/>
    <col min="11529" max="11529" width="9.6640625" style="7" bestFit="1" customWidth="1"/>
    <col min="11530" max="11532" width="9.33203125" style="7" bestFit="1" customWidth="1"/>
    <col min="11533" max="11533" width="10.6640625" style="7" bestFit="1" customWidth="1"/>
    <col min="11534" max="11534" width="11.33203125" style="7" customWidth="1"/>
    <col min="11535" max="11535" width="12.5546875" style="7" customWidth="1"/>
    <col min="11536" max="11536" width="13.5546875" style="7" customWidth="1"/>
    <col min="11537" max="11537" width="13" style="7" customWidth="1"/>
    <col min="11538" max="11776" width="9.109375" style="7"/>
    <col min="11777" max="11777" width="3.6640625" style="7" customWidth="1"/>
    <col min="11778" max="11778" width="4" style="7" bestFit="1" customWidth="1"/>
    <col min="11779" max="11779" width="14.5546875" style="7" customWidth="1"/>
    <col min="11780" max="11780" width="11.109375" style="7" customWidth="1"/>
    <col min="11781" max="11781" width="8.6640625" style="7" customWidth="1"/>
    <col min="11782" max="11782" width="9.6640625" style="7" bestFit="1" customWidth="1"/>
    <col min="11783" max="11783" width="10.88671875" style="7" customWidth="1"/>
    <col min="11784" max="11784" width="10.44140625" style="7" customWidth="1"/>
    <col min="11785" max="11785" width="9.6640625" style="7" bestFit="1" customWidth="1"/>
    <col min="11786" max="11788" width="9.33203125" style="7" bestFit="1" customWidth="1"/>
    <col min="11789" max="11789" width="10.6640625" style="7" bestFit="1" customWidth="1"/>
    <col min="11790" max="11790" width="11.33203125" style="7" customWidth="1"/>
    <col min="11791" max="11791" width="12.5546875" style="7" customWidth="1"/>
    <col min="11792" max="11792" width="13.5546875" style="7" customWidth="1"/>
    <col min="11793" max="11793" width="13" style="7" customWidth="1"/>
    <col min="11794" max="12032" width="9.109375" style="7"/>
    <col min="12033" max="12033" width="3.6640625" style="7" customWidth="1"/>
    <col min="12034" max="12034" width="4" style="7" bestFit="1" customWidth="1"/>
    <col min="12035" max="12035" width="14.5546875" style="7" customWidth="1"/>
    <col min="12036" max="12036" width="11.109375" style="7" customWidth="1"/>
    <col min="12037" max="12037" width="8.6640625" style="7" customWidth="1"/>
    <col min="12038" max="12038" width="9.6640625" style="7" bestFit="1" customWidth="1"/>
    <col min="12039" max="12039" width="10.88671875" style="7" customWidth="1"/>
    <col min="12040" max="12040" width="10.44140625" style="7" customWidth="1"/>
    <col min="12041" max="12041" width="9.6640625" style="7" bestFit="1" customWidth="1"/>
    <col min="12042" max="12044" width="9.33203125" style="7" bestFit="1" customWidth="1"/>
    <col min="12045" max="12045" width="10.6640625" style="7" bestFit="1" customWidth="1"/>
    <col min="12046" max="12046" width="11.33203125" style="7" customWidth="1"/>
    <col min="12047" max="12047" width="12.5546875" style="7" customWidth="1"/>
    <col min="12048" max="12048" width="13.5546875" style="7" customWidth="1"/>
    <col min="12049" max="12049" width="13" style="7" customWidth="1"/>
    <col min="12050" max="12288" width="9.109375" style="7"/>
    <col min="12289" max="12289" width="3.6640625" style="7" customWidth="1"/>
    <col min="12290" max="12290" width="4" style="7" bestFit="1" customWidth="1"/>
    <col min="12291" max="12291" width="14.5546875" style="7" customWidth="1"/>
    <col min="12292" max="12292" width="11.109375" style="7" customWidth="1"/>
    <col min="12293" max="12293" width="8.6640625" style="7" customWidth="1"/>
    <col min="12294" max="12294" width="9.6640625" style="7" bestFit="1" customWidth="1"/>
    <col min="12295" max="12295" width="10.88671875" style="7" customWidth="1"/>
    <col min="12296" max="12296" width="10.44140625" style="7" customWidth="1"/>
    <col min="12297" max="12297" width="9.6640625" style="7" bestFit="1" customWidth="1"/>
    <col min="12298" max="12300" width="9.33203125" style="7" bestFit="1" customWidth="1"/>
    <col min="12301" max="12301" width="10.6640625" style="7" bestFit="1" customWidth="1"/>
    <col min="12302" max="12302" width="11.33203125" style="7" customWidth="1"/>
    <col min="12303" max="12303" width="12.5546875" style="7" customWidth="1"/>
    <col min="12304" max="12304" width="13.5546875" style="7" customWidth="1"/>
    <col min="12305" max="12305" width="13" style="7" customWidth="1"/>
    <col min="12306" max="12544" width="9.109375" style="7"/>
    <col min="12545" max="12545" width="3.6640625" style="7" customWidth="1"/>
    <col min="12546" max="12546" width="4" style="7" bestFit="1" customWidth="1"/>
    <col min="12547" max="12547" width="14.5546875" style="7" customWidth="1"/>
    <col min="12548" max="12548" width="11.109375" style="7" customWidth="1"/>
    <col min="12549" max="12549" width="8.6640625" style="7" customWidth="1"/>
    <col min="12550" max="12550" width="9.6640625" style="7" bestFit="1" customWidth="1"/>
    <col min="12551" max="12551" width="10.88671875" style="7" customWidth="1"/>
    <col min="12552" max="12552" width="10.44140625" style="7" customWidth="1"/>
    <col min="12553" max="12553" width="9.6640625" style="7" bestFit="1" customWidth="1"/>
    <col min="12554" max="12556" width="9.33203125" style="7" bestFit="1" customWidth="1"/>
    <col min="12557" max="12557" width="10.6640625" style="7" bestFit="1" customWidth="1"/>
    <col min="12558" max="12558" width="11.33203125" style="7" customWidth="1"/>
    <col min="12559" max="12559" width="12.5546875" style="7" customWidth="1"/>
    <col min="12560" max="12560" width="13.5546875" style="7" customWidth="1"/>
    <col min="12561" max="12561" width="13" style="7" customWidth="1"/>
    <col min="12562" max="12800" width="9.109375" style="7"/>
    <col min="12801" max="12801" width="3.6640625" style="7" customWidth="1"/>
    <col min="12802" max="12802" width="4" style="7" bestFit="1" customWidth="1"/>
    <col min="12803" max="12803" width="14.5546875" style="7" customWidth="1"/>
    <col min="12804" max="12804" width="11.109375" style="7" customWidth="1"/>
    <col min="12805" max="12805" width="8.6640625" style="7" customWidth="1"/>
    <col min="12806" max="12806" width="9.6640625" style="7" bestFit="1" customWidth="1"/>
    <col min="12807" max="12807" width="10.88671875" style="7" customWidth="1"/>
    <col min="12808" max="12808" width="10.44140625" style="7" customWidth="1"/>
    <col min="12809" max="12809" width="9.6640625" style="7" bestFit="1" customWidth="1"/>
    <col min="12810" max="12812" width="9.33203125" style="7" bestFit="1" customWidth="1"/>
    <col min="12813" max="12813" width="10.6640625" style="7" bestFit="1" customWidth="1"/>
    <col min="12814" max="12814" width="11.33203125" style="7" customWidth="1"/>
    <col min="12815" max="12815" width="12.5546875" style="7" customWidth="1"/>
    <col min="12816" max="12816" width="13.5546875" style="7" customWidth="1"/>
    <col min="12817" max="12817" width="13" style="7" customWidth="1"/>
    <col min="12818" max="13056" width="9.109375" style="7"/>
    <col min="13057" max="13057" width="3.6640625" style="7" customWidth="1"/>
    <col min="13058" max="13058" width="4" style="7" bestFit="1" customWidth="1"/>
    <col min="13059" max="13059" width="14.5546875" style="7" customWidth="1"/>
    <col min="13060" max="13060" width="11.109375" style="7" customWidth="1"/>
    <col min="13061" max="13061" width="8.6640625" style="7" customWidth="1"/>
    <col min="13062" max="13062" width="9.6640625" style="7" bestFit="1" customWidth="1"/>
    <col min="13063" max="13063" width="10.88671875" style="7" customWidth="1"/>
    <col min="13064" max="13064" width="10.44140625" style="7" customWidth="1"/>
    <col min="13065" max="13065" width="9.6640625" style="7" bestFit="1" customWidth="1"/>
    <col min="13066" max="13068" width="9.33203125" style="7" bestFit="1" customWidth="1"/>
    <col min="13069" max="13069" width="10.6640625" style="7" bestFit="1" customWidth="1"/>
    <col min="13070" max="13070" width="11.33203125" style="7" customWidth="1"/>
    <col min="13071" max="13071" width="12.5546875" style="7" customWidth="1"/>
    <col min="13072" max="13072" width="13.5546875" style="7" customWidth="1"/>
    <col min="13073" max="13073" width="13" style="7" customWidth="1"/>
    <col min="13074" max="13312" width="9.109375" style="7"/>
    <col min="13313" max="13313" width="3.6640625" style="7" customWidth="1"/>
    <col min="13314" max="13314" width="4" style="7" bestFit="1" customWidth="1"/>
    <col min="13315" max="13315" width="14.5546875" style="7" customWidth="1"/>
    <col min="13316" max="13316" width="11.109375" style="7" customWidth="1"/>
    <col min="13317" max="13317" width="8.6640625" style="7" customWidth="1"/>
    <col min="13318" max="13318" width="9.6640625" style="7" bestFit="1" customWidth="1"/>
    <col min="13319" max="13319" width="10.88671875" style="7" customWidth="1"/>
    <col min="13320" max="13320" width="10.44140625" style="7" customWidth="1"/>
    <col min="13321" max="13321" width="9.6640625" style="7" bestFit="1" customWidth="1"/>
    <col min="13322" max="13324" width="9.33203125" style="7" bestFit="1" customWidth="1"/>
    <col min="13325" max="13325" width="10.6640625" style="7" bestFit="1" customWidth="1"/>
    <col min="13326" max="13326" width="11.33203125" style="7" customWidth="1"/>
    <col min="13327" max="13327" width="12.5546875" style="7" customWidth="1"/>
    <col min="13328" max="13328" width="13.5546875" style="7" customWidth="1"/>
    <col min="13329" max="13329" width="13" style="7" customWidth="1"/>
    <col min="13330" max="13568" width="9.109375" style="7"/>
    <col min="13569" max="13569" width="3.6640625" style="7" customWidth="1"/>
    <col min="13570" max="13570" width="4" style="7" bestFit="1" customWidth="1"/>
    <col min="13571" max="13571" width="14.5546875" style="7" customWidth="1"/>
    <col min="13572" max="13572" width="11.109375" style="7" customWidth="1"/>
    <col min="13573" max="13573" width="8.6640625" style="7" customWidth="1"/>
    <col min="13574" max="13574" width="9.6640625" style="7" bestFit="1" customWidth="1"/>
    <col min="13575" max="13575" width="10.88671875" style="7" customWidth="1"/>
    <col min="13576" max="13576" width="10.44140625" style="7" customWidth="1"/>
    <col min="13577" max="13577" width="9.6640625" style="7" bestFit="1" customWidth="1"/>
    <col min="13578" max="13580" width="9.33203125" style="7" bestFit="1" customWidth="1"/>
    <col min="13581" max="13581" width="10.6640625" style="7" bestFit="1" customWidth="1"/>
    <col min="13582" max="13582" width="11.33203125" style="7" customWidth="1"/>
    <col min="13583" max="13583" width="12.5546875" style="7" customWidth="1"/>
    <col min="13584" max="13584" width="13.5546875" style="7" customWidth="1"/>
    <col min="13585" max="13585" width="13" style="7" customWidth="1"/>
    <col min="13586" max="13824" width="9.109375" style="7"/>
    <col min="13825" max="13825" width="3.6640625" style="7" customWidth="1"/>
    <col min="13826" max="13826" width="4" style="7" bestFit="1" customWidth="1"/>
    <col min="13827" max="13827" width="14.5546875" style="7" customWidth="1"/>
    <col min="13828" max="13828" width="11.109375" style="7" customWidth="1"/>
    <col min="13829" max="13829" width="8.6640625" style="7" customWidth="1"/>
    <col min="13830" max="13830" width="9.6640625" style="7" bestFit="1" customWidth="1"/>
    <col min="13831" max="13831" width="10.88671875" style="7" customWidth="1"/>
    <col min="13832" max="13832" width="10.44140625" style="7" customWidth="1"/>
    <col min="13833" max="13833" width="9.6640625" style="7" bestFit="1" customWidth="1"/>
    <col min="13834" max="13836" width="9.33203125" style="7" bestFit="1" customWidth="1"/>
    <col min="13837" max="13837" width="10.6640625" style="7" bestFit="1" customWidth="1"/>
    <col min="13838" max="13838" width="11.33203125" style="7" customWidth="1"/>
    <col min="13839" max="13839" width="12.5546875" style="7" customWidth="1"/>
    <col min="13840" max="13840" width="13.5546875" style="7" customWidth="1"/>
    <col min="13841" max="13841" width="13" style="7" customWidth="1"/>
    <col min="13842" max="14080" width="9.109375" style="7"/>
    <col min="14081" max="14081" width="3.6640625" style="7" customWidth="1"/>
    <col min="14082" max="14082" width="4" style="7" bestFit="1" customWidth="1"/>
    <col min="14083" max="14083" width="14.5546875" style="7" customWidth="1"/>
    <col min="14084" max="14084" width="11.109375" style="7" customWidth="1"/>
    <col min="14085" max="14085" width="8.6640625" style="7" customWidth="1"/>
    <col min="14086" max="14086" width="9.6640625" style="7" bestFit="1" customWidth="1"/>
    <col min="14087" max="14087" width="10.88671875" style="7" customWidth="1"/>
    <col min="14088" max="14088" width="10.44140625" style="7" customWidth="1"/>
    <col min="14089" max="14089" width="9.6640625" style="7" bestFit="1" customWidth="1"/>
    <col min="14090" max="14092" width="9.33203125" style="7" bestFit="1" customWidth="1"/>
    <col min="14093" max="14093" width="10.6640625" style="7" bestFit="1" customWidth="1"/>
    <col min="14094" max="14094" width="11.33203125" style="7" customWidth="1"/>
    <col min="14095" max="14095" width="12.5546875" style="7" customWidth="1"/>
    <col min="14096" max="14096" width="13.5546875" style="7" customWidth="1"/>
    <col min="14097" max="14097" width="13" style="7" customWidth="1"/>
    <col min="14098" max="14336" width="9.109375" style="7"/>
    <col min="14337" max="14337" width="3.6640625" style="7" customWidth="1"/>
    <col min="14338" max="14338" width="4" style="7" bestFit="1" customWidth="1"/>
    <col min="14339" max="14339" width="14.5546875" style="7" customWidth="1"/>
    <col min="14340" max="14340" width="11.109375" style="7" customWidth="1"/>
    <col min="14341" max="14341" width="8.6640625" style="7" customWidth="1"/>
    <col min="14342" max="14342" width="9.6640625" style="7" bestFit="1" customWidth="1"/>
    <col min="14343" max="14343" width="10.88671875" style="7" customWidth="1"/>
    <col min="14344" max="14344" width="10.44140625" style="7" customWidth="1"/>
    <col min="14345" max="14345" width="9.6640625" style="7" bestFit="1" customWidth="1"/>
    <col min="14346" max="14348" width="9.33203125" style="7" bestFit="1" customWidth="1"/>
    <col min="14349" max="14349" width="10.6640625" style="7" bestFit="1" customWidth="1"/>
    <col min="14350" max="14350" width="11.33203125" style="7" customWidth="1"/>
    <col min="14351" max="14351" width="12.5546875" style="7" customWidth="1"/>
    <col min="14352" max="14352" width="13.5546875" style="7" customWidth="1"/>
    <col min="14353" max="14353" width="13" style="7" customWidth="1"/>
    <col min="14354" max="14592" width="9.109375" style="7"/>
    <col min="14593" max="14593" width="3.6640625" style="7" customWidth="1"/>
    <col min="14594" max="14594" width="4" style="7" bestFit="1" customWidth="1"/>
    <col min="14595" max="14595" width="14.5546875" style="7" customWidth="1"/>
    <col min="14596" max="14596" width="11.109375" style="7" customWidth="1"/>
    <col min="14597" max="14597" width="8.6640625" style="7" customWidth="1"/>
    <col min="14598" max="14598" width="9.6640625" style="7" bestFit="1" customWidth="1"/>
    <col min="14599" max="14599" width="10.88671875" style="7" customWidth="1"/>
    <col min="14600" max="14600" width="10.44140625" style="7" customWidth="1"/>
    <col min="14601" max="14601" width="9.6640625" style="7" bestFit="1" customWidth="1"/>
    <col min="14602" max="14604" width="9.33203125" style="7" bestFit="1" customWidth="1"/>
    <col min="14605" max="14605" width="10.6640625" style="7" bestFit="1" customWidth="1"/>
    <col min="14606" max="14606" width="11.33203125" style="7" customWidth="1"/>
    <col min="14607" max="14607" width="12.5546875" style="7" customWidth="1"/>
    <col min="14608" max="14608" width="13.5546875" style="7" customWidth="1"/>
    <col min="14609" max="14609" width="13" style="7" customWidth="1"/>
    <col min="14610" max="14848" width="9.109375" style="7"/>
    <col min="14849" max="14849" width="3.6640625" style="7" customWidth="1"/>
    <col min="14850" max="14850" width="4" style="7" bestFit="1" customWidth="1"/>
    <col min="14851" max="14851" width="14.5546875" style="7" customWidth="1"/>
    <col min="14852" max="14852" width="11.109375" style="7" customWidth="1"/>
    <col min="14853" max="14853" width="8.6640625" style="7" customWidth="1"/>
    <col min="14854" max="14854" width="9.6640625" style="7" bestFit="1" customWidth="1"/>
    <col min="14855" max="14855" width="10.88671875" style="7" customWidth="1"/>
    <col min="14856" max="14856" width="10.44140625" style="7" customWidth="1"/>
    <col min="14857" max="14857" width="9.6640625" style="7" bestFit="1" customWidth="1"/>
    <col min="14858" max="14860" width="9.33203125" style="7" bestFit="1" customWidth="1"/>
    <col min="14861" max="14861" width="10.6640625" style="7" bestFit="1" customWidth="1"/>
    <col min="14862" max="14862" width="11.33203125" style="7" customWidth="1"/>
    <col min="14863" max="14863" width="12.5546875" style="7" customWidth="1"/>
    <col min="14864" max="14864" width="13.5546875" style="7" customWidth="1"/>
    <col min="14865" max="14865" width="13" style="7" customWidth="1"/>
    <col min="14866" max="15104" width="9.109375" style="7"/>
    <col min="15105" max="15105" width="3.6640625" style="7" customWidth="1"/>
    <col min="15106" max="15106" width="4" style="7" bestFit="1" customWidth="1"/>
    <col min="15107" max="15107" width="14.5546875" style="7" customWidth="1"/>
    <col min="15108" max="15108" width="11.109375" style="7" customWidth="1"/>
    <col min="15109" max="15109" width="8.6640625" style="7" customWidth="1"/>
    <col min="15110" max="15110" width="9.6640625" style="7" bestFit="1" customWidth="1"/>
    <col min="15111" max="15111" width="10.88671875" style="7" customWidth="1"/>
    <col min="15112" max="15112" width="10.44140625" style="7" customWidth="1"/>
    <col min="15113" max="15113" width="9.6640625" style="7" bestFit="1" customWidth="1"/>
    <col min="15114" max="15116" width="9.33203125" style="7" bestFit="1" customWidth="1"/>
    <col min="15117" max="15117" width="10.6640625" style="7" bestFit="1" customWidth="1"/>
    <col min="15118" max="15118" width="11.33203125" style="7" customWidth="1"/>
    <col min="15119" max="15119" width="12.5546875" style="7" customWidth="1"/>
    <col min="15120" max="15120" width="13.5546875" style="7" customWidth="1"/>
    <col min="15121" max="15121" width="13" style="7" customWidth="1"/>
    <col min="15122" max="15360" width="9.109375" style="7"/>
    <col min="15361" max="15361" width="3.6640625" style="7" customWidth="1"/>
    <col min="15362" max="15362" width="4" style="7" bestFit="1" customWidth="1"/>
    <col min="15363" max="15363" width="14.5546875" style="7" customWidth="1"/>
    <col min="15364" max="15364" width="11.109375" style="7" customWidth="1"/>
    <col min="15365" max="15365" width="8.6640625" style="7" customWidth="1"/>
    <col min="15366" max="15366" width="9.6640625" style="7" bestFit="1" customWidth="1"/>
    <col min="15367" max="15367" width="10.88671875" style="7" customWidth="1"/>
    <col min="15368" max="15368" width="10.44140625" style="7" customWidth="1"/>
    <col min="15369" max="15369" width="9.6640625" style="7" bestFit="1" customWidth="1"/>
    <col min="15370" max="15372" width="9.33203125" style="7" bestFit="1" customWidth="1"/>
    <col min="15373" max="15373" width="10.6640625" style="7" bestFit="1" customWidth="1"/>
    <col min="15374" max="15374" width="11.33203125" style="7" customWidth="1"/>
    <col min="15375" max="15375" width="12.5546875" style="7" customWidth="1"/>
    <col min="15376" max="15376" width="13.5546875" style="7" customWidth="1"/>
    <col min="15377" max="15377" width="13" style="7" customWidth="1"/>
    <col min="15378" max="15616" width="9.109375" style="7"/>
    <col min="15617" max="15617" width="3.6640625" style="7" customWidth="1"/>
    <col min="15618" max="15618" width="4" style="7" bestFit="1" customWidth="1"/>
    <col min="15619" max="15619" width="14.5546875" style="7" customWidth="1"/>
    <col min="15620" max="15620" width="11.109375" style="7" customWidth="1"/>
    <col min="15621" max="15621" width="8.6640625" style="7" customWidth="1"/>
    <col min="15622" max="15622" width="9.6640625" style="7" bestFit="1" customWidth="1"/>
    <col min="15623" max="15623" width="10.88671875" style="7" customWidth="1"/>
    <col min="15624" max="15624" width="10.44140625" style="7" customWidth="1"/>
    <col min="15625" max="15625" width="9.6640625" style="7" bestFit="1" customWidth="1"/>
    <col min="15626" max="15628" width="9.33203125" style="7" bestFit="1" customWidth="1"/>
    <col min="15629" max="15629" width="10.6640625" style="7" bestFit="1" customWidth="1"/>
    <col min="15630" max="15630" width="11.33203125" style="7" customWidth="1"/>
    <col min="15631" max="15631" width="12.5546875" style="7" customWidth="1"/>
    <col min="15632" max="15632" width="13.5546875" style="7" customWidth="1"/>
    <col min="15633" max="15633" width="13" style="7" customWidth="1"/>
    <col min="15634" max="15872" width="9.109375" style="7"/>
    <col min="15873" max="15873" width="3.6640625" style="7" customWidth="1"/>
    <col min="15874" max="15874" width="4" style="7" bestFit="1" customWidth="1"/>
    <col min="15875" max="15875" width="14.5546875" style="7" customWidth="1"/>
    <col min="15876" max="15876" width="11.109375" style="7" customWidth="1"/>
    <col min="15877" max="15877" width="8.6640625" style="7" customWidth="1"/>
    <col min="15878" max="15878" width="9.6640625" style="7" bestFit="1" customWidth="1"/>
    <col min="15879" max="15879" width="10.88671875" style="7" customWidth="1"/>
    <col min="15880" max="15880" width="10.44140625" style="7" customWidth="1"/>
    <col min="15881" max="15881" width="9.6640625" style="7" bestFit="1" customWidth="1"/>
    <col min="15882" max="15884" width="9.33203125" style="7" bestFit="1" customWidth="1"/>
    <col min="15885" max="15885" width="10.6640625" style="7" bestFit="1" customWidth="1"/>
    <col min="15886" max="15886" width="11.33203125" style="7" customWidth="1"/>
    <col min="15887" max="15887" width="12.5546875" style="7" customWidth="1"/>
    <col min="15888" max="15888" width="13.5546875" style="7" customWidth="1"/>
    <col min="15889" max="15889" width="13" style="7" customWidth="1"/>
    <col min="15890" max="16128" width="9.109375" style="7"/>
    <col min="16129" max="16129" width="3.6640625" style="7" customWidth="1"/>
    <col min="16130" max="16130" width="4" style="7" bestFit="1" customWidth="1"/>
    <col min="16131" max="16131" width="14.5546875" style="7" customWidth="1"/>
    <col min="16132" max="16132" width="11.109375" style="7" customWidth="1"/>
    <col min="16133" max="16133" width="8.6640625" style="7" customWidth="1"/>
    <col min="16134" max="16134" width="9.6640625" style="7" bestFit="1" customWidth="1"/>
    <col min="16135" max="16135" width="10.88671875" style="7" customWidth="1"/>
    <col min="16136" max="16136" width="10.44140625" style="7" customWidth="1"/>
    <col min="16137" max="16137" width="9.6640625" style="7" bestFit="1" customWidth="1"/>
    <col min="16138" max="16140" width="9.33203125" style="7" bestFit="1" customWidth="1"/>
    <col min="16141" max="16141" width="10.6640625" style="7" bestFit="1" customWidth="1"/>
    <col min="16142" max="16142" width="11.33203125" style="7" customWidth="1"/>
    <col min="16143" max="16143" width="12.5546875" style="7" customWidth="1"/>
    <col min="16144" max="16144" width="13.5546875" style="7" customWidth="1"/>
    <col min="16145" max="16145" width="13" style="7" customWidth="1"/>
    <col min="16146" max="16384" width="9.109375" style="7"/>
  </cols>
  <sheetData>
    <row r="2" spans="2:21" ht="27.6" customHeight="1" x14ac:dyDescent="0.3">
      <c r="B2" s="133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5"/>
    </row>
    <row r="3" spans="2:21" s="9" customFormat="1" ht="22.2" customHeight="1" thickBot="1" x14ac:dyDescent="0.35">
      <c r="B3" s="136" t="s">
        <v>0</v>
      </c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8"/>
      <c r="R3" s="6"/>
      <c r="S3" s="6"/>
    </row>
    <row r="4" spans="2:21" s="9" customFormat="1" ht="24.6" customHeight="1" thickBot="1" x14ac:dyDescent="0.35">
      <c r="B4" s="139" t="s">
        <v>79</v>
      </c>
      <c r="C4" s="140"/>
      <c r="D4" s="140"/>
      <c r="E4" s="140"/>
      <c r="F4" s="140"/>
      <c r="G4" s="140"/>
      <c r="H4" s="140"/>
      <c r="I4" s="140"/>
      <c r="J4" s="140"/>
      <c r="K4" s="140"/>
      <c r="L4" s="140"/>
      <c r="M4" s="140"/>
      <c r="N4" s="140"/>
      <c r="O4" s="141"/>
      <c r="P4" s="77" t="s">
        <v>1</v>
      </c>
      <c r="Q4" s="78" t="s">
        <v>80</v>
      </c>
      <c r="R4" s="6"/>
      <c r="S4" s="6"/>
    </row>
    <row r="5" spans="2:21" s="9" customFormat="1" x14ac:dyDescent="0.3">
      <c r="B5" s="1" t="s">
        <v>2</v>
      </c>
      <c r="C5" s="2"/>
      <c r="D5" s="2"/>
      <c r="E5" s="2"/>
      <c r="F5" s="2"/>
      <c r="G5" s="2"/>
      <c r="H5" s="2"/>
      <c r="I5" s="2"/>
      <c r="J5" s="2"/>
      <c r="K5" s="2"/>
      <c r="L5" s="2"/>
      <c r="M5" s="3"/>
      <c r="N5" s="3"/>
      <c r="O5" s="2"/>
      <c r="P5" s="2"/>
      <c r="Q5" s="4"/>
      <c r="R5" s="6"/>
      <c r="S5" s="6"/>
    </row>
    <row r="6" spans="2:21" ht="13.95" customHeight="1" x14ac:dyDescent="0.3">
      <c r="B6" s="131" t="s">
        <v>3</v>
      </c>
      <c r="C6" s="154" t="s">
        <v>4</v>
      </c>
      <c r="D6" s="154" t="s">
        <v>5</v>
      </c>
      <c r="E6" s="154" t="s">
        <v>6</v>
      </c>
      <c r="F6" s="154" t="s">
        <v>7</v>
      </c>
      <c r="G6" s="154"/>
      <c r="H6" s="154"/>
      <c r="I6" s="154" t="s">
        <v>8</v>
      </c>
      <c r="J6" s="154"/>
      <c r="K6" s="154"/>
      <c r="L6" s="154" t="s">
        <v>9</v>
      </c>
      <c r="M6" s="154" t="s">
        <v>70</v>
      </c>
      <c r="N6" s="154" t="s">
        <v>10</v>
      </c>
      <c r="O6" s="156"/>
      <c r="P6" s="154" t="s">
        <v>81</v>
      </c>
      <c r="Q6" s="145"/>
    </row>
    <row r="7" spans="2:21" ht="15" thickBot="1" x14ac:dyDescent="0.35">
      <c r="B7" s="132"/>
      <c r="C7" s="155"/>
      <c r="D7" s="155"/>
      <c r="E7" s="155"/>
      <c r="F7" s="66" t="s">
        <v>11</v>
      </c>
      <c r="G7" s="66" t="s">
        <v>12</v>
      </c>
      <c r="H7" s="66" t="s">
        <v>13</v>
      </c>
      <c r="I7" s="66" t="s">
        <v>11</v>
      </c>
      <c r="J7" s="66" t="s">
        <v>12</v>
      </c>
      <c r="K7" s="66" t="s">
        <v>13</v>
      </c>
      <c r="L7" s="155"/>
      <c r="M7" s="155"/>
      <c r="N7" s="155"/>
      <c r="O7" s="157"/>
      <c r="P7" s="155"/>
      <c r="Q7" s="146"/>
    </row>
    <row r="8" spans="2:21" ht="14.4" customHeight="1" x14ac:dyDescent="0.3">
      <c r="B8" s="10"/>
      <c r="C8" s="147" t="s">
        <v>71</v>
      </c>
      <c r="D8" s="148"/>
      <c r="E8" s="148"/>
      <c r="F8" s="148"/>
      <c r="G8" s="148"/>
      <c r="H8" s="148"/>
      <c r="I8" s="148"/>
      <c r="J8" s="148"/>
      <c r="K8" s="148"/>
      <c r="L8" s="148"/>
      <c r="M8" s="148"/>
      <c r="N8" s="148"/>
      <c r="O8" s="148"/>
      <c r="P8" s="148"/>
      <c r="Q8" s="149"/>
      <c r="R8" s="5"/>
      <c r="S8" s="5"/>
      <c r="U8" s="7" t="s">
        <v>14</v>
      </c>
    </row>
    <row r="9" spans="2:21" x14ac:dyDescent="0.3">
      <c r="B9" s="51">
        <v>1</v>
      </c>
      <c r="C9" s="102" t="s">
        <v>15</v>
      </c>
      <c r="D9" s="103"/>
      <c r="E9" s="96">
        <f>'[1]Mines (2)'!C3+'[1]Mines (2)'!H3+'[1]Mines (2)'!V3+'[1]Mines (2)'!Z3+'[1]Mines (2)'!AD3</f>
        <v>24697.4941599513</v>
      </c>
      <c r="F9" s="63">
        <f>[1]Production2!D3</f>
        <v>4123.3</v>
      </c>
      <c r="G9" s="63">
        <f>F9</f>
        <v>4123.3</v>
      </c>
      <c r="H9" s="63">
        <f>F9+[1]Production2!D36</f>
        <v>246512.52000000002</v>
      </c>
      <c r="I9" s="63">
        <f>[1]Production2!E3</f>
        <v>982</v>
      </c>
      <c r="J9" s="63">
        <f>I9</f>
        <v>982</v>
      </c>
      <c r="K9" s="63">
        <f>I9+[1]Production2!E36</f>
        <v>208062</v>
      </c>
      <c r="L9" s="96">
        <f>E9+F9-I9-I23</f>
        <v>27397.136382135723</v>
      </c>
      <c r="M9" s="60">
        <f>I9</f>
        <v>982</v>
      </c>
      <c r="N9" s="60">
        <f>(I9/I15)*100</f>
        <v>94.241842610364685</v>
      </c>
      <c r="O9" s="150"/>
      <c r="P9" s="68">
        <v>10</v>
      </c>
      <c r="Q9" s="41">
        <f>'[1]Raw mill moisture content'!L35</f>
        <v>0.10000000000000003</v>
      </c>
    </row>
    <row r="10" spans="2:21" ht="13.95" customHeight="1" x14ac:dyDescent="0.3">
      <c r="B10" s="45">
        <v>2</v>
      </c>
      <c r="C10" s="144" t="s">
        <v>16</v>
      </c>
      <c r="D10" s="144"/>
      <c r="E10" s="98">
        <f>'[1]Mines (2)'!L3</f>
        <v>3819.2799999999997</v>
      </c>
      <c r="F10" s="11">
        <f>'[1]Mines (2)'!M3</f>
        <v>0</v>
      </c>
      <c r="G10" s="63">
        <f t="shared" ref="G10:G12" si="0">F10</f>
        <v>0</v>
      </c>
      <c r="H10" s="63">
        <f>F10+'[1]Mines (2)'!M36</f>
        <v>7400.2400000000016</v>
      </c>
      <c r="I10" s="11">
        <f>'[1]Mines (2)'!N3</f>
        <v>13</v>
      </c>
      <c r="J10" s="63">
        <f t="shared" ref="J10:J12" si="1">I10</f>
        <v>13</v>
      </c>
      <c r="K10" s="63">
        <f>I10+'[1]Mines (2)'!N36</f>
        <v>3718</v>
      </c>
      <c r="L10" s="98">
        <f t="shared" ref="L10:L12" si="2">E10+F10-I10</f>
        <v>3806.2799999999997</v>
      </c>
      <c r="M10" s="60">
        <f t="shared" ref="M10:M12" si="3">I10</f>
        <v>13</v>
      </c>
      <c r="N10" s="60">
        <f>(I10/I15)*100</f>
        <v>1.2476007677543186</v>
      </c>
      <c r="O10" s="150"/>
      <c r="P10" s="69">
        <v>10</v>
      </c>
      <c r="Q10" s="42">
        <f>'[1]Raw mill moisture content'!M35</f>
        <v>0.1</v>
      </c>
    </row>
    <row r="11" spans="2:21" x14ac:dyDescent="0.3">
      <c r="B11" s="45">
        <v>3</v>
      </c>
      <c r="C11" s="144" t="s">
        <v>17</v>
      </c>
      <c r="D11" s="144"/>
      <c r="E11" s="98">
        <f>[1]Clinker!C3</f>
        <v>1148.3200000000002</v>
      </c>
      <c r="F11" s="11">
        <f>[1]Clinker!D3</f>
        <v>64.14</v>
      </c>
      <c r="G11" s="63">
        <f t="shared" si="0"/>
        <v>64.14</v>
      </c>
      <c r="H11" s="63">
        <f>F11+[1]Clinker!D36</f>
        <v>735.82</v>
      </c>
      <c r="I11" s="11">
        <f>[1]Clinker!E3</f>
        <v>35</v>
      </c>
      <c r="J11" s="63">
        <f t="shared" si="1"/>
        <v>35</v>
      </c>
      <c r="K11" s="63">
        <f>I11+[1]Clinker!E36</f>
        <v>4924</v>
      </c>
      <c r="L11" s="98">
        <f t="shared" si="2"/>
        <v>1177.4600000000003</v>
      </c>
      <c r="M11" s="60">
        <f t="shared" si="3"/>
        <v>35</v>
      </c>
      <c r="N11" s="60">
        <f>(I11/I15)*100</f>
        <v>3.3589251439539352</v>
      </c>
      <c r="O11" s="150"/>
      <c r="P11" s="69">
        <v>7</v>
      </c>
      <c r="Q11" s="42">
        <f>'[1]Raw mill moisture content'!N35</f>
        <v>7.0000000000000062E-2</v>
      </c>
    </row>
    <row r="12" spans="2:21" ht="13.95" customHeight="1" x14ac:dyDescent="0.3">
      <c r="B12" s="45">
        <v>4</v>
      </c>
      <c r="C12" s="144" t="s">
        <v>18</v>
      </c>
      <c r="D12" s="144"/>
      <c r="E12" s="98">
        <f>'[1]Mines (2)'!Q3</f>
        <v>3.999999999996362E-2</v>
      </c>
      <c r="F12" s="11">
        <f>'[1]Mines (2)'!R3</f>
        <v>0</v>
      </c>
      <c r="G12" s="63">
        <f t="shared" si="0"/>
        <v>0</v>
      </c>
      <c r="H12" s="63">
        <f>F12+'[1]Mines (2)'!R36</f>
        <v>137.76</v>
      </c>
      <c r="I12" s="11">
        <f>'[1]Mines (2)'!S3</f>
        <v>0</v>
      </c>
      <c r="J12" s="63">
        <f t="shared" si="1"/>
        <v>0</v>
      </c>
      <c r="K12" s="63">
        <f>I12+'[1]Mines (2)'!S36</f>
        <v>738</v>
      </c>
      <c r="L12" s="98">
        <f t="shared" si="2"/>
        <v>3.999999999996362E-2</v>
      </c>
      <c r="M12" s="60">
        <f t="shared" si="3"/>
        <v>0</v>
      </c>
      <c r="N12" s="60">
        <f>(I12/I15)*100</f>
        <v>0</v>
      </c>
      <c r="O12" s="150"/>
      <c r="P12" s="69">
        <v>10</v>
      </c>
      <c r="Q12" s="42" t="e">
        <f>'[1]Raw mill moisture content'!O35</f>
        <v>#DIV/0!</v>
      </c>
    </row>
    <row r="13" spans="2:21" ht="13.95" customHeight="1" x14ac:dyDescent="0.3">
      <c r="B13" s="51">
        <v>5</v>
      </c>
      <c r="C13" s="102" t="s">
        <v>75</v>
      </c>
      <c r="D13" s="103"/>
      <c r="E13" s="98">
        <f>'[1]Mines (2)'!AH3</f>
        <v>317.7</v>
      </c>
      <c r="F13" s="11">
        <f>'[1]Mines (2)'!AI3</f>
        <v>0</v>
      </c>
      <c r="G13" s="63">
        <f>F13</f>
        <v>0</v>
      </c>
      <c r="H13" s="63">
        <f>F13+'[1]Mines (2)'!AI36</f>
        <v>217.33999999999997</v>
      </c>
      <c r="I13" s="11">
        <f>'[1]Mines (2)'!AJ3</f>
        <v>12</v>
      </c>
      <c r="J13" s="63">
        <f>I13</f>
        <v>12</v>
      </c>
      <c r="K13" s="63">
        <f>I13+'[1]Mines (2)'!AJ36</f>
        <v>210</v>
      </c>
      <c r="L13" s="98">
        <f>E13+F13-I13</f>
        <v>305.7</v>
      </c>
      <c r="M13" s="63">
        <v>0</v>
      </c>
      <c r="N13" s="60">
        <f>(I13/I15)*100</f>
        <v>1.1516314779270633</v>
      </c>
      <c r="O13" s="150"/>
      <c r="P13" s="22">
        <v>7</v>
      </c>
      <c r="Q13" s="42">
        <v>7.0000000000000007E-2</v>
      </c>
    </row>
    <row r="14" spans="2:21" ht="13.95" customHeight="1" x14ac:dyDescent="0.3">
      <c r="B14" s="45">
        <v>6</v>
      </c>
      <c r="C14" s="102" t="s">
        <v>76</v>
      </c>
      <c r="D14" s="103"/>
      <c r="E14" s="98">
        <f>'[1]Mines (2)'!AM3</f>
        <v>0</v>
      </c>
      <c r="F14" s="11">
        <f>'[1]Mines (2)'!AN3</f>
        <v>0</v>
      </c>
      <c r="G14" s="63">
        <f>F14</f>
        <v>0</v>
      </c>
      <c r="H14" s="63">
        <f>F14+'[1]Mines (2)'!AN36</f>
        <v>0</v>
      </c>
      <c r="I14" s="11">
        <f>'[1]Mines (2)'!AO3</f>
        <v>0</v>
      </c>
      <c r="J14" s="63">
        <f>I14</f>
        <v>0</v>
      </c>
      <c r="K14" s="63">
        <f>I14+'[1]Mines (2)'!AO36</f>
        <v>0</v>
      </c>
      <c r="L14" s="98">
        <f t="shared" ref="L14" si="4">E14+F14-I14</f>
        <v>0</v>
      </c>
      <c r="M14" s="63">
        <v>0</v>
      </c>
      <c r="N14" s="60">
        <f>(I14/I15)*100</f>
        <v>0</v>
      </c>
      <c r="O14" s="150"/>
      <c r="P14" s="22">
        <v>0</v>
      </c>
      <c r="Q14" s="42">
        <f>'[1]Raw mill moisture content'!N38</f>
        <v>0</v>
      </c>
    </row>
    <row r="15" spans="2:21" ht="13.95" customHeight="1" x14ac:dyDescent="0.3">
      <c r="B15" s="45" t="s">
        <v>14</v>
      </c>
      <c r="C15" s="151" t="s">
        <v>19</v>
      </c>
      <c r="D15" s="151"/>
      <c r="E15" s="98">
        <f>SUM(E9:E14)</f>
        <v>29982.834159951301</v>
      </c>
      <c r="F15" s="36">
        <f t="shared" ref="F15:N15" si="5">SUM(F9:F14)</f>
        <v>4187.4400000000005</v>
      </c>
      <c r="G15" s="36">
        <f t="shared" si="5"/>
        <v>4187.4400000000005</v>
      </c>
      <c r="H15" s="36">
        <f t="shared" si="5"/>
        <v>255003.68000000002</v>
      </c>
      <c r="I15" s="36">
        <f t="shared" si="5"/>
        <v>1042</v>
      </c>
      <c r="J15" s="36">
        <f t="shared" si="5"/>
        <v>1042</v>
      </c>
      <c r="K15" s="36">
        <f t="shared" si="5"/>
        <v>217652</v>
      </c>
      <c r="L15" s="98">
        <f t="shared" si="5"/>
        <v>32686.616382135722</v>
      </c>
      <c r="M15" s="36">
        <f t="shared" si="5"/>
        <v>1030</v>
      </c>
      <c r="N15" s="36">
        <f t="shared" si="5"/>
        <v>100.00000000000001</v>
      </c>
      <c r="O15" s="150"/>
      <c r="P15" s="152"/>
      <c r="Q15" s="153"/>
    </row>
    <row r="16" spans="2:21" x14ac:dyDescent="0.3">
      <c r="B16" s="158">
        <v>6</v>
      </c>
      <c r="C16" s="159" t="s">
        <v>20</v>
      </c>
      <c r="D16" s="64" t="s">
        <v>21</v>
      </c>
      <c r="E16" s="98">
        <f>[1]Clinker!EB3</f>
        <v>3307.2169999999905</v>
      </c>
      <c r="F16" s="11">
        <f>[1]Clinker!EC3</f>
        <v>216.04</v>
      </c>
      <c r="G16" s="11">
        <f>F16</f>
        <v>216.04</v>
      </c>
      <c r="H16" s="11">
        <f>F16+[1]Clinker!EC36</f>
        <v>6805.9600000000009</v>
      </c>
      <c r="I16" s="11">
        <f>[1]Clinker!ED3</f>
        <v>160</v>
      </c>
      <c r="J16" s="11">
        <f>I16</f>
        <v>160</v>
      </c>
      <c r="K16" s="11">
        <f>I16+[1]Clinker!ED36</f>
        <v>21972.86</v>
      </c>
      <c r="L16" s="98">
        <f>E16+F16-I16-[1]Clinker!N3-[1]Clinker!Z3-[1]Clinker!AS3-[1]Clinker!AX3-[1]Clinker!BC3-[1]Clinker!BW3-[1]Clinker!BH3-[1]Clinker!BM3-[1]Clinker!BR3-[1]Clinker!CV3-[1]Clinker!DP3</f>
        <v>3337.2569999999905</v>
      </c>
      <c r="M16" s="12"/>
      <c r="N16" s="12"/>
      <c r="O16" s="150"/>
      <c r="P16" s="13">
        <v>10</v>
      </c>
      <c r="Q16" s="43">
        <f>'[1]Raw mill moisture content'!S35</f>
        <v>9.9999999999999936E-2</v>
      </c>
      <c r="R16" s="14"/>
      <c r="S16" s="14"/>
    </row>
    <row r="17" spans="2:19" x14ac:dyDescent="0.3">
      <c r="B17" s="158"/>
      <c r="C17" s="159"/>
      <c r="D17" s="64" t="s">
        <v>22</v>
      </c>
      <c r="E17" s="98">
        <f>[1]Clinker!EF3</f>
        <v>3534.0199999999936</v>
      </c>
      <c r="F17" s="11">
        <f>[1]Clinker!EG3</f>
        <v>90.05</v>
      </c>
      <c r="G17" s="11">
        <f>F17</f>
        <v>90.05</v>
      </c>
      <c r="H17" s="11">
        <f>F17+[1]Clinker!EG36</f>
        <v>5994.3</v>
      </c>
      <c r="I17" s="11">
        <f>[1]Clinker!EH3</f>
        <v>104</v>
      </c>
      <c r="J17" s="11">
        <f>I17</f>
        <v>104</v>
      </c>
      <c r="K17" s="11">
        <f>I17+[1]Clinker!EH36</f>
        <v>12564</v>
      </c>
      <c r="L17" s="98">
        <f>E17+F17-[1]Clinker!AE3-[1]Clinker!AJ3-[1]Clinker!CL3-[1]Clinker!CQ3-[1]Clinker!CG3</f>
        <v>3546.0699999999938</v>
      </c>
      <c r="M17" s="12"/>
      <c r="N17" s="12"/>
      <c r="O17" s="150"/>
      <c r="P17" s="70"/>
      <c r="Q17" s="13"/>
      <c r="R17" s="14"/>
      <c r="S17" s="14"/>
    </row>
    <row r="18" spans="2:19" x14ac:dyDescent="0.3">
      <c r="B18" s="158"/>
      <c r="C18" s="125"/>
      <c r="D18" s="33" t="s">
        <v>23</v>
      </c>
      <c r="E18" s="97">
        <f>E16+E17</f>
        <v>6841.2369999999846</v>
      </c>
      <c r="F18" s="34">
        <f>F16+F17</f>
        <v>306.08999999999997</v>
      </c>
      <c r="G18" s="34">
        <f t="shared" ref="G18:L18" si="6">G16+G17</f>
        <v>306.08999999999997</v>
      </c>
      <c r="H18" s="34">
        <f t="shared" si="6"/>
        <v>12800.260000000002</v>
      </c>
      <c r="I18" s="34">
        <f>I16+I17</f>
        <v>264</v>
      </c>
      <c r="J18" s="34">
        <f>J16+J17</f>
        <v>264</v>
      </c>
      <c r="K18" s="34">
        <f t="shared" si="6"/>
        <v>34536.86</v>
      </c>
      <c r="L18" s="97">
        <f t="shared" si="6"/>
        <v>6883.3269999999848</v>
      </c>
      <c r="M18" s="35"/>
      <c r="N18" s="35"/>
      <c r="O18" s="150"/>
      <c r="P18" s="59"/>
      <c r="Q18" s="52"/>
      <c r="R18" s="14"/>
      <c r="S18" s="14"/>
    </row>
    <row r="19" spans="2:19" ht="14.4" customHeight="1" x14ac:dyDescent="0.3">
      <c r="B19" s="10"/>
      <c r="C19" s="160" t="s">
        <v>24</v>
      </c>
      <c r="D19" s="161"/>
      <c r="E19" s="161"/>
      <c r="F19" s="161"/>
      <c r="G19" s="161"/>
      <c r="H19" s="161"/>
      <c r="I19" s="161"/>
      <c r="J19" s="161"/>
      <c r="K19" s="161"/>
      <c r="L19" s="161"/>
      <c r="M19" s="161"/>
      <c r="N19" s="161"/>
      <c r="O19" s="161"/>
      <c r="P19" s="161"/>
      <c r="Q19" s="162"/>
      <c r="R19" s="5"/>
      <c r="S19" s="5"/>
    </row>
    <row r="20" spans="2:19" x14ac:dyDescent="0.3">
      <c r="B20" s="158">
        <v>7</v>
      </c>
      <c r="C20" s="126" t="s">
        <v>25</v>
      </c>
      <c r="D20" s="15" t="s">
        <v>26</v>
      </c>
      <c r="E20" s="96">
        <f>[1]Clinker!EJ3</f>
        <v>9946.2770610879707</v>
      </c>
      <c r="F20" s="63">
        <f>[1]Clinker!EK3</f>
        <v>890</v>
      </c>
      <c r="G20" s="63">
        <f>F20</f>
        <v>890</v>
      </c>
      <c r="H20" s="63">
        <f>F20+[1]Clinker!EK36</f>
        <v>127214</v>
      </c>
      <c r="I20" s="63">
        <f>[1]Clinker!EL3</f>
        <v>2414.5550001184802</v>
      </c>
      <c r="J20" s="63">
        <f>I20</f>
        <v>2414.5550001184802</v>
      </c>
      <c r="K20" s="63">
        <f>I20+[1]Clinker!EL36</f>
        <v>122073.81803865723</v>
      </c>
      <c r="L20" s="96">
        <f>E20+F20-I20-I22</f>
        <v>8421.7220609694905</v>
      </c>
      <c r="M20" s="164">
        <f>((I20+I21)/(J42+J48))*100</f>
        <v>81.572804058056761</v>
      </c>
      <c r="N20" s="166"/>
      <c r="O20" s="168"/>
      <c r="P20" s="170"/>
      <c r="Q20" s="171"/>
      <c r="R20" s="5"/>
      <c r="S20" s="47"/>
    </row>
    <row r="21" spans="2:19" ht="28.8" x14ac:dyDescent="0.3">
      <c r="B21" s="158"/>
      <c r="C21" s="126"/>
      <c r="D21" s="15" t="s">
        <v>27</v>
      </c>
      <c r="E21" s="96">
        <f>[1]Clinker!EO3</f>
        <v>89.258008000135931</v>
      </c>
      <c r="F21" s="63">
        <f>[1]Clinker!EP3</f>
        <v>0</v>
      </c>
      <c r="G21" s="63">
        <f>F21</f>
        <v>0</v>
      </c>
      <c r="H21" s="63">
        <f>F21+[1]Clinker!EP36</f>
        <v>13390.660000000003</v>
      </c>
      <c r="I21" s="63">
        <f>[1]Clinker!EQ3</f>
        <v>0</v>
      </c>
      <c r="J21" s="63">
        <f>I21</f>
        <v>0</v>
      </c>
      <c r="K21" s="63">
        <f>I21+[1]Clinker!EQ36</f>
        <v>22150.951000000001</v>
      </c>
      <c r="L21" s="96">
        <f>E21+F21-I21</f>
        <v>89.258008000135931</v>
      </c>
      <c r="M21" s="165"/>
      <c r="N21" s="166"/>
      <c r="O21" s="168"/>
      <c r="P21" s="170"/>
      <c r="Q21" s="171"/>
      <c r="R21" s="5"/>
      <c r="S21" s="47"/>
    </row>
    <row r="22" spans="2:19" ht="28.8" x14ac:dyDescent="0.3">
      <c r="B22" s="158"/>
      <c r="C22" s="163"/>
      <c r="D22" s="16" t="s">
        <v>28</v>
      </c>
      <c r="E22" s="98"/>
      <c r="F22" s="11">
        <f>[1]Clinker!EN3</f>
        <v>0</v>
      </c>
      <c r="G22" s="63">
        <f t="shared" ref="G22:G26" si="7">F22</f>
        <v>0</v>
      </c>
      <c r="H22" s="63">
        <v>0</v>
      </c>
      <c r="I22" s="11">
        <f>[1]Clinker!EN3</f>
        <v>0</v>
      </c>
      <c r="J22" s="63">
        <f t="shared" ref="J22:J26" si="8">I22</f>
        <v>0</v>
      </c>
      <c r="K22" s="63">
        <f>I22+[1]Clinker!EN36</f>
        <v>0</v>
      </c>
      <c r="L22" s="96"/>
      <c r="M22" s="70"/>
      <c r="N22" s="167"/>
      <c r="O22" s="168"/>
      <c r="P22" s="172"/>
      <c r="Q22" s="173"/>
      <c r="R22" s="5"/>
      <c r="S22" s="5"/>
    </row>
    <row r="23" spans="2:19" x14ac:dyDescent="0.3">
      <c r="B23" s="61">
        <v>8</v>
      </c>
      <c r="C23" s="142" t="s">
        <v>15</v>
      </c>
      <c r="D23" s="143"/>
      <c r="E23" s="98"/>
      <c r="F23" s="11">
        <f>[1]Cement!Q3</f>
        <v>0</v>
      </c>
      <c r="G23" s="63">
        <f t="shared" si="7"/>
        <v>0</v>
      </c>
      <c r="H23" s="63">
        <f>F23+[1]Cement!Q36</f>
        <v>0</v>
      </c>
      <c r="I23" s="11">
        <f>[1]Cement!S3</f>
        <v>441.65777781557711</v>
      </c>
      <c r="J23" s="63">
        <f t="shared" si="8"/>
        <v>441.65777781557711</v>
      </c>
      <c r="K23" s="63">
        <f>I23+[1]Cement!S36</f>
        <v>34158.255315048125</v>
      </c>
      <c r="L23" s="96"/>
      <c r="M23" s="70">
        <f>(I23/(J42+J48))*100</f>
        <v>14.920870872147876</v>
      </c>
      <c r="N23" s="70"/>
      <c r="O23" s="168"/>
      <c r="P23" s="17">
        <v>10</v>
      </c>
      <c r="Q23" s="174"/>
      <c r="R23" s="5"/>
      <c r="S23" s="5"/>
    </row>
    <row r="24" spans="2:19" x14ac:dyDescent="0.3">
      <c r="B24" s="61">
        <v>9</v>
      </c>
      <c r="C24" s="159" t="s">
        <v>29</v>
      </c>
      <c r="D24" s="159"/>
      <c r="E24" s="98">
        <f>[1]Cement!C3</f>
        <v>3193.2820013296368</v>
      </c>
      <c r="F24" s="11">
        <f>[1]Cement!D3</f>
        <v>218.56</v>
      </c>
      <c r="G24" s="63">
        <f t="shared" si="7"/>
        <v>218.56</v>
      </c>
      <c r="H24" s="63">
        <f>F24+[1]Cement!D36</f>
        <v>5434.64</v>
      </c>
      <c r="I24" s="11">
        <f>[1]Cement!F3</f>
        <v>155.73999983947368</v>
      </c>
      <c r="J24" s="63">
        <f t="shared" si="8"/>
        <v>155.73999983947368</v>
      </c>
      <c r="K24" s="63">
        <f>I24+[1]Cement!F36</f>
        <v>9623.9180576596191</v>
      </c>
      <c r="L24" s="96">
        <f t="shared" ref="L24:L26" si="9">E24+F24-I24</f>
        <v>3256.1020014901633</v>
      </c>
      <c r="M24" s="70">
        <f>(I24/(J42+J48))*100</f>
        <v>5.2614864810633</v>
      </c>
      <c r="N24" s="70"/>
      <c r="O24" s="168"/>
      <c r="P24" s="17">
        <v>5</v>
      </c>
      <c r="Q24" s="175"/>
      <c r="R24" s="5"/>
      <c r="S24" s="5"/>
    </row>
    <row r="25" spans="2:19" ht="15" customHeight="1" x14ac:dyDescent="0.3">
      <c r="B25" s="158"/>
      <c r="C25" s="125" t="s">
        <v>30</v>
      </c>
      <c r="D25" s="62" t="s">
        <v>31</v>
      </c>
      <c r="E25" s="98">
        <f>[1]Cement!H3</f>
        <v>0.23999999999796273</v>
      </c>
      <c r="F25" s="11">
        <f>[1]Cement!I3</f>
        <v>0</v>
      </c>
      <c r="G25" s="63">
        <f t="shared" si="7"/>
        <v>0</v>
      </c>
      <c r="H25" s="63">
        <f>F25+[1]Cement!I36</f>
        <v>0</v>
      </c>
      <c r="I25" s="11">
        <f>[1]Cement!J3</f>
        <v>0</v>
      </c>
      <c r="J25" s="63">
        <f t="shared" si="8"/>
        <v>0</v>
      </c>
      <c r="K25" s="63">
        <f>I25+[1]Cement!J36</f>
        <v>0</v>
      </c>
      <c r="L25" s="96">
        <f t="shared" si="9"/>
        <v>0.23999999999796273</v>
      </c>
      <c r="M25" s="176"/>
      <c r="N25" s="176"/>
      <c r="O25" s="168"/>
      <c r="P25" s="177"/>
      <c r="Q25" s="178"/>
      <c r="R25" s="14"/>
      <c r="S25" s="14"/>
    </row>
    <row r="26" spans="2:19" x14ac:dyDescent="0.3">
      <c r="B26" s="158"/>
      <c r="C26" s="163"/>
      <c r="D26" s="62" t="s">
        <v>32</v>
      </c>
      <c r="E26" s="98">
        <f>[1]Cement!L3</f>
        <v>0</v>
      </c>
      <c r="F26" s="11">
        <f>[1]Cement!M3</f>
        <v>0</v>
      </c>
      <c r="G26" s="63">
        <f t="shared" si="7"/>
        <v>0</v>
      </c>
      <c r="H26" s="63">
        <f>F26+[1]Cement!M36</f>
        <v>0</v>
      </c>
      <c r="I26" s="11">
        <f>[1]Cement!N3</f>
        <v>0</v>
      </c>
      <c r="J26" s="63">
        <f t="shared" si="8"/>
        <v>0</v>
      </c>
      <c r="K26" s="63">
        <f>I26+[1]Cement!N36</f>
        <v>0</v>
      </c>
      <c r="L26" s="96">
        <f t="shared" si="9"/>
        <v>0</v>
      </c>
      <c r="M26" s="176"/>
      <c r="N26" s="176"/>
      <c r="O26" s="168"/>
      <c r="P26" s="170"/>
      <c r="Q26" s="171"/>
      <c r="R26" s="14"/>
      <c r="S26" s="14"/>
    </row>
    <row r="27" spans="2:19" ht="14.4" customHeight="1" thickBot="1" x14ac:dyDescent="0.35">
      <c r="B27" s="46" t="s">
        <v>14</v>
      </c>
      <c r="C27" s="181" t="s">
        <v>33</v>
      </c>
      <c r="D27" s="181"/>
      <c r="E27" s="99">
        <f>E20+E21+E23+E24+E25+E26</f>
        <v>13229.057070417741</v>
      </c>
      <c r="F27" s="71">
        <f t="shared" ref="F27:L27" si="10">F20+F21+F23+F24+F25+F26</f>
        <v>1108.56</v>
      </c>
      <c r="G27" s="71">
        <f t="shared" si="10"/>
        <v>1108.56</v>
      </c>
      <c r="H27" s="71">
        <f t="shared" si="10"/>
        <v>146039.30000000002</v>
      </c>
      <c r="I27" s="71">
        <f t="shared" si="10"/>
        <v>3011.9527777735307</v>
      </c>
      <c r="J27" s="71">
        <f t="shared" si="10"/>
        <v>3011.9527777735307</v>
      </c>
      <c r="K27" s="71">
        <f t="shared" si="10"/>
        <v>188006.94241136499</v>
      </c>
      <c r="L27" s="99">
        <f t="shared" si="10"/>
        <v>11767.322070459788</v>
      </c>
      <c r="M27" s="182"/>
      <c r="N27" s="182"/>
      <c r="O27" s="169"/>
      <c r="P27" s="179"/>
      <c r="Q27" s="180"/>
      <c r="R27" s="14"/>
      <c r="S27" s="14"/>
    </row>
    <row r="28" spans="2:19" ht="14.4" customHeight="1" thickBot="1" x14ac:dyDescent="0.35">
      <c r="B28" s="119"/>
      <c r="C28" s="120"/>
      <c r="D28" s="120"/>
      <c r="E28" s="120"/>
      <c r="F28" s="120"/>
      <c r="G28" s="120"/>
      <c r="H28" s="120"/>
      <c r="I28" s="120"/>
      <c r="J28" s="120"/>
      <c r="K28" s="120"/>
      <c r="L28" s="120"/>
      <c r="M28" s="120"/>
      <c r="N28" s="120"/>
      <c r="O28" s="120"/>
      <c r="P28" s="120"/>
      <c r="Q28" s="121"/>
      <c r="R28" s="14"/>
      <c r="S28" s="14"/>
    </row>
    <row r="29" spans="2:19" x14ac:dyDescent="0.3">
      <c r="B29" s="183" t="s">
        <v>34</v>
      </c>
      <c r="C29" s="184"/>
      <c r="D29" s="184"/>
      <c r="E29" s="184"/>
      <c r="F29" s="184"/>
      <c r="G29" s="184"/>
      <c r="H29" s="184"/>
      <c r="I29" s="184"/>
      <c r="J29" s="184"/>
      <c r="K29" s="184"/>
      <c r="L29" s="184"/>
      <c r="M29" s="184"/>
      <c r="N29" s="184"/>
      <c r="O29" s="184"/>
      <c r="P29" s="184"/>
      <c r="Q29" s="185"/>
      <c r="R29" s="14"/>
      <c r="S29" s="14"/>
    </row>
    <row r="30" spans="2:19" s="9" customFormat="1" ht="13.95" customHeight="1" x14ac:dyDescent="0.3">
      <c r="B30" s="186" t="s">
        <v>3</v>
      </c>
      <c r="C30" s="188" t="s">
        <v>35</v>
      </c>
      <c r="D30" s="189"/>
      <c r="E30" s="74" t="s">
        <v>36</v>
      </c>
      <c r="F30" s="192" t="s">
        <v>37</v>
      </c>
      <c r="G30" s="193"/>
      <c r="H30" s="194"/>
      <c r="I30" s="195" t="s">
        <v>38</v>
      </c>
      <c r="J30" s="197" t="s">
        <v>39</v>
      </c>
      <c r="K30" s="198"/>
      <c r="L30" s="199"/>
      <c r="M30" s="197" t="s">
        <v>40</v>
      </c>
      <c r="N30" s="198"/>
      <c r="O30" s="199"/>
      <c r="P30" s="195" t="s">
        <v>9</v>
      </c>
      <c r="Q30" s="200" t="s">
        <v>41</v>
      </c>
      <c r="R30" s="6"/>
      <c r="S30" s="6"/>
    </row>
    <row r="31" spans="2:19" s="9" customFormat="1" ht="15" thickBot="1" x14ac:dyDescent="0.35">
      <c r="B31" s="187"/>
      <c r="C31" s="190"/>
      <c r="D31" s="191"/>
      <c r="E31" s="38" t="s">
        <v>42</v>
      </c>
      <c r="F31" s="39" t="s">
        <v>11</v>
      </c>
      <c r="G31" s="39" t="s">
        <v>12</v>
      </c>
      <c r="H31" s="39" t="s">
        <v>13</v>
      </c>
      <c r="I31" s="196"/>
      <c r="J31" s="39" t="s">
        <v>11</v>
      </c>
      <c r="K31" s="39" t="s">
        <v>12</v>
      </c>
      <c r="L31" s="39" t="s">
        <v>13</v>
      </c>
      <c r="M31" s="39" t="s">
        <v>11</v>
      </c>
      <c r="N31" s="39" t="s">
        <v>12</v>
      </c>
      <c r="O31" s="39" t="s">
        <v>13</v>
      </c>
      <c r="P31" s="196"/>
      <c r="Q31" s="201"/>
      <c r="R31" s="6"/>
      <c r="S31" s="6"/>
    </row>
    <row r="32" spans="2:19" x14ac:dyDescent="0.3">
      <c r="B32" s="18">
        <v>1</v>
      </c>
      <c r="C32" s="104" t="s">
        <v>43</v>
      </c>
      <c r="D32" s="105"/>
      <c r="E32" s="19">
        <v>250</v>
      </c>
      <c r="F32" s="60">
        <f>[1]Production2!C3</f>
        <v>18.02</v>
      </c>
      <c r="G32" s="60">
        <f>F32</f>
        <v>18.02</v>
      </c>
      <c r="H32" s="60">
        <f>F32+[1]Production2!C36</f>
        <v>1538.7000000000003</v>
      </c>
      <c r="I32" s="96">
        <f>'[1]Mines (2)'!C3+'[1]Mines (2)'!H3+'[1]Mines (2)'!V3+'[1]Mines (2)'!Z3+'[1]Mines (2)'!AD3+[1]Cement!P3+[1]Cement!U3+[1]Cement!Y3</f>
        <v>24697.4941599513</v>
      </c>
      <c r="J32" s="63">
        <f>F9+F23</f>
        <v>4123.3</v>
      </c>
      <c r="K32" s="63">
        <f>J32</f>
        <v>4123.3</v>
      </c>
      <c r="L32" s="63">
        <f>J32+[1]Production2!D36</f>
        <v>246512.52000000002</v>
      </c>
      <c r="M32" s="91">
        <f>I9+I23</f>
        <v>1423.657777815577</v>
      </c>
      <c r="N32" s="63">
        <f>M32</f>
        <v>1423.657777815577</v>
      </c>
      <c r="O32" s="63">
        <f>M32+[1]Production2!E36+[1]Cement!S36</f>
        <v>242220.25531504815</v>
      </c>
      <c r="P32" s="96">
        <f>I32+J32-M32</f>
        <v>27397.136382135723</v>
      </c>
      <c r="Q32" s="20">
        <f>J32/F32</f>
        <v>228.81798002219756</v>
      </c>
      <c r="R32" s="21"/>
      <c r="S32" s="21"/>
    </row>
    <row r="33" spans="2:19" x14ac:dyDescent="0.3">
      <c r="B33" s="45">
        <v>2</v>
      </c>
      <c r="C33" s="102" t="s">
        <v>78</v>
      </c>
      <c r="D33" s="103"/>
      <c r="E33" s="22">
        <v>120</v>
      </c>
      <c r="F33" s="70">
        <f>[1]Production2!G3</f>
        <v>7</v>
      </c>
      <c r="G33" s="60">
        <f t="shared" ref="G33:G40" si="11">F33</f>
        <v>7</v>
      </c>
      <c r="H33" s="60">
        <f>F33+[1]Production2!G36</f>
        <v>1597.3</v>
      </c>
      <c r="I33" s="202">
        <f>[1]Production2!H3</f>
        <v>1290.9000168375183</v>
      </c>
      <c r="J33" s="70">
        <f>[1]Production2!N3</f>
        <v>819</v>
      </c>
      <c r="K33" s="63">
        <f t="shared" ref="K33:K39" si="12">J33</f>
        <v>819</v>
      </c>
      <c r="L33" s="63">
        <f>J33+[1]Production2!N36</f>
        <v>186993.55</v>
      </c>
      <c r="M33" s="204">
        <f>J36*1.55</f>
        <v>1379.5</v>
      </c>
      <c r="N33" s="206">
        <f t="shared" ref="N33:N40" si="13">M33</f>
        <v>1379.5</v>
      </c>
      <c r="O33" s="206">
        <f>M33+[1]Production2!K36</f>
        <v>197181.7</v>
      </c>
      <c r="P33" s="202">
        <f>I33+J33+J34-M33</f>
        <v>850.61001683751829</v>
      </c>
      <c r="Q33" s="23">
        <f t="shared" ref="Q33:Q48" si="14">J33/F33</f>
        <v>117</v>
      </c>
      <c r="R33" s="21"/>
      <c r="S33" s="21"/>
    </row>
    <row r="34" spans="2:19" x14ac:dyDescent="0.3">
      <c r="B34" s="45"/>
      <c r="C34" s="102" t="s">
        <v>72</v>
      </c>
      <c r="D34" s="103"/>
      <c r="E34" s="22">
        <v>20</v>
      </c>
      <c r="F34" s="70">
        <f>[1]Production2!P3</f>
        <v>15.12</v>
      </c>
      <c r="G34" s="60">
        <f t="shared" si="11"/>
        <v>15.12</v>
      </c>
      <c r="H34" s="60">
        <f>F34+[1]Production2!P36</f>
        <v>1013.7699999999999</v>
      </c>
      <c r="I34" s="203"/>
      <c r="J34" s="70">
        <f>[1]Production2!Q3</f>
        <v>120.21</v>
      </c>
      <c r="K34" s="63">
        <f t="shared" si="12"/>
        <v>120.21</v>
      </c>
      <c r="L34" s="63">
        <f>J34+[1]Production2!Q36</f>
        <v>9045.0299999999988</v>
      </c>
      <c r="M34" s="205"/>
      <c r="N34" s="130"/>
      <c r="O34" s="130"/>
      <c r="P34" s="203"/>
      <c r="Q34" s="23">
        <f t="shared" si="14"/>
        <v>7.9503968253968251</v>
      </c>
      <c r="R34" s="21"/>
      <c r="S34" s="21"/>
    </row>
    <row r="35" spans="2:19" x14ac:dyDescent="0.3">
      <c r="B35" s="45">
        <v>3</v>
      </c>
      <c r="C35" s="102" t="s">
        <v>44</v>
      </c>
      <c r="D35" s="103"/>
      <c r="E35" s="22">
        <v>10</v>
      </c>
      <c r="F35" s="70">
        <f>[1]Production2!S3</f>
        <v>10.55</v>
      </c>
      <c r="G35" s="60">
        <f t="shared" si="11"/>
        <v>10.55</v>
      </c>
      <c r="H35" s="60">
        <f>F35+[1]Production2!S36</f>
        <v>1438.72</v>
      </c>
      <c r="I35" s="98">
        <f>[1]Production2!T3</f>
        <v>51.109999999999786</v>
      </c>
      <c r="J35" s="11">
        <f>[1]Production2!U3</f>
        <v>144</v>
      </c>
      <c r="K35" s="63">
        <f t="shared" si="12"/>
        <v>144</v>
      </c>
      <c r="L35" s="63">
        <f>J35+[1]Production2!U36</f>
        <v>19775.599999999999</v>
      </c>
      <c r="M35" s="11">
        <f>[1]Production2!V3</f>
        <v>160</v>
      </c>
      <c r="N35" s="63">
        <f t="shared" si="13"/>
        <v>160</v>
      </c>
      <c r="O35" s="63">
        <f>M35+[1]Production2!V36</f>
        <v>19756</v>
      </c>
      <c r="P35" s="96">
        <f>I35+J35-M35</f>
        <v>35.109999999999786</v>
      </c>
      <c r="Q35" s="23">
        <f t="shared" si="14"/>
        <v>13.649289099526065</v>
      </c>
      <c r="R35" s="21"/>
      <c r="S35" s="21"/>
    </row>
    <row r="36" spans="2:19" x14ac:dyDescent="0.3">
      <c r="B36" s="45">
        <v>4</v>
      </c>
      <c r="C36" s="102" t="s">
        <v>21</v>
      </c>
      <c r="D36" s="103"/>
      <c r="E36" s="22">
        <v>50</v>
      </c>
      <c r="F36" s="70">
        <f>[1]Production2!Y3</f>
        <v>13.63</v>
      </c>
      <c r="G36" s="60">
        <f t="shared" si="11"/>
        <v>13.63</v>
      </c>
      <c r="H36" s="60">
        <f>F36+[1]Production2!Y36</f>
        <v>1990.35</v>
      </c>
      <c r="I36" s="98">
        <f>[1]Clinker!EJ3</f>
        <v>9946.2770610879707</v>
      </c>
      <c r="J36" s="11">
        <f>[1]Clinker!EK3</f>
        <v>890</v>
      </c>
      <c r="K36" s="63">
        <f t="shared" si="12"/>
        <v>890</v>
      </c>
      <c r="L36" s="63">
        <f>J36+[1]Clinker!EK36</f>
        <v>127214</v>
      </c>
      <c r="M36" s="90">
        <f>I20</f>
        <v>2414.5550001184802</v>
      </c>
      <c r="N36" s="63">
        <f t="shared" si="13"/>
        <v>2414.5550001184802</v>
      </c>
      <c r="O36" s="63">
        <f>M36+[1]Clinker!EL36</f>
        <v>122073.81803865723</v>
      </c>
      <c r="P36" s="96">
        <f>I36+J36-M36-I22</f>
        <v>8421.7220609694905</v>
      </c>
      <c r="Q36" s="23">
        <f t="shared" si="14"/>
        <v>65.297138664710189</v>
      </c>
      <c r="R36" s="21"/>
      <c r="S36" s="21"/>
    </row>
    <row r="37" spans="2:19" x14ac:dyDescent="0.3">
      <c r="B37" s="122">
        <v>5</v>
      </c>
      <c r="C37" s="125" t="s">
        <v>82</v>
      </c>
      <c r="D37" s="64" t="s">
        <v>45</v>
      </c>
      <c r="E37" s="55">
        <v>90</v>
      </c>
      <c r="F37" s="70">
        <f>[1]Production2!AE3</f>
        <v>0.5</v>
      </c>
      <c r="G37" s="60">
        <f t="shared" si="11"/>
        <v>0.5</v>
      </c>
      <c r="H37" s="60">
        <f>F37+[1]Production2!AE36</f>
        <v>68.400000000000006</v>
      </c>
      <c r="I37" s="98">
        <f>[1]Production2!BJ3</f>
        <v>78.049999999999926</v>
      </c>
      <c r="J37" s="11">
        <f>[1]Production2!AF3</f>
        <v>35</v>
      </c>
      <c r="K37" s="63">
        <f t="shared" si="12"/>
        <v>35</v>
      </c>
      <c r="L37" s="60">
        <f>J37+[1]Production2!AF36</f>
        <v>4601</v>
      </c>
      <c r="M37" s="11">
        <f>[1]Production2!BL3</f>
        <v>60</v>
      </c>
      <c r="N37" s="63">
        <f>M37</f>
        <v>60</v>
      </c>
      <c r="O37" s="60">
        <f>M37+[1]Production2!BL36</f>
        <v>9148</v>
      </c>
      <c r="P37" s="96">
        <f>I37+J37+J43-M37-F61</f>
        <v>53.049999999999926</v>
      </c>
      <c r="Q37" s="23">
        <f t="shared" si="14"/>
        <v>70</v>
      </c>
      <c r="R37" s="21"/>
      <c r="S37" s="21"/>
    </row>
    <row r="38" spans="2:19" x14ac:dyDescent="0.3">
      <c r="B38" s="123"/>
      <c r="C38" s="126"/>
      <c r="D38" s="64" t="s">
        <v>46</v>
      </c>
      <c r="E38" s="55">
        <v>78</v>
      </c>
      <c r="F38" s="70">
        <f>[1]Production2!AB3</f>
        <v>21</v>
      </c>
      <c r="G38" s="60">
        <f t="shared" si="11"/>
        <v>21</v>
      </c>
      <c r="H38" s="60">
        <f>F38+[1]Production2!AB36</f>
        <v>1080.0999999999999</v>
      </c>
      <c r="I38" s="98">
        <f>[1]Production2!BF3</f>
        <v>20.337999999977455</v>
      </c>
      <c r="J38" s="11">
        <f>[1]Production2!AC3</f>
        <v>1375</v>
      </c>
      <c r="K38" s="63">
        <f t="shared" si="12"/>
        <v>1375</v>
      </c>
      <c r="L38" s="63">
        <f>J38+[1]Production2!AC36</f>
        <v>69442</v>
      </c>
      <c r="M38" s="11">
        <f>[1]Production2!BH3</f>
        <v>2385.3200000000002</v>
      </c>
      <c r="N38" s="63">
        <f t="shared" si="13"/>
        <v>2385.3200000000002</v>
      </c>
      <c r="O38" s="63">
        <f>M38+[1]Production2!BH36</f>
        <v>149311.53999999998</v>
      </c>
      <c r="P38" s="96">
        <f>I38+J38+J44-M38-F59</f>
        <v>144.01799999997729</v>
      </c>
      <c r="Q38" s="23">
        <f t="shared" si="14"/>
        <v>65.476190476190482</v>
      </c>
      <c r="R38" s="21"/>
      <c r="S38" s="21"/>
    </row>
    <row r="39" spans="2:19" x14ac:dyDescent="0.3">
      <c r="B39" s="123"/>
      <c r="C39" s="126"/>
      <c r="D39" s="64" t="s">
        <v>47</v>
      </c>
      <c r="E39" s="55">
        <v>78</v>
      </c>
      <c r="F39" s="70">
        <f>[1]Production2!AH3</f>
        <v>0</v>
      </c>
      <c r="G39" s="60">
        <f t="shared" si="11"/>
        <v>0</v>
      </c>
      <c r="H39" s="60">
        <f>F39+[1]Production2!AH36</f>
        <v>0</v>
      </c>
      <c r="I39" s="98">
        <f>[1]Production2!BN3</f>
        <v>9.0000000000849845E-2</v>
      </c>
      <c r="J39" s="11">
        <f>[1]Production2!AI3</f>
        <v>0</v>
      </c>
      <c r="K39" s="63">
        <f t="shared" si="12"/>
        <v>0</v>
      </c>
      <c r="L39" s="63">
        <f>J39+[1]Production2!AI36</f>
        <v>0</v>
      </c>
      <c r="M39" s="11">
        <f>[1]Production2!BP3</f>
        <v>0</v>
      </c>
      <c r="N39" s="63">
        <f t="shared" si="13"/>
        <v>0</v>
      </c>
      <c r="O39" s="63">
        <f>M39+[1]Production2!BP36</f>
        <v>-0.15</v>
      </c>
      <c r="P39" s="96">
        <f>I39+J39+J45-M39-F60</f>
        <v>9.0000000000849845E-2</v>
      </c>
      <c r="Q39" s="23" t="e">
        <f t="shared" si="14"/>
        <v>#DIV/0!</v>
      </c>
      <c r="R39" s="21"/>
      <c r="S39" s="21"/>
    </row>
    <row r="40" spans="2:19" x14ac:dyDescent="0.3">
      <c r="B40" s="123"/>
      <c r="C40" s="126"/>
      <c r="D40" s="40" t="s">
        <v>48</v>
      </c>
      <c r="E40" s="55">
        <v>65</v>
      </c>
      <c r="F40" s="59">
        <f>[1]Production2!AK3</f>
        <v>0</v>
      </c>
      <c r="G40" s="60">
        <f t="shared" si="11"/>
        <v>0</v>
      </c>
      <c r="H40" s="60">
        <f>F40+[1]Production2!AK36</f>
        <v>8</v>
      </c>
      <c r="I40" s="97">
        <f>[1]Production2!BR3</f>
        <v>22.350000000000023</v>
      </c>
      <c r="J40" s="72">
        <v>0</v>
      </c>
      <c r="K40" s="63">
        <f>J40</f>
        <v>0</v>
      </c>
      <c r="L40" s="63">
        <f>J40+[1]Production2!AL36</f>
        <v>485</v>
      </c>
      <c r="M40" s="72">
        <f>[1]Production2!BT3</f>
        <v>150</v>
      </c>
      <c r="N40" s="63">
        <f t="shared" si="13"/>
        <v>150</v>
      </c>
      <c r="O40" s="63">
        <f>M40+[1]Production2!BT36</f>
        <v>5323.5</v>
      </c>
      <c r="P40" s="96">
        <f>I40+J40+J46-M40-F62</f>
        <v>47.350000000000023</v>
      </c>
      <c r="Q40" s="23" t="e">
        <f t="shared" si="14"/>
        <v>#DIV/0!</v>
      </c>
      <c r="R40" s="21"/>
      <c r="S40" s="21"/>
    </row>
    <row r="41" spans="2:19" x14ac:dyDescent="0.3">
      <c r="B41" s="123"/>
      <c r="C41" s="126"/>
      <c r="D41" s="64" t="s">
        <v>73</v>
      </c>
      <c r="E41" s="55"/>
      <c r="F41" s="59">
        <f>[1]Production2!AN3</f>
        <v>2.5</v>
      </c>
      <c r="G41" s="60">
        <f>F41</f>
        <v>2.5</v>
      </c>
      <c r="H41" s="60">
        <f>F41+[1]Production2!AN36</f>
        <v>194.17</v>
      </c>
      <c r="I41" s="97">
        <f>[1]Production2!BV3</f>
        <v>126.32000000000005</v>
      </c>
      <c r="J41" s="11">
        <f>[1]Production2!AO3</f>
        <v>175</v>
      </c>
      <c r="K41" s="63">
        <f>J41</f>
        <v>175</v>
      </c>
      <c r="L41" s="63">
        <f>J41+[1]Production2!AO36</f>
        <v>12837</v>
      </c>
      <c r="M41" s="11">
        <f>[1]Production2!BX3</f>
        <v>353.78</v>
      </c>
      <c r="N41" s="63">
        <f>M41</f>
        <v>353.78</v>
      </c>
      <c r="O41" s="63">
        <f>M41+[1]Production2!BX36</f>
        <v>23249.019999999997</v>
      </c>
      <c r="P41" s="96">
        <f>I41+J41+J47-M41</f>
        <v>13.540000000000077</v>
      </c>
      <c r="Q41" s="23">
        <f t="shared" si="14"/>
        <v>70</v>
      </c>
      <c r="R41" s="21"/>
      <c r="S41" s="21"/>
    </row>
    <row r="42" spans="2:19" ht="15" thickBot="1" x14ac:dyDescent="0.35">
      <c r="B42" s="124"/>
      <c r="C42" s="127"/>
      <c r="D42" s="30" t="s">
        <v>23</v>
      </c>
      <c r="E42" s="31">
        <v>70</v>
      </c>
      <c r="F42" s="37">
        <f>F37+F38+F39+F40+F41</f>
        <v>24</v>
      </c>
      <c r="G42" s="37">
        <f t="shared" ref="G42:I42" si="15">G37+G38+G39+G40+G41</f>
        <v>24</v>
      </c>
      <c r="H42" s="37">
        <f t="shared" si="15"/>
        <v>1350.67</v>
      </c>
      <c r="I42" s="71">
        <f t="shared" si="15"/>
        <v>247.14799999997831</v>
      </c>
      <c r="J42" s="71">
        <f>J37+J38+J39+J40+J41</f>
        <v>1585</v>
      </c>
      <c r="K42" s="71">
        <f t="shared" ref="K42:M42" si="16">K37+K38+K39+K40+K41</f>
        <v>1585</v>
      </c>
      <c r="L42" s="71">
        <f>L37+L38+L39+L40+L41</f>
        <v>87365</v>
      </c>
      <c r="M42" s="71">
        <f t="shared" si="16"/>
        <v>2949.1000000000004</v>
      </c>
      <c r="N42" s="71">
        <f>N37+N38+N39+N40+N41</f>
        <v>2949.1000000000004</v>
      </c>
      <c r="O42" s="71">
        <f>O37+O38+O39+O40+O41</f>
        <v>187031.90999999997</v>
      </c>
      <c r="P42" s="71">
        <f>P37+P38+P39+P40+P41</f>
        <v>258.04799999997817</v>
      </c>
      <c r="Q42" s="32">
        <f t="shared" si="14"/>
        <v>66.041666666666671</v>
      </c>
      <c r="R42" s="21"/>
      <c r="S42" s="21"/>
    </row>
    <row r="43" spans="2:19" x14ac:dyDescent="0.3">
      <c r="B43" s="122">
        <v>5</v>
      </c>
      <c r="C43" s="125" t="s">
        <v>49</v>
      </c>
      <c r="D43" s="64" t="s">
        <v>45</v>
      </c>
      <c r="E43" s="55">
        <v>75</v>
      </c>
      <c r="F43" s="70">
        <f>[1]Production2!AT3</f>
        <v>0</v>
      </c>
      <c r="G43" s="60">
        <f>F43</f>
        <v>0</v>
      </c>
      <c r="H43" s="60">
        <f>F43+[1]Production2!AT36</f>
        <v>71.929999999999993</v>
      </c>
      <c r="I43" s="128"/>
      <c r="J43" s="11">
        <f>[1]Production2!AU3</f>
        <v>0</v>
      </c>
      <c r="K43" s="63">
        <f>J43</f>
        <v>0</v>
      </c>
      <c r="L43" s="60">
        <f>J43+[1]Production2!AU36</f>
        <v>4368</v>
      </c>
      <c r="M43" s="110"/>
      <c r="N43" s="111"/>
      <c r="O43" s="111"/>
      <c r="P43" s="112"/>
      <c r="Q43" s="23" t="e">
        <f t="shared" si="14"/>
        <v>#DIV/0!</v>
      </c>
      <c r="R43" s="21"/>
      <c r="S43" s="21"/>
    </row>
    <row r="44" spans="2:19" x14ac:dyDescent="0.3">
      <c r="B44" s="123"/>
      <c r="C44" s="126"/>
      <c r="D44" s="64" t="s">
        <v>46</v>
      </c>
      <c r="E44" s="55">
        <v>70</v>
      </c>
      <c r="F44" s="70">
        <f>[1]Production2!AQ3</f>
        <v>18.3</v>
      </c>
      <c r="G44" s="60">
        <f t="shared" ref="G44:G46" si="17">F44</f>
        <v>18.3</v>
      </c>
      <c r="H44" s="60">
        <f>F44+[1]Production2!AQ36</f>
        <v>1340.8100000000002</v>
      </c>
      <c r="I44" s="129"/>
      <c r="J44" s="11">
        <f>[1]Production2!AR3</f>
        <v>1134</v>
      </c>
      <c r="K44" s="63">
        <f t="shared" ref="K44:K46" si="18">J44</f>
        <v>1134</v>
      </c>
      <c r="L44" s="63">
        <f>J44+[1]Production2!AR36</f>
        <v>78745</v>
      </c>
      <c r="M44" s="113"/>
      <c r="N44" s="114"/>
      <c r="O44" s="114"/>
      <c r="P44" s="115"/>
      <c r="Q44" s="23">
        <f t="shared" si="14"/>
        <v>61.967213114754095</v>
      </c>
      <c r="R44" s="21"/>
      <c r="S44" s="21"/>
    </row>
    <row r="45" spans="2:19" x14ac:dyDescent="0.3">
      <c r="B45" s="123"/>
      <c r="C45" s="126"/>
      <c r="D45" s="64" t="s">
        <v>47</v>
      </c>
      <c r="E45" s="55">
        <v>70</v>
      </c>
      <c r="F45" s="70">
        <f>[1]Production2!AW3</f>
        <v>0</v>
      </c>
      <c r="G45" s="60">
        <f t="shared" si="17"/>
        <v>0</v>
      </c>
      <c r="H45" s="60">
        <f>F45+[1]Production2!AW36</f>
        <v>0</v>
      </c>
      <c r="I45" s="129"/>
      <c r="J45" s="11">
        <f>[1]Production2!AX3</f>
        <v>0</v>
      </c>
      <c r="K45" s="63">
        <f t="shared" si="18"/>
        <v>0</v>
      </c>
      <c r="L45" s="63">
        <f>J45+[1]Production2!AX36</f>
        <v>0</v>
      </c>
      <c r="M45" s="113"/>
      <c r="N45" s="114"/>
      <c r="O45" s="114"/>
      <c r="P45" s="115"/>
      <c r="Q45" s="23" t="e">
        <f t="shared" si="14"/>
        <v>#DIV/0!</v>
      </c>
      <c r="R45" s="21"/>
      <c r="S45" s="21"/>
    </row>
    <row r="46" spans="2:19" x14ac:dyDescent="0.3">
      <c r="B46" s="123"/>
      <c r="C46" s="126"/>
      <c r="D46" s="40" t="s">
        <v>48</v>
      </c>
      <c r="E46" s="55">
        <v>60</v>
      </c>
      <c r="F46" s="59">
        <f>[1]Production2!AZ3</f>
        <v>3</v>
      </c>
      <c r="G46" s="60">
        <f t="shared" si="17"/>
        <v>3</v>
      </c>
      <c r="H46" s="60">
        <f>F46+[1]Production2!AZ36</f>
        <v>83.65</v>
      </c>
      <c r="I46" s="129"/>
      <c r="J46" s="72">
        <f>[1]Production2!BA3</f>
        <v>175</v>
      </c>
      <c r="K46" s="63">
        <f t="shared" si="18"/>
        <v>175</v>
      </c>
      <c r="L46" s="63">
        <f>J46+[1]Production2!BA36</f>
        <v>4673</v>
      </c>
      <c r="M46" s="113"/>
      <c r="N46" s="114"/>
      <c r="O46" s="114"/>
      <c r="P46" s="115"/>
      <c r="Q46" s="23">
        <f t="shared" si="14"/>
        <v>58.333333333333336</v>
      </c>
      <c r="R46" s="21"/>
      <c r="S46" s="21"/>
    </row>
    <row r="47" spans="2:19" x14ac:dyDescent="0.3">
      <c r="B47" s="123"/>
      <c r="C47" s="126"/>
      <c r="D47" s="64" t="s">
        <v>73</v>
      </c>
      <c r="E47" s="55"/>
      <c r="F47" s="59">
        <f>[1]Production2!BC3</f>
        <v>1</v>
      </c>
      <c r="G47" s="60">
        <f>F47</f>
        <v>1</v>
      </c>
      <c r="H47" s="60">
        <f>F47+[1]Production2!BC36</f>
        <v>165.37</v>
      </c>
      <c r="I47" s="130"/>
      <c r="J47" s="72">
        <f>[1]Production2!BD3</f>
        <v>66</v>
      </c>
      <c r="K47" s="63">
        <f>J47</f>
        <v>66</v>
      </c>
      <c r="L47" s="63">
        <f>J47+[1]Production2!BD36</f>
        <v>10056</v>
      </c>
      <c r="M47" s="116"/>
      <c r="N47" s="117"/>
      <c r="O47" s="117"/>
      <c r="P47" s="118"/>
      <c r="Q47" s="23">
        <f t="shared" si="14"/>
        <v>66</v>
      </c>
      <c r="R47" s="21"/>
      <c r="S47" s="21"/>
    </row>
    <row r="48" spans="2:19" ht="15" thickBot="1" x14ac:dyDescent="0.35">
      <c r="B48" s="124"/>
      <c r="C48" s="127"/>
      <c r="D48" s="30" t="s">
        <v>23</v>
      </c>
      <c r="E48" s="31">
        <v>60</v>
      </c>
      <c r="F48" s="37">
        <f>F43+F44+F45+F46+F47</f>
        <v>22.3</v>
      </c>
      <c r="G48" s="37">
        <f t="shared" ref="G48:H48" si="19">G43+G44+G45+G46+G47</f>
        <v>22.3</v>
      </c>
      <c r="H48" s="37">
        <f t="shared" si="19"/>
        <v>1661.7600000000002</v>
      </c>
      <c r="I48" s="37">
        <f t="shared" ref="I48" si="20">I43+I44+I45+I46</f>
        <v>0</v>
      </c>
      <c r="J48" s="71">
        <f>J43+J44+J45+J46+J47</f>
        <v>1375</v>
      </c>
      <c r="K48" s="71">
        <f>K43+K44+K45+K46+K47</f>
        <v>1375</v>
      </c>
      <c r="L48" s="71">
        <f>L43+L44+L45+L46+L47</f>
        <v>97842</v>
      </c>
      <c r="M48" s="71"/>
      <c r="N48" s="71"/>
      <c r="O48" s="71"/>
      <c r="P48" s="71"/>
      <c r="Q48" s="32">
        <f t="shared" si="14"/>
        <v>61.659192825112108</v>
      </c>
      <c r="R48" s="21"/>
      <c r="S48" s="21"/>
    </row>
    <row r="49" spans="2:19" ht="15" thickBot="1" x14ac:dyDescent="0.35">
      <c r="B49" s="119"/>
      <c r="C49" s="120"/>
      <c r="D49" s="120"/>
      <c r="E49" s="120"/>
      <c r="F49" s="120"/>
      <c r="G49" s="120"/>
      <c r="H49" s="120"/>
      <c r="I49" s="120"/>
      <c r="J49" s="120"/>
      <c r="K49" s="120"/>
      <c r="L49" s="120"/>
      <c r="M49" s="120"/>
      <c r="N49" s="120"/>
      <c r="O49" s="120"/>
      <c r="P49" s="120"/>
      <c r="Q49" s="121"/>
      <c r="R49" s="21"/>
      <c r="S49" s="21"/>
    </row>
    <row r="50" spans="2:19" s="9" customFormat="1" ht="15" customHeight="1" x14ac:dyDescent="0.3">
      <c r="B50" s="107" t="s">
        <v>50</v>
      </c>
      <c r="C50" s="108"/>
      <c r="D50" s="108"/>
      <c r="E50" s="108"/>
      <c r="F50" s="108"/>
      <c r="G50" s="108"/>
      <c r="H50" s="108"/>
      <c r="I50" s="108"/>
      <c r="J50" s="108"/>
      <c r="K50" s="108"/>
      <c r="L50" s="108"/>
      <c r="M50" s="109"/>
      <c r="N50" s="183" t="s">
        <v>51</v>
      </c>
      <c r="O50" s="184"/>
      <c r="P50" s="184"/>
      <c r="Q50" s="185"/>
      <c r="R50" s="24"/>
      <c r="S50" s="24"/>
    </row>
    <row r="51" spans="2:19" s="9" customFormat="1" ht="15.6" customHeight="1" thickBot="1" x14ac:dyDescent="0.35">
      <c r="B51" s="79" t="s">
        <v>3</v>
      </c>
      <c r="C51" s="106" t="s">
        <v>4</v>
      </c>
      <c r="D51" s="106"/>
      <c r="E51" s="67" t="s">
        <v>52</v>
      </c>
      <c r="F51" s="67" t="s">
        <v>83</v>
      </c>
      <c r="G51" s="67" t="s">
        <v>53</v>
      </c>
      <c r="H51" s="67" t="s">
        <v>44</v>
      </c>
      <c r="I51" s="67" t="s">
        <v>54</v>
      </c>
      <c r="J51" s="67" t="s">
        <v>55</v>
      </c>
      <c r="K51" s="67" t="s">
        <v>56</v>
      </c>
      <c r="L51" s="80" t="s">
        <v>57</v>
      </c>
      <c r="M51" s="65" t="s">
        <v>23</v>
      </c>
      <c r="N51" s="81" t="s">
        <v>3</v>
      </c>
      <c r="O51" s="106" t="s">
        <v>4</v>
      </c>
      <c r="P51" s="106"/>
      <c r="Q51" s="54"/>
    </row>
    <row r="52" spans="2:19" ht="14.4" customHeight="1" x14ac:dyDescent="0.3">
      <c r="B52" s="18">
        <v>1</v>
      </c>
      <c r="C52" s="213" t="s">
        <v>58</v>
      </c>
      <c r="D52" s="213"/>
      <c r="E52" s="92">
        <f>E55/J32</f>
        <v>0.37833773918948416</v>
      </c>
      <c r="F52" s="92">
        <f>F55/(J33+J34)</f>
        <v>29.783541486994388</v>
      </c>
      <c r="G52" s="92">
        <f>G55/J36</f>
        <v>42.666292134831458</v>
      </c>
      <c r="H52" s="92">
        <f>H55/J35</f>
        <v>61.319444444444443</v>
      </c>
      <c r="I52" s="92"/>
      <c r="J52" s="92"/>
      <c r="K52" s="92"/>
      <c r="L52" s="92"/>
      <c r="M52" s="93"/>
      <c r="N52" s="25">
        <v>1</v>
      </c>
      <c r="O52" s="212" t="s">
        <v>59</v>
      </c>
      <c r="P52" s="212"/>
      <c r="Q52" s="100">
        <f>(M35/J36)*100</f>
        <v>17.977528089887642</v>
      </c>
    </row>
    <row r="53" spans="2:19" ht="14.4" customHeight="1" x14ac:dyDescent="0.3">
      <c r="B53" s="45">
        <v>2</v>
      </c>
      <c r="C53" s="144" t="s">
        <v>60</v>
      </c>
      <c r="D53" s="144"/>
      <c r="E53" s="94">
        <f>E52*(I9/J36)</f>
        <v>0.41744680885850943</v>
      </c>
      <c r="F53" s="94">
        <f>F52*1.55</f>
        <v>46.164489304841304</v>
      </c>
      <c r="G53" s="94">
        <f>G52</f>
        <v>42.666292134831458</v>
      </c>
      <c r="H53" s="94">
        <f>H52*Q52/100</f>
        <v>11.023720349563046</v>
      </c>
      <c r="I53" s="94"/>
      <c r="J53" s="94"/>
      <c r="K53" s="94"/>
      <c r="L53" s="94"/>
      <c r="M53" s="95">
        <f>SUM(E53:H53)</f>
        <v>100.27194859809431</v>
      </c>
      <c r="N53" s="82">
        <v>2</v>
      </c>
      <c r="O53" s="144" t="s">
        <v>61</v>
      </c>
      <c r="P53" s="144"/>
      <c r="Q53" s="27">
        <v>5418</v>
      </c>
    </row>
    <row r="54" spans="2:19" ht="14.4" customHeight="1" x14ac:dyDescent="0.3">
      <c r="B54" s="45">
        <v>3</v>
      </c>
      <c r="C54" s="211" t="s">
        <v>62</v>
      </c>
      <c r="D54" s="211"/>
      <c r="E54" s="94">
        <f>E53*M20/100</f>
        <v>0.34052306743676264</v>
      </c>
      <c r="F54" s="94">
        <f>F53*M20/100</f>
        <v>37.657668405040766</v>
      </c>
      <c r="G54" s="94">
        <f>G53*M20/100</f>
        <v>34.804090881984145</v>
      </c>
      <c r="H54" s="94">
        <f>H53*M20/100</f>
        <v>8.992357800657194</v>
      </c>
      <c r="I54" s="94">
        <f>I55/(J42+J48)</f>
        <v>37.704054054054055</v>
      </c>
      <c r="J54" s="92">
        <f>J55/(J42+J48)</f>
        <v>0.59527027027027024</v>
      </c>
      <c r="K54" s="92">
        <f>K55/(M42+M48)</f>
        <v>2.5289071242073851</v>
      </c>
      <c r="L54" s="92">
        <f>L55/(J42+J48)</f>
        <v>1.4074324324324323</v>
      </c>
      <c r="M54" s="95">
        <f>SUM(E54:L54)</f>
        <v>124.03030403608301</v>
      </c>
      <c r="N54" s="82">
        <v>3</v>
      </c>
      <c r="O54" s="144" t="s">
        <v>63</v>
      </c>
      <c r="P54" s="144"/>
      <c r="Q54" s="101">
        <f>Q53*Q52/100</f>
        <v>974.02247191011236</v>
      </c>
    </row>
    <row r="55" spans="2:19" ht="15" customHeight="1" thickBot="1" x14ac:dyDescent="0.35">
      <c r="B55" s="46" t="s">
        <v>14</v>
      </c>
      <c r="C55" s="207" t="s">
        <v>64</v>
      </c>
      <c r="D55" s="207"/>
      <c r="E55" s="49">
        <f>'[1]Daily unit'!B3</f>
        <v>1560</v>
      </c>
      <c r="F55" s="49">
        <f>'[1]Daily unit'!C3</f>
        <v>27973</v>
      </c>
      <c r="G55" s="49">
        <f>'[1]Daily unit'!E3</f>
        <v>37973</v>
      </c>
      <c r="H55" s="49">
        <f>'[1]Daily unit'!F3</f>
        <v>8830</v>
      </c>
      <c r="I55" s="49">
        <f>'[1]Daily unit'!G3</f>
        <v>111604</v>
      </c>
      <c r="J55" s="49">
        <f>'[1]Daily unit'!H3</f>
        <v>1762</v>
      </c>
      <c r="K55" s="49">
        <f>'[1]Daily unit'!I3</f>
        <v>7458</v>
      </c>
      <c r="L55" s="49">
        <f>'[1]Daily unit'!J3</f>
        <v>4166</v>
      </c>
      <c r="M55" s="50">
        <f>SUM(E55:L55)</f>
        <v>201326</v>
      </c>
      <c r="N55" s="83"/>
      <c r="O55" s="56"/>
      <c r="P55" s="57"/>
      <c r="Q55" s="58"/>
    </row>
    <row r="56" spans="2:19" ht="15" customHeight="1" thickBot="1" x14ac:dyDescent="0.35">
      <c r="B56" s="208"/>
      <c r="C56" s="209"/>
      <c r="D56" s="209"/>
      <c r="E56" s="209"/>
      <c r="F56" s="209"/>
      <c r="G56" s="209"/>
      <c r="H56" s="209"/>
      <c r="I56" s="209"/>
      <c r="J56" s="209"/>
      <c r="K56" s="209"/>
      <c r="L56" s="209"/>
      <c r="M56" s="209"/>
      <c r="N56" s="209"/>
      <c r="O56" s="209"/>
      <c r="P56" s="209"/>
      <c r="Q56" s="210"/>
    </row>
    <row r="57" spans="2:19" ht="14.4" customHeight="1" thickBot="1" x14ac:dyDescent="0.35">
      <c r="B57" s="214" t="s">
        <v>65</v>
      </c>
      <c r="C57" s="215"/>
      <c r="D57" s="215"/>
      <c r="E57" s="215"/>
      <c r="F57" s="215"/>
      <c r="G57" s="215"/>
      <c r="H57" s="216"/>
      <c r="I57" s="217" t="s">
        <v>74</v>
      </c>
      <c r="J57" s="218"/>
      <c r="K57" s="218"/>
      <c r="L57" s="218"/>
      <c r="M57" s="218"/>
      <c r="N57" s="218"/>
      <c r="O57" s="218"/>
      <c r="P57" s="218"/>
      <c r="Q57" s="219"/>
      <c r="R57" s="73"/>
    </row>
    <row r="58" spans="2:19" s="28" customFormat="1" ht="14.4" customHeight="1" x14ac:dyDescent="0.3">
      <c r="B58" s="75" t="s">
        <v>3</v>
      </c>
      <c r="C58" s="108" t="s">
        <v>66</v>
      </c>
      <c r="D58" s="108"/>
      <c r="E58" s="108"/>
      <c r="F58" s="76" t="s">
        <v>67</v>
      </c>
      <c r="G58" s="76" t="s">
        <v>12</v>
      </c>
      <c r="H58" s="84" t="s">
        <v>13</v>
      </c>
      <c r="I58" s="220"/>
      <c r="J58" s="221"/>
      <c r="K58" s="221"/>
      <c r="L58" s="221"/>
      <c r="M58" s="221"/>
      <c r="N58" s="221"/>
      <c r="O58" s="221"/>
      <c r="P58" s="221"/>
      <c r="Q58" s="222"/>
      <c r="R58" s="29"/>
    </row>
    <row r="59" spans="2:19" ht="14.4" customHeight="1" x14ac:dyDescent="0.3">
      <c r="B59" s="158">
        <v>1</v>
      </c>
      <c r="C59" s="225" t="s">
        <v>68</v>
      </c>
      <c r="D59" s="225"/>
      <c r="E59" s="64">
        <v>42.5</v>
      </c>
      <c r="F59" s="69">
        <f>'[1]Internal use cement'!F3</f>
        <v>0</v>
      </c>
      <c r="G59" s="69">
        <f>F59</f>
        <v>0</v>
      </c>
      <c r="H59" s="11">
        <f>F59+'[1]Internal use cement'!F36</f>
        <v>10</v>
      </c>
      <c r="I59" s="221"/>
      <c r="J59" s="221"/>
      <c r="K59" s="221"/>
      <c r="L59" s="221"/>
      <c r="M59" s="221"/>
      <c r="N59" s="221"/>
      <c r="O59" s="221"/>
      <c r="P59" s="221"/>
      <c r="Q59" s="222"/>
      <c r="R59" s="73"/>
    </row>
    <row r="60" spans="2:19" ht="14.4" customHeight="1" x14ac:dyDescent="0.3">
      <c r="B60" s="158"/>
      <c r="C60" s="225"/>
      <c r="D60" s="225"/>
      <c r="E60" s="64" t="s">
        <v>69</v>
      </c>
      <c r="F60" s="69">
        <f>'[1]Internal use cement'!Q3</f>
        <v>0</v>
      </c>
      <c r="G60" s="69">
        <f t="shared" ref="G60:G61" si="21">F60</f>
        <v>0</v>
      </c>
      <c r="H60" s="26">
        <f>F60+'[1]Internal use cement'!N36</f>
        <v>2</v>
      </c>
      <c r="I60" s="221"/>
      <c r="J60" s="221"/>
      <c r="K60" s="221"/>
      <c r="L60" s="221"/>
      <c r="M60" s="221"/>
      <c r="N60" s="221"/>
      <c r="O60" s="221"/>
      <c r="P60" s="221"/>
      <c r="Q60" s="222"/>
      <c r="R60" s="73"/>
    </row>
    <row r="61" spans="2:19" ht="15" customHeight="1" x14ac:dyDescent="0.3">
      <c r="B61" s="158"/>
      <c r="C61" s="225"/>
      <c r="D61" s="225"/>
      <c r="E61" s="64">
        <v>32.5</v>
      </c>
      <c r="F61" s="69">
        <f>'[1]Internal use cement'!AB3</f>
        <v>0</v>
      </c>
      <c r="G61" s="69">
        <f t="shared" si="21"/>
        <v>0</v>
      </c>
      <c r="H61" s="86">
        <f>F61+'[1]Internal use cement'!Y36</f>
        <v>0.25</v>
      </c>
      <c r="I61" s="221"/>
      <c r="J61" s="221"/>
      <c r="K61" s="221"/>
      <c r="L61" s="221"/>
      <c r="M61" s="221"/>
      <c r="N61" s="221"/>
      <c r="O61" s="221"/>
      <c r="P61" s="221"/>
      <c r="Q61" s="222"/>
      <c r="R61" s="73"/>
    </row>
    <row r="62" spans="2:19" ht="15" customHeight="1" x14ac:dyDescent="0.3">
      <c r="B62" s="158"/>
      <c r="C62" s="225"/>
      <c r="D62" s="225"/>
      <c r="E62" s="64" t="s">
        <v>48</v>
      </c>
      <c r="F62" s="69">
        <f>'[1]Internal use cement'!AJ3</f>
        <v>0</v>
      </c>
      <c r="G62" s="69">
        <f>F62</f>
        <v>0</v>
      </c>
      <c r="H62" s="26">
        <f>F62+'[1]Internal use cement'!AJ36</f>
        <v>0.44999999999999996</v>
      </c>
      <c r="I62" s="221"/>
      <c r="J62" s="221"/>
      <c r="K62" s="221"/>
      <c r="L62" s="221"/>
      <c r="M62" s="221"/>
      <c r="N62" s="221"/>
      <c r="O62" s="221"/>
      <c r="P62" s="221"/>
      <c r="Q62" s="222"/>
      <c r="R62" s="73"/>
    </row>
    <row r="63" spans="2:19" ht="15" customHeight="1" thickBot="1" x14ac:dyDescent="0.35">
      <c r="B63" s="227"/>
      <c r="C63" s="226"/>
      <c r="D63" s="226"/>
      <c r="E63" s="87" t="s">
        <v>77</v>
      </c>
      <c r="F63" s="88">
        <f>'[1]Internal use cement'!AO3</f>
        <v>0</v>
      </c>
      <c r="G63" s="85">
        <f>F63</f>
        <v>0</v>
      </c>
      <c r="H63" s="89">
        <f>F63+'[1]Internal use cement'!AO36</f>
        <v>4.1500000000000004</v>
      </c>
      <c r="I63" s="223"/>
      <c r="J63" s="223"/>
      <c r="K63" s="223"/>
      <c r="L63" s="223"/>
      <c r="M63" s="223"/>
      <c r="N63" s="223"/>
      <c r="O63" s="223"/>
      <c r="P63" s="223"/>
      <c r="Q63" s="224"/>
      <c r="R63" s="73"/>
    </row>
    <row r="64" spans="2:19" x14ac:dyDescent="0.3">
      <c r="R64" s="21"/>
      <c r="S64" s="21"/>
    </row>
    <row r="65" spans="2:19" x14ac:dyDescent="0.3">
      <c r="R65" s="48"/>
      <c r="S65" s="48"/>
    </row>
    <row r="66" spans="2:19" x14ac:dyDescent="0.3">
      <c r="R66" s="53"/>
      <c r="S66" s="53"/>
    </row>
    <row r="67" spans="2:19" x14ac:dyDescent="0.3">
      <c r="R67" s="21"/>
      <c r="S67" s="21"/>
    </row>
    <row r="68" spans="2:19" x14ac:dyDescent="0.3">
      <c r="R68" s="21"/>
      <c r="S68" s="21"/>
    </row>
    <row r="69" spans="2:19" x14ac:dyDescent="0.3">
      <c r="R69" s="21"/>
      <c r="S69" s="21"/>
    </row>
    <row r="70" spans="2:19" x14ac:dyDescent="0.3">
      <c r="R70" s="73"/>
      <c r="S70" s="73"/>
    </row>
    <row r="71" spans="2:19" x14ac:dyDescent="0.3">
      <c r="R71" s="21"/>
      <c r="S71" s="21"/>
    </row>
    <row r="72" spans="2:19" x14ac:dyDescent="0.3">
      <c r="R72" s="44"/>
      <c r="S72" s="44"/>
    </row>
    <row r="73" spans="2:19" x14ac:dyDescent="0.3">
      <c r="R73" s="44"/>
      <c r="S73" s="44"/>
    </row>
    <row r="74" spans="2:19" x14ac:dyDescent="0.3">
      <c r="R74" s="44"/>
      <c r="S74" s="44"/>
    </row>
    <row r="75" spans="2:19" x14ac:dyDescent="0.3"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spans="2:19" x14ac:dyDescent="0.3"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spans="2:19" x14ac:dyDescent="0.3"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spans="2:19" x14ac:dyDescent="0.3"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spans="2:19" x14ac:dyDescent="0.3"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spans="2:19" x14ac:dyDescent="0.3"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spans="2:19" x14ac:dyDescent="0.3"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spans="2:19" x14ac:dyDescent="0.3"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spans="2:19" x14ac:dyDescent="0.3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spans="2:19" x14ac:dyDescent="0.3"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spans="2:19" x14ac:dyDescent="0.3"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spans="2:19" x14ac:dyDescent="0.3"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spans="2:19" x14ac:dyDescent="0.3"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spans="2:19" x14ac:dyDescent="0.3"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spans="2:19" x14ac:dyDescent="0.3"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spans="2:19" x14ac:dyDescent="0.3"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spans="2:19" x14ac:dyDescent="0.3"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spans="2:19" x14ac:dyDescent="0.3"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spans="2:19" x14ac:dyDescent="0.3"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spans="2:19" x14ac:dyDescent="0.3"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spans="2:19" x14ac:dyDescent="0.3"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spans="2:19" x14ac:dyDescent="0.3"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spans="2:19" x14ac:dyDescent="0.3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spans="2:19" x14ac:dyDescent="0.3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spans="2:19" x14ac:dyDescent="0.3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spans="2:19" x14ac:dyDescent="0.3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spans="2:19" x14ac:dyDescent="0.3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spans="2:19" x14ac:dyDescent="0.3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spans="2:19" x14ac:dyDescent="0.3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spans="2:19" x14ac:dyDescent="0.3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spans="2:19" x14ac:dyDescent="0.3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spans="2:19" x14ac:dyDescent="0.3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spans="2:19" x14ac:dyDescent="0.3"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spans="2:19" x14ac:dyDescent="0.3"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spans="2:19" x14ac:dyDescent="0.3"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spans="2:19" x14ac:dyDescent="0.3"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spans="2:19" x14ac:dyDescent="0.3"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spans="2:19" x14ac:dyDescent="0.3"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spans="2:19" x14ac:dyDescent="0.3"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spans="2:19" x14ac:dyDescent="0.3"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spans="2:19" x14ac:dyDescent="0.3"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spans="2:19" x14ac:dyDescent="0.3"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spans="2:19" x14ac:dyDescent="0.3"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spans="2:19" x14ac:dyDescent="0.3"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spans="2:19" x14ac:dyDescent="0.3"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spans="2:19" x14ac:dyDescent="0.3"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spans="2:19" x14ac:dyDescent="0.3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spans="2:19" x14ac:dyDescent="0.3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spans="2:19" x14ac:dyDescent="0.3"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spans="2:19" x14ac:dyDescent="0.3"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spans="2:19" x14ac:dyDescent="0.3"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spans="2:19" x14ac:dyDescent="0.3"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spans="2:19" x14ac:dyDescent="0.3"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spans="2:19" x14ac:dyDescent="0.3"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spans="2:19" x14ac:dyDescent="0.3"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spans="2:19" x14ac:dyDescent="0.3"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spans="2:19" x14ac:dyDescent="0.3"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spans="2:19" x14ac:dyDescent="0.3"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spans="2:19" x14ac:dyDescent="0.3"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spans="2:19" x14ac:dyDescent="0.3"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spans="2:19" x14ac:dyDescent="0.3"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spans="2:19" x14ac:dyDescent="0.3"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spans="2:19" x14ac:dyDescent="0.3"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spans="2:19" x14ac:dyDescent="0.3"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spans="2:19" x14ac:dyDescent="0.3"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spans="2:19" x14ac:dyDescent="0.3"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spans="2:19" x14ac:dyDescent="0.3"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spans="2:19" x14ac:dyDescent="0.3"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spans="2:19" x14ac:dyDescent="0.3"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spans="2:19" x14ac:dyDescent="0.3"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spans="2:19" x14ac:dyDescent="0.3"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spans="2:19" x14ac:dyDescent="0.3"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spans="2:19" x14ac:dyDescent="0.3"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spans="2:19" x14ac:dyDescent="0.3"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spans="2:19" x14ac:dyDescent="0.3"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spans="2:19" x14ac:dyDescent="0.3"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spans="2:19" x14ac:dyDescent="0.3"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spans="2:19" x14ac:dyDescent="0.3"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spans="2:19" x14ac:dyDescent="0.3"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spans="2:19" x14ac:dyDescent="0.3"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spans="2:19" x14ac:dyDescent="0.3"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spans="2:19" x14ac:dyDescent="0.3"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spans="2:19" x14ac:dyDescent="0.3"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spans="2:19" x14ac:dyDescent="0.3"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spans="2:19" x14ac:dyDescent="0.3"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</sheetData>
  <mergeCells count="87">
    <mergeCell ref="B57:H57"/>
    <mergeCell ref="C58:E58"/>
    <mergeCell ref="I57:Q63"/>
    <mergeCell ref="C59:D63"/>
    <mergeCell ref="B59:B63"/>
    <mergeCell ref="C55:D55"/>
    <mergeCell ref="B56:Q56"/>
    <mergeCell ref="O51:P51"/>
    <mergeCell ref="C54:D54"/>
    <mergeCell ref="O52:P52"/>
    <mergeCell ref="C53:D53"/>
    <mergeCell ref="O53:P53"/>
    <mergeCell ref="C52:D52"/>
    <mergeCell ref="N33:N34"/>
    <mergeCell ref="O33:O34"/>
    <mergeCell ref="P33:P34"/>
    <mergeCell ref="N50:Q50"/>
    <mergeCell ref="O54:P54"/>
    <mergeCell ref="C27:D27"/>
    <mergeCell ref="M27:N27"/>
    <mergeCell ref="B29:Q29"/>
    <mergeCell ref="B30:B31"/>
    <mergeCell ref="C30:D31"/>
    <mergeCell ref="F30:H30"/>
    <mergeCell ref="I30:I31"/>
    <mergeCell ref="J30:L30"/>
    <mergeCell ref="M30:O30"/>
    <mergeCell ref="P30:P31"/>
    <mergeCell ref="Q30:Q31"/>
    <mergeCell ref="B28:Q28"/>
    <mergeCell ref="C9:D9"/>
    <mergeCell ref="B16:B18"/>
    <mergeCell ref="C16:C18"/>
    <mergeCell ref="C19:Q19"/>
    <mergeCell ref="B20:B22"/>
    <mergeCell ref="C20:C22"/>
    <mergeCell ref="M20:M21"/>
    <mergeCell ref="N20:N22"/>
    <mergeCell ref="O20:O27"/>
    <mergeCell ref="P20:Q22"/>
    <mergeCell ref="Q23:Q24"/>
    <mergeCell ref="C24:D24"/>
    <mergeCell ref="B25:B26"/>
    <mergeCell ref="C25:C26"/>
    <mergeCell ref="M25:N26"/>
    <mergeCell ref="P25:Q27"/>
    <mergeCell ref="M6:M7"/>
    <mergeCell ref="N6:N7"/>
    <mergeCell ref="O6:O7"/>
    <mergeCell ref="P6:P7"/>
    <mergeCell ref="C6:C7"/>
    <mergeCell ref="D6:D7"/>
    <mergeCell ref="E6:E7"/>
    <mergeCell ref="F6:H6"/>
    <mergeCell ref="I6:K6"/>
    <mergeCell ref="B6:B7"/>
    <mergeCell ref="B2:Q2"/>
    <mergeCell ref="B3:Q3"/>
    <mergeCell ref="B4:O4"/>
    <mergeCell ref="C23:D23"/>
    <mergeCell ref="C10:D10"/>
    <mergeCell ref="C11:D11"/>
    <mergeCell ref="C12:D12"/>
    <mergeCell ref="C13:D13"/>
    <mergeCell ref="C14:D14"/>
    <mergeCell ref="Q6:Q7"/>
    <mergeCell ref="C8:Q8"/>
    <mergeCell ref="O9:O18"/>
    <mergeCell ref="C15:D15"/>
    <mergeCell ref="P15:Q15"/>
    <mergeCell ref="L6:L7"/>
    <mergeCell ref="C33:D33"/>
    <mergeCell ref="C34:D34"/>
    <mergeCell ref="C35:D35"/>
    <mergeCell ref="C32:D32"/>
    <mergeCell ref="C51:D51"/>
    <mergeCell ref="C36:D36"/>
    <mergeCell ref="B50:M50"/>
    <mergeCell ref="M43:P47"/>
    <mergeCell ref="B49:Q49"/>
    <mergeCell ref="B37:B42"/>
    <mergeCell ref="C37:C42"/>
    <mergeCell ref="B43:B48"/>
    <mergeCell ref="C43:C48"/>
    <mergeCell ref="I43:I47"/>
    <mergeCell ref="I33:I34"/>
    <mergeCell ref="M33:M3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01.07.2026</vt:lpstr>
      <vt:lpstr>'01.07.2026'!Print_Area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2015-06-05T18:19:34Z</dcterms:created>
  <dcterms:modified xsi:type="dcterms:W3CDTF">2026-07-09T11:23:53Z</dcterms:modified>
  <cp:category/>
  <cp:contentStatus/>
</cp:coreProperties>
</file>