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ake Cement\MD Reports\2026\Jun 2026\"/>
    </mc:Choice>
  </mc:AlternateContent>
  <xr:revisionPtr revIDLastSave="0" documentId="13_ncr:1_{EDDCB4FC-DD5B-41B8-9405-59BC571D65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chanical" sheetId="8" r:id="rId1"/>
    <sheet name="Production" sheetId="4" r:id="rId2"/>
    <sheet name="E &amp; I" sheetId="7" r:id="rId3"/>
    <sheet name="Power Plant" sheetId="9" r:id="rId4"/>
    <sheet name="Mines" sheetId="10" r:id="rId5"/>
    <sheet name="Packing Plant" sheetId="11" r:id="rId6"/>
    <sheet name="Stores" sheetId="12" r:id="rId7"/>
    <sheet name="Mines Workshop" sheetId="13" r:id="rId8"/>
    <sheet name="OT" sheetId="14" r:id="rId9"/>
  </sheets>
  <externalReferences>
    <externalReference r:id="rId10"/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1" l="1"/>
  <c r="G17" i="11"/>
  <c r="G16" i="11"/>
  <c r="G15" i="11"/>
  <c r="G12" i="11"/>
  <c r="G11" i="11"/>
  <c r="G10" i="11"/>
  <c r="G9" i="11"/>
  <c r="G8" i="11"/>
  <c r="L31" i="12" l="1"/>
  <c r="K31" i="12"/>
  <c r="J31" i="12"/>
  <c r="G31" i="12"/>
  <c r="K30" i="12"/>
  <c r="I30" i="12"/>
  <c r="L20" i="12"/>
  <c r="I20" i="12"/>
  <c r="E31" i="12"/>
  <c r="E30" i="12"/>
  <c r="E20" i="12"/>
  <c r="J36" i="14" l="1"/>
  <c r="K36" i="14"/>
  <c r="L36" i="14"/>
  <c r="M36" i="14"/>
  <c r="N36" i="14"/>
  <c r="I36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Y34" i="14"/>
  <c r="G34" i="14" s="1"/>
  <c r="U34" i="14"/>
  <c r="Y33" i="14"/>
  <c r="E33" i="14" s="1"/>
  <c r="U33" i="14"/>
  <c r="Y32" i="14"/>
  <c r="G32" i="14" s="1"/>
  <c r="W32" i="14"/>
  <c r="B32" i="14"/>
  <c r="Y31" i="14"/>
  <c r="G31" i="14" s="1"/>
  <c r="W30" i="14"/>
  <c r="Y30" i="14" s="1"/>
  <c r="U30" i="14"/>
  <c r="B30" i="14"/>
  <c r="Y29" i="14"/>
  <c r="G29" i="14" s="1"/>
  <c r="U29" i="14"/>
  <c r="Y28" i="14"/>
  <c r="U28" i="14"/>
  <c r="F28" i="14"/>
  <c r="B28" i="14"/>
  <c r="AA27" i="14"/>
  <c r="Y27" i="14"/>
  <c r="U27" i="14"/>
  <c r="F27" i="14"/>
  <c r="W26" i="14"/>
  <c r="Y26" i="14" s="1"/>
  <c r="U26" i="14"/>
  <c r="B26" i="14"/>
  <c r="Y25" i="14"/>
  <c r="G25" i="14" s="1"/>
  <c r="U25" i="14"/>
  <c r="W24" i="14"/>
  <c r="Y24" i="14" s="1"/>
  <c r="U24" i="14"/>
  <c r="B24" i="14"/>
  <c r="Y23" i="14"/>
  <c r="G23" i="14" s="1"/>
  <c r="U23" i="14"/>
  <c r="W22" i="14"/>
  <c r="Y22" i="14" s="1"/>
  <c r="U22" i="14"/>
  <c r="F22" i="14"/>
  <c r="B22" i="14"/>
  <c r="Y21" i="14"/>
  <c r="U21" i="14"/>
  <c r="F21" i="14"/>
  <c r="Y20" i="14"/>
  <c r="G20" i="14" s="1"/>
  <c r="W20" i="14"/>
  <c r="U20" i="14"/>
  <c r="B20" i="14"/>
  <c r="Y19" i="14"/>
  <c r="G19" i="14" s="1"/>
  <c r="F19" i="14" s="1"/>
  <c r="U19" i="14"/>
  <c r="E19" i="14"/>
  <c r="Y18" i="14"/>
  <c r="G18" i="14" s="1"/>
  <c r="W18" i="14"/>
  <c r="U18" i="14"/>
  <c r="B18" i="14"/>
  <c r="Y17" i="14"/>
  <c r="E17" i="14" s="1"/>
  <c r="U17" i="14"/>
  <c r="Y16" i="14"/>
  <c r="G16" i="14" s="1"/>
  <c r="W16" i="14"/>
  <c r="U16" i="14"/>
  <c r="B16" i="14"/>
  <c r="Y15" i="14"/>
  <c r="G15" i="14" s="1"/>
  <c r="F15" i="14" s="1"/>
  <c r="U15" i="14"/>
  <c r="E15" i="14"/>
  <c r="Y14" i="14"/>
  <c r="G14" i="14" s="1"/>
  <c r="W14" i="14"/>
  <c r="U14" i="14"/>
  <c r="B14" i="14"/>
  <c r="Y13" i="14"/>
  <c r="U13" i="14"/>
  <c r="G13" i="14"/>
  <c r="F13" i="14" s="1"/>
  <c r="E13" i="14"/>
  <c r="Y12" i="14"/>
  <c r="G12" i="14" s="1"/>
  <c r="W12" i="14"/>
  <c r="U12" i="14"/>
  <c r="B12" i="14"/>
  <c r="Y11" i="14"/>
  <c r="U11" i="14"/>
  <c r="G11" i="14"/>
  <c r="F11" i="14" s="1"/>
  <c r="E11" i="14"/>
  <c r="Y10" i="14"/>
  <c r="G10" i="14" s="1"/>
  <c r="W10" i="14"/>
  <c r="U10" i="14"/>
  <c r="B10" i="14"/>
  <c r="Y9" i="14"/>
  <c r="U9" i="14"/>
  <c r="G9" i="14"/>
  <c r="F9" i="14" s="1"/>
  <c r="E9" i="14"/>
  <c r="Y8" i="14"/>
  <c r="G8" i="14" s="1"/>
  <c r="W8" i="14"/>
  <c r="U8" i="14"/>
  <c r="B8" i="14"/>
  <c r="Y7" i="14"/>
  <c r="U7" i="14"/>
  <c r="U35" i="14" s="1"/>
  <c r="G7" i="14"/>
  <c r="F7" i="14" s="1"/>
  <c r="E7" i="14"/>
  <c r="E24" i="14" l="1"/>
  <c r="G24" i="14"/>
  <c r="F24" i="14" s="1"/>
  <c r="F34" i="14"/>
  <c r="F14" i="14"/>
  <c r="E26" i="14"/>
  <c r="G26" i="14"/>
  <c r="F26" i="14" s="1"/>
  <c r="G30" i="14"/>
  <c r="F30" i="14" s="1"/>
  <c r="E30" i="14"/>
  <c r="F25" i="14"/>
  <c r="F29" i="14"/>
  <c r="F16" i="14"/>
  <c r="E34" i="14"/>
  <c r="E29" i="14"/>
  <c r="E31" i="14"/>
  <c r="F31" i="14" s="1"/>
  <c r="G33" i="14"/>
  <c r="F33" i="14" s="1"/>
  <c r="E8" i="14"/>
  <c r="F8" i="14" s="1"/>
  <c r="E10" i="14"/>
  <c r="F10" i="14" s="1"/>
  <c r="E12" i="14"/>
  <c r="F12" i="14" s="1"/>
  <c r="E14" i="14"/>
  <c r="E16" i="14"/>
  <c r="E18" i="14"/>
  <c r="F18" i="14" s="1"/>
  <c r="E20" i="14"/>
  <c r="F20" i="14" s="1"/>
  <c r="E23" i="14"/>
  <c r="F23" i="14" s="1"/>
  <c r="E25" i="14"/>
  <c r="E32" i="14"/>
  <c r="F32" i="14" s="1"/>
  <c r="G17" i="14"/>
  <c r="F17" i="14" s="1"/>
  <c r="E39" i="14" l="1"/>
  <c r="E41" i="14" s="1"/>
  <c r="G35" i="14"/>
  <c r="E35" i="14"/>
  <c r="G39" i="14"/>
  <c r="E28" i="10" l="1"/>
  <c r="E27" i="10"/>
  <c r="E24" i="10"/>
  <c r="E23" i="10"/>
  <c r="E20" i="10"/>
  <c r="T31" i="13"/>
  <c r="J31" i="13"/>
  <c r="V30" i="13"/>
  <c r="L30" i="13"/>
  <c r="Y29" i="13"/>
  <c r="P29" i="13"/>
  <c r="H29" i="13"/>
  <c r="D29" i="13"/>
  <c r="J28" i="13"/>
  <c r="Y25" i="13"/>
  <c r="Y31" i="13" s="1"/>
  <c r="W25" i="13"/>
  <c r="W29" i="13" s="1"/>
  <c r="V25" i="13"/>
  <c r="V29" i="13" s="1"/>
  <c r="T25" i="13"/>
  <c r="T30" i="13" s="1"/>
  <c r="P25" i="13"/>
  <c r="P31" i="13" s="1"/>
  <c r="N25" i="13"/>
  <c r="N29" i="13" s="1"/>
  <c r="L25" i="13"/>
  <c r="L29" i="13" s="1"/>
  <c r="J25" i="13"/>
  <c r="J30" i="13" s="1"/>
  <c r="H25" i="13"/>
  <c r="H28" i="13" s="1"/>
  <c r="F25" i="13"/>
  <c r="F31" i="13" s="1"/>
  <c r="Y24" i="13"/>
  <c r="W24" i="13"/>
  <c r="V24" i="13"/>
  <c r="T24" i="13"/>
  <c r="P24" i="13"/>
  <c r="N24" i="13"/>
  <c r="L24" i="13"/>
  <c r="J24" i="13"/>
  <c r="H24" i="13"/>
  <c r="F24" i="13"/>
  <c r="D24" i="13"/>
  <c r="Y23" i="13"/>
  <c r="V23" i="13"/>
  <c r="P23" i="13"/>
  <c r="L23" i="13"/>
  <c r="H23" i="13"/>
  <c r="V18" i="13"/>
  <c r="T18" i="13"/>
  <c r="R18" i="13"/>
  <c r="Q18" i="13"/>
  <c r="P18" i="13"/>
  <c r="N18" i="13"/>
  <c r="L18" i="13"/>
  <c r="J18" i="13"/>
  <c r="H18" i="13"/>
  <c r="G18" i="13"/>
  <c r="F18" i="13"/>
  <c r="D18" i="13"/>
  <c r="V17" i="13"/>
  <c r="T17" i="13"/>
  <c r="R17" i="13"/>
  <c r="Q17" i="13"/>
  <c r="P17" i="13"/>
  <c r="N17" i="13"/>
  <c r="L17" i="13"/>
  <c r="J17" i="13"/>
  <c r="H17" i="13"/>
  <c r="G17" i="13"/>
  <c r="F17" i="13"/>
  <c r="D17" i="13"/>
  <c r="Q16" i="13"/>
  <c r="I16" i="13"/>
  <c r="H16" i="13"/>
  <c r="G16" i="13"/>
  <c r="F16" i="13"/>
  <c r="E16" i="13"/>
  <c r="D16" i="13"/>
  <c r="V15" i="13"/>
  <c r="T15" i="13"/>
  <c r="R15" i="13"/>
  <c r="Q15" i="13"/>
  <c r="P15" i="13"/>
  <c r="N15" i="13"/>
  <c r="L15" i="13"/>
  <c r="J15" i="13"/>
  <c r="H15" i="13"/>
  <c r="G15" i="13"/>
  <c r="F15" i="13"/>
  <c r="D15" i="13"/>
  <c r="V14" i="13"/>
  <c r="T14" i="13"/>
  <c r="R14" i="13"/>
  <c r="Q14" i="13"/>
  <c r="P14" i="13"/>
  <c r="N14" i="13"/>
  <c r="L14" i="13"/>
  <c r="J14" i="13"/>
  <c r="H14" i="13"/>
  <c r="F14" i="13"/>
  <c r="D14" i="13"/>
  <c r="W13" i="13"/>
  <c r="K13" i="13"/>
  <c r="Q10" i="13"/>
  <c r="M10" i="13"/>
  <c r="G10" i="13"/>
  <c r="E10" i="13"/>
  <c r="W8" i="13"/>
  <c r="U8" i="13"/>
  <c r="S8" i="13"/>
  <c r="Q8" i="13"/>
  <c r="O8" i="13"/>
  <c r="M8" i="13"/>
  <c r="K8" i="13"/>
  <c r="I8" i="13"/>
  <c r="G8" i="13"/>
  <c r="E8" i="13"/>
  <c r="W7" i="13"/>
  <c r="W17" i="13" s="1"/>
  <c r="U7" i="13"/>
  <c r="U16" i="13" s="1"/>
  <c r="S7" i="13"/>
  <c r="S18" i="13" s="1"/>
  <c r="O7" i="13"/>
  <c r="O18" i="13" s="1"/>
  <c r="M7" i="13"/>
  <c r="M16" i="13" s="1"/>
  <c r="K7" i="13"/>
  <c r="K18" i="13" s="1"/>
  <c r="I7" i="13"/>
  <c r="I13" i="13" s="1"/>
  <c r="E7" i="13"/>
  <c r="E14" i="13" s="1"/>
  <c r="W6" i="13"/>
  <c r="U6" i="13"/>
  <c r="T6" i="13"/>
  <c r="S6" i="13"/>
  <c r="R6" i="13"/>
  <c r="P6" i="13"/>
  <c r="N6" i="13"/>
  <c r="M6" i="13"/>
  <c r="L6" i="13"/>
  <c r="J6" i="13"/>
  <c r="I6" i="13"/>
  <c r="H6" i="13"/>
  <c r="F6" i="13"/>
  <c r="E6" i="13"/>
  <c r="D6" i="13"/>
  <c r="O10" i="13" l="1"/>
  <c r="W10" i="13"/>
  <c r="M13" i="13"/>
  <c r="I14" i="13"/>
  <c r="M14" i="13"/>
  <c r="U14" i="13"/>
  <c r="E15" i="13"/>
  <c r="I15" i="13"/>
  <c r="M15" i="13"/>
  <c r="K16" i="13"/>
  <c r="S16" i="13"/>
  <c r="E17" i="13"/>
  <c r="I17" i="13"/>
  <c r="M17" i="13"/>
  <c r="U17" i="13"/>
  <c r="E18" i="13"/>
  <c r="I18" i="13"/>
  <c r="M18" i="13"/>
  <c r="J23" i="13"/>
  <c r="T23" i="13"/>
  <c r="L28" i="13"/>
  <c r="Y28" i="13"/>
  <c r="J29" i="13"/>
  <c r="T29" i="13"/>
  <c r="F30" i="13"/>
  <c r="N30" i="13"/>
  <c r="W30" i="13"/>
  <c r="L31" i="13"/>
  <c r="V31" i="13"/>
  <c r="U10" i="13"/>
  <c r="I10" i="13"/>
  <c r="E13" i="13"/>
  <c r="O13" i="13"/>
  <c r="W15" i="13"/>
  <c r="W18" i="13"/>
  <c r="F28" i="13"/>
  <c r="N28" i="13"/>
  <c r="H30" i="13"/>
  <c r="P30" i="13"/>
  <c r="Y30" i="13"/>
  <c r="N31" i="13"/>
  <c r="W31" i="13"/>
  <c r="W28" i="13"/>
  <c r="K6" i="13"/>
  <c r="O6" i="13"/>
  <c r="K10" i="13"/>
  <c r="S10" i="13"/>
  <c r="S13" i="13"/>
  <c r="K14" i="13"/>
  <c r="O14" i="13"/>
  <c r="S14" i="13"/>
  <c r="W14" i="13"/>
  <c r="K15" i="13"/>
  <c r="O15" i="13"/>
  <c r="S15" i="13"/>
  <c r="O16" i="13"/>
  <c r="W16" i="13"/>
  <c r="K17" i="13"/>
  <c r="O17" i="13"/>
  <c r="S17" i="13"/>
  <c r="F23" i="13"/>
  <c r="N23" i="13"/>
  <c r="W23" i="13"/>
  <c r="P28" i="13"/>
  <c r="F2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Mr.Mukesh</author>
  </authors>
  <commentList>
    <comment ref="O6" authorId="0" shapeId="0" xr:uid="{FD143DD9-D3A4-4866-8EDF-A6515575867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Odometer not working,Hourmeter fixed then units are in Hr</t>
        </r>
      </text>
    </comment>
    <comment ref="Q6" authorId="0" shapeId="0" xr:uid="{B0204167-5C73-474F-8915-4F300BFC8AF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Odometer not working,Hourmeter fixed then units are in Hr</t>
        </r>
      </text>
    </comment>
    <comment ref="E7" authorId="1" shapeId="0" xr:uid="{DB2AA1A1-F97B-4465-8944-29261A4327A9}">
      <text>
        <r>
          <rPr>
            <b/>
            <sz val="9"/>
            <color indexed="81"/>
            <rFont val="Tahoma"/>
            <family val="2"/>
          </rPr>
          <t>Mr.Mukesh:</t>
        </r>
        <r>
          <rPr>
            <sz val="9"/>
            <color indexed="81"/>
            <rFont val="Tahoma"/>
            <family val="2"/>
          </rPr>
          <t xml:space="preserve">
less running hrs because of rain</t>
        </r>
      </text>
    </comment>
    <comment ref="G7" authorId="0" shapeId="0" xr:uid="{51C248AC-245A-4405-8778-35A3281847F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Break down</t>
        </r>
      </text>
    </comment>
    <comment ref="O7" authorId="0" shapeId="0" xr:uid="{4691AF14-10FF-4411-9002-97DB04471E0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Odometer not working,Hourmeter fixed then units are in Hr</t>
        </r>
      </text>
    </comment>
    <comment ref="Q7" authorId="0" shapeId="0" xr:uid="{5BDB8FFD-9496-4936-8228-36D20A747D4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Odometer not working,Hourmeter fixed then units are in Hr</t>
        </r>
      </text>
    </comment>
    <comment ref="Q12" authorId="0" shapeId="0" xr:uid="{A373B424-4FE2-4638-9A6D-5BC2DBF9724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Underbreakdown (Waiting for spare :starter motor)</t>
        </r>
      </text>
    </comment>
    <comment ref="I13" authorId="0" shapeId="0" xr:uid="{034E867C-3239-4208-9098-D6E7DC5FA12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MTBF≥215.90HRS</t>
        </r>
      </text>
    </comment>
    <comment ref="S13" authorId="0" shapeId="0" xr:uid="{CE241D46-F386-4E3C-A94B-5A544BB24B1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MTBF≥255KM
</t>
        </r>
      </text>
    </comment>
    <comment ref="U13" authorId="0" shapeId="0" xr:uid="{35226566-7B00-4A17-98E0-E0BBFB0F9C4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Undermaintenance</t>
        </r>
      </text>
    </comment>
    <comment ref="E16" authorId="1" shapeId="0" xr:uid="{651F83B0-E064-4973-B9A8-DCE0322CEDA2}">
      <text>
        <r>
          <rPr>
            <b/>
            <sz val="9"/>
            <color indexed="81"/>
            <rFont val="Tahoma"/>
            <family val="2"/>
          </rPr>
          <t>Mr.Mukesh:</t>
        </r>
        <r>
          <rPr>
            <sz val="9"/>
            <color indexed="81"/>
            <rFont val="Tahoma"/>
            <family val="2"/>
          </rPr>
          <t xml:space="preserve">
machine was idle and used for maintenance, fuel remain inside</t>
        </r>
      </text>
    </comment>
    <comment ref="O16" authorId="1" shapeId="0" xr:uid="{15024292-EA5B-46BB-969C-FDD9910FC095}">
      <text>
        <r>
          <rPr>
            <b/>
            <sz val="9"/>
            <color indexed="81"/>
            <rFont val="Tahoma"/>
            <family val="2"/>
          </rPr>
          <t>Mr.Mukesh:</t>
        </r>
        <r>
          <rPr>
            <sz val="9"/>
            <color indexed="81"/>
            <rFont val="Tahoma"/>
            <family val="2"/>
          </rPr>
          <t xml:space="preserve">
hr/ltr</t>
        </r>
      </text>
    </comment>
    <comment ref="Q16" authorId="0" shapeId="0" xr:uid="{0CF3E342-8C46-4600-8953-4CE8DAE1E44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Hour meter fixed at the end of month</t>
        </r>
      </text>
    </comment>
  </commentList>
</comments>
</file>

<file path=xl/sharedStrings.xml><?xml version="1.0" encoding="utf-8"?>
<sst xmlns="http://schemas.openxmlformats.org/spreadsheetml/2006/main" count="822" uniqueCount="277">
  <si>
    <t>LAKE CEMENT LIMITED</t>
  </si>
  <si>
    <t>MONTHLY KEY PERFORMANCE INDICATORS (KPI)</t>
  </si>
  <si>
    <t>Full year KPI Tracker</t>
  </si>
  <si>
    <t>KPI</t>
  </si>
  <si>
    <t>UNIT</t>
  </si>
  <si>
    <t>Signage</t>
  </si>
  <si>
    <t>TARGET</t>
  </si>
  <si>
    <t>Current month ACTUAL</t>
  </si>
  <si>
    <t>REMARKS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</si>
  <si>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</si>
  <si>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</si>
  <si>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</si>
  <si>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</si>
  <si>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</si>
  <si>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</si>
  <si>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</si>
  <si>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</si>
  <si>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</si>
  <si>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</si>
  <si>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</si>
  <si>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</si>
  <si>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HEALTH &amp; SAFETY</t>
  </si>
  <si>
    <t>FATALITY</t>
  </si>
  <si>
    <t>NOS</t>
  </si>
  <si>
    <t>=</t>
  </si>
  <si>
    <t>LTI</t>
  </si>
  <si>
    <t>MTI</t>
  </si>
  <si>
    <t>HAZARDS REPORTED</t>
  </si>
  <si>
    <t>&gt;</t>
  </si>
  <si>
    <t>STACK EMISSION</t>
  </si>
  <si>
    <t>mg/m3</t>
  </si>
  <si>
    <t>&lt;</t>
  </si>
  <si>
    <t>OPERATIONAL</t>
  </si>
  <si>
    <t>NAI KILN</t>
  </si>
  <si>
    <t>%</t>
  </si>
  <si>
    <t>NAI CEMENT MILL 1</t>
  </si>
  <si>
    <t>NAI CEMENT MILL 2</t>
  </si>
  <si>
    <t>MTBF KILN</t>
  </si>
  <si>
    <t>HRS</t>
  </si>
  <si>
    <t>MTBF CEMENT MILL 1</t>
  </si>
  <si>
    <t>MTBF CEMENT MILL 2</t>
  </si>
  <si>
    <t>OUTPUT OF RAW MILL 1</t>
  </si>
  <si>
    <t>TPH</t>
  </si>
  <si>
    <t>OUTPUT OF RAW MILL 2</t>
  </si>
  <si>
    <t>FINANCIAL</t>
  </si>
  <si>
    <t>MAINTENANCE MATERIALS COST</t>
  </si>
  <si>
    <t>TSH / MT CLINKER</t>
  </si>
  <si>
    <t>WEAR PARTS COST</t>
  </si>
  <si>
    <t>THIRD PARTY COST</t>
  </si>
  <si>
    <t>SIGNAGE</t>
  </si>
  <si>
    <t>KILN OUTPUT</t>
  </si>
  <si>
    <t>TPD</t>
  </si>
  <si>
    <t>&gt; =</t>
  </si>
  <si>
    <t>VRM OUTPUT</t>
  </si>
  <si>
    <t>Raw Mill 2 Output</t>
  </si>
  <si>
    <t>CEMENT MILL 1 OUTPUT</t>
  </si>
  <si>
    <t>CEMENT MILL 2 OUTPUT</t>
  </si>
  <si>
    <t>COAL MILL OUTPUT</t>
  </si>
  <si>
    <t xml:space="preserve">DESPATCH / DAY </t>
  </si>
  <si>
    <t>MT</t>
  </si>
  <si>
    <t>SPECIFIC POWER CONSUMPTION UP TO CLINKER</t>
  </si>
  <si>
    <t>KwH / T</t>
  </si>
  <si>
    <t>SPECIFIC POWER CONSUMPTION CEMENT GRINDING</t>
  </si>
  <si>
    <t>Specific Power Consumption - Utilities</t>
  </si>
  <si>
    <t>SPECIFIC POWER CONSUMPTION - TOTAL</t>
  </si>
  <si>
    <t>SPECIFIC THERMAL ENERGY CONSUMPTION</t>
  </si>
  <si>
    <t>KCAL / KG CLINKER</t>
  </si>
  <si>
    <t>QUALITY</t>
  </si>
  <si>
    <t>CLINKER FREE LIME</t>
  </si>
  <si>
    <t>CLINKER C3S</t>
  </si>
  <si>
    <t>CEMENT RESIDUE ON 45 MICRON</t>
  </si>
  <si>
    <t>COMPLYING INTERNAL QUALITY NORMS</t>
  </si>
  <si>
    <t>GRINDING MEDIA CONSUMPTION</t>
  </si>
  <si>
    <t>GMS / MT</t>
  </si>
  <si>
    <t>Physical Stock of Raw material</t>
  </si>
  <si>
    <t>Annual Variation in clinker, Gypsum and coal stock (Book Vs Actual)</t>
  </si>
  <si>
    <t>i) GBH Stack</t>
  </si>
  <si>
    <t xml:space="preserve">ii) Coal mill BH </t>
  </si>
  <si>
    <t xml:space="preserve">iii) Cooler ESP </t>
  </si>
  <si>
    <t xml:space="preserve">iv) Cement mill </t>
  </si>
  <si>
    <t>NAI VRM</t>
  </si>
  <si>
    <t>KwH / T Clinker</t>
  </si>
  <si>
    <t>KwH / T Cement</t>
  </si>
  <si>
    <t xml:space="preserve">KwH / T Cement </t>
  </si>
  <si>
    <t>Cost per unit for TANESCO Power</t>
  </si>
  <si>
    <t>Tsh/KWH</t>
  </si>
  <si>
    <t>COMPLIANCE BAG WEIGHT</t>
  </si>
  <si>
    <t>REGULAR RANDOM VERIFICATION OF BAG WEIGHT</t>
  </si>
  <si>
    <t>Gms</t>
  </si>
  <si>
    <t>+/- 50</t>
  </si>
  <si>
    <t xml:space="preserve">CALIBRATION OF WEIGHFEEDERS, WEIGHBRIDGES, ROTOSCALES </t>
  </si>
  <si>
    <t>AS PER FREQUENCY</t>
  </si>
  <si>
    <t>COMPLIANCE TO LEGAL REQUIREMENT</t>
  </si>
  <si>
    <t>AUXILLARY POWER CONS</t>
  </si>
  <si>
    <t>HEAT RATE</t>
  </si>
  <si>
    <t>KCAL / KWH</t>
  </si>
  <si>
    <t xml:space="preserve">UNBURNT COAL </t>
  </si>
  <si>
    <t>UNPLANNED STOP IN A YEAR (CUMMULATIVE)</t>
  </si>
  <si>
    <t>#</t>
  </si>
  <si>
    <t>EMISSION FROM ESP STACK</t>
  </si>
  <si>
    <t>MAINTENANCE COST</t>
  </si>
  <si>
    <t>TOTAL GENERATION COST (Net)</t>
  </si>
  <si>
    <t>TSH / KWH</t>
  </si>
  <si>
    <t>HOURS</t>
  </si>
  <si>
    <t>COMPLIANCE TO LEGAL REQUIREMENTS</t>
  </si>
  <si>
    <t>RAISING OF HG LIMESTONE PER MONTH</t>
  </si>
  <si>
    <t>High Grade/SPG</t>
  </si>
  <si>
    <t>High MgO/ TG</t>
  </si>
  <si>
    <t>Low grade</t>
  </si>
  <si>
    <t>CONSUMPTION OF HIGH MgO</t>
  </si>
  <si>
    <t>MTBF OF SURFACE MINER_1</t>
  </si>
  <si>
    <t>MTBF OF SURFACE MINER_2</t>
  </si>
  <si>
    <t>COMPLIANCE TO INTERNAL QUALITY NORMS</t>
  </si>
  <si>
    <t>Crusher Output</t>
  </si>
  <si>
    <t>SPECIFIC DIESEL CONSUMPTION</t>
  </si>
  <si>
    <t>LTRS/TON</t>
  </si>
  <si>
    <t>MINES  MAINTENANCE COST</t>
  </si>
  <si>
    <t>TSH/TON OF RM</t>
  </si>
  <si>
    <t>MINES OPERATIONAL COST</t>
  </si>
  <si>
    <t>BURST BAG GENERATION</t>
  </si>
  <si>
    <t>BAGS INVENTORY</t>
  </si>
  <si>
    <t>MIL TSH</t>
  </si>
  <si>
    <t>ACTUAL</t>
  </si>
  <si>
    <t/>
  </si>
  <si>
    <t>SAME DAY GRN POSTING</t>
  </si>
  <si>
    <t>DAYS</t>
  </si>
  <si>
    <t>MRQ POSTING</t>
  </si>
  <si>
    <t>ACCURATE ISSUE &amp; POSTING IN SYSTEM</t>
  </si>
  <si>
    <t>SAME DAY</t>
  </si>
  <si>
    <t>CLEARANCE OF GRN AFTER MATERIAL/ INVOICE RECEIPT</t>
  </si>
  <si>
    <t>MONTHLY AUDIT VERIFICATION OF STOCK 
- A CLASS - 100 % 
- B CLASS - 1000 ITEMS / MONTH</t>
  </si>
  <si>
    <t>VARIANCE</t>
  </si>
  <si>
    <t>MATERIAL CODE CREATION</t>
  </si>
  <si>
    <t xml:space="preserve">REJECTED LOCAL MATERIAL RETURN TO VENDOR </t>
  </si>
  <si>
    <t>MONITORING OF STOCK OUT IN CONSUMABLE ITEMS</t>
  </si>
  <si>
    <t>MATERIAL PRESERVATION As per best practices</t>
  </si>
  <si>
    <t xml:space="preserve"> </t>
  </si>
  <si>
    <t>MONTHLY MONITORING OF SERVICE/JOBWORK RGP &amp; NGRP</t>
  </si>
  <si>
    <t>MONTHLY BASIS</t>
  </si>
  <si>
    <t xml:space="preserve">MONITORING/STORAGE OF RETURNED ITEMS 
(R CODE) </t>
  </si>
  <si>
    <t>MATERIAL SHELF LIFE (EXPIRY) MONITORING</t>
  </si>
  <si>
    <t>TOTAL INVENTORY VALUE</t>
  </si>
  <si>
    <t>SCRAP SALE VALUE (Monthly)</t>
  </si>
  <si>
    <t>MINES EQUIPMENT</t>
  </si>
  <si>
    <t>L&amp;T SM - 1</t>
  </si>
  <si>
    <t>L&amp;T SM - 2</t>
  </si>
  <si>
    <t>XCMG EXC - 1</t>
  </si>
  <si>
    <t xml:space="preserve">WL - 1 </t>
  </si>
  <si>
    <t>WL - 2</t>
  </si>
  <si>
    <t>FAW TR - 1</t>
  </si>
  <si>
    <t>FAW TR - 2</t>
  </si>
  <si>
    <t>HOWO TR - 1</t>
  </si>
  <si>
    <t>HOWO TR - 2</t>
  </si>
  <si>
    <t>HOWO TR - 3</t>
  </si>
  <si>
    <t>MONTHLY KEY PERFORMANCE INDICATOR</t>
  </si>
  <si>
    <t xml:space="preserve"> ACTUAL</t>
  </si>
  <si>
    <t>Running Hours - Cumulative</t>
  </si>
  <si>
    <t>Running Hours - Month</t>
  </si>
  <si>
    <t>Eq. Availability</t>
  </si>
  <si>
    <t>Production Rate / Running Hrs</t>
  </si>
  <si>
    <t>Utilization Rate</t>
  </si>
  <si>
    <t>Work Order Cycle Time</t>
  </si>
  <si>
    <t>Maintenance Downtime</t>
  </si>
  <si>
    <t>Mean Time Between Failure (MTBF)</t>
  </si>
  <si>
    <t>Maintenance Cost / Running Hrs</t>
  </si>
  <si>
    <t>TSH</t>
  </si>
  <si>
    <t>Tyre / Track Cost / Running Hrs</t>
  </si>
  <si>
    <t>Fuel Consumption / Running Hrs</t>
  </si>
  <si>
    <t>LPH</t>
  </si>
  <si>
    <t>Lubrication Consumption / Running Hrs</t>
  </si>
  <si>
    <t xml:space="preserve">LTRS </t>
  </si>
  <si>
    <t>Hydraulic Oil Consumption / Running Hrs</t>
  </si>
  <si>
    <t>PLANT EQUIPMENT</t>
  </si>
  <si>
    <t>ZOOMLION 180T</t>
  </si>
  <si>
    <t>ZOOMLION 70T</t>
  </si>
  <si>
    <t xml:space="preserve">ESCORT 13T - 1 </t>
  </si>
  <si>
    <t>ESCORT 13T - 2</t>
  </si>
  <si>
    <t>ESCORT 13T - 3</t>
  </si>
  <si>
    <t>JCB BACKHOE</t>
  </si>
  <si>
    <t>UTILITY VEHICLE</t>
  </si>
  <si>
    <t>GODREJ FORKLIFT</t>
  </si>
  <si>
    <t>GRVS COMPACTOR</t>
  </si>
  <si>
    <t>MAHINDRA TTR - 1</t>
  </si>
  <si>
    <t>MAHINDRA TTR - 2</t>
  </si>
  <si>
    <t>Total Available Time - Month</t>
  </si>
  <si>
    <t xml:space="preserve">NAI </t>
  </si>
  <si>
    <t>MTBF</t>
  </si>
  <si>
    <t>NIL</t>
  </si>
  <si>
    <t>Sl. No:</t>
  </si>
  <si>
    <t>Department</t>
  </si>
  <si>
    <t>Overtime Type</t>
  </si>
  <si>
    <t>No. of Hrs</t>
  </si>
  <si>
    <t>Value in TSH</t>
  </si>
  <si>
    <t>Remarks</t>
  </si>
  <si>
    <t>Full year KPI Tracker (Value in TSH)</t>
  </si>
  <si>
    <t>Total</t>
  </si>
  <si>
    <t>Target</t>
  </si>
  <si>
    <t>Actual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</si>
  <si>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</si>
  <si>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</si>
  <si>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</si>
  <si>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</si>
  <si>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</si>
  <si>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</si>
  <si>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</si>
  <si>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</si>
  <si>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</si>
  <si>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</si>
  <si>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</si>
  <si>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</si>
  <si>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Production</t>
  </si>
  <si>
    <t>OT1</t>
  </si>
  <si>
    <t>OT2</t>
  </si>
  <si>
    <t>Quality</t>
  </si>
  <si>
    <t>Mechanical</t>
  </si>
  <si>
    <t>Electrical</t>
  </si>
  <si>
    <t>Instrumentation</t>
  </si>
  <si>
    <t>Power Plant</t>
  </si>
  <si>
    <t>Quarrying</t>
  </si>
  <si>
    <t>HEM Maintenance</t>
  </si>
  <si>
    <t>Packing and Dispatch</t>
  </si>
  <si>
    <t>Stores</t>
  </si>
  <si>
    <t>HR &amp; Admin</t>
  </si>
  <si>
    <t>Accounts</t>
  </si>
  <si>
    <t>GR 42.5 : (+) 55Gms ,  
GR 32.5 : (+) 50Gms</t>
  </si>
  <si>
    <t>DONE</t>
  </si>
  <si>
    <t>Lock</t>
  </si>
  <si>
    <t>Civil</t>
  </si>
  <si>
    <t>Complied with regulatory bodies WIMA,EWURA</t>
  </si>
  <si>
    <t>Daily posting is done very rare pending incase on receipt of non- conformance materials</t>
  </si>
  <si>
    <t>Very rarely delaying in Posting incase of emergency Stores opening and materials issued, Manual requisition incase of approval pending in second level</t>
  </si>
  <si>
    <t>There is rarely delay incase an authoriused personels are on leave but no delay if User department has provided full correct details</t>
  </si>
  <si>
    <t xml:space="preserve">We ensure Min/ Max of  consumables </t>
  </si>
  <si>
    <t>Dust proof room for bearings, excessive heat is needed. Also concrete floor is needed in the stores yard</t>
  </si>
  <si>
    <t>More space is required to keep all refurbished items - on going job</t>
  </si>
  <si>
    <t>FIFO principle is being applied</t>
  </si>
  <si>
    <t>This excludes Raw materials, semi finished goods, finished goods (Cement) and quarry material</t>
  </si>
  <si>
    <t>Jamming of hopper, Insufficient hot gases</t>
  </si>
  <si>
    <t>Optimisation of drives was done so the auxiliairy power will start to decrease gradually below 10% during gradual increase of average threshold power of 7 MWhr and above consumption.</t>
  </si>
  <si>
    <t>-</t>
  </si>
  <si>
    <t>Nill</t>
  </si>
  <si>
    <t xml:space="preserve">ACE BACKHOE </t>
  </si>
  <si>
    <t>GR 42.5 : (+) 45Gms ,  
GR 32.5 : (+) 40Gms</t>
  </si>
  <si>
    <t>IT</t>
  </si>
  <si>
    <t>RESPONSIBILITY - Mr. Godhania &amp; Team</t>
  </si>
  <si>
    <t>RESPONSIBILITY - Mr. RAMESH PATEL &amp; TEAM</t>
  </si>
  <si>
    <t>RESPONSIBILITY - Mr. JAI PRAKASH &amp;  TEAM</t>
  </si>
  <si>
    <t>RESPONSIBILITY - Mr. ANBARASAN &amp; TEAM</t>
  </si>
  <si>
    <t>RESPONSIBILITY - Mr. JATINDER &amp; TEAM</t>
  </si>
  <si>
    <t>STORES :Mr. KISHORE &amp; TEAM</t>
  </si>
  <si>
    <t xml:space="preserve">Mr. YOGESH &amp; TEAM </t>
  </si>
  <si>
    <t>DEPARTMENT - PRODUCTION &amp; QUALITY CONTROL - JUNE 2026</t>
  </si>
  <si>
    <t>MINES WORKSHOP -JUNE  2026</t>
  </si>
  <si>
    <t>DEPARTMENT - MINES - June 2026</t>
  </si>
  <si>
    <t>RESPONSIBILITY - MUKESH AGRAWAL &amp; TEAM</t>
  </si>
  <si>
    <t>Blind road spot,Cavities,Road Slipery due to rainfall, Road potholes</t>
  </si>
  <si>
    <t>Apron feeder and crusher chute jamming, BC4,BC3&amp;BC5 cut and repair</t>
  </si>
  <si>
    <t>DEPARTMENT WISE OVERTIME - JUNE 2026</t>
  </si>
  <si>
    <t>Tzs Mio</t>
  </si>
  <si>
    <t>We have done stock taking of 560 items in the month of May, 2026 both classes A , B &amp; C. Class A -1Nos item Varience, Class B -No Varienace &amp; Class C- 3Nos items</t>
  </si>
  <si>
    <t>Total three (3) rejections and sending back to vendor depend on Availability of vehicle from Head Office Note: Tube AS- CA53386633 for SEM Loader 655D -2Nos, Nuts for  Hardware M30 x 100 mm long -262Nos  (142MM, 155mm &amp; 160mm)</t>
  </si>
  <si>
    <t>Scrap grinding media 53,238,000/=Tsh, Scrap liner plates 8,186,000/=Tsh, Scrap wooven bags 610,000/=Tsh, Scrap metal 76,434,216/=Tsh, Used grease 400,000/=Tsh, Scrap conveyor belt 4,800,000/=Tsh &amp; Empty steel barrel 10,000/=Tsh.</t>
  </si>
  <si>
    <t>DEPARTMENT - STORES - Jun 2026</t>
  </si>
  <si>
    <t>GR 42.5 : (+) 50Gms ,  
GR 32.5 : (+) 40Gms</t>
  </si>
  <si>
    <t>DEPARTMENT - E &amp; I - Jun 2026</t>
  </si>
  <si>
    <t>Pfister rotor jamming</t>
  </si>
  <si>
    <t>Slide shoe bearing pressure low</t>
  </si>
  <si>
    <t>Silofeed elevator belt broken</t>
  </si>
  <si>
    <t xml:space="preserve"> Moisture in lime stone </t>
  </si>
  <si>
    <t>Clinker 40798, Total cost 205722425. Out of which major expenses are Burner Tip set pipe(43067419) ,Flux cored wire(32203617)</t>
  </si>
  <si>
    <t>DEPARTMENT - MECHANICAL - Jun 2026</t>
  </si>
  <si>
    <t>Average Load achieved in June2026  was 7.02 MW (MTD) and less load resulted to use the steam directly from boiler for feed water heating to reduce the steam venting</t>
  </si>
  <si>
    <t>DEPARTMENT - POWER PLANT - Jun 2026</t>
  </si>
  <si>
    <t>Low level in silos in first &amp; last week of the month (total 7 days). Less Trucks last week of the month (total 3 days). There were stoppages of material not coming from Silos #1 &amp; 2 due to lumps.</t>
  </si>
  <si>
    <t>Due to Conveyor is 0.27% and due to Manufacturer is 0.13%. Rubber strips of Packer #2 Inclined had worn out last week, it caused too much bursting and also Polymers were coming out in Conveyors &amp; chutes, causing jamming and bursting. All have been rectified and further precautions been taken to avoid burstage and bring below 0.30%.</t>
  </si>
  <si>
    <t>50 kg bags is 1,670,761,994.32 Tzs and Big Bags (42.5N) is 54,369,220.67 Tzs. Bags inventory increasing due to GULF WAR going on, keeping excess to avoid shortages.</t>
  </si>
  <si>
    <t>DEPARTMENT - PACKING PLANT - 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</si>
</sst>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TSh&quot;#,##0.00"/>
    <numFmt numFmtId="166" formatCode="_-* #,##0_-;\-* #,##0_-;_-* &quot;-&quot;??_-;_-@_-"/>
    <numFmt numFmtId="167" formatCode="0.0"/>
    <numFmt numFmtId="168" formatCode="0.0%"/>
    <numFmt numFmtId="169" formatCode="&quot;TSh&quot;#,##0"/>
    <numFmt numFmtId="170" formatCode="###,###,##0.00"/>
    <numFmt numFmtId="171" formatCode="_-* #,##0.0_-;\-* #,##0.0_-;_-* &quot;-&quot;??_-;_-@_-"/>
    <numFmt numFmtId="172" formatCode="#,##0.0_);\(#,##0.0\)"/>
    <numFmt numFmtId="173" formatCode="_(* #,##0_);_(* \(#,##0\);_(* &quot;-&quot;??_);_(@_)"/>
    <numFmt numFmtId="174" formatCode="&quot;TSh&quot;#,##0.0"/>
    <numFmt numFmtId="175" formatCode="_-* #,##0.0_-;\-* #,##0.0_-;_-* &quot;-&quot;?_-;_-@_-"/>
    <numFmt numFmtId="176" formatCode="[$-409]mmm\-yy;@"/>
    <numFmt numFmtId="177" formatCode="0.00;[Red]0.00"/>
    <numFmt numFmtId="178" formatCode="0;[Red]0"/>
    <numFmt numFmtId="179" formatCode="0.000"/>
    <numFmt numFmtId="180" formatCode="#,##0.0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name val="Calibri"/>
      <charset val="134"/>
      <scheme val="minor"/>
    </font>
    <font>
      <b/>
      <sz val="12"/>
      <name val="Calibri"/>
      <charset val="134"/>
      <scheme val="minor"/>
    </font>
    <font>
      <strike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4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7" fontId="11" fillId="0" borderId="0" xfId="0" applyNumberFormat="1" applyFont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49" fontId="0" fillId="0" borderId="8" xfId="1" applyNumberFormat="1" applyFont="1" applyBorder="1" applyAlignment="1">
      <alignment horizontal="left" vertical="center" wrapText="1"/>
    </xf>
    <xf numFmtId="1" fontId="10" fillId="0" borderId="8" xfId="0" applyNumberFormat="1" applyFont="1" applyBorder="1" applyAlignment="1">
      <alignment horizontal="center" vertical="center" wrapText="1"/>
    </xf>
    <xf numFmtId="167" fontId="10" fillId="0" borderId="8" xfId="0" applyNumberFormat="1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9" fontId="10" fillId="0" borderId="8" xfId="0" applyNumberFormat="1" applyFont="1" applyBorder="1" applyAlignment="1">
      <alignment horizontal="center" vertical="center"/>
    </xf>
    <xf numFmtId="10" fontId="10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left" vertical="center" wrapText="1"/>
    </xf>
    <xf numFmtId="2" fontId="10" fillId="0" borderId="8" xfId="0" applyNumberFormat="1" applyFont="1" applyBorder="1" applyAlignment="1">
      <alignment horizontal="center" vertical="center" wrapText="1"/>
    </xf>
    <xf numFmtId="167" fontId="0" fillId="0" borderId="8" xfId="0" applyNumberFormat="1" applyBorder="1" applyAlignment="1">
      <alignment horizontal="center" vertical="center" wrapText="1"/>
    </xf>
    <xf numFmtId="167" fontId="10" fillId="0" borderId="8" xfId="0" applyNumberFormat="1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" fontId="15" fillId="0" borderId="8" xfId="0" applyNumberFormat="1" applyFont="1" applyBorder="1" applyAlignment="1">
      <alignment horizontal="center" vertical="center" wrapText="1"/>
    </xf>
    <xf numFmtId="167" fontId="15" fillId="0" borderId="8" xfId="0" applyNumberFormat="1" applyFon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15" fillId="0" borderId="8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9" fontId="10" fillId="0" borderId="8" xfId="0" applyNumberFormat="1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167" fontId="0" fillId="0" borderId="0" xfId="0" applyNumberFormat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167" fontId="0" fillId="0" borderId="12" xfId="0" applyNumberFormat="1" applyBorder="1" applyAlignment="1">
      <alignment horizontal="center" vertical="center" wrapText="1"/>
    </xf>
    <xf numFmtId="167" fontId="0" fillId="5" borderId="8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 wrapText="1"/>
    </xf>
    <xf numFmtId="9" fontId="0" fillId="5" borderId="8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2" fontId="0" fillId="0" borderId="8" xfId="0" applyNumberFormat="1" applyBorder="1" applyAlignment="1">
      <alignment vertical="center" wrapText="1"/>
    </xf>
    <xf numFmtId="0" fontId="0" fillId="5" borderId="8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0" fillId="0" borderId="22" xfId="0" applyBorder="1" applyAlignment="1">
      <alignment horizontal="left" vertical="center" wrapText="1"/>
    </xf>
    <xf numFmtId="0" fontId="15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0" fillId="0" borderId="8" xfId="0" quotePrefix="1" applyFont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3" fontId="10" fillId="0" borderId="8" xfId="0" applyNumberFormat="1" applyFont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10" fontId="23" fillId="0" borderId="8" xfId="0" applyNumberFormat="1" applyFont="1" applyBorder="1" applyAlignment="1">
      <alignment horizontal="center" vertical="center" wrapText="1"/>
    </xf>
    <xf numFmtId="3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 wrapText="1"/>
    </xf>
    <xf numFmtId="49" fontId="0" fillId="5" borderId="8" xfId="1" quotePrefix="1" applyNumberFormat="1" applyFont="1" applyFill="1" applyBorder="1" applyAlignment="1">
      <alignment horizontal="left" vertical="center" wrapText="1"/>
    </xf>
    <xf numFmtId="49" fontId="0" fillId="5" borderId="8" xfId="1" applyNumberFormat="1" applyFont="1" applyFill="1" applyBorder="1" applyAlignment="1">
      <alignment horizontal="left" vertical="center" wrapText="1"/>
    </xf>
    <xf numFmtId="49" fontId="19" fillId="5" borderId="8" xfId="1" applyNumberFormat="1" applyFont="1" applyFill="1" applyBorder="1" applyAlignment="1">
      <alignment horizontal="left" vertical="center" wrapText="1"/>
    </xf>
    <xf numFmtId="0" fontId="23" fillId="5" borderId="8" xfId="0" applyFont="1" applyFill="1" applyBorder="1" applyAlignment="1">
      <alignment horizontal="left" vertical="center" wrapText="1"/>
    </xf>
    <xf numFmtId="172" fontId="0" fillId="0" borderId="8" xfId="2" applyNumberFormat="1" applyFont="1" applyFill="1" applyBorder="1" applyAlignment="1">
      <alignment horizontal="center" vertical="center" wrapText="1"/>
    </xf>
    <xf numFmtId="0" fontId="23" fillId="0" borderId="8" xfId="0" applyFont="1" applyBorder="1" applyAlignment="1">
      <alignment vertical="center" wrapText="1"/>
    </xf>
    <xf numFmtId="167" fontId="23" fillId="0" borderId="8" xfId="0" applyNumberFormat="1" applyFont="1" applyBorder="1" applyAlignment="1">
      <alignment horizontal="center" vertical="center" wrapText="1"/>
    </xf>
    <xf numFmtId="1" fontId="23" fillId="0" borderId="8" xfId="0" applyNumberFormat="1" applyFont="1" applyBorder="1" applyAlignment="1">
      <alignment horizontal="left" vertical="center" wrapText="1"/>
    </xf>
    <xf numFmtId="172" fontId="23" fillId="0" borderId="8" xfId="2" applyNumberFormat="1" applyFont="1" applyFill="1" applyBorder="1" applyAlignment="1">
      <alignment horizontal="center" vertical="center" wrapText="1"/>
    </xf>
    <xf numFmtId="37" fontId="0" fillId="0" borderId="8" xfId="2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167" fontId="5" fillId="0" borderId="8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left" vertical="center" wrapText="1"/>
    </xf>
    <xf numFmtId="0" fontId="0" fillId="5" borderId="0" xfId="0" applyFill="1"/>
    <xf numFmtId="0" fontId="0" fillId="5" borderId="0" xfId="0" applyFill="1" applyAlignment="1">
      <alignment vertical="center" wrapText="1"/>
    </xf>
    <xf numFmtId="0" fontId="17" fillId="5" borderId="4" xfId="0" applyFont="1" applyFill="1" applyBorder="1" applyAlignment="1">
      <alignment horizontal="left" vertical="center" wrapText="1" indent="1"/>
    </xf>
    <xf numFmtId="0" fontId="17" fillId="5" borderId="0" xfId="0" applyFont="1" applyFill="1" applyAlignment="1">
      <alignment horizontal="left" vertical="center" wrapText="1" indent="1"/>
    </xf>
    <xf numFmtId="0" fontId="17" fillId="5" borderId="5" xfId="0" applyFont="1" applyFill="1" applyBorder="1" applyAlignment="1">
      <alignment horizontal="left" vertical="center" wrapText="1" indent="1"/>
    </xf>
    <xf numFmtId="0" fontId="0" fillId="5" borderId="8" xfId="0" applyFill="1" applyBorder="1" applyAlignment="1">
      <alignment horizontal="left" vertical="center" wrapText="1" indent="1"/>
    </xf>
    <xf numFmtId="0" fontId="0" fillId="5" borderId="24" xfId="0" applyFill="1" applyBorder="1" applyAlignment="1">
      <alignment horizontal="left" vertical="center" wrapText="1" indent="1"/>
    </xf>
    <xf numFmtId="0" fontId="0" fillId="5" borderId="29" xfId="0" applyFill="1" applyBorder="1" applyAlignment="1">
      <alignment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0" fillId="5" borderId="20" xfId="0" applyFill="1" applyBorder="1" applyAlignment="1">
      <alignment horizontal="left" vertical="center" wrapText="1" indent="1"/>
    </xf>
    <xf numFmtId="0" fontId="0" fillId="5" borderId="35" xfId="0" applyFill="1" applyBorder="1" applyAlignment="1">
      <alignment vertical="center" wrapText="1"/>
    </xf>
    <xf numFmtId="0" fontId="23" fillId="5" borderId="20" xfId="0" applyFont="1" applyFill="1" applyBorder="1" applyAlignment="1">
      <alignment horizontal="left" vertical="center" wrapText="1" indent="1"/>
    </xf>
    <xf numFmtId="0" fontId="0" fillId="5" borderId="0" xfId="0" applyFill="1" applyAlignment="1">
      <alignment horizontal="left" vertical="center" wrapText="1" indent="1"/>
    </xf>
    <xf numFmtId="165" fontId="0" fillId="5" borderId="20" xfId="0" applyNumberFormat="1" applyFill="1" applyBorder="1" applyAlignment="1">
      <alignment horizontal="left" vertical="center" wrapText="1" indent="1"/>
    </xf>
    <xf numFmtId="165" fontId="0" fillId="5" borderId="0" xfId="0" applyNumberFormat="1" applyFill="1"/>
    <xf numFmtId="0" fontId="0" fillId="5" borderId="37" xfId="0" applyFill="1" applyBorder="1" applyAlignment="1">
      <alignment horizontal="left" vertical="center" wrapText="1" indent="1"/>
    </xf>
    <xf numFmtId="0" fontId="17" fillId="5" borderId="8" xfId="0" applyFont="1" applyFill="1" applyBorder="1" applyAlignment="1">
      <alignment horizontal="left" vertical="center" wrapText="1" indent="1"/>
    </xf>
    <xf numFmtId="0" fontId="17" fillId="5" borderId="8" xfId="0" applyFont="1" applyFill="1" applyBorder="1" applyAlignment="1">
      <alignment vertical="center" wrapText="1"/>
    </xf>
    <xf numFmtId="0" fontId="23" fillId="5" borderId="8" xfId="0" quotePrefix="1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wrapText="1"/>
    </xf>
    <xf numFmtId="164" fontId="0" fillId="5" borderId="21" xfId="0" quotePrefix="1" applyNumberFormat="1" applyFill="1" applyBorder="1" applyAlignment="1">
      <alignment horizontal="center"/>
    </xf>
    <xf numFmtId="0" fontId="0" fillId="5" borderId="8" xfId="0" quotePrefix="1" applyFill="1" applyBorder="1" applyAlignment="1">
      <alignment horizontal="center" vertical="center" wrapText="1"/>
    </xf>
    <xf numFmtId="173" fontId="0" fillId="0" borderId="21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70" fontId="25" fillId="0" borderId="8" xfId="0" applyNumberFormat="1" applyFont="1" applyBorder="1" applyAlignment="1">
      <alignment horizontal="left" vertical="center" wrapText="1"/>
    </xf>
    <xf numFmtId="172" fontId="23" fillId="0" borderId="8" xfId="2" applyNumberFormat="1" applyFont="1" applyFill="1" applyBorder="1" applyAlignment="1">
      <alignment horizontal="left" vertical="center" wrapText="1"/>
    </xf>
    <xf numFmtId="43" fontId="0" fillId="0" borderId="0" xfId="1" applyFont="1" applyAlignment="1">
      <alignment vertical="center"/>
    </xf>
    <xf numFmtId="43" fontId="17" fillId="2" borderId="13" xfId="1" applyFont="1" applyFill="1" applyBorder="1" applyAlignment="1">
      <alignment horizontal="center" vertical="center"/>
    </xf>
    <xf numFmtId="0" fontId="24" fillId="0" borderId="8" xfId="0" applyFont="1" applyBorder="1" applyAlignment="1">
      <alignment vertical="center"/>
    </xf>
    <xf numFmtId="43" fontId="17" fillId="0" borderId="42" xfId="1" applyFont="1" applyBorder="1" applyAlignment="1">
      <alignment vertical="center"/>
    </xf>
    <xf numFmtId="173" fontId="0" fillId="0" borderId="8" xfId="1" applyNumberFormat="1" applyFont="1" applyBorder="1" applyAlignment="1">
      <alignment horizontal="center" vertical="center"/>
    </xf>
    <xf numFmtId="173" fontId="0" fillId="0" borderId="9" xfId="1" applyNumberFormat="1" applyFont="1" applyBorder="1" applyAlignment="1">
      <alignment horizontal="center" vertical="center"/>
    </xf>
    <xf numFmtId="173" fontId="17" fillId="0" borderId="42" xfId="1" applyNumberFormat="1" applyFont="1" applyBorder="1" applyAlignment="1">
      <alignment horizontal="center" vertical="center"/>
    </xf>
    <xf numFmtId="0" fontId="17" fillId="5" borderId="46" xfId="0" applyFont="1" applyFill="1" applyBorder="1" applyAlignment="1">
      <alignment horizontal="left" vertical="center" wrapText="1" indent="1"/>
    </xf>
    <xf numFmtId="0" fontId="17" fillId="5" borderId="47" xfId="0" applyFont="1" applyFill="1" applyBorder="1" applyAlignment="1">
      <alignment horizontal="left" vertical="center" wrapText="1" indent="1"/>
    </xf>
    <xf numFmtId="0" fontId="17" fillId="5" borderId="30" xfId="0" applyFont="1" applyFill="1" applyBorder="1" applyAlignment="1">
      <alignment wrapText="1"/>
    </xf>
    <xf numFmtId="0" fontId="17" fillId="5" borderId="31" xfId="0" applyFont="1" applyFill="1" applyBorder="1" applyAlignment="1">
      <alignment wrapText="1"/>
    </xf>
    <xf numFmtId="0" fontId="17" fillId="5" borderId="33" xfId="0" applyFont="1" applyFill="1" applyBorder="1" applyAlignment="1">
      <alignment wrapText="1"/>
    </xf>
    <xf numFmtId="0" fontId="17" fillId="5" borderId="32" xfId="0" applyFont="1" applyFill="1" applyBorder="1" applyAlignment="1">
      <alignment wrapText="1"/>
    </xf>
    <xf numFmtId="0" fontId="17" fillId="5" borderId="28" xfId="0" applyFont="1" applyFill="1" applyBorder="1" applyAlignment="1">
      <alignment wrapText="1"/>
    </xf>
    <xf numFmtId="0" fontId="17" fillId="5" borderId="13" xfId="0" applyFont="1" applyFill="1" applyBorder="1" applyAlignment="1">
      <alignment wrapText="1"/>
    </xf>
    <xf numFmtId="0" fontId="17" fillId="5" borderId="24" xfId="0" applyFont="1" applyFill="1" applyBorder="1" applyAlignment="1">
      <alignment wrapText="1"/>
    </xf>
    <xf numFmtId="0" fontId="17" fillId="5" borderId="48" xfId="0" applyFont="1" applyFill="1" applyBorder="1" applyAlignment="1">
      <alignment wrapText="1"/>
    </xf>
    <xf numFmtId="0" fontId="0" fillId="5" borderId="36" xfId="0" applyFill="1" applyBorder="1" applyAlignment="1">
      <alignment horizontal="left" vertical="center" wrapText="1" indent="1"/>
    </xf>
    <xf numFmtId="0" fontId="17" fillId="5" borderId="15" xfId="0" applyFont="1" applyFill="1" applyBorder="1" applyAlignment="1">
      <alignment horizontal="center" wrapText="1"/>
    </xf>
    <xf numFmtId="164" fontId="17" fillId="5" borderId="49" xfId="0" applyNumberFormat="1" applyFont="1" applyFill="1" applyBorder="1" applyAlignment="1">
      <alignment horizontal="center" wrapText="1"/>
    </xf>
    <xf numFmtId="0" fontId="17" fillId="5" borderId="20" xfId="0" applyFont="1" applyFill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17" fillId="5" borderId="35" xfId="0" applyFont="1" applyFill="1" applyBorder="1" applyAlignment="1">
      <alignment horizontal="center" wrapText="1"/>
    </xf>
    <xf numFmtId="0" fontId="23" fillId="5" borderId="35" xfId="0" applyFont="1" applyFill="1" applyBorder="1" applyAlignment="1">
      <alignment horizontal="center" wrapText="1"/>
    </xf>
    <xf numFmtId="9" fontId="23" fillId="5" borderId="15" xfId="0" applyNumberFormat="1" applyFont="1" applyFill="1" applyBorder="1" applyAlignment="1">
      <alignment horizontal="center" wrapText="1"/>
    </xf>
    <xf numFmtId="9" fontId="0" fillId="5" borderId="16" xfId="0" applyNumberFormat="1" applyFill="1" applyBorder="1" applyAlignment="1">
      <alignment horizontal="center" wrapText="1"/>
    </xf>
    <xf numFmtId="9" fontId="0" fillId="5" borderId="9" xfId="0" applyNumberFormat="1" applyFill="1" applyBorder="1" applyAlignment="1">
      <alignment horizontal="center" wrapText="1"/>
    </xf>
    <xf numFmtId="9" fontId="23" fillId="5" borderId="21" xfId="0" applyNumberFormat="1" applyFont="1" applyFill="1" applyBorder="1" applyAlignment="1">
      <alignment horizontal="center" wrapText="1"/>
    </xf>
    <xf numFmtId="9" fontId="23" fillId="5" borderId="20" xfId="0" applyNumberFormat="1" applyFont="1" applyFill="1" applyBorder="1" applyAlignment="1">
      <alignment horizontal="center" wrapText="1"/>
    </xf>
    <xf numFmtId="9" fontId="0" fillId="5" borderId="36" xfId="0" applyNumberFormat="1" applyFill="1" applyBorder="1" applyAlignment="1">
      <alignment horizontal="center" wrapText="1"/>
    </xf>
    <xf numFmtId="0" fontId="23" fillId="5" borderId="35" xfId="0" quotePrefix="1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/>
    </xf>
    <xf numFmtId="167" fontId="0" fillId="5" borderId="16" xfId="1" applyNumberFormat="1" applyFont="1" applyFill="1" applyBorder="1" applyAlignment="1">
      <alignment horizontal="center"/>
    </xf>
    <xf numFmtId="167" fontId="0" fillId="5" borderId="15" xfId="1" applyNumberFormat="1" applyFont="1" applyFill="1" applyBorder="1" applyAlignment="1">
      <alignment horizontal="center"/>
    </xf>
    <xf numFmtId="167" fontId="0" fillId="5" borderId="9" xfId="1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 wrapText="1"/>
    </xf>
    <xf numFmtId="0" fontId="17" fillId="5" borderId="36" xfId="0" applyFont="1" applyFill="1" applyBorder="1" applyAlignment="1">
      <alignment horizontal="center" wrapText="1"/>
    </xf>
    <xf numFmtId="168" fontId="23" fillId="5" borderId="15" xfId="0" applyNumberFormat="1" applyFont="1" applyFill="1" applyBorder="1" applyAlignment="1">
      <alignment horizontal="center" wrapText="1"/>
    </xf>
    <xf numFmtId="168" fontId="0" fillId="5" borderId="16" xfId="0" applyNumberFormat="1" applyFill="1" applyBorder="1" applyAlignment="1">
      <alignment horizontal="center" wrapText="1"/>
    </xf>
    <xf numFmtId="168" fontId="0" fillId="5" borderId="9" xfId="0" applyNumberFormat="1" applyFill="1" applyBorder="1" applyAlignment="1">
      <alignment horizontal="center" wrapText="1"/>
    </xf>
    <xf numFmtId="168" fontId="23" fillId="5" borderId="21" xfId="0" applyNumberFormat="1" applyFont="1" applyFill="1" applyBorder="1" applyAlignment="1">
      <alignment horizontal="center" wrapText="1"/>
    </xf>
    <xf numFmtId="168" fontId="23" fillId="5" borderId="20" xfId="0" applyNumberFormat="1" applyFont="1" applyFill="1" applyBorder="1" applyAlignment="1">
      <alignment horizontal="center" wrapText="1"/>
    </xf>
    <xf numFmtId="168" fontId="0" fillId="5" borderId="36" xfId="0" applyNumberFormat="1" applyFill="1" applyBorder="1" applyAlignment="1">
      <alignment horizontal="center" wrapText="1"/>
    </xf>
    <xf numFmtId="167" fontId="0" fillId="5" borderId="16" xfId="0" applyNumberFormat="1" applyFill="1" applyBorder="1" applyAlignment="1">
      <alignment horizontal="center" wrapText="1"/>
    </xf>
    <xf numFmtId="167" fontId="0" fillId="5" borderId="15" xfId="0" applyNumberFormat="1" applyFill="1" applyBorder="1" applyAlignment="1">
      <alignment horizontal="center" wrapText="1"/>
    </xf>
    <xf numFmtId="167" fontId="0" fillId="5" borderId="9" xfId="0" applyNumberFormat="1" applyFill="1" applyBorder="1" applyAlignment="1">
      <alignment horizontal="center" wrapText="1"/>
    </xf>
    <xf numFmtId="0" fontId="0" fillId="5" borderId="21" xfId="0" applyFill="1" applyBorder="1" applyAlignment="1">
      <alignment horizontal="center" wrapText="1"/>
    </xf>
    <xf numFmtId="0" fontId="0" fillId="5" borderId="16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5" borderId="20" xfId="0" applyFill="1" applyBorder="1" applyAlignment="1">
      <alignment horizontal="center" wrapText="1"/>
    </xf>
    <xf numFmtId="0" fontId="0" fillId="5" borderId="36" xfId="0" applyFill="1" applyBorder="1" applyAlignment="1">
      <alignment horizontal="center" wrapText="1"/>
    </xf>
    <xf numFmtId="167" fontId="0" fillId="5" borderId="21" xfId="0" applyNumberFormat="1" applyFill="1" applyBorder="1" applyAlignment="1">
      <alignment horizontal="center" wrapText="1"/>
    </xf>
    <xf numFmtId="167" fontId="0" fillId="5" borderId="20" xfId="0" applyNumberFormat="1" applyFill="1" applyBorder="1" applyAlignment="1">
      <alignment horizontal="center" wrapText="1"/>
    </xf>
    <xf numFmtId="167" fontId="0" fillId="5" borderId="36" xfId="0" applyNumberFormat="1" applyFill="1" applyBorder="1" applyAlignment="1">
      <alignment horizontal="center" wrapText="1"/>
    </xf>
    <xf numFmtId="0" fontId="0" fillId="5" borderId="49" xfId="0" applyFill="1" applyBorder="1" applyAlignment="1">
      <alignment horizontal="center" wrapText="1"/>
    </xf>
    <xf numFmtId="0" fontId="0" fillId="5" borderId="49" xfId="1" quotePrefix="1" applyNumberFormat="1" applyFont="1" applyFill="1" applyBorder="1" applyAlignment="1">
      <alignment horizontal="center"/>
    </xf>
    <xf numFmtId="167" fontId="0" fillId="5" borderId="21" xfId="1" applyNumberFormat="1" applyFont="1" applyFill="1" applyBorder="1" applyAlignment="1">
      <alignment horizontal="center"/>
    </xf>
    <xf numFmtId="167" fontId="0" fillId="5" borderId="20" xfId="1" applyNumberFormat="1" applyFont="1" applyFill="1" applyBorder="1" applyAlignment="1">
      <alignment horizontal="center"/>
    </xf>
    <xf numFmtId="0" fontId="0" fillId="5" borderId="35" xfId="0" applyFill="1" applyBorder="1" applyAlignment="1">
      <alignment horizontal="center" vertical="center" wrapText="1"/>
    </xf>
    <xf numFmtId="169" fontId="0" fillId="5" borderId="15" xfId="0" applyNumberFormat="1" applyFill="1" applyBorder="1" applyAlignment="1">
      <alignment horizontal="center" wrapText="1"/>
    </xf>
    <xf numFmtId="169" fontId="0" fillId="5" borderId="16" xfId="0" applyNumberFormat="1" applyFill="1" applyBorder="1" applyAlignment="1">
      <alignment horizontal="center" wrapText="1"/>
    </xf>
    <xf numFmtId="169" fontId="0" fillId="5" borderId="9" xfId="0" applyNumberFormat="1" applyFill="1" applyBorder="1" applyAlignment="1">
      <alignment horizontal="center" wrapText="1"/>
    </xf>
    <xf numFmtId="169" fontId="0" fillId="5" borderId="21" xfId="0" applyNumberFormat="1" applyFill="1" applyBorder="1" applyAlignment="1">
      <alignment horizontal="center" wrapText="1"/>
    </xf>
    <xf numFmtId="169" fontId="25" fillId="5" borderId="16" xfId="0" applyNumberFormat="1" applyFont="1" applyFill="1" applyBorder="1" applyAlignment="1">
      <alignment horizontal="center" wrapText="1"/>
    </xf>
    <xf numFmtId="169" fontId="0" fillId="5" borderId="20" xfId="0" applyNumberFormat="1" applyFill="1" applyBorder="1" applyAlignment="1">
      <alignment horizontal="center" wrapText="1"/>
    </xf>
    <xf numFmtId="169" fontId="0" fillId="5" borderId="36" xfId="0" applyNumberFormat="1" applyFill="1" applyBorder="1" applyAlignment="1">
      <alignment horizontal="center" wrapText="1"/>
    </xf>
    <xf numFmtId="165" fontId="0" fillId="5" borderId="36" xfId="0" applyNumberFormat="1" applyFill="1" applyBorder="1" applyAlignment="1">
      <alignment horizontal="left" vertical="center" wrapText="1" indent="1"/>
    </xf>
    <xf numFmtId="165" fontId="0" fillId="5" borderId="35" xfId="0" quotePrefix="1" applyNumberFormat="1" applyFill="1" applyBorder="1" applyAlignment="1">
      <alignment horizontal="center" vertical="center" wrapText="1"/>
    </xf>
    <xf numFmtId="169" fontId="0" fillId="5" borderId="16" xfId="1" applyNumberFormat="1" applyFont="1" applyFill="1" applyBorder="1" applyAlignment="1">
      <alignment horizontal="center"/>
    </xf>
    <xf numFmtId="169" fontId="0" fillId="5" borderId="36" xfId="1" applyNumberFormat="1" applyFont="1" applyFill="1" applyBorder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5" borderId="35" xfId="0" quotePrefix="1" applyFill="1" applyBorder="1" applyAlignment="1">
      <alignment horizontal="center" vertical="center" wrapText="1"/>
    </xf>
    <xf numFmtId="2" fontId="0" fillId="5" borderId="15" xfId="0" applyNumberFormat="1" applyFill="1" applyBorder="1" applyAlignment="1">
      <alignment horizontal="center" wrapText="1"/>
    </xf>
    <xf numFmtId="2" fontId="0" fillId="5" borderId="16" xfId="0" applyNumberFormat="1" applyFill="1" applyBorder="1" applyAlignment="1">
      <alignment horizontal="center" wrapText="1"/>
    </xf>
    <xf numFmtId="2" fontId="0" fillId="5" borderId="15" xfId="3" applyNumberFormat="1" applyFont="1" applyFill="1" applyBorder="1" applyAlignment="1">
      <alignment horizontal="center" wrapText="1"/>
    </xf>
    <xf numFmtId="2" fontId="0" fillId="5" borderId="16" xfId="1" applyNumberFormat="1" applyFont="1" applyFill="1" applyBorder="1" applyAlignment="1">
      <alignment horizontal="center"/>
    </xf>
    <xf numFmtId="2" fontId="0" fillId="5" borderId="9" xfId="1" quotePrefix="1" applyNumberFormat="1" applyFont="1" applyFill="1" applyBorder="1" applyAlignment="1">
      <alignment horizontal="center"/>
    </xf>
    <xf numFmtId="2" fontId="0" fillId="5" borderId="21" xfId="0" applyNumberFormat="1" applyFill="1" applyBorder="1" applyAlignment="1">
      <alignment horizontal="center" wrapText="1"/>
    </xf>
    <xf numFmtId="43" fontId="0" fillId="5" borderId="16" xfId="1" applyFont="1" applyFill="1" applyBorder="1" applyAlignment="1">
      <alignment horizontal="center"/>
    </xf>
    <xf numFmtId="2" fontId="0" fillId="5" borderId="20" xfId="0" applyNumberFormat="1" applyFill="1" applyBorder="1" applyAlignment="1">
      <alignment horizontal="center" wrapText="1"/>
    </xf>
    <xf numFmtId="2" fontId="0" fillId="5" borderId="36" xfId="1" applyNumberFormat="1" applyFont="1" applyFill="1" applyBorder="1" applyAlignment="1">
      <alignment horizontal="center"/>
    </xf>
    <xf numFmtId="2" fontId="0" fillId="5" borderId="16" xfId="3" applyNumberFormat="1" applyFont="1" applyFill="1" applyBorder="1" applyAlignment="1">
      <alignment horizontal="center" wrapText="1"/>
    </xf>
    <xf numFmtId="2" fontId="0" fillId="5" borderId="9" xfId="3" applyNumberFormat="1" applyFont="1" applyFill="1" applyBorder="1" applyAlignment="1">
      <alignment horizontal="center" wrapText="1"/>
    </xf>
    <xf numFmtId="2" fontId="0" fillId="5" borderId="21" xfId="3" applyNumberFormat="1" applyFont="1" applyFill="1" applyBorder="1" applyAlignment="1">
      <alignment horizontal="center" wrapText="1"/>
    </xf>
    <xf numFmtId="2" fontId="0" fillId="5" borderId="9" xfId="0" applyNumberFormat="1" applyFill="1" applyBorder="1" applyAlignment="1">
      <alignment horizontal="center" wrapText="1"/>
    </xf>
    <xf numFmtId="2" fontId="0" fillId="5" borderId="20" xfId="3" applyNumberFormat="1" applyFont="1" applyFill="1" applyBorder="1" applyAlignment="1">
      <alignment horizontal="center" wrapText="1"/>
    </xf>
    <xf numFmtId="2" fontId="0" fillId="5" borderId="36" xfId="0" applyNumberFormat="1" applyFill="1" applyBorder="1" applyAlignment="1">
      <alignment horizontal="center" wrapText="1"/>
    </xf>
    <xf numFmtId="0" fontId="0" fillId="5" borderId="38" xfId="0" applyFill="1" applyBorder="1" applyAlignment="1">
      <alignment horizontal="left" vertical="center" wrapText="1" indent="1"/>
    </xf>
    <xf numFmtId="0" fontId="0" fillId="5" borderId="41" xfId="0" quotePrefix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wrapText="1"/>
    </xf>
    <xf numFmtId="164" fontId="0" fillId="5" borderId="19" xfId="0" applyNumberFormat="1" applyFill="1" applyBorder="1" applyAlignment="1">
      <alignment horizontal="center" wrapText="1"/>
    </xf>
    <xf numFmtId="167" fontId="0" fillId="5" borderId="17" xfId="3" applyNumberFormat="1" applyFont="1" applyFill="1" applyBorder="1" applyAlignment="1">
      <alignment horizontal="center" wrapText="1"/>
    </xf>
    <xf numFmtId="2" fontId="0" fillId="5" borderId="39" xfId="3" applyNumberFormat="1" applyFont="1" applyFill="1" applyBorder="1" applyAlignment="1">
      <alignment horizontal="center" wrapText="1"/>
    </xf>
    <xf numFmtId="2" fontId="0" fillId="5" borderId="17" xfId="3" applyNumberFormat="1" applyFont="1" applyFill="1" applyBorder="1" applyAlignment="1">
      <alignment horizontal="center" wrapText="1"/>
    </xf>
    <xf numFmtId="2" fontId="0" fillId="5" borderId="19" xfId="3" applyNumberFormat="1" applyFont="1" applyFill="1" applyBorder="1" applyAlignment="1">
      <alignment horizontal="center" wrapText="1"/>
    </xf>
    <xf numFmtId="2" fontId="0" fillId="5" borderId="40" xfId="3" applyNumberFormat="1" applyFont="1" applyFill="1" applyBorder="1" applyAlignment="1">
      <alignment horizontal="center" wrapText="1"/>
    </xf>
    <xf numFmtId="2" fontId="0" fillId="5" borderId="37" xfId="3" applyNumberFormat="1" applyFont="1" applyFill="1" applyBorder="1" applyAlignment="1">
      <alignment horizontal="center" wrapText="1"/>
    </xf>
    <xf numFmtId="2" fontId="0" fillId="5" borderId="38" xfId="3" applyNumberFormat="1" applyFont="1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173" fontId="23" fillId="0" borderId="8" xfId="1" applyNumberFormat="1" applyFont="1" applyBorder="1" applyAlignment="1">
      <alignment horizontal="center" vertical="center" wrapText="1"/>
    </xf>
    <xf numFmtId="1" fontId="23" fillId="0" borderId="8" xfId="0" applyNumberFormat="1" applyFont="1" applyBorder="1" applyAlignment="1">
      <alignment horizontal="center" vertical="center" wrapText="1"/>
    </xf>
    <xf numFmtId="167" fontId="4" fillId="0" borderId="8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37" fontId="23" fillId="0" borderId="8" xfId="2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1" fontId="4" fillId="0" borderId="8" xfId="0" applyNumberFormat="1" applyFont="1" applyBorder="1" applyAlignment="1">
      <alignment horizontal="left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167" fontId="4" fillId="0" borderId="8" xfId="0" applyNumberFormat="1" applyFont="1" applyBorder="1" applyAlignment="1">
      <alignment horizontal="left" vertical="center" wrapText="1"/>
    </xf>
    <xf numFmtId="2" fontId="4" fillId="0" borderId="8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2" fontId="28" fillId="0" borderId="8" xfId="0" applyNumberFormat="1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wrapText="1"/>
    </xf>
    <xf numFmtId="0" fontId="17" fillId="5" borderId="21" xfId="0" applyFont="1" applyFill="1" applyBorder="1" applyAlignment="1">
      <alignment horizontal="center" wrapText="1"/>
    </xf>
    <xf numFmtId="0" fontId="17" fillId="5" borderId="8" xfId="0" applyFont="1" applyFill="1" applyBorder="1" applyAlignment="1">
      <alignment horizontal="center" wrapText="1"/>
    </xf>
    <xf numFmtId="174" fontId="17" fillId="5" borderId="8" xfId="0" applyNumberFormat="1" applyFont="1" applyFill="1" applyBorder="1" applyAlignment="1">
      <alignment horizontal="center" wrapText="1"/>
    </xf>
    <xf numFmtId="2" fontId="17" fillId="5" borderId="8" xfId="0" applyNumberFormat="1" applyFont="1" applyFill="1" applyBorder="1" applyAlignment="1">
      <alignment horizontal="center" wrapText="1"/>
    </xf>
    <xf numFmtId="43" fontId="3" fillId="5" borderId="16" xfId="1" quotePrefix="1" applyFont="1" applyFill="1" applyBorder="1" applyAlignment="1">
      <alignment horizontal="center"/>
    </xf>
    <xf numFmtId="164" fontId="3" fillId="5" borderId="16" xfId="0" quotePrefix="1" applyNumberFormat="1" applyFont="1" applyFill="1" applyBorder="1" applyAlignment="1">
      <alignment horizontal="center"/>
    </xf>
    <xf numFmtId="164" fontId="3" fillId="5" borderId="9" xfId="0" quotePrefix="1" applyNumberFormat="1" applyFont="1" applyFill="1" applyBorder="1" applyAlignment="1">
      <alignment horizontal="center"/>
    </xf>
    <xf numFmtId="171" fontId="3" fillId="5" borderId="49" xfId="0" quotePrefix="1" applyNumberFormat="1" applyFont="1" applyFill="1" applyBorder="1" applyAlignment="1">
      <alignment horizontal="center"/>
    </xf>
    <xf numFmtId="171" fontId="3" fillId="5" borderId="21" xfId="0" quotePrefix="1" applyNumberFormat="1" applyFont="1" applyFill="1" applyBorder="1" applyAlignment="1">
      <alignment horizontal="center"/>
    </xf>
    <xf numFmtId="166" fontId="3" fillId="5" borderId="49" xfId="0" quotePrefix="1" applyNumberFormat="1" applyFont="1" applyFill="1" applyBorder="1" applyAlignment="1">
      <alignment horizontal="center"/>
    </xf>
    <xf numFmtId="164" fontId="3" fillId="5" borderId="36" xfId="0" quotePrefix="1" applyNumberFormat="1" applyFont="1" applyFill="1" applyBorder="1" applyAlignment="1">
      <alignment horizontal="center"/>
    </xf>
    <xf numFmtId="0" fontId="3" fillId="5" borderId="49" xfId="1" quotePrefix="1" applyNumberFormat="1" applyFont="1" applyFill="1" applyBorder="1" applyAlignment="1">
      <alignment horizontal="center"/>
    </xf>
    <xf numFmtId="0" fontId="3" fillId="5" borderId="16" xfId="1" quotePrefix="1" applyNumberFormat="1" applyFont="1" applyFill="1" applyBorder="1" applyAlignment="1">
      <alignment horizontal="center"/>
    </xf>
    <xf numFmtId="164" fontId="3" fillId="5" borderId="49" xfId="0" quotePrefix="1" applyNumberFormat="1" applyFont="1" applyFill="1" applyBorder="1" applyAlignment="1">
      <alignment horizontal="center"/>
    </xf>
    <xf numFmtId="0" fontId="3" fillId="5" borderId="49" xfId="0" applyFont="1" applyFill="1" applyBorder="1" applyAlignment="1">
      <alignment horizontal="center"/>
    </xf>
    <xf numFmtId="164" fontId="0" fillId="5" borderId="16" xfId="0" applyNumberFormat="1" applyFill="1" applyBorder="1" applyAlignment="1">
      <alignment horizontal="center" wrapText="1"/>
    </xf>
    <xf numFmtId="175" fontId="0" fillId="5" borderId="16" xfId="0" applyNumberFormat="1" applyFill="1" applyBorder="1" applyAlignment="1">
      <alignment horizontal="center" wrapText="1"/>
    </xf>
    <xf numFmtId="2" fontId="3" fillId="5" borderId="16" xfId="1" applyNumberFormat="1" applyFont="1" applyFill="1" applyBorder="1" applyAlignment="1">
      <alignment horizontal="center"/>
    </xf>
    <xf numFmtId="0" fontId="3" fillId="5" borderId="21" xfId="0" quotePrefix="1" applyFont="1" applyFill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167" fontId="17" fillId="6" borderId="8" xfId="0" applyNumberFormat="1" applyFont="1" applyFill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 wrapText="1"/>
    </xf>
    <xf numFmtId="167" fontId="0" fillId="0" borderId="8" xfId="0" applyNumberFormat="1" applyBorder="1" applyAlignment="1">
      <alignment vertical="center" wrapText="1"/>
    </xf>
    <xf numFmtId="0" fontId="30" fillId="0" borderId="8" xfId="0" applyFont="1" applyBorder="1" applyAlignment="1">
      <alignment vertical="center" wrapText="1"/>
    </xf>
    <xf numFmtId="167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8" xfId="0" quotePrefix="1" applyFont="1" applyBorder="1" applyAlignment="1">
      <alignment horizontal="center" vertical="center" wrapText="1"/>
    </xf>
    <xf numFmtId="167" fontId="3" fillId="0" borderId="8" xfId="1" applyNumberFormat="1" applyFont="1" applyBorder="1" applyAlignment="1">
      <alignment horizontal="center" vertical="center"/>
    </xf>
    <xf numFmtId="0" fontId="23" fillId="0" borderId="20" xfId="0" applyFont="1" applyBorder="1" applyAlignment="1">
      <alignment vertical="center" wrapText="1"/>
    </xf>
    <xf numFmtId="1" fontId="3" fillId="0" borderId="8" xfId="1" applyNumberFormat="1" applyFont="1" applyBorder="1" applyAlignment="1">
      <alignment horizontal="center" vertical="center"/>
    </xf>
    <xf numFmtId="167" fontId="3" fillId="0" borderId="21" xfId="1" applyNumberFormat="1" applyFont="1" applyBorder="1" applyAlignment="1">
      <alignment horizontal="center"/>
    </xf>
    <xf numFmtId="0" fontId="23" fillId="0" borderId="9" xfId="0" applyFont="1" applyBorder="1" applyAlignment="1">
      <alignment vertical="center" wrapText="1"/>
    </xf>
    <xf numFmtId="0" fontId="0" fillId="0" borderId="8" xfId="0" applyBorder="1" applyAlignment="1">
      <alignment horizontal="left" vertical="center" wrapText="1" indent="3"/>
    </xf>
    <xf numFmtId="9" fontId="3" fillId="0" borderId="8" xfId="3" applyFont="1" applyBorder="1" applyAlignment="1">
      <alignment horizontal="center" vertical="center" wrapText="1"/>
    </xf>
    <xf numFmtId="9" fontId="0" fillId="0" borderId="8" xfId="0" applyNumberFormat="1" applyBorder="1" applyAlignment="1">
      <alignment horizontal="left" vertical="center" wrapText="1" indent="3"/>
    </xf>
    <xf numFmtId="9" fontId="0" fillId="0" borderId="8" xfId="0" applyNumberFormat="1" applyBorder="1" applyAlignment="1">
      <alignment horizontal="center" vertical="center" wrapText="1"/>
    </xf>
    <xf numFmtId="0" fontId="23" fillId="0" borderId="8" xfId="4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167" fontId="23" fillId="5" borderId="8" xfId="0" applyNumberFormat="1" applyFont="1" applyFill="1" applyBorder="1" applyAlignment="1">
      <alignment horizontal="center" vertical="center"/>
    </xf>
    <xf numFmtId="2" fontId="23" fillId="5" borderId="8" xfId="0" applyNumberFormat="1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vertical="center" wrapText="1"/>
    </xf>
    <xf numFmtId="9" fontId="3" fillId="5" borderId="8" xfId="3" applyFont="1" applyFill="1" applyBorder="1" applyAlignment="1">
      <alignment horizontal="center" vertical="center" wrapText="1"/>
    </xf>
    <xf numFmtId="2" fontId="0" fillId="5" borderId="8" xfId="0" applyNumberFormat="1" applyFill="1" applyBorder="1" applyAlignment="1">
      <alignment horizontal="center" vertical="center"/>
    </xf>
    <xf numFmtId="1" fontId="0" fillId="0" borderId="8" xfId="0" applyNumberFormat="1" applyBorder="1" applyAlignment="1">
      <alignment horizontal="left" vertical="center" wrapText="1" indent="3"/>
    </xf>
    <xf numFmtId="177" fontId="3" fillId="0" borderId="8" xfId="3" applyNumberFormat="1" applyFont="1" applyBorder="1" applyAlignment="1">
      <alignment horizontal="center" vertical="center" wrapText="1"/>
    </xf>
    <xf numFmtId="178" fontId="3" fillId="0" borderId="8" xfId="3" applyNumberFormat="1" applyFont="1" applyBorder="1" applyAlignment="1">
      <alignment horizontal="center" vertical="center" wrapText="1"/>
    </xf>
    <xf numFmtId="179" fontId="0" fillId="0" borderId="8" xfId="0" applyNumberFormat="1" applyBorder="1" applyAlignment="1">
      <alignment horizontal="center" vertical="center" wrapText="1"/>
    </xf>
    <xf numFmtId="167" fontId="3" fillId="0" borderId="8" xfId="1" applyNumberFormat="1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43" fontId="17" fillId="2" borderId="9" xfId="1" applyFont="1" applyFill="1" applyBorder="1" applyAlignment="1">
      <alignment horizontal="center" vertical="center"/>
    </xf>
    <xf numFmtId="43" fontId="17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" fontId="0" fillId="0" borderId="8" xfId="0" applyNumberFormat="1" applyBorder="1" applyAlignment="1">
      <alignment vertical="center" wrapText="1"/>
    </xf>
    <xf numFmtId="1" fontId="0" fillId="0" borderId="8" xfId="0" applyNumberFormat="1" applyBorder="1" applyAlignment="1">
      <alignment horizontal="left" vertical="center" wrapText="1"/>
    </xf>
    <xf numFmtId="1" fontId="3" fillId="0" borderId="8" xfId="1" applyNumberFormat="1" applyFont="1" applyBorder="1" applyAlignment="1">
      <alignment horizontal="center" vertical="center" wrapText="1"/>
    </xf>
    <xf numFmtId="1" fontId="0" fillId="5" borderId="8" xfId="0" applyNumberFormat="1" applyFill="1" applyBorder="1" applyAlignment="1">
      <alignment horizontal="center" vertical="center"/>
    </xf>
    <xf numFmtId="3" fontId="23" fillId="0" borderId="8" xfId="4" applyNumberFormat="1" applyFont="1" applyBorder="1" applyAlignment="1">
      <alignment horizontal="center" vertical="center"/>
    </xf>
    <xf numFmtId="173" fontId="19" fillId="0" borderId="8" xfId="1" applyNumberFormat="1" applyFont="1" applyBorder="1" applyAlignment="1">
      <alignment horizontal="center" vertical="center"/>
    </xf>
    <xf numFmtId="173" fontId="0" fillId="0" borderId="8" xfId="0" applyNumberFormat="1" applyBorder="1" applyAlignment="1">
      <alignment horizontal="center" vertical="center"/>
    </xf>
    <xf numFmtId="173" fontId="2" fillId="0" borderId="10" xfId="0" applyNumberFormat="1" applyFont="1" applyBorder="1" applyAlignment="1">
      <alignment horizontal="center" wrapText="1"/>
    </xf>
    <xf numFmtId="173" fontId="0" fillId="0" borderId="16" xfId="0" applyNumberFormat="1" applyBorder="1" applyAlignment="1">
      <alignment horizontal="center" vertical="center"/>
    </xf>
    <xf numFmtId="173" fontId="0" fillId="0" borderId="10" xfId="0" applyNumberFormat="1" applyBorder="1" applyAlignment="1">
      <alignment horizontal="center" vertical="center"/>
    </xf>
    <xf numFmtId="173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vertical="center"/>
    </xf>
    <xf numFmtId="49" fontId="23" fillId="5" borderId="8" xfId="1" applyNumberFormat="1" applyFont="1" applyFill="1" applyBorder="1" applyAlignment="1">
      <alignment horizontal="left" vertical="center" wrapText="1"/>
    </xf>
    <xf numFmtId="0" fontId="23" fillId="5" borderId="8" xfId="0" applyFont="1" applyFill="1" applyBorder="1" applyAlignment="1">
      <alignment horizontal="center" vertical="center" wrapText="1"/>
    </xf>
    <xf numFmtId="2" fontId="23" fillId="0" borderId="8" xfId="0" applyNumberFormat="1" applyFont="1" applyBorder="1" applyAlignment="1">
      <alignment horizontal="center" vertical="center" wrapText="1"/>
    </xf>
    <xf numFmtId="1" fontId="23" fillId="0" borderId="8" xfId="1" applyNumberFormat="1" applyFont="1" applyBorder="1" applyAlignment="1">
      <alignment horizontal="center" vertical="center" wrapText="1"/>
    </xf>
    <xf numFmtId="1" fontId="23" fillId="0" borderId="8" xfId="1" applyNumberFormat="1" applyFont="1" applyBorder="1" applyAlignment="1">
      <alignment horizontal="center" vertical="center"/>
    </xf>
    <xf numFmtId="10" fontId="23" fillId="5" borderId="8" xfId="0" applyNumberFormat="1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/>
    </xf>
    <xf numFmtId="1" fontId="23" fillId="5" borderId="8" xfId="1" applyNumberFormat="1" applyFont="1" applyFill="1" applyBorder="1" applyAlignment="1">
      <alignment horizontal="center" vertical="center"/>
    </xf>
    <xf numFmtId="3" fontId="23" fillId="5" borderId="8" xfId="0" applyNumberFormat="1" applyFont="1" applyFill="1" applyBorder="1" applyAlignment="1">
      <alignment horizontal="center" vertical="center"/>
    </xf>
    <xf numFmtId="3" fontId="23" fillId="0" borderId="8" xfId="0" applyNumberFormat="1" applyFont="1" applyBorder="1" applyAlignment="1">
      <alignment horizontal="center" vertical="center" wrapText="1"/>
    </xf>
    <xf numFmtId="43" fontId="23" fillId="0" borderId="8" xfId="1" applyFont="1" applyBorder="1" applyAlignment="1">
      <alignment horizontal="center" vertical="center" wrapText="1"/>
    </xf>
    <xf numFmtId="180" fontId="23" fillId="0" borderId="8" xfId="0" applyNumberFormat="1" applyFont="1" applyBorder="1" applyAlignment="1">
      <alignment horizontal="center" vertical="center"/>
    </xf>
    <xf numFmtId="180" fontId="23" fillId="0" borderId="8" xfId="0" applyNumberFormat="1" applyFont="1" applyBorder="1" applyAlignment="1">
      <alignment horizontal="center" vertical="center" wrapText="1"/>
    </xf>
    <xf numFmtId="180" fontId="23" fillId="0" borderId="8" xfId="1" applyNumberFormat="1" applyFont="1" applyBorder="1" applyAlignment="1">
      <alignment horizontal="center" vertical="center" wrapText="1"/>
    </xf>
    <xf numFmtId="0" fontId="31" fillId="0" borderId="8" xfId="0" applyFont="1" applyBorder="1" applyAlignment="1">
      <alignment horizontal="left" wrapText="1"/>
    </xf>
    <xf numFmtId="0" fontId="32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7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9" fontId="23" fillId="0" borderId="8" xfId="0" applyNumberFormat="1" applyFont="1" applyBorder="1" applyAlignment="1">
      <alignment horizontal="center" vertical="center" wrapText="1"/>
    </xf>
    <xf numFmtId="9" fontId="23" fillId="0" borderId="8" xfId="0" applyNumberFormat="1" applyFont="1" applyBorder="1" applyAlignment="1">
      <alignment vertical="center" wrapText="1"/>
    </xf>
    <xf numFmtId="10" fontId="23" fillId="0" borderId="8" xfId="3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left" vertical="center" wrapText="1"/>
    </xf>
    <xf numFmtId="0" fontId="17" fillId="5" borderId="18" xfId="0" applyFont="1" applyFill="1" applyBorder="1" applyAlignment="1">
      <alignment horizontal="left" vertical="center" wrapText="1"/>
    </xf>
    <xf numFmtId="0" fontId="17" fillId="5" borderId="19" xfId="0" applyFont="1" applyFill="1" applyBorder="1" applyAlignment="1">
      <alignment horizontal="left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5" borderId="45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7" fillId="5" borderId="9" xfId="0" applyFont="1" applyFill="1" applyBorder="1" applyAlignment="1">
      <alignment horizontal="center" wrapText="1"/>
    </xf>
    <xf numFmtId="0" fontId="17" fillId="5" borderId="21" xfId="0" applyFont="1" applyFill="1" applyBorder="1" applyAlignment="1">
      <alignment horizontal="center" wrapText="1"/>
    </xf>
    <xf numFmtId="0" fontId="17" fillId="5" borderId="8" xfId="0" applyFont="1" applyFill="1" applyBorder="1" applyAlignment="1">
      <alignment horizontal="center" wrapText="1"/>
    </xf>
    <xf numFmtId="0" fontId="17" fillId="5" borderId="9" xfId="0" quotePrefix="1" applyFont="1" applyFill="1" applyBorder="1" applyAlignment="1">
      <alignment horizontal="center" wrapText="1"/>
    </xf>
    <xf numFmtId="0" fontId="17" fillId="5" borderId="21" xfId="0" quotePrefix="1" applyFont="1" applyFill="1" applyBorder="1" applyAlignment="1">
      <alignment horizontal="center" wrapText="1"/>
    </xf>
    <xf numFmtId="174" fontId="17" fillId="5" borderId="8" xfId="0" applyNumberFormat="1" applyFont="1" applyFill="1" applyBorder="1" applyAlignment="1">
      <alignment horizontal="center" wrapText="1"/>
    </xf>
    <xf numFmtId="2" fontId="17" fillId="5" borderId="8" xfId="0" applyNumberFormat="1" applyFont="1" applyFill="1" applyBorder="1" applyAlignment="1">
      <alignment horizontal="center" wrapText="1"/>
    </xf>
    <xf numFmtId="165" fontId="17" fillId="5" borderId="8" xfId="0" applyNumberFormat="1" applyFont="1" applyFill="1" applyBorder="1" applyAlignment="1">
      <alignment horizontal="center" wrapText="1"/>
    </xf>
    <xf numFmtId="2" fontId="17" fillId="5" borderId="9" xfId="0" applyNumberFormat="1" applyFont="1" applyFill="1" applyBorder="1" applyAlignment="1">
      <alignment horizontal="center" wrapText="1"/>
    </xf>
    <xf numFmtId="2" fontId="17" fillId="5" borderId="2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</cellXfs>
  <cellStyles count="5">
    <cellStyle name="Comma" xfId="1" builtinId="3"/>
    <cellStyle name="Comma 3" xfId="4" xr:uid="{00000000-0005-0000-0000-000001000000}"/>
    <cellStyle name="Currency" xfId="2" builtinId="4"/>
    <cellStyle name="Normal" xfId="0" builtinId="0"/>
    <cellStyle name="Percent" xfId="3" builtinId="5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r.Mukesh\AppData\Local\Microsoft\Windows\INetCache\Content.Outlook\0GYBOXB9\LCL_KPI_MINING%20DEPARTMENT%20June_%202026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personal/muneesh_kumar_lakecement_co_tz/Documents/SALARY_DATA/2026-27/Jun-26/2026.06_LCL%20Salar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personal/muneesh_kumar_lakecement_co_tz/Documents/SALARY_DATA/2026-27/Jun-26/2026.02_LCL%20Sal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es"/>
      <sheetName val="Summary"/>
      <sheetName val="Spares &amp; lubricants"/>
      <sheetName val="Tractor 365CNJ"/>
      <sheetName val="General"/>
      <sheetName val="Contractors diesel detail"/>
      <sheetName val="Diesel Details LCL"/>
      <sheetName val="Rate per Ton"/>
      <sheetName val="PPE LCL "/>
      <sheetName val="Stationary Consumption"/>
      <sheetName val="Inventory Spares Consumable"/>
      <sheetName val="Fixed Asset"/>
      <sheetName val="MTBF&amp;PRI_KSM 304_1"/>
      <sheetName val="MTBF&amp;PRI_KSM 304_2"/>
      <sheetName val="DOZER HOURS"/>
    </sheetNames>
    <sheetDataSet>
      <sheetData sheetId="0"/>
      <sheetData sheetId="1">
        <row r="4">
          <cell r="C4">
            <v>25844022.18</v>
          </cell>
          <cell r="G4">
            <v>0</v>
          </cell>
          <cell r="U4">
            <v>2823125</v>
          </cell>
        </row>
        <row r="27">
          <cell r="B27">
            <v>819041408.44999993</v>
          </cell>
        </row>
        <row r="30">
          <cell r="B30">
            <v>95573.78</v>
          </cell>
        </row>
        <row r="31">
          <cell r="B31">
            <v>25371</v>
          </cell>
        </row>
        <row r="41">
          <cell r="B41">
            <v>166788.80000000002</v>
          </cell>
        </row>
        <row r="44">
          <cell r="B44">
            <v>81993</v>
          </cell>
        </row>
        <row r="46">
          <cell r="B46">
            <v>443.5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6">
          <cell r="F56">
            <v>255.85</v>
          </cell>
        </row>
      </sheetData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EMPLOYEE WISE"/>
      <sheetName val="OT summary"/>
      <sheetName val="Salary_June_26"/>
      <sheetName val="NMB"/>
      <sheetName val="GTB"/>
      <sheetName val="ABSA"/>
      <sheetName val="STANBIC"/>
      <sheetName val="Left Employee"/>
      <sheetName val="Bank Master"/>
      <sheetName val="GT Bank Master"/>
      <sheetName val="permit"/>
      <sheetName val="Remarks"/>
      <sheetName val="Old data and increment"/>
      <sheetName val="Sheet1"/>
    </sheetNames>
    <sheetDataSet>
      <sheetData sheetId="0"/>
      <sheetData sheetId="1">
        <row r="3">
          <cell r="B3" t="str">
            <v>Sum of OVERTIME 1</v>
          </cell>
          <cell r="C3" t="str">
            <v>Sum of OT1-AMOUNT</v>
          </cell>
          <cell r="D3" t="str">
            <v>Sum of OVERTIME 2</v>
          </cell>
          <cell r="E3" t="str">
            <v>Sum of OT2-AMOUNT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K4" t="str">
            <v>AccountsOT1</v>
          </cell>
          <cell r="L4" t="str">
            <v>AccountsOT2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K5" t="str">
            <v>HR &amp; AdminOT1</v>
          </cell>
          <cell r="L5" t="str">
            <v>HR &amp; AdminOT2</v>
          </cell>
        </row>
        <row r="6">
          <cell r="B6">
            <v>953</v>
          </cell>
          <cell r="C6">
            <v>4400215.13</v>
          </cell>
          <cell r="D6">
            <v>237</v>
          </cell>
          <cell r="E6">
            <v>1141174.44</v>
          </cell>
          <cell r="K6" t="str">
            <v>Power PlantOT1</v>
          </cell>
          <cell r="L6" t="str">
            <v>Power PlantOT2</v>
          </cell>
        </row>
        <row r="7">
          <cell r="B7">
            <v>0</v>
          </cell>
          <cell r="C7">
            <v>0</v>
          </cell>
          <cell r="D7">
            <v>5</v>
          </cell>
          <cell r="E7">
            <v>42704.67</v>
          </cell>
          <cell r="K7" t="str">
            <v>CivilOT1</v>
          </cell>
          <cell r="L7" t="str">
            <v>CivilOT2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K8" t="str">
            <v>0OT1</v>
          </cell>
          <cell r="L8" t="str">
            <v>0OT2</v>
          </cell>
        </row>
        <row r="9">
          <cell r="B9">
            <v>1134</v>
          </cell>
          <cell r="C9">
            <v>4231268.6400000006</v>
          </cell>
          <cell r="D9">
            <v>132</v>
          </cell>
          <cell r="E9">
            <v>676463.88</v>
          </cell>
          <cell r="K9" t="str">
            <v>Packing and DispatchOT1</v>
          </cell>
          <cell r="L9" t="str">
            <v>Packing and DispatchOT2</v>
          </cell>
        </row>
        <row r="10">
          <cell r="B10">
            <v>499</v>
          </cell>
          <cell r="C10">
            <v>3131779.48</v>
          </cell>
          <cell r="D10">
            <v>272</v>
          </cell>
          <cell r="E10">
            <v>2307956.1900000004</v>
          </cell>
          <cell r="K10" t="str">
            <v>ElectricalOT1</v>
          </cell>
          <cell r="L10" t="str">
            <v>ElectricalOT2</v>
          </cell>
        </row>
        <row r="11">
          <cell r="B11">
            <v>224</v>
          </cell>
          <cell r="C11">
            <v>699097.74</v>
          </cell>
          <cell r="D11">
            <v>89</v>
          </cell>
          <cell r="E11">
            <v>532138.82999999996</v>
          </cell>
          <cell r="K11" t="str">
            <v>HR &amp; AdminOT1</v>
          </cell>
          <cell r="L11" t="str">
            <v>HR &amp; AdminOT2</v>
          </cell>
        </row>
        <row r="12">
          <cell r="B12">
            <v>664</v>
          </cell>
          <cell r="C12">
            <v>3186919.66</v>
          </cell>
          <cell r="D12">
            <v>183</v>
          </cell>
          <cell r="E12">
            <v>1434198.83</v>
          </cell>
          <cell r="K12" t="str">
            <v>InstrumentationOT1</v>
          </cell>
          <cell r="L12" t="str">
            <v>InstrumentationOT2</v>
          </cell>
        </row>
        <row r="13">
          <cell r="B13">
            <v>29</v>
          </cell>
          <cell r="C13">
            <v>165565.91</v>
          </cell>
          <cell r="D13">
            <v>49</v>
          </cell>
          <cell r="E13">
            <v>372999.06</v>
          </cell>
          <cell r="K13" t="str">
            <v>ITOT1</v>
          </cell>
          <cell r="L13" t="str">
            <v>ITOT2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K14" t="str">
            <v>0OT1</v>
          </cell>
          <cell r="L14" t="str">
            <v>0OT2</v>
          </cell>
        </row>
        <row r="15">
          <cell r="B15">
            <v>596</v>
          </cell>
          <cell r="C15">
            <v>3469278.72</v>
          </cell>
          <cell r="D15">
            <v>249</v>
          </cell>
          <cell r="E15">
            <v>1825386.4000000001</v>
          </cell>
          <cell r="K15" t="str">
            <v>MechanicalOT1</v>
          </cell>
          <cell r="L15" t="str">
            <v>MechanicalOT2</v>
          </cell>
        </row>
        <row r="16">
          <cell r="B16">
            <v>852.8</v>
          </cell>
          <cell r="C16">
            <v>4369544</v>
          </cell>
          <cell r="D16">
            <v>227.5</v>
          </cell>
          <cell r="E16">
            <v>1719068.3900000001</v>
          </cell>
          <cell r="K16" t="str">
            <v>ProductionOT1</v>
          </cell>
          <cell r="L16" t="str">
            <v>ProductionOT2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K17" t="str">
            <v>OT1</v>
          </cell>
          <cell r="L17" t="str">
            <v>OT2</v>
          </cell>
        </row>
        <row r="18">
          <cell r="B18">
            <v>342</v>
          </cell>
          <cell r="C18">
            <v>1398634.2400000002</v>
          </cell>
          <cell r="D18">
            <v>99</v>
          </cell>
          <cell r="E18">
            <v>1005760.9199999999</v>
          </cell>
          <cell r="K18" t="str">
            <v>QualityOT1</v>
          </cell>
          <cell r="L18" t="str">
            <v>QualityOT2</v>
          </cell>
        </row>
        <row r="19">
          <cell r="B19">
            <v>698</v>
          </cell>
          <cell r="C19">
            <v>3515930.0100000002</v>
          </cell>
          <cell r="D19">
            <v>128</v>
          </cell>
          <cell r="E19">
            <v>946560.20999999985</v>
          </cell>
          <cell r="K19" t="str">
            <v>QuarryingOT1</v>
          </cell>
          <cell r="L19" t="str">
            <v>QuarryingOT2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K20" t="str">
            <v>0OT1</v>
          </cell>
          <cell r="L20" t="str">
            <v>0OT2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K21" t="str">
            <v>StoresOT1</v>
          </cell>
          <cell r="L21" t="str">
            <v>StoresOT2</v>
          </cell>
        </row>
        <row r="22">
          <cell r="B22">
            <v>5991.8</v>
          </cell>
          <cell r="C22">
            <v>28568233.530000005</v>
          </cell>
          <cell r="D22">
            <v>1670.5</v>
          </cell>
          <cell r="E22">
            <v>12004411.819999998</v>
          </cell>
          <cell r="K22" t="str">
            <v>0OT1</v>
          </cell>
          <cell r="L22" t="str">
            <v>0OT2</v>
          </cell>
        </row>
        <row r="25">
          <cell r="B25">
            <v>0</v>
          </cell>
          <cell r="E25">
            <v>40572645.350000001</v>
          </cell>
        </row>
        <row r="26">
          <cell r="B26">
            <v>7662.3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EMPLOYEE WISE"/>
      <sheetName val="OT summary"/>
      <sheetName val="Salary_Feb_26"/>
      <sheetName val="NMB"/>
      <sheetName val="GTB"/>
      <sheetName val="ABSA"/>
      <sheetName val="STANBIC"/>
      <sheetName val="Left Employee"/>
      <sheetName val="Bank Master"/>
      <sheetName val="GT Bank Master"/>
      <sheetName val="permit"/>
      <sheetName val="Remarks"/>
      <sheetName val="Old data and increment"/>
    </sheetNames>
    <sheetDataSet>
      <sheetData sheetId="0"/>
      <sheetData sheetId="1">
        <row r="3">
          <cell r="B3" t="str">
            <v>Sum of OVERTIME 1</v>
          </cell>
        </row>
        <row r="4">
          <cell r="B4">
            <v>0</v>
          </cell>
          <cell r="K4" t="str">
            <v>AccountsOT1</v>
          </cell>
        </row>
        <row r="5">
          <cell r="B5">
            <v>0</v>
          </cell>
          <cell r="K5" t="str">
            <v>HR &amp; AdminOT1</v>
          </cell>
        </row>
        <row r="6">
          <cell r="B6">
            <v>1109</v>
          </cell>
          <cell r="K6" t="str">
            <v>Power PlantOT1</v>
          </cell>
        </row>
        <row r="7">
          <cell r="B7">
            <v>0</v>
          </cell>
          <cell r="K7" t="str">
            <v>CivilOT1</v>
          </cell>
        </row>
        <row r="8">
          <cell r="B8">
            <v>0</v>
          </cell>
          <cell r="K8" t="str">
            <v>0OT1</v>
          </cell>
        </row>
        <row r="9">
          <cell r="B9">
            <v>1275</v>
          </cell>
          <cell r="K9" t="str">
            <v>Packing and DispatchOT1</v>
          </cell>
        </row>
        <row r="10">
          <cell r="B10">
            <v>621</v>
          </cell>
          <cell r="K10" t="str">
            <v>ElectricalOT1</v>
          </cell>
        </row>
        <row r="11">
          <cell r="B11">
            <v>216</v>
          </cell>
          <cell r="K11" t="str">
            <v>HR &amp; AdminOT1</v>
          </cell>
        </row>
        <row r="12">
          <cell r="B12">
            <v>768</v>
          </cell>
          <cell r="K12" t="str">
            <v>InstrumentationOT1</v>
          </cell>
        </row>
        <row r="13">
          <cell r="B13">
            <v>40</v>
          </cell>
          <cell r="K13" t="str">
            <v>ITOT1</v>
          </cell>
        </row>
        <row r="14">
          <cell r="B14">
            <v>0</v>
          </cell>
          <cell r="K14" t="str">
            <v>0OT1</v>
          </cell>
        </row>
        <row r="15">
          <cell r="B15">
            <v>677</v>
          </cell>
          <cell r="K15" t="str">
            <v>MechanicalOT1</v>
          </cell>
        </row>
        <row r="16">
          <cell r="B16">
            <v>777.39999999999986</v>
          </cell>
          <cell r="K16" t="str">
            <v>ProductionOT1</v>
          </cell>
        </row>
        <row r="17">
          <cell r="B17">
            <v>0</v>
          </cell>
          <cell r="K17" t="str">
            <v>OT1</v>
          </cell>
        </row>
        <row r="18">
          <cell r="B18">
            <v>379</v>
          </cell>
          <cell r="K18" t="str">
            <v>QualityOT1</v>
          </cell>
        </row>
        <row r="19">
          <cell r="B19">
            <v>750</v>
          </cell>
          <cell r="K19" t="str">
            <v>QuarryingOT1</v>
          </cell>
        </row>
        <row r="20">
          <cell r="B20">
            <v>0</v>
          </cell>
          <cell r="K20" t="str">
            <v>0OT1</v>
          </cell>
        </row>
        <row r="21">
          <cell r="B21">
            <v>1</v>
          </cell>
          <cell r="K21" t="str">
            <v>StoresOT1</v>
          </cell>
        </row>
        <row r="22">
          <cell r="B22">
            <v>6613.4</v>
          </cell>
          <cell r="K22" t="str">
            <v>0OT1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tabSelected="1" zoomScale="83" zoomScaleNormal="83" workbookViewId="0">
      <selection activeCell="F12" sqref="F12"/>
    </sheetView>
  </sheetViews>
  <sheetFormatPr defaultColWidth="8.81640625" defaultRowHeight="14.5"/>
  <cols>
    <col min="1" max="1" width="31" style="17" customWidth="1"/>
    <col min="2" max="3" width="13.81640625" style="17" customWidth="1"/>
    <col min="4" max="5" width="19.1796875" style="17" customWidth="1"/>
    <col min="6" max="6" width="37.54296875" style="17" customWidth="1"/>
    <col min="7" max="7" width="7.453125" style="17" bestFit="1" customWidth="1"/>
    <col min="8" max="18" width="7.54296875" style="17" customWidth="1"/>
    <col min="19" max="16384" width="8.81640625" style="17"/>
  </cols>
  <sheetData>
    <row r="1" spans="1:21" ht="21">
      <c r="A1" s="348" t="s">
        <v>0</v>
      </c>
      <c r="B1" s="349"/>
      <c r="C1" s="349"/>
      <c r="D1" s="349"/>
      <c r="E1" s="349"/>
      <c r="F1" s="35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21" ht="18.5">
      <c r="A2" s="351" t="s">
        <v>1</v>
      </c>
      <c r="B2" s="352"/>
      <c r="C2" s="352"/>
      <c r="D2" s="352"/>
      <c r="E2" s="352"/>
      <c r="F2" s="353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21" ht="15.5">
      <c r="A3" s="354" t="s">
        <v>270</v>
      </c>
      <c r="B3" s="355"/>
      <c r="C3" s="355"/>
      <c r="D3" s="355"/>
      <c r="E3" s="355"/>
      <c r="F3" s="356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1" ht="15.5">
      <c r="A4" s="357" t="s">
        <v>246</v>
      </c>
      <c r="B4" s="358"/>
      <c r="C4" s="358"/>
      <c r="D4" s="358"/>
      <c r="E4" s="358"/>
      <c r="F4" s="359"/>
      <c r="G4" s="360" t="s">
        <v>2</v>
      </c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1"/>
    </row>
    <row r="5" spans="1:21" ht="29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21">
      <c r="A6" s="54"/>
      <c r="B6" s="6"/>
      <c r="C6" s="6"/>
      <c r="D6" s="6"/>
      <c r="E6" s="6"/>
      <c r="F6" s="54"/>
      <c r="G6" s="52"/>
      <c r="H6" s="52"/>
      <c r="I6" s="52"/>
      <c r="J6" s="57"/>
      <c r="K6" s="57"/>
      <c r="L6" s="57"/>
      <c r="M6" s="30"/>
      <c r="N6" s="57"/>
      <c r="O6" s="30"/>
      <c r="P6" s="30"/>
      <c r="Q6" s="30"/>
      <c r="R6" s="30"/>
    </row>
    <row r="7" spans="1:21" ht="15.5">
      <c r="A7" s="53" t="s">
        <v>21</v>
      </c>
      <c r="B7" s="33"/>
      <c r="C7" s="33"/>
      <c r="D7" s="7"/>
      <c r="E7" s="7"/>
      <c r="F7" s="33"/>
      <c r="G7" s="32"/>
      <c r="H7" s="32"/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21">
      <c r="A8" s="33" t="s">
        <v>22</v>
      </c>
      <c r="B8" s="7" t="s">
        <v>23</v>
      </c>
      <c r="C8" s="78" t="s">
        <v>24</v>
      </c>
      <c r="D8" s="7">
        <v>0</v>
      </c>
      <c r="E8" s="86">
        <v>0</v>
      </c>
      <c r="F8" s="96"/>
      <c r="G8" s="86">
        <v>0</v>
      </c>
      <c r="H8" s="86">
        <v>0</v>
      </c>
      <c r="I8" s="86">
        <v>0</v>
      </c>
      <c r="J8" s="7">
        <v>0</v>
      </c>
      <c r="K8" s="7">
        <v>0</v>
      </c>
      <c r="L8" s="7">
        <v>0</v>
      </c>
      <c r="M8" s="7"/>
      <c r="N8" s="7"/>
      <c r="O8" s="7"/>
      <c r="P8" s="7"/>
      <c r="Q8" s="7"/>
      <c r="R8" s="7"/>
    </row>
    <row r="9" spans="1:21">
      <c r="A9" s="33" t="s">
        <v>25</v>
      </c>
      <c r="B9" s="7" t="s">
        <v>23</v>
      </c>
      <c r="C9" s="78" t="s">
        <v>24</v>
      </c>
      <c r="D9" s="7">
        <v>0</v>
      </c>
      <c r="E9" s="86">
        <v>0</v>
      </c>
      <c r="F9" s="96"/>
      <c r="G9" s="86">
        <v>0</v>
      </c>
      <c r="H9" s="86">
        <v>0</v>
      </c>
      <c r="I9" s="86">
        <v>0</v>
      </c>
      <c r="J9" s="7">
        <v>0</v>
      </c>
      <c r="K9" s="7">
        <v>0</v>
      </c>
      <c r="L9" s="7">
        <v>0</v>
      </c>
      <c r="M9" s="7"/>
      <c r="N9" s="7"/>
      <c r="O9" s="7"/>
      <c r="P9" s="7"/>
      <c r="Q9" s="7"/>
      <c r="R9" s="7"/>
    </row>
    <row r="10" spans="1:21">
      <c r="A10" s="33" t="s">
        <v>26</v>
      </c>
      <c r="B10" s="7" t="s">
        <v>23</v>
      </c>
      <c r="C10" s="78" t="s">
        <v>24</v>
      </c>
      <c r="D10" s="7">
        <v>0</v>
      </c>
      <c r="E10" s="86">
        <v>0</v>
      </c>
      <c r="F10" s="96"/>
      <c r="G10" s="86">
        <v>0</v>
      </c>
      <c r="H10" s="86">
        <v>0</v>
      </c>
      <c r="I10" s="86">
        <v>0</v>
      </c>
      <c r="J10" s="7">
        <v>0</v>
      </c>
      <c r="K10" s="7">
        <v>0</v>
      </c>
      <c r="L10" s="7">
        <v>0</v>
      </c>
      <c r="M10" s="7"/>
      <c r="N10" s="7"/>
      <c r="O10" s="7"/>
      <c r="P10" s="7"/>
      <c r="Q10" s="7"/>
      <c r="R10" s="7"/>
    </row>
    <row r="11" spans="1:21">
      <c r="A11" s="54" t="s">
        <v>27</v>
      </c>
      <c r="B11" s="6" t="s">
        <v>23</v>
      </c>
      <c r="C11" s="6" t="s">
        <v>28</v>
      </c>
      <c r="D11" s="6">
        <v>4</v>
      </c>
      <c r="E11" s="86">
        <v>4</v>
      </c>
      <c r="F11" s="54"/>
      <c r="G11" s="340">
        <v>6</v>
      </c>
      <c r="H11" s="86">
        <v>4</v>
      </c>
      <c r="I11" s="86">
        <v>4</v>
      </c>
      <c r="J11" s="6">
        <v>4</v>
      </c>
      <c r="K11" s="6">
        <v>4</v>
      </c>
      <c r="L11" s="6">
        <v>4</v>
      </c>
      <c r="M11" s="7"/>
      <c r="N11" s="6"/>
      <c r="O11" s="6"/>
      <c r="P11" s="6"/>
      <c r="Q11" s="6"/>
      <c r="R11" s="7"/>
    </row>
    <row r="12" spans="1:21">
      <c r="A12" s="54" t="s">
        <v>29</v>
      </c>
      <c r="B12" s="6" t="s">
        <v>30</v>
      </c>
      <c r="C12" s="6" t="s">
        <v>31</v>
      </c>
      <c r="D12" s="6">
        <v>50</v>
      </c>
      <c r="E12" s="234">
        <v>50</v>
      </c>
      <c r="F12" s="98"/>
      <c r="G12" s="46">
        <v>60</v>
      </c>
      <c r="H12" s="234">
        <v>60</v>
      </c>
      <c r="I12" s="234">
        <v>60</v>
      </c>
      <c r="J12" s="44">
        <v>15</v>
      </c>
      <c r="K12" s="44">
        <v>28</v>
      </c>
      <c r="L12" s="44">
        <v>50</v>
      </c>
      <c r="M12" s="45"/>
      <c r="N12" s="44"/>
      <c r="O12" s="6"/>
      <c r="P12" s="6"/>
      <c r="Q12" s="6"/>
      <c r="R12" s="45"/>
    </row>
    <row r="13" spans="1:21">
      <c r="A13" s="54"/>
      <c r="B13" s="6"/>
      <c r="C13" s="6"/>
      <c r="D13" s="6"/>
      <c r="E13" s="6"/>
      <c r="F13" s="54"/>
      <c r="G13" s="46"/>
      <c r="H13" s="46"/>
      <c r="I13" s="6"/>
      <c r="J13" s="6"/>
      <c r="K13" s="6"/>
      <c r="L13" s="6"/>
      <c r="M13" s="7"/>
      <c r="N13" s="6"/>
      <c r="O13" s="6"/>
      <c r="P13" s="6"/>
      <c r="Q13" s="6"/>
      <c r="R13" s="7"/>
    </row>
    <row r="14" spans="1:21" ht="15.5">
      <c r="A14" s="73" t="s">
        <v>32</v>
      </c>
      <c r="B14" s="6"/>
      <c r="C14" s="6"/>
      <c r="D14" s="6"/>
      <c r="E14" s="6"/>
      <c r="F14" s="54"/>
      <c r="G14" s="46"/>
      <c r="H14" s="46"/>
      <c r="I14" s="6"/>
      <c r="J14" s="6"/>
      <c r="K14" s="6"/>
      <c r="L14" s="6"/>
      <c r="M14" s="7"/>
      <c r="N14" s="6"/>
      <c r="O14" s="6"/>
      <c r="P14" s="6"/>
      <c r="Q14" s="6"/>
      <c r="R14" s="7"/>
    </row>
    <row r="15" spans="1:21">
      <c r="A15" s="54" t="s">
        <v>33</v>
      </c>
      <c r="B15" s="6" t="s">
        <v>34</v>
      </c>
      <c r="C15" s="6" t="s">
        <v>28</v>
      </c>
      <c r="D15" s="6">
        <v>92</v>
      </c>
      <c r="E15" s="44">
        <v>97.8</v>
      </c>
      <c r="F15" s="54"/>
      <c r="G15" s="46">
        <v>97.75</v>
      </c>
      <c r="H15" s="46">
        <v>98.05</v>
      </c>
      <c r="I15" s="44">
        <v>94.98</v>
      </c>
      <c r="J15" s="35">
        <v>93.6</v>
      </c>
      <c r="K15" s="35">
        <v>95.2</v>
      </c>
      <c r="L15" s="35">
        <v>97.8</v>
      </c>
      <c r="M15" s="35"/>
      <c r="N15" s="46"/>
      <c r="O15" s="35"/>
      <c r="P15" s="47"/>
      <c r="Q15" s="47"/>
      <c r="R15" s="47"/>
    </row>
    <row r="16" spans="1:21">
      <c r="A16" s="54" t="s">
        <v>35</v>
      </c>
      <c r="B16" s="6" t="s">
        <v>34</v>
      </c>
      <c r="C16" s="6" t="s">
        <v>28</v>
      </c>
      <c r="D16" s="6">
        <v>92</v>
      </c>
      <c r="E16" s="44">
        <v>98.93</v>
      </c>
      <c r="F16" s="54"/>
      <c r="G16" s="46">
        <v>98.48</v>
      </c>
      <c r="H16" s="46">
        <v>98.48</v>
      </c>
      <c r="I16" s="44">
        <v>97.81</v>
      </c>
      <c r="J16" s="35">
        <v>99.2</v>
      </c>
      <c r="K16" s="35">
        <v>98.3</v>
      </c>
      <c r="L16" s="35">
        <v>98.9</v>
      </c>
      <c r="M16" s="35"/>
      <c r="N16" s="46"/>
      <c r="O16" s="45"/>
      <c r="P16" s="48"/>
      <c r="Q16" s="50"/>
      <c r="R16" s="50"/>
      <c r="U16" s="61"/>
    </row>
    <row r="17" spans="1:21">
      <c r="A17" s="54" t="s">
        <v>36</v>
      </c>
      <c r="B17" s="6" t="s">
        <v>34</v>
      </c>
      <c r="C17" s="6" t="s">
        <v>28</v>
      </c>
      <c r="D17" s="6">
        <v>92</v>
      </c>
      <c r="E17" s="44">
        <v>83.9</v>
      </c>
      <c r="F17" s="54"/>
      <c r="G17" s="46">
        <v>99.3</v>
      </c>
      <c r="H17" s="46">
        <v>96.24</v>
      </c>
      <c r="I17" s="44">
        <v>91.71</v>
      </c>
      <c r="J17" s="35">
        <v>97.6</v>
      </c>
      <c r="K17" s="35">
        <v>99.4</v>
      </c>
      <c r="L17" s="35">
        <v>83.9</v>
      </c>
      <c r="M17" s="35"/>
      <c r="N17" s="46"/>
      <c r="O17" s="45"/>
      <c r="P17" s="48"/>
      <c r="Q17" s="48"/>
      <c r="R17" s="48"/>
      <c r="U17" s="61"/>
    </row>
    <row r="18" spans="1:21">
      <c r="A18" s="54" t="s">
        <v>37</v>
      </c>
      <c r="B18" s="6" t="s">
        <v>38</v>
      </c>
      <c r="C18" s="6" t="s">
        <v>28</v>
      </c>
      <c r="D18" s="6">
        <v>400</v>
      </c>
      <c r="E18" s="97">
        <v>94.5</v>
      </c>
      <c r="F18" s="130" t="s">
        <v>265</v>
      </c>
      <c r="G18" s="234">
        <v>180</v>
      </c>
      <c r="H18" s="234">
        <v>100</v>
      </c>
      <c r="I18" s="97">
        <v>157</v>
      </c>
      <c r="J18" s="45">
        <v>103</v>
      </c>
      <c r="K18" s="35">
        <v>87.1</v>
      </c>
      <c r="L18" s="35">
        <v>94.5</v>
      </c>
      <c r="M18" s="35"/>
      <c r="N18" s="46"/>
      <c r="O18" s="45"/>
      <c r="P18" s="48"/>
      <c r="Q18" s="48"/>
      <c r="R18" s="48"/>
    </row>
    <row r="19" spans="1:21">
      <c r="A19" s="54" t="s">
        <v>39</v>
      </c>
      <c r="B19" s="6" t="s">
        <v>38</v>
      </c>
      <c r="C19" s="6" t="s">
        <v>28</v>
      </c>
      <c r="D19" s="6">
        <v>225</v>
      </c>
      <c r="E19" s="97">
        <v>93.9</v>
      </c>
      <c r="F19" s="341" t="s">
        <v>266</v>
      </c>
      <c r="G19" s="234">
        <v>120</v>
      </c>
      <c r="H19" s="234">
        <v>208</v>
      </c>
      <c r="I19" s="97">
        <v>126.52</v>
      </c>
      <c r="J19" s="45">
        <v>85.3</v>
      </c>
      <c r="K19" s="35">
        <v>103</v>
      </c>
      <c r="L19" s="35">
        <v>93.9</v>
      </c>
      <c r="M19" s="35"/>
      <c r="N19" s="46"/>
      <c r="O19" s="45"/>
      <c r="P19" s="48"/>
      <c r="Q19" s="48"/>
      <c r="R19" s="48"/>
    </row>
    <row r="20" spans="1:21">
      <c r="A20" s="54" t="s">
        <v>40</v>
      </c>
      <c r="B20" s="6" t="s">
        <v>38</v>
      </c>
      <c r="C20" s="6" t="s">
        <v>28</v>
      </c>
      <c r="D20" s="6">
        <v>225</v>
      </c>
      <c r="E20" s="97">
        <v>36.68</v>
      </c>
      <c r="F20" s="342" t="s">
        <v>267</v>
      </c>
      <c r="G20" s="234">
        <v>120</v>
      </c>
      <c r="H20" s="234">
        <v>75</v>
      </c>
      <c r="I20" s="97">
        <v>30.718</v>
      </c>
      <c r="J20" s="45">
        <v>89.5</v>
      </c>
      <c r="K20" s="45">
        <v>171.8</v>
      </c>
      <c r="L20" s="45">
        <v>36.700000000000003</v>
      </c>
      <c r="M20" s="45"/>
      <c r="N20" s="44"/>
      <c r="O20" s="45"/>
      <c r="P20" s="48"/>
      <c r="Q20" s="48"/>
      <c r="R20" s="48"/>
    </row>
    <row r="21" spans="1:21">
      <c r="A21" s="54" t="s">
        <v>41</v>
      </c>
      <c r="B21" s="6" t="s">
        <v>42</v>
      </c>
      <c r="C21" s="6" t="s">
        <v>28</v>
      </c>
      <c r="D21" s="6">
        <v>145</v>
      </c>
      <c r="E21" s="97">
        <v>127.72</v>
      </c>
      <c r="F21" s="72" t="s">
        <v>268</v>
      </c>
      <c r="G21" s="234">
        <v>121.97</v>
      </c>
      <c r="H21" s="234">
        <v>137.76</v>
      </c>
      <c r="I21" s="97">
        <v>123.32</v>
      </c>
      <c r="J21" s="35">
        <v>132.6</v>
      </c>
      <c r="K21" s="35">
        <v>129.9</v>
      </c>
      <c r="L21" s="35">
        <v>127.7</v>
      </c>
      <c r="M21" s="35"/>
      <c r="N21" s="46"/>
      <c r="O21" s="35"/>
      <c r="P21" s="47"/>
      <c r="Q21" s="47"/>
      <c r="R21" s="47"/>
    </row>
    <row r="22" spans="1:21">
      <c r="A22" s="54" t="s">
        <v>43</v>
      </c>
      <c r="B22" s="6" t="s">
        <v>42</v>
      </c>
      <c r="C22" s="6" t="s">
        <v>28</v>
      </c>
      <c r="D22" s="6">
        <v>20</v>
      </c>
      <c r="E22" s="343">
        <v>9.69</v>
      </c>
      <c r="F22" s="72" t="s">
        <v>237</v>
      </c>
      <c r="G22" s="234">
        <v>6.24</v>
      </c>
      <c r="H22" s="344">
        <v>9.82</v>
      </c>
      <c r="I22" s="343">
        <v>7.08</v>
      </c>
      <c r="J22" s="45">
        <v>9.9</v>
      </c>
      <c r="K22" s="35">
        <v>10.1</v>
      </c>
      <c r="L22" s="35">
        <v>9.6999999999999993</v>
      </c>
      <c r="M22" s="35"/>
      <c r="N22" s="46"/>
      <c r="O22" s="35"/>
      <c r="P22" s="47"/>
      <c r="Q22" s="47"/>
      <c r="R22" s="47"/>
    </row>
    <row r="23" spans="1:21">
      <c r="A23" s="54"/>
      <c r="B23" s="6"/>
      <c r="C23" s="6"/>
      <c r="D23" s="6"/>
      <c r="E23" s="6"/>
      <c r="F23" s="72"/>
      <c r="G23" s="6"/>
      <c r="H23" s="6"/>
      <c r="I23" s="6"/>
      <c r="J23" s="45"/>
      <c r="K23" s="45"/>
      <c r="L23" s="45"/>
      <c r="M23" s="45"/>
      <c r="N23" s="44"/>
      <c r="O23" s="45"/>
      <c r="P23" s="48"/>
      <c r="Q23" s="48"/>
      <c r="R23" s="48"/>
    </row>
    <row r="24" spans="1:21" ht="15.5">
      <c r="A24" s="73" t="s">
        <v>44</v>
      </c>
      <c r="B24" s="6"/>
      <c r="C24" s="6"/>
      <c r="D24" s="6"/>
      <c r="E24" s="6"/>
      <c r="F24" s="72"/>
      <c r="G24" s="6"/>
      <c r="H24" s="6"/>
      <c r="I24" s="6"/>
      <c r="J24" s="45"/>
      <c r="K24" s="45"/>
      <c r="L24" s="45"/>
      <c r="M24" s="45"/>
      <c r="N24" s="44"/>
      <c r="O24" s="45"/>
      <c r="P24" s="45"/>
      <c r="Q24" s="45"/>
      <c r="R24" s="45"/>
    </row>
    <row r="25" spans="1:21" ht="43.5">
      <c r="A25" s="54" t="s">
        <v>45</v>
      </c>
      <c r="B25" s="6" t="s">
        <v>46</v>
      </c>
      <c r="C25" s="6" t="s">
        <v>31</v>
      </c>
      <c r="D25" s="6">
        <v>5400</v>
      </c>
      <c r="E25" s="99">
        <v>5042</v>
      </c>
      <c r="F25" s="341" t="s">
        <v>269</v>
      </c>
      <c r="G25" s="100">
        <v>2416</v>
      </c>
      <c r="H25" s="237">
        <v>4644</v>
      </c>
      <c r="I25" s="99">
        <v>20067</v>
      </c>
      <c r="J25" s="45">
        <v>5785</v>
      </c>
      <c r="K25" s="45">
        <v>1796</v>
      </c>
      <c r="L25" s="45">
        <v>5042</v>
      </c>
      <c r="M25" s="45"/>
      <c r="N25" s="44"/>
      <c r="O25" s="45"/>
      <c r="P25" s="48"/>
      <c r="Q25" s="48"/>
      <c r="R25" s="48"/>
    </row>
    <row r="26" spans="1:21" ht="29">
      <c r="A26" s="54" t="s">
        <v>47</v>
      </c>
      <c r="B26" s="6" t="s">
        <v>46</v>
      </c>
      <c r="C26" s="6" t="s">
        <v>31</v>
      </c>
      <c r="D26" s="6">
        <v>4320</v>
      </c>
      <c r="E26" s="77">
        <v>0</v>
      </c>
      <c r="F26" s="131"/>
      <c r="G26" s="95" t="s">
        <v>187</v>
      </c>
      <c r="H26" s="77">
        <v>55</v>
      </c>
      <c r="I26" s="77">
        <v>0</v>
      </c>
      <c r="J26" s="35">
        <v>722</v>
      </c>
      <c r="K26" s="35">
        <v>0</v>
      </c>
      <c r="L26" s="35">
        <v>0</v>
      </c>
      <c r="M26" s="35"/>
      <c r="N26" s="46"/>
      <c r="O26" s="35"/>
      <c r="P26" s="47"/>
      <c r="Q26" s="47"/>
      <c r="R26" s="47"/>
    </row>
    <row r="27" spans="1:21" ht="29">
      <c r="A27" s="54" t="s">
        <v>48</v>
      </c>
      <c r="B27" s="6" t="s">
        <v>46</v>
      </c>
      <c r="C27" s="6" t="s">
        <v>31</v>
      </c>
      <c r="D27" s="6">
        <v>900</v>
      </c>
      <c r="E27" s="237">
        <v>0</v>
      </c>
      <c r="F27" s="132"/>
      <c r="G27" s="100">
        <v>1522</v>
      </c>
      <c r="H27" s="237">
        <v>326</v>
      </c>
      <c r="I27" s="237">
        <v>1289</v>
      </c>
      <c r="J27" s="7">
        <v>1350</v>
      </c>
      <c r="K27" s="6">
        <v>1134</v>
      </c>
      <c r="L27" s="6">
        <v>0</v>
      </c>
      <c r="M27" s="7"/>
      <c r="N27" s="6"/>
      <c r="O27" s="7"/>
      <c r="P27" s="6"/>
      <c r="Q27" s="6"/>
      <c r="R27" s="7"/>
    </row>
  </sheetData>
  <mergeCells count="5">
    <mergeCell ref="A1:F1"/>
    <mergeCell ref="A2:F2"/>
    <mergeCell ref="A3:F3"/>
    <mergeCell ref="A4:F4"/>
    <mergeCell ref="G4:R4"/>
  </mergeCells>
  <printOptions horizontalCentered="1"/>
  <pageMargins left="0.45" right="0.2" top="0.5" bottom="0.25" header="0.3" footer="0.3"/>
  <pageSetup paperSize="9" scale="6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9"/>
  <sheetViews>
    <sheetView view="pageBreakPreview" topLeftCell="A28" zoomScaleNormal="100" workbookViewId="0">
      <selection activeCell="F34" sqref="F34"/>
    </sheetView>
  </sheetViews>
  <sheetFormatPr defaultColWidth="8.81640625" defaultRowHeight="14.5"/>
  <cols>
    <col min="1" max="1" width="35.1796875" style="17" customWidth="1"/>
    <col min="2" max="2" width="16.54296875" style="17" customWidth="1"/>
    <col min="3" max="3" width="8.54296875" style="17" customWidth="1"/>
    <col min="4" max="4" width="7.54296875" style="17" customWidth="1"/>
    <col min="5" max="5" width="15.453125" style="17" customWidth="1"/>
    <col min="6" max="6" width="19.1796875" style="17" customWidth="1"/>
    <col min="7" max="8" width="7.54296875" style="17" customWidth="1"/>
    <col min="9" max="9" width="7.54296875" style="77" customWidth="1"/>
    <col min="10" max="18" width="7.54296875" style="17" customWidth="1"/>
    <col min="19" max="16384" width="8.81640625" style="17"/>
  </cols>
  <sheetData>
    <row r="1" spans="1:18" ht="32.9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</row>
    <row r="2" spans="1:18" ht="23.9" customHeight="1">
      <c r="A2" s="351" t="s">
        <v>1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</row>
    <row r="3" spans="1:18" ht="23.9" customHeight="1">
      <c r="A3" s="364" t="s">
        <v>251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</row>
    <row r="4" spans="1:18" ht="23.9" customHeight="1">
      <c r="A4" s="366" t="s">
        <v>244</v>
      </c>
      <c r="B4" s="367"/>
      <c r="C4" s="367"/>
      <c r="D4" s="367"/>
      <c r="E4" s="367"/>
      <c r="F4" s="367"/>
      <c r="G4" s="360" t="s">
        <v>2</v>
      </c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1"/>
    </row>
    <row r="5" spans="1:18" ht="36.65" customHeight="1">
      <c r="A5" s="25" t="s">
        <v>3</v>
      </c>
      <c r="B5" s="25" t="s">
        <v>4</v>
      </c>
      <c r="C5" s="25" t="s">
        <v>49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18" ht="12" customHeight="1">
      <c r="A6" s="57"/>
      <c r="B6" s="57"/>
      <c r="C6" s="26"/>
      <c r="D6" s="57"/>
      <c r="E6" s="57"/>
      <c r="F6" s="52"/>
      <c r="G6" s="52"/>
      <c r="H6" s="52"/>
      <c r="I6" s="31"/>
      <c r="J6" s="57"/>
      <c r="K6" s="57"/>
      <c r="L6" s="57"/>
      <c r="M6" s="30"/>
      <c r="N6" s="57"/>
      <c r="O6" s="30"/>
      <c r="P6" s="30"/>
      <c r="Q6" s="30"/>
      <c r="R6" s="30"/>
    </row>
    <row r="7" spans="1:18" ht="16" customHeight="1">
      <c r="A7" s="53" t="s">
        <v>21</v>
      </c>
      <c r="B7" s="33"/>
      <c r="C7" s="33"/>
      <c r="D7" s="33"/>
      <c r="E7" s="33"/>
      <c r="F7" s="32"/>
      <c r="G7" s="32"/>
      <c r="H7" s="32"/>
      <c r="I7" s="7"/>
      <c r="J7" s="33"/>
      <c r="K7" s="33"/>
      <c r="L7" s="33"/>
      <c r="M7" s="33"/>
      <c r="N7" s="33"/>
      <c r="O7" s="33"/>
      <c r="P7" s="33"/>
      <c r="Q7" s="33"/>
      <c r="R7" s="33"/>
    </row>
    <row r="8" spans="1:18" ht="16" customHeight="1">
      <c r="A8" s="33" t="s">
        <v>22</v>
      </c>
      <c r="B8" s="7" t="s">
        <v>23</v>
      </c>
      <c r="C8" s="78" t="s">
        <v>24</v>
      </c>
      <c r="D8" s="7">
        <v>0</v>
      </c>
      <c r="E8" s="238">
        <v>0</v>
      </c>
      <c r="F8" s="239"/>
      <c r="G8" s="101">
        <v>0</v>
      </c>
      <c r="H8" s="238">
        <v>0</v>
      </c>
      <c r="I8" s="238">
        <v>0</v>
      </c>
      <c r="J8" s="7">
        <v>0</v>
      </c>
      <c r="K8" s="7">
        <v>0</v>
      </c>
      <c r="L8" s="7">
        <v>0</v>
      </c>
      <c r="M8" s="7"/>
      <c r="N8" s="7"/>
      <c r="O8" s="7"/>
      <c r="P8" s="7"/>
      <c r="Q8" s="7"/>
      <c r="R8" s="7"/>
    </row>
    <row r="9" spans="1:18" ht="16" customHeight="1">
      <c r="A9" s="33" t="s">
        <v>25</v>
      </c>
      <c r="B9" s="7" t="s">
        <v>23</v>
      </c>
      <c r="C9" s="78" t="s">
        <v>24</v>
      </c>
      <c r="D9" s="7">
        <v>0</v>
      </c>
      <c r="E9" s="238">
        <v>0</v>
      </c>
      <c r="F9" s="239"/>
      <c r="G9" s="101">
        <v>0</v>
      </c>
      <c r="H9" s="238">
        <v>0</v>
      </c>
      <c r="I9" s="238">
        <v>0</v>
      </c>
      <c r="J9" s="7">
        <v>0</v>
      </c>
      <c r="K9" s="7">
        <v>0</v>
      </c>
      <c r="L9" s="7">
        <v>0</v>
      </c>
      <c r="M9" s="7"/>
      <c r="N9" s="7"/>
      <c r="O9" s="7"/>
      <c r="P9" s="7"/>
      <c r="Q9" s="7"/>
      <c r="R9" s="7"/>
    </row>
    <row r="10" spans="1:18">
      <c r="A10" s="33" t="s">
        <v>26</v>
      </c>
      <c r="B10" s="7" t="s">
        <v>23</v>
      </c>
      <c r="C10" s="78" t="s">
        <v>24</v>
      </c>
      <c r="D10" s="7">
        <v>0</v>
      </c>
      <c r="E10" s="238">
        <v>0</v>
      </c>
      <c r="F10" s="239"/>
      <c r="G10" s="101">
        <v>0</v>
      </c>
      <c r="H10" s="238">
        <v>0</v>
      </c>
      <c r="I10" s="238">
        <v>0</v>
      </c>
      <c r="J10" s="7">
        <v>0</v>
      </c>
      <c r="K10" s="7">
        <v>0</v>
      </c>
      <c r="L10" s="7">
        <v>0</v>
      </c>
      <c r="M10" s="7"/>
      <c r="N10" s="7"/>
      <c r="O10" s="7"/>
      <c r="P10" s="7"/>
      <c r="Q10" s="7"/>
      <c r="R10" s="7"/>
    </row>
    <row r="11" spans="1:18">
      <c r="A11" s="54" t="s">
        <v>27</v>
      </c>
      <c r="B11" s="6" t="s">
        <v>23</v>
      </c>
      <c r="C11" s="6" t="s">
        <v>28</v>
      </c>
      <c r="D11" s="6">
        <v>4</v>
      </c>
      <c r="E11" s="238">
        <v>0</v>
      </c>
      <c r="F11" s="239"/>
      <c r="G11" s="101">
        <v>0</v>
      </c>
      <c r="H11" s="238">
        <v>0</v>
      </c>
      <c r="I11" s="238">
        <v>0</v>
      </c>
      <c r="J11" s="6">
        <v>0</v>
      </c>
      <c r="K11" s="6">
        <v>0</v>
      </c>
      <c r="L11" s="6">
        <v>0</v>
      </c>
      <c r="M11" s="7"/>
      <c r="N11" s="6"/>
      <c r="O11" s="6"/>
      <c r="P11" s="6"/>
      <c r="Q11" s="6"/>
      <c r="R11" s="7"/>
    </row>
    <row r="12" spans="1:18">
      <c r="A12" s="54" t="s">
        <v>29</v>
      </c>
      <c r="B12" s="6" t="s">
        <v>30</v>
      </c>
      <c r="C12" s="6" t="s">
        <v>31</v>
      </c>
      <c r="D12" s="6">
        <v>50</v>
      </c>
      <c r="E12" s="35">
        <v>90</v>
      </c>
      <c r="F12" s="240"/>
      <c r="G12" s="101">
        <v>95</v>
      </c>
      <c r="H12" s="35">
        <v>95</v>
      </c>
      <c r="I12" s="35">
        <v>90</v>
      </c>
      <c r="J12" s="44">
        <v>90</v>
      </c>
      <c r="K12" s="44">
        <v>95</v>
      </c>
      <c r="L12" s="44">
        <v>90</v>
      </c>
      <c r="M12" s="45"/>
      <c r="N12" s="44"/>
      <c r="O12" s="6"/>
      <c r="P12" s="6"/>
      <c r="Q12" s="6"/>
      <c r="R12" s="45"/>
    </row>
    <row r="13" spans="1:18">
      <c r="A13" s="54"/>
      <c r="B13" s="6"/>
      <c r="C13" s="6"/>
      <c r="D13" s="6"/>
      <c r="E13" s="32"/>
      <c r="F13" s="239"/>
      <c r="G13" s="101"/>
      <c r="H13" s="32"/>
      <c r="I13" s="7"/>
      <c r="J13" s="6"/>
      <c r="K13" s="6"/>
      <c r="L13" s="6"/>
      <c r="M13" s="7"/>
      <c r="N13" s="6"/>
      <c r="O13" s="6"/>
      <c r="P13" s="6"/>
      <c r="Q13" s="6"/>
      <c r="R13" s="7"/>
    </row>
    <row r="14" spans="1:18" ht="16" customHeight="1">
      <c r="A14" s="53" t="s">
        <v>32</v>
      </c>
      <c r="B14" s="6"/>
      <c r="C14" s="6"/>
      <c r="D14" s="6"/>
      <c r="E14" s="32"/>
      <c r="F14" s="239"/>
      <c r="G14" s="101"/>
      <c r="H14" s="32"/>
      <c r="I14" s="7"/>
      <c r="J14" s="6"/>
      <c r="K14" s="6"/>
      <c r="L14" s="6"/>
      <c r="M14" s="7"/>
      <c r="N14" s="6"/>
      <c r="O14" s="6"/>
      <c r="P14" s="6"/>
      <c r="Q14" s="6"/>
      <c r="R14" s="7"/>
    </row>
    <row r="15" spans="1:18">
      <c r="A15" s="54" t="s">
        <v>50</v>
      </c>
      <c r="B15" s="6" t="s">
        <v>51</v>
      </c>
      <c r="C15" s="6" t="s">
        <v>52</v>
      </c>
      <c r="D15" s="6">
        <v>1500</v>
      </c>
      <c r="E15" s="236">
        <v>1479.2826819356105</v>
      </c>
      <c r="F15" s="240"/>
      <c r="G15" s="103">
        <v>1482.54</v>
      </c>
      <c r="H15" s="236">
        <v>1678.05</v>
      </c>
      <c r="I15" s="35">
        <v>1484.9981010254462</v>
      </c>
      <c r="J15" s="35">
        <v>1572.1286816439422</v>
      </c>
      <c r="K15" s="35">
        <v>1551.4170040485831</v>
      </c>
      <c r="L15" s="35">
        <v>1479.2826819356105</v>
      </c>
      <c r="M15" s="35"/>
      <c r="N15" s="46"/>
      <c r="O15" s="35"/>
      <c r="P15" s="47"/>
      <c r="Q15" s="47"/>
      <c r="R15" s="47"/>
    </row>
    <row r="16" spans="1:18">
      <c r="A16" s="54" t="s">
        <v>53</v>
      </c>
      <c r="B16" s="6" t="s">
        <v>42</v>
      </c>
      <c r="C16" s="6" t="s">
        <v>52</v>
      </c>
      <c r="D16" s="6">
        <v>117</v>
      </c>
      <c r="E16" s="236">
        <v>127.72102312005531</v>
      </c>
      <c r="F16" s="242"/>
      <c r="G16" s="103">
        <v>121.97</v>
      </c>
      <c r="H16" s="236">
        <v>137.76</v>
      </c>
      <c r="I16" s="45">
        <v>123.32</v>
      </c>
      <c r="J16" s="35">
        <v>132.56761688496007</v>
      </c>
      <c r="K16" s="35">
        <v>129.92781787895615</v>
      </c>
      <c r="L16" s="35">
        <v>127.72102312005531</v>
      </c>
      <c r="M16" s="35"/>
      <c r="N16" s="46"/>
      <c r="O16" s="45"/>
      <c r="P16" s="48"/>
      <c r="Q16" s="50"/>
      <c r="R16" s="50"/>
    </row>
    <row r="17" spans="1:18">
      <c r="A17" s="54" t="s">
        <v>54</v>
      </c>
      <c r="B17" s="6" t="s">
        <v>42</v>
      </c>
      <c r="C17" s="6" t="s">
        <v>52</v>
      </c>
      <c r="D17" s="6">
        <v>10</v>
      </c>
      <c r="E17" s="235">
        <v>9.6924121364039912</v>
      </c>
      <c r="F17" s="239"/>
      <c r="G17" s="103">
        <v>6.24</v>
      </c>
      <c r="H17" s="235">
        <v>9.82</v>
      </c>
      <c r="I17" s="7">
        <v>7.0750000000000002</v>
      </c>
      <c r="J17" s="35">
        <v>9.8821039159221247</v>
      </c>
      <c r="K17" s="35">
        <v>10.058267265259337</v>
      </c>
      <c r="L17" s="35">
        <v>9.6924121364039912</v>
      </c>
      <c r="M17" s="35"/>
      <c r="N17" s="46"/>
      <c r="O17" s="45"/>
      <c r="P17" s="48"/>
      <c r="Q17" s="48"/>
      <c r="R17" s="48"/>
    </row>
    <row r="18" spans="1:18">
      <c r="A18" s="54" t="s">
        <v>55</v>
      </c>
      <c r="B18" s="6" t="s">
        <v>42</v>
      </c>
      <c r="C18" s="6" t="s">
        <v>52</v>
      </c>
      <c r="D18" s="6">
        <v>66</v>
      </c>
      <c r="E18" s="235">
        <v>65.93035461640271</v>
      </c>
      <c r="F18" s="242"/>
      <c r="G18" s="103">
        <v>65.19</v>
      </c>
      <c r="H18" s="235">
        <v>64.52</v>
      </c>
      <c r="I18" s="45">
        <v>63.12</v>
      </c>
      <c r="J18" s="45">
        <v>60.688335026173917</v>
      </c>
      <c r="K18" s="45">
        <v>65.093381072188905</v>
      </c>
      <c r="L18" s="45">
        <v>65.93035461640271</v>
      </c>
      <c r="M18" s="35"/>
      <c r="N18" s="46"/>
      <c r="O18" s="45"/>
      <c r="P18" s="48"/>
      <c r="Q18" s="48"/>
      <c r="R18" s="48"/>
    </row>
    <row r="19" spans="1:18">
      <c r="A19" s="54" t="s">
        <v>56</v>
      </c>
      <c r="B19" s="6"/>
      <c r="C19" s="6" t="s">
        <v>52</v>
      </c>
      <c r="D19" s="6">
        <v>60</v>
      </c>
      <c r="E19" s="235">
        <v>58.756196024324183</v>
      </c>
      <c r="F19" s="242"/>
      <c r="G19" s="103">
        <v>62.51</v>
      </c>
      <c r="H19" s="235">
        <v>62</v>
      </c>
      <c r="I19" s="45">
        <v>59.18</v>
      </c>
      <c r="J19" s="45">
        <v>58.165564763944495</v>
      </c>
      <c r="K19" s="45">
        <v>59.640307310259189</v>
      </c>
      <c r="L19" s="45">
        <v>58.756196024324183</v>
      </c>
      <c r="M19" s="35"/>
      <c r="N19" s="46"/>
      <c r="O19" s="45"/>
      <c r="P19" s="48"/>
      <c r="Q19" s="48"/>
      <c r="R19" s="48"/>
    </row>
    <row r="20" spans="1:18">
      <c r="A20" s="54" t="s">
        <v>57</v>
      </c>
      <c r="B20" s="6" t="s">
        <v>42</v>
      </c>
      <c r="C20" s="6" t="s">
        <v>52</v>
      </c>
      <c r="D20" s="6">
        <v>17</v>
      </c>
      <c r="E20" s="235">
        <v>14.943033442843902</v>
      </c>
      <c r="F20" s="242"/>
      <c r="G20" s="103">
        <v>15.83</v>
      </c>
      <c r="H20" s="235">
        <v>17.007806872836266</v>
      </c>
      <c r="I20" s="45">
        <v>15.632243593682785</v>
      </c>
      <c r="J20" s="45">
        <v>15.315321370163765</v>
      </c>
      <c r="K20" s="45">
        <v>15.545624901372889</v>
      </c>
      <c r="L20" s="45">
        <v>14.943033442843902</v>
      </c>
      <c r="M20" s="45"/>
      <c r="N20" s="44"/>
      <c r="O20" s="45"/>
      <c r="P20" s="48"/>
      <c r="Q20" s="48"/>
      <c r="R20" s="48"/>
    </row>
    <row r="21" spans="1:18">
      <c r="A21" s="54" t="s">
        <v>58</v>
      </c>
      <c r="B21" s="6" t="s">
        <v>59</v>
      </c>
      <c r="C21" s="6" t="s">
        <v>28</v>
      </c>
      <c r="D21" s="6">
        <v>2700</v>
      </c>
      <c r="E21" s="236">
        <v>2709.1439999999998</v>
      </c>
      <c r="F21" s="240"/>
      <c r="G21" s="103">
        <v>2776.84</v>
      </c>
      <c r="H21" s="236">
        <v>2738.1757142857145</v>
      </c>
      <c r="I21" s="35">
        <v>2432.0300000000002</v>
      </c>
      <c r="J21" s="35">
        <v>1494.383333333333</v>
      </c>
      <c r="K21" s="35">
        <v>1870.2254838709678</v>
      </c>
      <c r="L21" s="35">
        <v>2709.1439999999998</v>
      </c>
      <c r="M21" s="35"/>
      <c r="N21" s="46"/>
      <c r="O21" s="35"/>
      <c r="P21" s="47"/>
      <c r="Q21" s="47"/>
      <c r="R21" s="47"/>
    </row>
    <row r="22" spans="1:18" ht="29">
      <c r="A22" s="54" t="s">
        <v>60</v>
      </c>
      <c r="B22" s="6" t="s">
        <v>61</v>
      </c>
      <c r="C22" s="6" t="s">
        <v>31</v>
      </c>
      <c r="D22" s="44">
        <v>70</v>
      </c>
      <c r="E22" s="236">
        <v>86.952740500782554</v>
      </c>
      <c r="F22" s="240"/>
      <c r="G22" s="103">
        <v>83.07</v>
      </c>
      <c r="H22" s="236">
        <v>78.816362312961871</v>
      </c>
      <c r="I22" s="35">
        <v>86.93218931513573</v>
      </c>
      <c r="J22" s="45">
        <v>81.820637871209527</v>
      </c>
      <c r="K22" s="35">
        <v>81.984935527140166</v>
      </c>
      <c r="L22" s="35">
        <v>86.952740500782554</v>
      </c>
      <c r="M22" s="35"/>
      <c r="N22" s="46"/>
      <c r="O22" s="35"/>
      <c r="P22" s="47"/>
      <c r="Q22" s="47"/>
      <c r="R22" s="47"/>
    </row>
    <row r="23" spans="1:18" ht="29">
      <c r="A23" s="54" t="s">
        <v>62</v>
      </c>
      <c r="B23" s="6" t="s">
        <v>61</v>
      </c>
      <c r="C23" s="6" t="s">
        <v>31</v>
      </c>
      <c r="D23" s="44">
        <v>39</v>
      </c>
      <c r="E23" s="235">
        <v>39.810052420598211</v>
      </c>
      <c r="F23" s="242"/>
      <c r="G23" s="105">
        <v>38.71</v>
      </c>
      <c r="H23" s="235">
        <v>38.80230494173334</v>
      </c>
      <c r="I23" s="45">
        <v>41.372859977138049</v>
      </c>
      <c r="J23" s="45">
        <v>43.000106912994205</v>
      </c>
      <c r="K23" s="45">
        <v>41.135425339994448</v>
      </c>
      <c r="L23" s="45">
        <v>39.810052420598211</v>
      </c>
      <c r="M23" s="45"/>
      <c r="N23" s="44"/>
      <c r="O23" s="45"/>
      <c r="P23" s="48"/>
      <c r="Q23" s="48"/>
      <c r="R23" s="48"/>
    </row>
    <row r="24" spans="1:18" ht="33.75" customHeight="1">
      <c r="A24" s="54" t="s">
        <v>63</v>
      </c>
      <c r="B24" s="6" t="s">
        <v>61</v>
      </c>
      <c r="C24" s="6" t="s">
        <v>31</v>
      </c>
      <c r="D24" s="44">
        <v>3</v>
      </c>
      <c r="E24" s="235">
        <v>1.5741211840888067</v>
      </c>
      <c r="F24" s="242"/>
      <c r="G24" s="105">
        <v>1.7</v>
      </c>
      <c r="H24" s="235">
        <v>1.7434594705836957</v>
      </c>
      <c r="I24" s="45">
        <v>1.8485461640541854</v>
      </c>
      <c r="J24" s="45">
        <v>3.129300575191909</v>
      </c>
      <c r="K24" s="45">
        <v>2.6142797668609492</v>
      </c>
      <c r="L24" s="45">
        <v>1.5741211840888067</v>
      </c>
      <c r="M24" s="45"/>
      <c r="N24" s="44"/>
      <c r="O24" s="45"/>
      <c r="P24" s="45"/>
      <c r="Q24" s="45"/>
      <c r="R24" s="45"/>
    </row>
    <row r="25" spans="1:18" ht="33.75" customHeight="1">
      <c r="A25" s="54" t="s">
        <v>64</v>
      </c>
      <c r="B25" s="6" t="s">
        <v>61</v>
      </c>
      <c r="C25" s="6" t="s">
        <v>31</v>
      </c>
      <c r="D25" s="44">
        <v>99</v>
      </c>
      <c r="E25" s="235">
        <v>113.89670209696733</v>
      </c>
      <c r="F25" s="242"/>
      <c r="G25" s="105">
        <v>108.72</v>
      </c>
      <c r="H25" s="235">
        <v>103.924960817083</v>
      </c>
      <c r="I25" s="45">
        <v>112.96814951661324</v>
      </c>
      <c r="J25" s="45">
        <v>113.63089876556643</v>
      </c>
      <c r="K25" s="45">
        <v>110.39629484496578</v>
      </c>
      <c r="L25" s="45">
        <v>113.89670209696733</v>
      </c>
      <c r="M25" s="45"/>
      <c r="N25" s="44"/>
      <c r="O25" s="45"/>
      <c r="P25" s="48"/>
      <c r="Q25" s="48"/>
      <c r="R25" s="48"/>
    </row>
    <row r="26" spans="1:18" ht="29">
      <c r="A26" s="54" t="s">
        <v>65</v>
      </c>
      <c r="B26" s="6" t="s">
        <v>66</v>
      </c>
      <c r="C26" s="6" t="s">
        <v>31</v>
      </c>
      <c r="D26" s="6">
        <v>780</v>
      </c>
      <c r="E26" s="236">
        <v>851.96304332024386</v>
      </c>
      <c r="F26" s="240"/>
      <c r="G26" s="103">
        <v>825.98</v>
      </c>
      <c r="H26" s="236">
        <v>815.54839871213619</v>
      </c>
      <c r="I26" s="35">
        <v>843.01324564608456</v>
      </c>
      <c r="J26" s="35">
        <v>817.35807590306354</v>
      </c>
      <c r="K26" s="35">
        <v>824.63636995399065</v>
      </c>
      <c r="L26" s="35">
        <v>851.96304332024386</v>
      </c>
      <c r="M26" s="35"/>
      <c r="N26" s="46"/>
      <c r="O26" s="35"/>
      <c r="P26" s="47"/>
      <c r="Q26" s="47"/>
      <c r="R26" s="47"/>
    </row>
    <row r="27" spans="1:18">
      <c r="A27" s="54"/>
      <c r="B27" s="6"/>
      <c r="C27" s="6"/>
      <c r="D27" s="6"/>
      <c r="E27" s="32"/>
      <c r="F27" s="239"/>
      <c r="G27" s="101"/>
      <c r="H27" s="32"/>
      <c r="I27" s="7"/>
      <c r="J27" s="7"/>
      <c r="K27" s="6"/>
      <c r="L27" s="6"/>
      <c r="M27" s="7"/>
      <c r="N27" s="6"/>
      <c r="O27" s="7"/>
      <c r="P27" s="6"/>
      <c r="Q27" s="6"/>
      <c r="R27" s="7"/>
    </row>
    <row r="28" spans="1:18" ht="15.65" customHeight="1">
      <c r="A28" s="73" t="s">
        <v>67</v>
      </c>
      <c r="B28" s="6"/>
      <c r="C28" s="6"/>
      <c r="D28" s="6"/>
      <c r="E28" s="42"/>
      <c r="F28" s="243"/>
      <c r="G28" s="101"/>
      <c r="H28" s="42"/>
      <c r="I28" s="43"/>
      <c r="J28" s="7"/>
      <c r="K28" s="6"/>
      <c r="L28" s="6"/>
      <c r="M28" s="7"/>
      <c r="N28" s="6"/>
      <c r="O28" s="7"/>
      <c r="P28" s="6"/>
      <c r="Q28" s="6"/>
      <c r="R28" s="7"/>
    </row>
    <row r="29" spans="1:18">
      <c r="A29" s="54" t="s">
        <v>68</v>
      </c>
      <c r="B29" s="6" t="s">
        <v>34</v>
      </c>
      <c r="C29" s="6" t="s">
        <v>31</v>
      </c>
      <c r="D29" s="44">
        <v>3</v>
      </c>
      <c r="E29" s="49">
        <v>3.45</v>
      </c>
      <c r="F29" s="243"/>
      <c r="G29" s="104">
        <v>3.51</v>
      </c>
      <c r="H29" s="241">
        <v>3.27</v>
      </c>
      <c r="I29" s="241">
        <v>3.14</v>
      </c>
      <c r="J29" s="241">
        <v>3.36</v>
      </c>
      <c r="K29" s="49">
        <v>3.3</v>
      </c>
      <c r="L29" s="49">
        <v>3.45</v>
      </c>
      <c r="M29" s="45"/>
      <c r="N29" s="43"/>
      <c r="O29" s="43"/>
      <c r="P29" s="43"/>
      <c r="Q29" s="43"/>
      <c r="R29" s="50"/>
    </row>
    <row r="30" spans="1:18" ht="16" customHeight="1">
      <c r="A30" s="54" t="s">
        <v>69</v>
      </c>
      <c r="B30" s="6" t="s">
        <v>34</v>
      </c>
      <c r="C30" s="6" t="s">
        <v>28</v>
      </c>
      <c r="D30" s="44">
        <v>50</v>
      </c>
      <c r="E30" s="49">
        <v>55.44</v>
      </c>
      <c r="F30" s="243"/>
      <c r="G30" s="104">
        <v>51.34</v>
      </c>
      <c r="H30" s="245">
        <v>51.44</v>
      </c>
      <c r="I30" s="245">
        <v>51.82</v>
      </c>
      <c r="J30" s="245">
        <v>52.9</v>
      </c>
      <c r="K30" s="49">
        <v>56.89</v>
      </c>
      <c r="L30" s="49">
        <v>55.44</v>
      </c>
      <c r="M30" s="45"/>
      <c r="N30" s="49"/>
      <c r="O30" s="43"/>
      <c r="P30" s="43"/>
      <c r="Q30" s="43"/>
      <c r="R30" s="50"/>
    </row>
    <row r="31" spans="1:18">
      <c r="A31" s="54" t="s">
        <v>70</v>
      </c>
      <c r="B31" s="6" t="s">
        <v>34</v>
      </c>
      <c r="C31" s="6" t="s">
        <v>31</v>
      </c>
      <c r="D31" s="44">
        <v>10</v>
      </c>
      <c r="E31" s="49">
        <v>8.99</v>
      </c>
      <c r="F31" s="243"/>
      <c r="G31" s="104">
        <v>9.01</v>
      </c>
      <c r="H31" s="245">
        <v>9.34</v>
      </c>
      <c r="I31" s="245">
        <v>9.76</v>
      </c>
      <c r="J31" s="245">
        <v>9.74</v>
      </c>
      <c r="K31" s="49">
        <v>9.31</v>
      </c>
      <c r="L31" s="49">
        <v>8.99</v>
      </c>
      <c r="M31" s="45"/>
      <c r="N31" s="49"/>
      <c r="O31" s="43"/>
      <c r="P31" s="43"/>
      <c r="Q31" s="43"/>
      <c r="R31" s="50"/>
    </row>
    <row r="32" spans="1:18">
      <c r="A32" s="54" t="s">
        <v>71</v>
      </c>
      <c r="B32" s="6" t="s">
        <v>34</v>
      </c>
      <c r="C32" s="79" t="s">
        <v>24</v>
      </c>
      <c r="D32" s="6">
        <v>100</v>
      </c>
      <c r="E32" s="6">
        <v>100</v>
      </c>
      <c r="F32" s="239"/>
      <c r="G32" s="101">
        <v>100</v>
      </c>
      <c r="H32" s="246">
        <v>100</v>
      </c>
      <c r="I32" s="246">
        <v>100</v>
      </c>
      <c r="J32" s="246">
        <v>100</v>
      </c>
      <c r="K32" s="6">
        <v>100</v>
      </c>
      <c r="L32" s="6">
        <v>100</v>
      </c>
      <c r="M32" s="7"/>
      <c r="N32" s="6"/>
      <c r="O32" s="7"/>
      <c r="P32" s="7"/>
      <c r="Q32" s="7"/>
      <c r="R32" s="58"/>
    </row>
    <row r="33" spans="1:18">
      <c r="A33" s="54"/>
      <c r="B33" s="6"/>
      <c r="C33" s="6"/>
      <c r="D33" s="6"/>
      <c r="E33" s="32"/>
      <c r="F33" s="239"/>
      <c r="G33" s="101"/>
      <c r="H33" s="32"/>
      <c r="I33" s="7"/>
      <c r="J33" s="7"/>
      <c r="K33" s="6"/>
      <c r="L33" s="32"/>
      <c r="M33" s="7"/>
      <c r="N33" s="6"/>
      <c r="O33" s="7"/>
      <c r="P33" s="6"/>
      <c r="Q33" s="6"/>
      <c r="R33" s="7"/>
    </row>
    <row r="34" spans="1:18" ht="16" customHeight="1">
      <c r="A34" s="75"/>
      <c r="B34" s="58"/>
      <c r="C34" s="58"/>
      <c r="D34" s="58"/>
      <c r="E34" s="32"/>
      <c r="F34" s="239"/>
      <c r="G34" s="101"/>
      <c r="H34" s="32"/>
      <c r="I34" s="7"/>
      <c r="J34" s="7"/>
      <c r="K34" s="58"/>
      <c r="L34" s="58"/>
      <c r="M34" s="7"/>
      <c r="N34" s="58"/>
      <c r="O34" s="7"/>
      <c r="P34" s="58"/>
      <c r="Q34" s="58"/>
      <c r="R34" s="7"/>
    </row>
    <row r="35" spans="1:18" ht="16" customHeight="1">
      <c r="A35" s="53" t="s">
        <v>44</v>
      </c>
      <c r="B35" s="6"/>
      <c r="C35" s="6"/>
      <c r="D35" s="6"/>
      <c r="E35" s="32"/>
      <c r="F35" s="239"/>
      <c r="G35" s="101"/>
      <c r="H35" s="32"/>
      <c r="I35" s="7"/>
      <c r="J35" s="6"/>
      <c r="K35" s="6"/>
      <c r="L35" s="6"/>
      <c r="M35" s="7"/>
      <c r="N35" s="6"/>
      <c r="O35" s="7"/>
      <c r="P35" s="6"/>
      <c r="Q35" s="6"/>
      <c r="R35" s="7"/>
    </row>
    <row r="36" spans="1:18">
      <c r="A36" s="54" t="s">
        <v>72</v>
      </c>
      <c r="B36" s="6" t="s">
        <v>73</v>
      </c>
      <c r="C36" s="6" t="s">
        <v>31</v>
      </c>
      <c r="D36" s="6">
        <v>53</v>
      </c>
      <c r="E36" s="32"/>
      <c r="F36" s="239"/>
      <c r="G36" s="102"/>
      <c r="H36" s="32"/>
      <c r="I36" s="7"/>
      <c r="J36" s="6"/>
      <c r="K36" s="6"/>
      <c r="L36" s="6"/>
      <c r="M36" s="7"/>
      <c r="N36" s="7"/>
      <c r="O36" s="7"/>
      <c r="P36" s="6"/>
      <c r="Q36" s="6"/>
      <c r="R36" s="7"/>
    </row>
    <row r="37" spans="1:18" ht="16" customHeight="1">
      <c r="A37" s="54"/>
      <c r="B37" s="6"/>
      <c r="C37" s="6"/>
      <c r="D37" s="6"/>
      <c r="E37" s="56"/>
      <c r="F37" s="244"/>
      <c r="G37" s="106"/>
      <c r="H37" s="56"/>
      <c r="I37" s="60"/>
      <c r="J37" s="59"/>
      <c r="K37" s="59"/>
      <c r="L37" s="59"/>
      <c r="M37" s="60"/>
      <c r="N37" s="59"/>
      <c r="O37" s="7"/>
      <c r="P37" s="6"/>
      <c r="Q37" s="6"/>
      <c r="R37" s="7"/>
    </row>
    <row r="38" spans="1:18" ht="18.5">
      <c r="A38" s="76" t="s">
        <v>74</v>
      </c>
      <c r="B38" s="54"/>
      <c r="C38" s="54"/>
      <c r="D38" s="6"/>
      <c r="E38" s="32"/>
      <c r="F38" s="239"/>
      <c r="G38" s="102"/>
      <c r="H38" s="32"/>
      <c r="I38" s="7"/>
      <c r="J38" s="6"/>
      <c r="K38" s="6"/>
      <c r="L38" s="6"/>
      <c r="M38" s="7"/>
      <c r="N38" s="6"/>
      <c r="O38" s="7"/>
      <c r="P38" s="6"/>
      <c r="Q38" s="6"/>
      <c r="R38" s="7"/>
    </row>
    <row r="39" spans="1:18" ht="29">
      <c r="A39" s="54" t="s">
        <v>75</v>
      </c>
      <c r="B39" s="6" t="s">
        <v>34</v>
      </c>
      <c r="C39" s="6" t="s">
        <v>31</v>
      </c>
      <c r="D39" s="6">
        <v>2</v>
      </c>
      <c r="E39" s="32"/>
      <c r="F39" s="239"/>
      <c r="G39" s="101">
        <v>2</v>
      </c>
      <c r="H39" s="32"/>
      <c r="I39" s="7"/>
      <c r="J39" s="6"/>
      <c r="K39" s="6"/>
      <c r="L39" s="6"/>
      <c r="M39" s="7"/>
      <c r="N39" s="44"/>
      <c r="O39" s="45"/>
      <c r="P39" s="44"/>
      <c r="Q39" s="44"/>
      <c r="R39" s="45"/>
    </row>
  </sheetData>
  <mergeCells count="5">
    <mergeCell ref="A1:R1"/>
    <mergeCell ref="A2:R2"/>
    <mergeCell ref="A3:R3"/>
    <mergeCell ref="A4:F4"/>
    <mergeCell ref="G4:R4"/>
  </mergeCells>
  <printOptions horizontalCentered="1"/>
  <pageMargins left="0.45" right="0.2" top="0.5" bottom="0.25" header="0.3" footer="0.3"/>
  <pageSetup paperSize="9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6"/>
  <sheetViews>
    <sheetView view="pageBreakPreview" topLeftCell="C25" zoomScale="90" zoomScaleNormal="90" zoomScaleSheetLayoutView="90" workbookViewId="0">
      <selection activeCell="F8" sqref="F8"/>
    </sheetView>
  </sheetViews>
  <sheetFormatPr defaultColWidth="8.81640625" defaultRowHeight="14.5"/>
  <cols>
    <col min="1" max="1" width="54.1796875" style="17" bestFit="1" customWidth="1"/>
    <col min="2" max="2" width="14.453125" style="17" bestFit="1" customWidth="1"/>
    <col min="3" max="3" width="10" style="17" customWidth="1"/>
    <col min="4" max="4" width="17.1796875" style="17" bestFit="1" customWidth="1"/>
    <col min="5" max="5" width="13.453125" style="17" bestFit="1" customWidth="1"/>
    <col min="6" max="6" width="36.453125" style="17" bestFit="1" customWidth="1"/>
    <col min="7" max="7" width="11.81640625" style="17" customWidth="1"/>
    <col min="8" max="8" width="10.54296875" style="77" bestFit="1" customWidth="1"/>
    <col min="9" max="12" width="10.26953125" style="17" bestFit="1" customWidth="1"/>
    <col min="13" max="18" width="6.08984375" style="17" customWidth="1"/>
    <col min="19" max="16384" width="8.81640625" style="17"/>
  </cols>
  <sheetData>
    <row r="1" spans="1:18" ht="32.9" customHeight="1">
      <c r="A1" s="368" t="s">
        <v>0</v>
      </c>
      <c r="B1" s="368"/>
      <c r="C1" s="368"/>
      <c r="D1" s="368"/>
      <c r="E1" s="368"/>
      <c r="F1" s="368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5" customHeight="1">
      <c r="A2" s="369" t="s">
        <v>1</v>
      </c>
      <c r="B2" s="369"/>
      <c r="C2" s="369"/>
      <c r="D2" s="369"/>
      <c r="E2" s="369"/>
      <c r="F2" s="369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25" customHeight="1">
      <c r="A3" s="370" t="s">
        <v>264</v>
      </c>
      <c r="B3" s="370"/>
      <c r="C3" s="370"/>
      <c r="D3" s="370"/>
      <c r="E3" s="370"/>
      <c r="F3" s="370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18" ht="25" customHeight="1">
      <c r="A4" s="371" t="s">
        <v>245</v>
      </c>
      <c r="B4" s="370"/>
      <c r="C4" s="370"/>
      <c r="D4" s="370"/>
      <c r="E4" s="370"/>
      <c r="F4" s="370"/>
      <c r="G4" s="372" t="s">
        <v>2</v>
      </c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1"/>
    </row>
    <row r="5" spans="1:18" ht="33.65" customHeight="1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18" ht="12" customHeight="1">
      <c r="A6" s="57"/>
      <c r="B6" s="57"/>
      <c r="C6" s="26"/>
      <c r="D6" s="57"/>
      <c r="E6" s="31"/>
      <c r="F6" s="52"/>
      <c r="G6" s="52"/>
      <c r="H6" s="31"/>
      <c r="I6" s="52"/>
      <c r="J6" s="57"/>
      <c r="K6" s="57"/>
      <c r="L6" s="57"/>
      <c r="M6" s="30"/>
      <c r="N6" s="57"/>
      <c r="O6" s="30"/>
      <c r="P6" s="30"/>
      <c r="Q6" s="30"/>
      <c r="R6" s="30"/>
    </row>
    <row r="7" spans="1:18" ht="16" customHeight="1">
      <c r="A7" s="53" t="s">
        <v>21</v>
      </c>
      <c r="B7" s="33"/>
      <c r="C7" s="33"/>
      <c r="D7" s="33"/>
      <c r="E7" s="7"/>
      <c r="F7" s="32"/>
      <c r="G7" s="32"/>
      <c r="H7" s="7"/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18" ht="27.75" customHeight="1">
      <c r="A8" s="33" t="s">
        <v>22</v>
      </c>
      <c r="B8" s="7" t="s">
        <v>23</v>
      </c>
      <c r="C8" s="78" t="s">
        <v>24</v>
      </c>
      <c r="D8" s="7">
        <v>0</v>
      </c>
      <c r="E8" s="86">
        <v>0</v>
      </c>
      <c r="F8" s="90"/>
      <c r="G8" s="234">
        <v>0</v>
      </c>
      <c r="H8" s="234">
        <v>0</v>
      </c>
      <c r="I8" s="86">
        <v>0</v>
      </c>
      <c r="J8" s="86">
        <v>0</v>
      </c>
      <c r="K8" s="86">
        <v>0</v>
      </c>
      <c r="L8" s="86">
        <v>0</v>
      </c>
      <c r="M8" s="7"/>
      <c r="N8" s="7"/>
      <c r="O8" s="7"/>
      <c r="P8" s="7"/>
      <c r="Q8" s="7"/>
      <c r="R8" s="7"/>
    </row>
    <row r="9" spans="1:18" ht="16" customHeight="1">
      <c r="A9" s="33" t="s">
        <v>25</v>
      </c>
      <c r="B9" s="7" t="s">
        <v>23</v>
      </c>
      <c r="C9" s="78" t="s">
        <v>24</v>
      </c>
      <c r="D9" s="7">
        <v>0</v>
      </c>
      <c r="E9" s="86">
        <v>0</v>
      </c>
      <c r="F9" s="90"/>
      <c r="G9" s="234">
        <v>0</v>
      </c>
      <c r="H9" s="234">
        <v>0</v>
      </c>
      <c r="I9" s="86">
        <v>0</v>
      </c>
      <c r="J9" s="86">
        <v>0</v>
      </c>
      <c r="K9" s="86">
        <v>0</v>
      </c>
      <c r="L9" s="86">
        <v>0</v>
      </c>
      <c r="M9" s="7"/>
      <c r="N9" s="7"/>
      <c r="O9" s="7"/>
      <c r="P9" s="7"/>
      <c r="Q9" s="7"/>
      <c r="R9" s="7"/>
    </row>
    <row r="10" spans="1:18" ht="16" customHeight="1">
      <c r="A10" s="33" t="s">
        <v>26</v>
      </c>
      <c r="B10" s="7" t="s">
        <v>23</v>
      </c>
      <c r="C10" s="78" t="s">
        <v>24</v>
      </c>
      <c r="D10" s="7">
        <v>0</v>
      </c>
      <c r="E10" s="86">
        <v>0</v>
      </c>
      <c r="F10" s="90"/>
      <c r="G10" s="234">
        <v>0</v>
      </c>
      <c r="H10" s="234">
        <v>0</v>
      </c>
      <c r="I10" s="86">
        <v>0</v>
      </c>
      <c r="J10" s="86">
        <v>0</v>
      </c>
      <c r="K10" s="86">
        <v>0</v>
      </c>
      <c r="L10" s="86">
        <v>0</v>
      </c>
      <c r="M10" s="7"/>
      <c r="N10" s="7"/>
      <c r="O10" s="7"/>
      <c r="P10" s="7"/>
      <c r="Q10" s="7"/>
      <c r="R10" s="7"/>
    </row>
    <row r="11" spans="1:18">
      <c r="A11" s="54" t="s">
        <v>27</v>
      </c>
      <c r="B11" s="6" t="s">
        <v>23</v>
      </c>
      <c r="C11" s="6" t="s">
        <v>28</v>
      </c>
      <c r="D11" s="6">
        <v>4</v>
      </c>
      <c r="E11" s="6">
        <v>8</v>
      </c>
      <c r="F11" s="90"/>
      <c r="G11" s="234">
        <v>10</v>
      </c>
      <c r="H11" s="234">
        <v>2</v>
      </c>
      <c r="I11" s="86">
        <v>10</v>
      </c>
      <c r="J11" s="6">
        <v>5</v>
      </c>
      <c r="K11" s="6">
        <v>5</v>
      </c>
      <c r="L11" s="6">
        <v>8</v>
      </c>
      <c r="M11" s="7"/>
      <c r="N11" s="6"/>
      <c r="O11" s="6"/>
      <c r="P11" s="6"/>
      <c r="Q11" s="6"/>
      <c r="R11" s="7"/>
    </row>
    <row r="12" spans="1:18">
      <c r="A12" s="54" t="s">
        <v>29</v>
      </c>
      <c r="E12" s="44"/>
      <c r="F12" s="90"/>
      <c r="G12" s="234"/>
      <c r="H12" s="234"/>
      <c r="I12" s="234"/>
      <c r="J12" s="44"/>
      <c r="K12" s="44"/>
      <c r="L12" s="44"/>
      <c r="M12" s="45"/>
      <c r="N12" s="44"/>
      <c r="O12" s="6"/>
      <c r="P12" s="6"/>
      <c r="Q12" s="6"/>
      <c r="R12" s="45"/>
    </row>
    <row r="13" spans="1:18">
      <c r="A13" s="54" t="s">
        <v>76</v>
      </c>
      <c r="B13" s="6" t="s">
        <v>30</v>
      </c>
      <c r="C13" s="6" t="s">
        <v>31</v>
      </c>
      <c r="D13" s="6">
        <v>50</v>
      </c>
      <c r="E13" s="6">
        <v>45</v>
      </c>
      <c r="F13" s="98"/>
      <c r="G13" s="234">
        <v>31</v>
      </c>
      <c r="H13" s="234">
        <v>60</v>
      </c>
      <c r="I13" s="86">
        <v>31</v>
      </c>
      <c r="J13" s="6">
        <v>90</v>
      </c>
      <c r="K13" s="6">
        <v>80</v>
      </c>
      <c r="L13" s="6">
        <v>45</v>
      </c>
      <c r="M13" s="7"/>
      <c r="N13" s="6"/>
      <c r="O13" s="6"/>
      <c r="P13" s="6"/>
      <c r="Q13" s="6"/>
      <c r="R13" s="7"/>
    </row>
    <row r="14" spans="1:18">
      <c r="A14" s="54" t="s">
        <v>77</v>
      </c>
      <c r="B14" s="6" t="s">
        <v>30</v>
      </c>
      <c r="C14" s="6" t="s">
        <v>31</v>
      </c>
      <c r="D14" s="6">
        <v>50</v>
      </c>
      <c r="E14" s="6">
        <v>30</v>
      </c>
      <c r="F14" s="90"/>
      <c r="G14" s="234">
        <v>50</v>
      </c>
      <c r="H14" s="234">
        <v>45</v>
      </c>
      <c r="I14" s="86">
        <v>50</v>
      </c>
      <c r="J14" s="6">
        <v>45</v>
      </c>
      <c r="K14" s="6">
        <v>40</v>
      </c>
      <c r="L14" s="6">
        <v>30</v>
      </c>
      <c r="M14" s="7"/>
      <c r="N14" s="6"/>
      <c r="O14" s="6"/>
      <c r="P14" s="6"/>
      <c r="Q14" s="6"/>
      <c r="R14" s="7"/>
    </row>
    <row r="15" spans="1:18" ht="16" customHeight="1">
      <c r="A15" s="54" t="s">
        <v>78</v>
      </c>
      <c r="B15" s="6" t="s">
        <v>30</v>
      </c>
      <c r="C15" s="6" t="s">
        <v>31</v>
      </c>
      <c r="D15" s="6">
        <v>50</v>
      </c>
      <c r="E15" s="234">
        <v>40</v>
      </c>
      <c r="F15" s="90"/>
      <c r="G15" s="234">
        <v>30</v>
      </c>
      <c r="H15" s="234">
        <v>42</v>
      </c>
      <c r="I15" s="234">
        <v>30</v>
      </c>
      <c r="J15" s="234">
        <v>25</v>
      </c>
      <c r="K15" s="234">
        <v>30</v>
      </c>
      <c r="L15" s="234">
        <v>40</v>
      </c>
      <c r="M15" s="35"/>
      <c r="N15" s="46"/>
      <c r="O15" s="35"/>
      <c r="P15" s="47"/>
      <c r="Q15" s="47"/>
      <c r="R15" s="47"/>
    </row>
    <row r="16" spans="1:18" ht="24.75" customHeight="1">
      <c r="A16" s="54" t="s">
        <v>79</v>
      </c>
      <c r="B16" s="6" t="s">
        <v>30</v>
      </c>
      <c r="C16" s="6" t="s">
        <v>31</v>
      </c>
      <c r="D16" s="6">
        <v>50</v>
      </c>
      <c r="E16" s="234">
        <v>22</v>
      </c>
      <c r="F16" s="90"/>
      <c r="G16" s="234">
        <v>20</v>
      </c>
      <c r="H16" s="234">
        <v>25</v>
      </c>
      <c r="I16" s="234">
        <v>20</v>
      </c>
      <c r="J16" s="234">
        <v>20</v>
      </c>
      <c r="K16" s="234">
        <v>22</v>
      </c>
      <c r="L16" s="234">
        <v>22</v>
      </c>
      <c r="M16" s="35"/>
      <c r="N16" s="46"/>
      <c r="O16" s="45"/>
      <c r="P16" s="48"/>
      <c r="Q16" s="50"/>
      <c r="R16" s="50"/>
    </row>
    <row r="17" spans="1:18">
      <c r="A17" s="54"/>
      <c r="B17" s="6"/>
      <c r="C17" s="6"/>
      <c r="D17" s="6"/>
      <c r="E17" s="234"/>
      <c r="F17" s="90"/>
      <c r="G17" s="86"/>
      <c r="H17" s="86"/>
      <c r="I17" s="86"/>
      <c r="J17" s="234"/>
      <c r="K17" s="234"/>
      <c r="L17" s="234"/>
      <c r="M17" s="35"/>
      <c r="N17" s="46"/>
      <c r="O17" s="45"/>
      <c r="P17" s="48"/>
      <c r="Q17" s="48"/>
      <c r="R17" s="48"/>
    </row>
    <row r="18" spans="1:18" ht="16" customHeight="1">
      <c r="A18" s="53" t="s">
        <v>32</v>
      </c>
      <c r="B18" s="6"/>
      <c r="C18" s="6"/>
      <c r="D18" s="6"/>
      <c r="E18" s="234"/>
      <c r="F18" s="90"/>
      <c r="G18" s="97"/>
      <c r="H18" s="97"/>
      <c r="I18" s="97"/>
      <c r="J18" s="97"/>
      <c r="K18" s="234"/>
      <c r="L18" s="234"/>
      <c r="M18" s="35"/>
      <c r="N18" s="46"/>
      <c r="O18" s="45"/>
      <c r="P18" s="48"/>
      <c r="Q18" s="48"/>
      <c r="R18" s="48"/>
    </row>
    <row r="19" spans="1:18" ht="30" customHeight="1">
      <c r="A19" s="54" t="s">
        <v>33</v>
      </c>
      <c r="B19" s="6" t="s">
        <v>34</v>
      </c>
      <c r="C19" s="6" t="s">
        <v>28</v>
      </c>
      <c r="D19" s="6">
        <v>90</v>
      </c>
      <c r="E19" s="97">
        <v>99.9</v>
      </c>
      <c r="F19" s="72"/>
      <c r="G19" s="97">
        <v>99.47</v>
      </c>
      <c r="H19" s="97">
        <v>99.9</v>
      </c>
      <c r="I19" s="97">
        <v>99.47</v>
      </c>
      <c r="J19" s="97">
        <v>99.93</v>
      </c>
      <c r="K19" s="97">
        <v>100</v>
      </c>
      <c r="L19" s="97">
        <v>99.9</v>
      </c>
      <c r="M19" s="35"/>
      <c r="N19" s="46"/>
      <c r="O19" s="45"/>
      <c r="P19" s="48"/>
      <c r="Q19" s="48"/>
      <c r="R19" s="48"/>
    </row>
    <row r="20" spans="1:18">
      <c r="A20" s="54" t="s">
        <v>80</v>
      </c>
      <c r="B20" s="6" t="s">
        <v>34</v>
      </c>
      <c r="C20" s="6" t="s">
        <v>28</v>
      </c>
      <c r="D20" s="6">
        <v>90</v>
      </c>
      <c r="E20" s="97">
        <v>98.5</v>
      </c>
      <c r="F20" s="54"/>
      <c r="G20" s="97">
        <v>98.55</v>
      </c>
      <c r="H20" s="97">
        <v>97.9</v>
      </c>
      <c r="I20" s="97">
        <v>98.55</v>
      </c>
      <c r="J20" s="97">
        <v>99.5</v>
      </c>
      <c r="K20" s="97">
        <v>97.6</v>
      </c>
      <c r="L20" s="97">
        <v>98.5</v>
      </c>
      <c r="M20" s="45"/>
      <c r="N20" s="44"/>
      <c r="O20" s="45"/>
      <c r="P20" s="48"/>
      <c r="Q20" s="48"/>
      <c r="R20" s="48"/>
    </row>
    <row r="21" spans="1:18" ht="42.65" customHeight="1">
      <c r="A21" s="54" t="s">
        <v>35</v>
      </c>
      <c r="B21" s="6" t="s">
        <v>34</v>
      </c>
      <c r="C21" s="6" t="s">
        <v>28</v>
      </c>
      <c r="D21" s="6">
        <v>92</v>
      </c>
      <c r="E21" s="97">
        <v>99.5</v>
      </c>
      <c r="F21" s="72"/>
      <c r="G21" s="97">
        <v>99.47</v>
      </c>
      <c r="H21" s="97">
        <v>99.4</v>
      </c>
      <c r="I21" s="97">
        <v>99.47</v>
      </c>
      <c r="J21" s="234">
        <v>100</v>
      </c>
      <c r="K21" s="97">
        <v>99</v>
      </c>
      <c r="L21" s="97">
        <v>99.5</v>
      </c>
      <c r="M21" s="35"/>
      <c r="N21" s="46"/>
      <c r="O21" s="35"/>
      <c r="P21" s="47"/>
      <c r="Q21" s="47"/>
      <c r="R21" s="47"/>
    </row>
    <row r="22" spans="1:18">
      <c r="A22" s="54" t="s">
        <v>36</v>
      </c>
      <c r="B22" s="6" t="s">
        <v>34</v>
      </c>
      <c r="C22" s="6" t="s">
        <v>28</v>
      </c>
      <c r="D22" s="6">
        <v>92</v>
      </c>
      <c r="E22" s="234">
        <v>100</v>
      </c>
      <c r="F22" s="72"/>
      <c r="G22" s="97">
        <v>99.47</v>
      </c>
      <c r="H22" s="97">
        <v>99.3</v>
      </c>
      <c r="I22" s="97">
        <v>99.47</v>
      </c>
      <c r="J22" s="97">
        <v>99.29</v>
      </c>
      <c r="K22" s="97">
        <v>99.5</v>
      </c>
      <c r="L22" s="234">
        <v>100</v>
      </c>
      <c r="M22" s="35"/>
      <c r="N22" s="46"/>
      <c r="O22" s="35"/>
      <c r="P22" s="47"/>
      <c r="Q22" s="47"/>
      <c r="R22" s="47"/>
    </row>
    <row r="23" spans="1:18">
      <c r="A23" s="54" t="s">
        <v>37</v>
      </c>
      <c r="B23" s="6" t="s">
        <v>38</v>
      </c>
      <c r="C23" s="6" t="s">
        <v>28</v>
      </c>
      <c r="D23" s="6">
        <v>400</v>
      </c>
      <c r="E23" s="97">
        <v>220.7</v>
      </c>
      <c r="F23" s="72"/>
      <c r="G23" s="97">
        <v>180</v>
      </c>
      <c r="H23" s="97">
        <v>604.63</v>
      </c>
      <c r="I23" s="97">
        <v>180</v>
      </c>
      <c r="J23" s="97">
        <v>618</v>
      </c>
      <c r="K23" s="97">
        <v>696.7</v>
      </c>
      <c r="L23" s="97">
        <v>220.7</v>
      </c>
      <c r="M23" s="45"/>
      <c r="N23" s="44"/>
      <c r="O23" s="45"/>
      <c r="P23" s="48"/>
      <c r="Q23" s="48"/>
      <c r="R23" s="48"/>
    </row>
    <row r="24" spans="1:18" ht="118.5" customHeight="1">
      <c r="A24" s="54" t="s">
        <v>39</v>
      </c>
      <c r="B24" s="6" t="s">
        <v>38</v>
      </c>
      <c r="C24" s="6" t="s">
        <v>28</v>
      </c>
      <c r="D24" s="6">
        <v>225</v>
      </c>
      <c r="E24" s="97">
        <v>219</v>
      </c>
      <c r="F24" s="72"/>
      <c r="G24" s="97">
        <v>121.6</v>
      </c>
      <c r="H24" s="97">
        <v>125</v>
      </c>
      <c r="I24" s="97">
        <v>121.6</v>
      </c>
      <c r="J24" s="97">
        <v>256</v>
      </c>
      <c r="K24" s="97">
        <v>103.35</v>
      </c>
      <c r="L24" s="97">
        <v>219</v>
      </c>
      <c r="M24" s="45"/>
      <c r="N24" s="44"/>
      <c r="O24" s="45"/>
      <c r="P24" s="45"/>
      <c r="Q24" s="45"/>
      <c r="R24" s="45"/>
    </row>
    <row r="25" spans="1:18">
      <c r="A25" s="54" t="s">
        <v>40</v>
      </c>
      <c r="B25" s="6" t="s">
        <v>38</v>
      </c>
      <c r="C25" s="6" t="s">
        <v>28</v>
      </c>
      <c r="D25" s="6">
        <v>225</v>
      </c>
      <c r="E25" s="97">
        <v>587.1</v>
      </c>
      <c r="F25" s="72"/>
      <c r="G25" s="97">
        <v>355.2</v>
      </c>
      <c r="H25" s="97">
        <v>120</v>
      </c>
      <c r="I25" s="97">
        <v>355.2</v>
      </c>
      <c r="J25" s="97">
        <v>268</v>
      </c>
      <c r="K25" s="97">
        <v>515.5</v>
      </c>
      <c r="L25" s="97">
        <v>587.1</v>
      </c>
      <c r="M25" s="45"/>
      <c r="N25" s="44"/>
      <c r="O25" s="45"/>
      <c r="P25" s="48"/>
      <c r="Q25" s="48"/>
      <c r="R25" s="48"/>
    </row>
    <row r="26" spans="1:18">
      <c r="A26" s="54" t="s">
        <v>60</v>
      </c>
      <c r="B26" s="6" t="s">
        <v>81</v>
      </c>
      <c r="C26" s="6" t="s">
        <v>31</v>
      </c>
      <c r="D26" s="44">
        <v>60.5</v>
      </c>
      <c r="E26" s="97">
        <v>91.7</v>
      </c>
      <c r="F26" s="90"/>
      <c r="G26" s="326">
        <v>79.12</v>
      </c>
      <c r="H26" s="326">
        <v>74.05</v>
      </c>
      <c r="I26" s="97">
        <v>79.12</v>
      </c>
      <c r="J26" s="97">
        <v>79.87</v>
      </c>
      <c r="K26" s="97">
        <v>76.849999999999994</v>
      </c>
      <c r="L26" s="97">
        <v>91.7</v>
      </c>
      <c r="M26" s="35"/>
      <c r="N26" s="46"/>
      <c r="O26" s="35"/>
      <c r="P26" s="47"/>
      <c r="Q26" s="47"/>
      <c r="R26" s="47"/>
    </row>
    <row r="27" spans="1:18">
      <c r="A27" s="54" t="s">
        <v>62</v>
      </c>
      <c r="B27" s="6" t="s">
        <v>82</v>
      </c>
      <c r="C27" s="6" t="s">
        <v>31</v>
      </c>
      <c r="D27" s="44">
        <v>35</v>
      </c>
      <c r="E27" s="6">
        <v>40</v>
      </c>
      <c r="F27" s="90"/>
      <c r="G27" s="86">
        <v>37.380000000000003</v>
      </c>
      <c r="H27" s="86">
        <v>38.479999999999997</v>
      </c>
      <c r="I27" s="97">
        <v>37.380000000000003</v>
      </c>
      <c r="J27" s="86">
        <v>43.05</v>
      </c>
      <c r="K27" s="6">
        <v>39.119999999999997</v>
      </c>
      <c r="L27" s="6">
        <v>40</v>
      </c>
      <c r="M27" s="7"/>
      <c r="N27" s="6"/>
      <c r="O27" s="7"/>
      <c r="P27" s="6"/>
      <c r="Q27" s="6"/>
      <c r="R27" s="7"/>
    </row>
    <row r="28" spans="1:18">
      <c r="A28" s="54" t="s">
        <v>63</v>
      </c>
      <c r="B28" s="6" t="s">
        <v>61</v>
      </c>
      <c r="C28" s="6" t="s">
        <v>31</v>
      </c>
      <c r="D28" s="44">
        <v>3.5</v>
      </c>
      <c r="E28" s="6">
        <v>2.44</v>
      </c>
      <c r="F28" s="338"/>
      <c r="G28" s="326">
        <v>2.37</v>
      </c>
      <c r="H28" s="326">
        <v>2.4700000000000002</v>
      </c>
      <c r="I28" s="97">
        <v>2.37</v>
      </c>
      <c r="J28" s="86">
        <v>4.16</v>
      </c>
      <c r="K28" s="6">
        <v>3.44</v>
      </c>
      <c r="L28" s="6">
        <v>2.44</v>
      </c>
      <c r="M28" s="7"/>
      <c r="N28" s="6"/>
      <c r="O28" s="7"/>
      <c r="P28" s="6"/>
      <c r="Q28" s="6"/>
      <c r="R28" s="7"/>
    </row>
    <row r="29" spans="1:18" ht="36.75" customHeight="1">
      <c r="A29" s="54" t="s">
        <v>64</v>
      </c>
      <c r="B29" s="6" t="s">
        <v>83</v>
      </c>
      <c r="C29" s="6" t="s">
        <v>31</v>
      </c>
      <c r="D29" s="44">
        <v>90</v>
      </c>
      <c r="E29" s="49">
        <v>117.97</v>
      </c>
      <c r="F29" s="90"/>
      <c r="G29" s="234">
        <v>118</v>
      </c>
      <c r="H29" s="234">
        <v>115</v>
      </c>
      <c r="I29" s="234">
        <v>118</v>
      </c>
      <c r="J29" s="326">
        <v>113.8</v>
      </c>
      <c r="K29" s="49">
        <v>105.81</v>
      </c>
      <c r="L29" s="49">
        <v>117.97</v>
      </c>
      <c r="M29" s="45"/>
      <c r="N29" s="43"/>
      <c r="O29" s="43"/>
      <c r="P29" s="43"/>
      <c r="Q29" s="43"/>
      <c r="R29" s="50"/>
    </row>
    <row r="30" spans="1:18" ht="36.75" customHeight="1">
      <c r="A30" s="54" t="s">
        <v>84</v>
      </c>
      <c r="B30" s="6" t="s">
        <v>85</v>
      </c>
      <c r="C30" s="6" t="s">
        <v>31</v>
      </c>
      <c r="D30" s="44">
        <v>195</v>
      </c>
      <c r="E30" s="49">
        <v>189.7</v>
      </c>
      <c r="F30" s="90"/>
      <c r="G30" s="234">
        <v>192</v>
      </c>
      <c r="H30" s="234">
        <v>191</v>
      </c>
      <c r="I30" s="234">
        <v>192</v>
      </c>
      <c r="J30" s="326">
        <v>192</v>
      </c>
      <c r="K30" s="49">
        <v>197</v>
      </c>
      <c r="L30" s="49">
        <v>189.7</v>
      </c>
      <c r="M30" s="45"/>
      <c r="N30" s="49"/>
      <c r="O30" s="43"/>
      <c r="P30" s="43"/>
      <c r="Q30" s="43"/>
      <c r="R30" s="50"/>
    </row>
    <row r="31" spans="1:18">
      <c r="A31" s="54"/>
      <c r="B31" s="6"/>
      <c r="C31" s="6"/>
      <c r="D31" s="6"/>
      <c r="E31" s="49"/>
      <c r="F31" s="90"/>
      <c r="G31" s="326"/>
      <c r="H31" s="326"/>
      <c r="I31" s="234"/>
      <c r="J31" s="326"/>
      <c r="K31" s="49"/>
      <c r="L31" s="49"/>
      <c r="M31" s="45"/>
      <c r="N31" s="49"/>
      <c r="O31" s="43"/>
      <c r="P31" s="43"/>
      <c r="Q31" s="43"/>
      <c r="R31" s="50"/>
    </row>
    <row r="32" spans="1:18" ht="16" customHeight="1">
      <c r="A32" s="53" t="s">
        <v>44</v>
      </c>
      <c r="B32" s="6"/>
      <c r="C32" s="6"/>
      <c r="D32" s="6"/>
      <c r="E32" s="6"/>
      <c r="F32" s="90"/>
      <c r="G32" s="86"/>
      <c r="H32" s="86"/>
      <c r="I32" s="86"/>
      <c r="J32" s="86"/>
      <c r="K32" s="6"/>
      <c r="L32" s="6"/>
      <c r="M32" s="7"/>
      <c r="N32" s="6"/>
      <c r="O32" s="7"/>
      <c r="P32" s="7"/>
      <c r="Q32" s="7"/>
      <c r="R32" s="58"/>
    </row>
    <row r="33" spans="1:18" ht="14.5" customHeight="1">
      <c r="A33" s="54"/>
      <c r="B33" s="6"/>
      <c r="C33" s="6"/>
      <c r="D33" s="6"/>
      <c r="E33" s="6"/>
      <c r="F33" s="74"/>
      <c r="G33" s="86"/>
      <c r="H33" s="86"/>
      <c r="I33" s="86"/>
      <c r="J33" s="86"/>
      <c r="K33" s="6"/>
      <c r="L33" s="6"/>
      <c r="M33" s="7"/>
      <c r="N33" s="6"/>
      <c r="O33" s="7"/>
      <c r="P33" s="6"/>
      <c r="Q33" s="6"/>
      <c r="R33" s="7"/>
    </row>
    <row r="34" spans="1:18" ht="39.75" customHeight="1">
      <c r="A34" s="54" t="s">
        <v>86</v>
      </c>
      <c r="B34" s="6" t="s">
        <v>34</v>
      </c>
      <c r="C34" s="6"/>
      <c r="D34" s="6">
        <v>100</v>
      </c>
      <c r="E34" s="86">
        <v>100</v>
      </c>
      <c r="F34" s="80"/>
      <c r="G34" s="80">
        <v>100</v>
      </c>
      <c r="H34" s="86">
        <v>100</v>
      </c>
      <c r="I34" s="80">
        <v>100</v>
      </c>
      <c r="J34" s="86">
        <v>100</v>
      </c>
      <c r="K34" s="86">
        <v>100</v>
      </c>
      <c r="L34" s="86">
        <v>100</v>
      </c>
      <c r="M34" s="7"/>
      <c r="N34" s="58"/>
      <c r="O34" s="7"/>
      <c r="P34" s="58"/>
      <c r="Q34" s="58"/>
      <c r="R34" s="7"/>
    </row>
    <row r="35" spans="1:18" ht="80.25" customHeight="1">
      <c r="A35" s="33" t="s">
        <v>87</v>
      </c>
      <c r="B35" s="6" t="s">
        <v>88</v>
      </c>
      <c r="C35" s="6" t="s">
        <v>31</v>
      </c>
      <c r="D35" s="79" t="s">
        <v>89</v>
      </c>
      <c r="E35" s="80" t="s">
        <v>224</v>
      </c>
      <c r="F35" s="339"/>
      <c r="G35" s="80" t="s">
        <v>224</v>
      </c>
      <c r="H35" s="80" t="s">
        <v>242</v>
      </c>
      <c r="I35" s="80" t="s">
        <v>224</v>
      </c>
      <c r="J35" s="80" t="s">
        <v>224</v>
      </c>
      <c r="K35" s="80" t="s">
        <v>263</v>
      </c>
      <c r="L35" s="80" t="s">
        <v>224</v>
      </c>
      <c r="M35" s="7"/>
      <c r="N35" s="6"/>
      <c r="O35" s="7"/>
      <c r="P35" s="6"/>
      <c r="Q35" s="6"/>
      <c r="R35" s="7"/>
    </row>
    <row r="36" spans="1:18" ht="29">
      <c r="A36" s="54" t="s">
        <v>90</v>
      </c>
      <c r="B36" s="6"/>
      <c r="C36" s="79" t="s">
        <v>24</v>
      </c>
      <c r="D36" s="6" t="s">
        <v>91</v>
      </c>
      <c r="E36" s="6" t="s">
        <v>225</v>
      </c>
      <c r="F36" s="90"/>
      <c r="G36" s="81" t="s">
        <v>225</v>
      </c>
      <c r="H36" s="86" t="s">
        <v>225</v>
      </c>
      <c r="I36" s="81" t="s">
        <v>225</v>
      </c>
      <c r="J36" s="340" t="s">
        <v>225</v>
      </c>
      <c r="K36" s="340" t="s">
        <v>225</v>
      </c>
      <c r="L36" s="6" t="s">
        <v>225</v>
      </c>
      <c r="M36" s="7"/>
      <c r="N36" s="7"/>
      <c r="O36" s="7"/>
      <c r="P36" s="6"/>
      <c r="Q36" s="6"/>
      <c r="R36" s="7"/>
    </row>
  </sheetData>
  <mergeCells count="5">
    <mergeCell ref="A1:F1"/>
    <mergeCell ref="A2:F2"/>
    <mergeCell ref="A3:F3"/>
    <mergeCell ref="A4:F4"/>
    <mergeCell ref="G4:R4"/>
  </mergeCells>
  <printOptions horizontalCentered="1"/>
  <pageMargins left="0.45" right="0.2" top="0.5" bottom="0.25" header="0.3" footer="0.3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2"/>
  <sheetViews>
    <sheetView zoomScale="90" zoomScaleNormal="90" workbookViewId="0">
      <selection activeCell="C8" sqref="C8"/>
    </sheetView>
  </sheetViews>
  <sheetFormatPr defaultColWidth="8.81640625" defaultRowHeight="14.5"/>
  <cols>
    <col min="1" max="1" width="44.453125" style="17" customWidth="1"/>
    <col min="2" max="2" width="17.81640625" style="17" customWidth="1"/>
    <col min="3" max="3" width="11.81640625" style="17" customWidth="1"/>
    <col min="4" max="4" width="12.1796875" style="17" customWidth="1"/>
    <col min="5" max="5" width="14.81640625" style="17" customWidth="1"/>
    <col min="6" max="6" width="43.54296875" style="17" customWidth="1"/>
    <col min="7" max="18" width="7.54296875" style="17" customWidth="1"/>
    <col min="19" max="16384" width="8.81640625" style="17"/>
  </cols>
  <sheetData>
    <row r="1" spans="1:18" ht="29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</row>
    <row r="2" spans="1:18" ht="21" customHeight="1">
      <c r="A2" s="362" t="s">
        <v>1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</row>
    <row r="3" spans="1:18" ht="25" customHeight="1">
      <c r="A3" s="364" t="s">
        <v>272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</row>
    <row r="4" spans="1:18" ht="25" customHeight="1">
      <c r="A4" s="366" t="s">
        <v>247</v>
      </c>
      <c r="B4" s="367"/>
      <c r="C4" s="367"/>
      <c r="D4" s="367"/>
      <c r="E4" s="367"/>
      <c r="F4" s="367"/>
      <c r="G4" s="372" t="s">
        <v>2</v>
      </c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1"/>
    </row>
    <row r="5" spans="1:18" ht="35.15" customHeight="1">
      <c r="A5" s="25" t="s">
        <v>3</v>
      </c>
      <c r="B5" s="25" t="s">
        <v>4</v>
      </c>
      <c r="C5" s="25" t="s">
        <v>49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18" ht="16" customHeight="1">
      <c r="A6" s="53" t="s">
        <v>21</v>
      </c>
      <c r="B6" s="54"/>
      <c r="C6" s="54"/>
      <c r="D6" s="26"/>
      <c r="E6" s="31"/>
      <c r="F6" s="33"/>
      <c r="G6" s="52"/>
      <c r="H6" s="52"/>
      <c r="I6" s="52"/>
      <c r="J6" s="57"/>
      <c r="K6" s="57"/>
      <c r="L6" s="57"/>
      <c r="M6" s="30"/>
      <c r="N6" s="57"/>
      <c r="O6" s="30"/>
      <c r="P6" s="30"/>
      <c r="Q6" s="30"/>
      <c r="R6" s="30"/>
    </row>
    <row r="7" spans="1:18" ht="16" customHeight="1">
      <c r="A7" s="54" t="s">
        <v>22</v>
      </c>
      <c r="B7" s="6" t="s">
        <v>23</v>
      </c>
      <c r="C7" s="79" t="s">
        <v>24</v>
      </c>
      <c r="D7" s="6">
        <v>0</v>
      </c>
      <c r="E7" s="6">
        <v>0</v>
      </c>
      <c r="F7" s="96"/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33"/>
      <c r="N7" s="33"/>
      <c r="O7" s="33"/>
      <c r="P7" s="33"/>
      <c r="Q7" s="33"/>
      <c r="R7" s="33"/>
    </row>
    <row r="8" spans="1:18" ht="16" customHeight="1">
      <c r="A8" s="54" t="s">
        <v>25</v>
      </c>
      <c r="B8" s="6" t="s">
        <v>23</v>
      </c>
      <c r="C8" s="79" t="s">
        <v>24</v>
      </c>
      <c r="D8" s="6">
        <v>0</v>
      </c>
      <c r="E8" s="6">
        <v>0</v>
      </c>
      <c r="F8" s="96"/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7"/>
      <c r="N8" s="7"/>
      <c r="O8" s="7"/>
      <c r="P8" s="7"/>
      <c r="Q8" s="7"/>
      <c r="R8" s="7"/>
    </row>
    <row r="9" spans="1:18" ht="16" customHeight="1">
      <c r="A9" s="54" t="s">
        <v>26</v>
      </c>
      <c r="B9" s="6" t="s">
        <v>23</v>
      </c>
      <c r="C9" s="79" t="s">
        <v>24</v>
      </c>
      <c r="D9" s="6">
        <v>0</v>
      </c>
      <c r="E9" s="6">
        <v>0</v>
      </c>
      <c r="F9" s="96"/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7"/>
      <c r="N9" s="7"/>
      <c r="O9" s="7"/>
      <c r="P9" s="7"/>
      <c r="Q9" s="7"/>
      <c r="R9" s="7"/>
    </row>
    <row r="10" spans="1:18" ht="16" customHeight="1">
      <c r="A10" s="54" t="s">
        <v>27</v>
      </c>
      <c r="B10" s="6" t="s">
        <v>23</v>
      </c>
      <c r="C10" s="6" t="s">
        <v>28</v>
      </c>
      <c r="D10" s="6">
        <v>4</v>
      </c>
      <c r="E10" s="86">
        <v>2</v>
      </c>
      <c r="F10" s="96"/>
      <c r="G10" s="86">
        <v>2</v>
      </c>
      <c r="H10" s="86">
        <v>1</v>
      </c>
      <c r="I10" s="86">
        <v>2</v>
      </c>
      <c r="J10" s="86">
        <v>4</v>
      </c>
      <c r="K10" s="86">
        <v>1</v>
      </c>
      <c r="L10" s="86">
        <v>2</v>
      </c>
      <c r="M10" s="7"/>
      <c r="N10" s="7"/>
      <c r="O10" s="7"/>
      <c r="P10" s="7"/>
      <c r="Q10" s="7"/>
      <c r="R10" s="7"/>
    </row>
    <row r="11" spans="1:18" ht="30" customHeight="1">
      <c r="A11" s="54" t="s">
        <v>92</v>
      </c>
      <c r="B11" s="6" t="s">
        <v>34</v>
      </c>
      <c r="C11" s="79" t="s">
        <v>24</v>
      </c>
      <c r="D11" s="6">
        <v>100</v>
      </c>
      <c r="E11" s="86">
        <v>100</v>
      </c>
      <c r="F11" s="96"/>
      <c r="G11" s="86">
        <v>100</v>
      </c>
      <c r="H11" s="86">
        <v>100</v>
      </c>
      <c r="I11" s="86">
        <v>100</v>
      </c>
      <c r="J11" s="86">
        <v>100</v>
      </c>
      <c r="K11" s="86">
        <v>100</v>
      </c>
      <c r="L11" s="86">
        <v>100</v>
      </c>
      <c r="M11" s="7"/>
      <c r="N11" s="6"/>
      <c r="O11" s="6"/>
      <c r="P11" s="6"/>
      <c r="Q11" s="6"/>
      <c r="R11" s="7"/>
    </row>
    <row r="12" spans="1:18" ht="16" customHeight="1">
      <c r="A12" s="54"/>
      <c r="B12" s="6"/>
      <c r="C12" s="6"/>
      <c r="D12" s="6"/>
      <c r="E12" s="86"/>
      <c r="F12" s="96"/>
      <c r="G12" s="86"/>
      <c r="H12" s="86"/>
      <c r="I12" s="86"/>
      <c r="J12" s="86"/>
      <c r="K12" s="86"/>
      <c r="L12" s="86"/>
      <c r="M12" s="45"/>
      <c r="N12" s="44"/>
      <c r="O12" s="6"/>
      <c r="P12" s="6"/>
      <c r="Q12" s="6"/>
      <c r="R12" s="45"/>
    </row>
    <row r="13" spans="1:18" ht="14.15" customHeight="1">
      <c r="A13" s="73" t="s">
        <v>32</v>
      </c>
      <c r="B13" s="6"/>
      <c r="C13" s="6"/>
      <c r="D13" s="6"/>
      <c r="E13" s="86"/>
      <c r="F13" s="96"/>
      <c r="G13" s="86"/>
      <c r="H13" s="86"/>
      <c r="I13" s="86"/>
      <c r="J13" s="86"/>
      <c r="K13" s="86"/>
      <c r="L13" s="86"/>
      <c r="M13" s="7"/>
      <c r="N13" s="6"/>
      <c r="O13" s="6"/>
      <c r="P13" s="6"/>
      <c r="Q13" s="6"/>
      <c r="R13" s="7"/>
    </row>
    <row r="14" spans="1:18" ht="58">
      <c r="A14" s="33" t="s">
        <v>93</v>
      </c>
      <c r="B14" s="7" t="s">
        <v>34</v>
      </c>
      <c r="C14" s="7" t="s">
        <v>31</v>
      </c>
      <c r="D14" s="45">
        <v>10</v>
      </c>
      <c r="E14" s="6">
        <v>10.82</v>
      </c>
      <c r="F14" s="96" t="s">
        <v>238</v>
      </c>
      <c r="G14" s="6">
        <v>10.15</v>
      </c>
      <c r="H14" s="6">
        <v>10.93</v>
      </c>
      <c r="I14" s="6">
        <v>10.9</v>
      </c>
      <c r="J14" s="6">
        <v>11.53</v>
      </c>
      <c r="K14" s="6">
        <v>11.27</v>
      </c>
      <c r="L14" s="6">
        <v>10.82</v>
      </c>
      <c r="M14" s="7"/>
      <c r="N14" s="6"/>
      <c r="O14" s="6"/>
      <c r="P14" s="6"/>
      <c r="Q14" s="6"/>
      <c r="R14" s="7"/>
    </row>
    <row r="15" spans="1:18" ht="58">
      <c r="A15" s="33" t="s">
        <v>94</v>
      </c>
      <c r="B15" s="7" t="s">
        <v>95</v>
      </c>
      <c r="C15" s="7" t="s">
        <v>31</v>
      </c>
      <c r="D15" s="7">
        <v>3800</v>
      </c>
      <c r="E15" s="6">
        <v>3863</v>
      </c>
      <c r="F15" s="96" t="s">
        <v>271</v>
      </c>
      <c r="G15" s="6">
        <v>3837</v>
      </c>
      <c r="H15" s="6">
        <v>3888</v>
      </c>
      <c r="I15" s="6">
        <v>3864</v>
      </c>
      <c r="J15" s="6">
        <v>3938</v>
      </c>
      <c r="K15" s="6">
        <v>3936</v>
      </c>
      <c r="L15" s="6">
        <v>3863</v>
      </c>
      <c r="M15" s="35"/>
      <c r="N15" s="46"/>
      <c r="O15" s="35"/>
      <c r="P15" s="47"/>
      <c r="Q15" s="47"/>
      <c r="R15" s="47"/>
    </row>
    <row r="16" spans="1:18">
      <c r="A16" s="33" t="s">
        <v>96</v>
      </c>
      <c r="B16" s="7" t="s">
        <v>34</v>
      </c>
      <c r="C16" s="7" t="s">
        <v>31</v>
      </c>
      <c r="D16" s="7">
        <v>24</v>
      </c>
      <c r="E16" s="86">
        <v>18.43</v>
      </c>
      <c r="F16" s="96"/>
      <c r="G16" s="86">
        <v>19</v>
      </c>
      <c r="H16" s="86">
        <v>18.100000000000001</v>
      </c>
      <c r="I16" s="86">
        <v>20.64</v>
      </c>
      <c r="J16" s="86">
        <v>20</v>
      </c>
      <c r="K16" s="86">
        <v>20</v>
      </c>
      <c r="L16" s="86">
        <v>18.43</v>
      </c>
      <c r="M16" s="35"/>
      <c r="N16" s="46"/>
      <c r="O16" s="45"/>
      <c r="P16" s="48"/>
      <c r="Q16" s="50"/>
      <c r="R16" s="50"/>
    </row>
    <row r="17" spans="1:18">
      <c r="A17" s="33" t="s">
        <v>97</v>
      </c>
      <c r="B17" s="7" t="s">
        <v>98</v>
      </c>
      <c r="C17" s="7" t="s">
        <v>31</v>
      </c>
      <c r="D17" s="7">
        <v>2</v>
      </c>
      <c r="E17" s="86">
        <v>1</v>
      </c>
      <c r="F17" s="96"/>
      <c r="G17" s="86">
        <v>0</v>
      </c>
      <c r="H17" s="86">
        <v>0</v>
      </c>
      <c r="I17" s="86">
        <v>0</v>
      </c>
      <c r="J17" s="86">
        <v>0</v>
      </c>
      <c r="K17" s="86">
        <v>0</v>
      </c>
      <c r="L17" s="86">
        <v>1</v>
      </c>
      <c r="M17" s="35"/>
      <c r="N17" s="46"/>
      <c r="O17" s="45"/>
      <c r="P17" s="48"/>
      <c r="Q17" s="48"/>
      <c r="R17" s="48"/>
    </row>
    <row r="18" spans="1:18" ht="30.75" customHeight="1">
      <c r="A18" s="54" t="s">
        <v>99</v>
      </c>
      <c r="B18" s="6" t="s">
        <v>30</v>
      </c>
      <c r="C18" s="79" t="s">
        <v>31</v>
      </c>
      <c r="D18" s="6">
        <v>100</v>
      </c>
      <c r="E18" s="97">
        <v>3</v>
      </c>
      <c r="F18" s="96"/>
      <c r="G18" s="97">
        <v>3</v>
      </c>
      <c r="H18" s="97">
        <v>3</v>
      </c>
      <c r="I18" s="97">
        <v>3</v>
      </c>
      <c r="J18" s="97">
        <v>3</v>
      </c>
      <c r="K18" s="97">
        <v>3</v>
      </c>
      <c r="L18" s="97">
        <v>3</v>
      </c>
      <c r="M18" s="35"/>
      <c r="N18" s="46"/>
      <c r="O18" s="45"/>
      <c r="P18" s="48"/>
      <c r="Q18" s="48"/>
      <c r="R18" s="48"/>
    </row>
    <row r="19" spans="1:18" ht="16" customHeight="1">
      <c r="A19" s="54"/>
      <c r="B19" s="6"/>
      <c r="C19" s="6"/>
      <c r="D19" s="6"/>
      <c r="E19" s="86"/>
      <c r="F19" s="96"/>
      <c r="G19" s="86"/>
      <c r="H19" s="86"/>
      <c r="I19" s="86"/>
      <c r="J19" s="86"/>
      <c r="K19" s="86"/>
      <c r="L19" s="86"/>
      <c r="M19" s="35"/>
      <c r="N19" s="46"/>
      <c r="O19" s="45"/>
      <c r="P19" s="48"/>
      <c r="Q19" s="48"/>
      <c r="R19" s="48"/>
    </row>
    <row r="20" spans="1:18" ht="16" customHeight="1">
      <c r="A20" s="73" t="s">
        <v>44</v>
      </c>
      <c r="B20" s="6"/>
      <c r="C20" s="6"/>
      <c r="D20" s="6"/>
      <c r="E20" s="86"/>
      <c r="F20" s="96"/>
      <c r="G20" s="86"/>
      <c r="H20" s="86"/>
      <c r="I20" s="86"/>
      <c r="J20" s="86"/>
      <c r="K20" s="86"/>
      <c r="L20" s="86"/>
      <c r="M20" s="45"/>
      <c r="N20" s="44"/>
      <c r="O20" s="45"/>
      <c r="P20" s="48"/>
      <c r="Q20" s="48"/>
      <c r="R20" s="48"/>
    </row>
    <row r="21" spans="1:18" ht="27.75" customHeight="1">
      <c r="A21" s="54" t="s">
        <v>100</v>
      </c>
      <c r="B21" s="6" t="s">
        <v>46</v>
      </c>
      <c r="C21" s="6"/>
      <c r="D21" s="6">
        <v>1695</v>
      </c>
      <c r="E21" s="86">
        <v>417</v>
      </c>
      <c r="F21" s="96"/>
      <c r="G21" s="86">
        <v>1120</v>
      </c>
      <c r="H21" s="86">
        <v>410</v>
      </c>
      <c r="I21" s="86">
        <v>466</v>
      </c>
      <c r="J21" s="86">
        <v>1441</v>
      </c>
      <c r="K21" s="86">
        <v>253</v>
      </c>
      <c r="L21" s="86">
        <v>417</v>
      </c>
      <c r="M21" s="35"/>
      <c r="N21" s="46"/>
      <c r="O21" s="35"/>
      <c r="P21" s="47"/>
      <c r="Q21" s="47"/>
      <c r="R21" s="47"/>
    </row>
    <row r="22" spans="1:18" ht="29.25" customHeight="1">
      <c r="A22" s="54" t="s">
        <v>101</v>
      </c>
      <c r="B22" s="6" t="s">
        <v>102</v>
      </c>
      <c r="C22" s="6" t="s">
        <v>31</v>
      </c>
      <c r="D22" s="6">
        <v>200</v>
      </c>
      <c r="E22" s="46">
        <v>259.38</v>
      </c>
      <c r="F22" s="96"/>
      <c r="G22" s="46">
        <v>221.29</v>
      </c>
      <c r="H22" s="46">
        <v>227.95</v>
      </c>
      <c r="I22" s="46">
        <v>227</v>
      </c>
      <c r="J22" s="46">
        <v>243.36</v>
      </c>
      <c r="K22" s="46">
        <v>237.14</v>
      </c>
      <c r="L22" s="46">
        <v>259.38</v>
      </c>
      <c r="M22" s="35"/>
      <c r="N22" s="46"/>
      <c r="O22" s="35"/>
      <c r="P22" s="47"/>
      <c r="Q22" s="47"/>
      <c r="R22" s="47"/>
    </row>
  </sheetData>
  <mergeCells count="5">
    <mergeCell ref="A4:F4"/>
    <mergeCell ref="G4:R4"/>
    <mergeCell ref="A2:R2"/>
    <mergeCell ref="A1:R1"/>
    <mergeCell ref="A3:R3"/>
  </mergeCells>
  <printOptions horizontalCentered="1"/>
  <pageMargins left="0.45" right="0.2" top="0.5" bottom="0.25" header="0.3" footer="0.3"/>
  <pageSetup paperSize="9" scale="5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2"/>
  <sheetViews>
    <sheetView topLeftCell="G13" workbookViewId="0">
      <selection activeCell="O24" sqref="O24"/>
    </sheetView>
  </sheetViews>
  <sheetFormatPr defaultColWidth="8.81640625" defaultRowHeight="14.5"/>
  <cols>
    <col min="1" max="1" width="40.54296875" style="17" customWidth="1"/>
    <col min="2" max="2" width="16.7265625" style="17" customWidth="1"/>
    <col min="3" max="3" width="21" style="17" customWidth="1"/>
    <col min="4" max="4" width="21.26953125" style="303" customWidth="1"/>
    <col min="5" max="5" width="19.7265625" style="62" customWidth="1"/>
    <col min="6" max="6" width="48" style="17" customWidth="1"/>
    <col min="7" max="8" width="13.453125" style="77" customWidth="1"/>
    <col min="9" max="9" width="10.7265625" style="77" customWidth="1"/>
    <col min="10" max="10" width="8.54296875" style="77" bestFit="1" customWidth="1"/>
    <col min="11" max="12" width="9.26953125" style="77" customWidth="1"/>
    <col min="13" max="13" width="11.54296875" style="77" bestFit="1" customWidth="1"/>
    <col min="14" max="14" width="12.54296875" style="17" bestFit="1" customWidth="1"/>
    <col min="15" max="15" width="10.81640625" style="17" bestFit="1" customWidth="1"/>
    <col min="16" max="17" width="10.81640625" style="17" customWidth="1"/>
    <col min="18" max="18" width="12.54296875" style="17" customWidth="1"/>
    <col min="19" max="256" width="8.81640625" style="17"/>
    <col min="257" max="257" width="40.54296875" style="17" customWidth="1"/>
    <col min="258" max="258" width="16.7265625" style="17" customWidth="1"/>
    <col min="259" max="259" width="21" style="17" customWidth="1"/>
    <col min="260" max="260" width="21.26953125" style="17" customWidth="1"/>
    <col min="261" max="261" width="19.7265625" style="17" customWidth="1"/>
    <col min="262" max="262" width="48" style="17" customWidth="1"/>
    <col min="263" max="264" width="13.453125" style="17" customWidth="1"/>
    <col min="265" max="265" width="10.7265625" style="17" customWidth="1"/>
    <col min="266" max="266" width="8.54296875" style="17" bestFit="1" customWidth="1"/>
    <col min="267" max="268" width="9.26953125" style="17" customWidth="1"/>
    <col min="269" max="269" width="11.54296875" style="17" bestFit="1" customWidth="1"/>
    <col min="270" max="270" width="12.54296875" style="17" bestFit="1" customWidth="1"/>
    <col min="271" max="271" width="10.81640625" style="17" bestFit="1" customWidth="1"/>
    <col min="272" max="273" width="10.81640625" style="17" customWidth="1"/>
    <col min="274" max="274" width="12.54296875" style="17" customWidth="1"/>
    <col min="275" max="512" width="8.81640625" style="17"/>
    <col min="513" max="513" width="40.54296875" style="17" customWidth="1"/>
    <col min="514" max="514" width="16.7265625" style="17" customWidth="1"/>
    <col min="515" max="515" width="21" style="17" customWidth="1"/>
    <col min="516" max="516" width="21.26953125" style="17" customWidth="1"/>
    <col min="517" max="517" width="19.7265625" style="17" customWidth="1"/>
    <col min="518" max="518" width="48" style="17" customWidth="1"/>
    <col min="519" max="520" width="13.453125" style="17" customWidth="1"/>
    <col min="521" max="521" width="10.7265625" style="17" customWidth="1"/>
    <col min="522" max="522" width="8.54296875" style="17" bestFit="1" customWidth="1"/>
    <col min="523" max="524" width="9.26953125" style="17" customWidth="1"/>
    <col min="525" max="525" width="11.54296875" style="17" bestFit="1" customWidth="1"/>
    <col min="526" max="526" width="12.54296875" style="17" bestFit="1" customWidth="1"/>
    <col min="527" max="527" width="10.81640625" style="17" bestFit="1" customWidth="1"/>
    <col min="528" max="529" width="10.81640625" style="17" customWidth="1"/>
    <col min="530" max="530" width="12.54296875" style="17" customWidth="1"/>
    <col min="531" max="768" width="8.81640625" style="17"/>
    <col min="769" max="769" width="40.54296875" style="17" customWidth="1"/>
    <col min="770" max="770" width="16.7265625" style="17" customWidth="1"/>
    <col min="771" max="771" width="21" style="17" customWidth="1"/>
    <col min="772" max="772" width="21.26953125" style="17" customWidth="1"/>
    <col min="773" max="773" width="19.7265625" style="17" customWidth="1"/>
    <col min="774" max="774" width="48" style="17" customWidth="1"/>
    <col min="775" max="776" width="13.453125" style="17" customWidth="1"/>
    <col min="777" max="777" width="10.7265625" style="17" customWidth="1"/>
    <col min="778" max="778" width="8.54296875" style="17" bestFit="1" customWidth="1"/>
    <col min="779" max="780" width="9.26953125" style="17" customWidth="1"/>
    <col min="781" max="781" width="11.54296875" style="17" bestFit="1" customWidth="1"/>
    <col min="782" max="782" width="12.54296875" style="17" bestFit="1" customWidth="1"/>
    <col min="783" max="783" width="10.81640625" style="17" bestFit="1" customWidth="1"/>
    <col min="784" max="785" width="10.81640625" style="17" customWidth="1"/>
    <col min="786" max="786" width="12.54296875" style="17" customWidth="1"/>
    <col min="787" max="1024" width="8.81640625" style="17"/>
    <col min="1025" max="1025" width="40.54296875" style="17" customWidth="1"/>
    <col min="1026" max="1026" width="16.7265625" style="17" customWidth="1"/>
    <col min="1027" max="1027" width="21" style="17" customWidth="1"/>
    <col min="1028" max="1028" width="21.26953125" style="17" customWidth="1"/>
    <col min="1029" max="1029" width="19.7265625" style="17" customWidth="1"/>
    <col min="1030" max="1030" width="48" style="17" customWidth="1"/>
    <col min="1031" max="1032" width="13.453125" style="17" customWidth="1"/>
    <col min="1033" max="1033" width="10.7265625" style="17" customWidth="1"/>
    <col min="1034" max="1034" width="8.54296875" style="17" bestFit="1" customWidth="1"/>
    <col min="1035" max="1036" width="9.26953125" style="17" customWidth="1"/>
    <col min="1037" max="1037" width="11.54296875" style="17" bestFit="1" customWidth="1"/>
    <col min="1038" max="1038" width="12.54296875" style="17" bestFit="1" customWidth="1"/>
    <col min="1039" max="1039" width="10.81640625" style="17" bestFit="1" customWidth="1"/>
    <col min="1040" max="1041" width="10.81640625" style="17" customWidth="1"/>
    <col min="1042" max="1042" width="12.54296875" style="17" customWidth="1"/>
    <col min="1043" max="1280" width="8.81640625" style="17"/>
    <col min="1281" max="1281" width="40.54296875" style="17" customWidth="1"/>
    <col min="1282" max="1282" width="16.7265625" style="17" customWidth="1"/>
    <col min="1283" max="1283" width="21" style="17" customWidth="1"/>
    <col min="1284" max="1284" width="21.26953125" style="17" customWidth="1"/>
    <col min="1285" max="1285" width="19.7265625" style="17" customWidth="1"/>
    <col min="1286" max="1286" width="48" style="17" customWidth="1"/>
    <col min="1287" max="1288" width="13.453125" style="17" customWidth="1"/>
    <col min="1289" max="1289" width="10.7265625" style="17" customWidth="1"/>
    <col min="1290" max="1290" width="8.54296875" style="17" bestFit="1" customWidth="1"/>
    <col min="1291" max="1292" width="9.26953125" style="17" customWidth="1"/>
    <col min="1293" max="1293" width="11.54296875" style="17" bestFit="1" customWidth="1"/>
    <col min="1294" max="1294" width="12.54296875" style="17" bestFit="1" customWidth="1"/>
    <col min="1295" max="1295" width="10.81640625" style="17" bestFit="1" customWidth="1"/>
    <col min="1296" max="1297" width="10.81640625" style="17" customWidth="1"/>
    <col min="1298" max="1298" width="12.54296875" style="17" customWidth="1"/>
    <col min="1299" max="1536" width="8.81640625" style="17"/>
    <col min="1537" max="1537" width="40.54296875" style="17" customWidth="1"/>
    <col min="1538" max="1538" width="16.7265625" style="17" customWidth="1"/>
    <col min="1539" max="1539" width="21" style="17" customWidth="1"/>
    <col min="1540" max="1540" width="21.26953125" style="17" customWidth="1"/>
    <col min="1541" max="1541" width="19.7265625" style="17" customWidth="1"/>
    <col min="1542" max="1542" width="48" style="17" customWidth="1"/>
    <col min="1543" max="1544" width="13.453125" style="17" customWidth="1"/>
    <col min="1545" max="1545" width="10.7265625" style="17" customWidth="1"/>
    <col min="1546" max="1546" width="8.54296875" style="17" bestFit="1" customWidth="1"/>
    <col min="1547" max="1548" width="9.26953125" style="17" customWidth="1"/>
    <col min="1549" max="1549" width="11.54296875" style="17" bestFit="1" customWidth="1"/>
    <col min="1550" max="1550" width="12.54296875" style="17" bestFit="1" customWidth="1"/>
    <col min="1551" max="1551" width="10.81640625" style="17" bestFit="1" customWidth="1"/>
    <col min="1552" max="1553" width="10.81640625" style="17" customWidth="1"/>
    <col min="1554" max="1554" width="12.54296875" style="17" customWidth="1"/>
    <col min="1555" max="1792" width="8.81640625" style="17"/>
    <col min="1793" max="1793" width="40.54296875" style="17" customWidth="1"/>
    <col min="1794" max="1794" width="16.7265625" style="17" customWidth="1"/>
    <col min="1795" max="1795" width="21" style="17" customWidth="1"/>
    <col min="1796" max="1796" width="21.26953125" style="17" customWidth="1"/>
    <col min="1797" max="1797" width="19.7265625" style="17" customWidth="1"/>
    <col min="1798" max="1798" width="48" style="17" customWidth="1"/>
    <col min="1799" max="1800" width="13.453125" style="17" customWidth="1"/>
    <col min="1801" max="1801" width="10.7265625" style="17" customWidth="1"/>
    <col min="1802" max="1802" width="8.54296875" style="17" bestFit="1" customWidth="1"/>
    <col min="1803" max="1804" width="9.26953125" style="17" customWidth="1"/>
    <col min="1805" max="1805" width="11.54296875" style="17" bestFit="1" customWidth="1"/>
    <col min="1806" max="1806" width="12.54296875" style="17" bestFit="1" customWidth="1"/>
    <col min="1807" max="1807" width="10.81640625" style="17" bestFit="1" customWidth="1"/>
    <col min="1808" max="1809" width="10.81640625" style="17" customWidth="1"/>
    <col min="1810" max="1810" width="12.54296875" style="17" customWidth="1"/>
    <col min="1811" max="2048" width="8.81640625" style="17"/>
    <col min="2049" max="2049" width="40.54296875" style="17" customWidth="1"/>
    <col min="2050" max="2050" width="16.7265625" style="17" customWidth="1"/>
    <col min="2051" max="2051" width="21" style="17" customWidth="1"/>
    <col min="2052" max="2052" width="21.26953125" style="17" customWidth="1"/>
    <col min="2053" max="2053" width="19.7265625" style="17" customWidth="1"/>
    <col min="2054" max="2054" width="48" style="17" customWidth="1"/>
    <col min="2055" max="2056" width="13.453125" style="17" customWidth="1"/>
    <col min="2057" max="2057" width="10.7265625" style="17" customWidth="1"/>
    <col min="2058" max="2058" width="8.54296875" style="17" bestFit="1" customWidth="1"/>
    <col min="2059" max="2060" width="9.26953125" style="17" customWidth="1"/>
    <col min="2061" max="2061" width="11.54296875" style="17" bestFit="1" customWidth="1"/>
    <col min="2062" max="2062" width="12.54296875" style="17" bestFit="1" customWidth="1"/>
    <col min="2063" max="2063" width="10.81640625" style="17" bestFit="1" customWidth="1"/>
    <col min="2064" max="2065" width="10.81640625" style="17" customWidth="1"/>
    <col min="2066" max="2066" width="12.54296875" style="17" customWidth="1"/>
    <col min="2067" max="2304" width="8.81640625" style="17"/>
    <col min="2305" max="2305" width="40.54296875" style="17" customWidth="1"/>
    <col min="2306" max="2306" width="16.7265625" style="17" customWidth="1"/>
    <col min="2307" max="2307" width="21" style="17" customWidth="1"/>
    <col min="2308" max="2308" width="21.26953125" style="17" customWidth="1"/>
    <col min="2309" max="2309" width="19.7265625" style="17" customWidth="1"/>
    <col min="2310" max="2310" width="48" style="17" customWidth="1"/>
    <col min="2311" max="2312" width="13.453125" style="17" customWidth="1"/>
    <col min="2313" max="2313" width="10.7265625" style="17" customWidth="1"/>
    <col min="2314" max="2314" width="8.54296875" style="17" bestFit="1" customWidth="1"/>
    <col min="2315" max="2316" width="9.26953125" style="17" customWidth="1"/>
    <col min="2317" max="2317" width="11.54296875" style="17" bestFit="1" customWidth="1"/>
    <col min="2318" max="2318" width="12.54296875" style="17" bestFit="1" customWidth="1"/>
    <col min="2319" max="2319" width="10.81640625" style="17" bestFit="1" customWidth="1"/>
    <col min="2320" max="2321" width="10.81640625" style="17" customWidth="1"/>
    <col min="2322" max="2322" width="12.54296875" style="17" customWidth="1"/>
    <col min="2323" max="2560" width="8.81640625" style="17"/>
    <col min="2561" max="2561" width="40.54296875" style="17" customWidth="1"/>
    <col min="2562" max="2562" width="16.7265625" style="17" customWidth="1"/>
    <col min="2563" max="2563" width="21" style="17" customWidth="1"/>
    <col min="2564" max="2564" width="21.26953125" style="17" customWidth="1"/>
    <col min="2565" max="2565" width="19.7265625" style="17" customWidth="1"/>
    <col min="2566" max="2566" width="48" style="17" customWidth="1"/>
    <col min="2567" max="2568" width="13.453125" style="17" customWidth="1"/>
    <col min="2569" max="2569" width="10.7265625" style="17" customWidth="1"/>
    <col min="2570" max="2570" width="8.54296875" style="17" bestFit="1" customWidth="1"/>
    <col min="2571" max="2572" width="9.26953125" style="17" customWidth="1"/>
    <col min="2573" max="2573" width="11.54296875" style="17" bestFit="1" customWidth="1"/>
    <col min="2574" max="2574" width="12.54296875" style="17" bestFit="1" customWidth="1"/>
    <col min="2575" max="2575" width="10.81640625" style="17" bestFit="1" customWidth="1"/>
    <col min="2576" max="2577" width="10.81640625" style="17" customWidth="1"/>
    <col min="2578" max="2578" width="12.54296875" style="17" customWidth="1"/>
    <col min="2579" max="2816" width="8.81640625" style="17"/>
    <col min="2817" max="2817" width="40.54296875" style="17" customWidth="1"/>
    <col min="2818" max="2818" width="16.7265625" style="17" customWidth="1"/>
    <col min="2819" max="2819" width="21" style="17" customWidth="1"/>
    <col min="2820" max="2820" width="21.26953125" style="17" customWidth="1"/>
    <col min="2821" max="2821" width="19.7265625" style="17" customWidth="1"/>
    <col min="2822" max="2822" width="48" style="17" customWidth="1"/>
    <col min="2823" max="2824" width="13.453125" style="17" customWidth="1"/>
    <col min="2825" max="2825" width="10.7265625" style="17" customWidth="1"/>
    <col min="2826" max="2826" width="8.54296875" style="17" bestFit="1" customWidth="1"/>
    <col min="2827" max="2828" width="9.26953125" style="17" customWidth="1"/>
    <col min="2829" max="2829" width="11.54296875" style="17" bestFit="1" customWidth="1"/>
    <col min="2830" max="2830" width="12.54296875" style="17" bestFit="1" customWidth="1"/>
    <col min="2831" max="2831" width="10.81640625" style="17" bestFit="1" customWidth="1"/>
    <col min="2832" max="2833" width="10.81640625" style="17" customWidth="1"/>
    <col min="2834" max="2834" width="12.54296875" style="17" customWidth="1"/>
    <col min="2835" max="3072" width="8.81640625" style="17"/>
    <col min="3073" max="3073" width="40.54296875" style="17" customWidth="1"/>
    <col min="3074" max="3074" width="16.7265625" style="17" customWidth="1"/>
    <col min="3075" max="3075" width="21" style="17" customWidth="1"/>
    <col min="3076" max="3076" width="21.26953125" style="17" customWidth="1"/>
    <col min="3077" max="3077" width="19.7265625" style="17" customWidth="1"/>
    <col min="3078" max="3078" width="48" style="17" customWidth="1"/>
    <col min="3079" max="3080" width="13.453125" style="17" customWidth="1"/>
    <col min="3081" max="3081" width="10.7265625" style="17" customWidth="1"/>
    <col min="3082" max="3082" width="8.54296875" style="17" bestFit="1" customWidth="1"/>
    <col min="3083" max="3084" width="9.26953125" style="17" customWidth="1"/>
    <col min="3085" max="3085" width="11.54296875" style="17" bestFit="1" customWidth="1"/>
    <col min="3086" max="3086" width="12.54296875" style="17" bestFit="1" customWidth="1"/>
    <col min="3087" max="3087" width="10.81640625" style="17" bestFit="1" customWidth="1"/>
    <col min="3088" max="3089" width="10.81640625" style="17" customWidth="1"/>
    <col min="3090" max="3090" width="12.54296875" style="17" customWidth="1"/>
    <col min="3091" max="3328" width="8.81640625" style="17"/>
    <col min="3329" max="3329" width="40.54296875" style="17" customWidth="1"/>
    <col min="3330" max="3330" width="16.7265625" style="17" customWidth="1"/>
    <col min="3331" max="3331" width="21" style="17" customWidth="1"/>
    <col min="3332" max="3332" width="21.26953125" style="17" customWidth="1"/>
    <col min="3333" max="3333" width="19.7265625" style="17" customWidth="1"/>
    <col min="3334" max="3334" width="48" style="17" customWidth="1"/>
    <col min="3335" max="3336" width="13.453125" style="17" customWidth="1"/>
    <col min="3337" max="3337" width="10.7265625" style="17" customWidth="1"/>
    <col min="3338" max="3338" width="8.54296875" style="17" bestFit="1" customWidth="1"/>
    <col min="3339" max="3340" width="9.26953125" style="17" customWidth="1"/>
    <col min="3341" max="3341" width="11.54296875" style="17" bestFit="1" customWidth="1"/>
    <col min="3342" max="3342" width="12.54296875" style="17" bestFit="1" customWidth="1"/>
    <col min="3343" max="3343" width="10.81640625" style="17" bestFit="1" customWidth="1"/>
    <col min="3344" max="3345" width="10.81640625" style="17" customWidth="1"/>
    <col min="3346" max="3346" width="12.54296875" style="17" customWidth="1"/>
    <col min="3347" max="3584" width="8.81640625" style="17"/>
    <col min="3585" max="3585" width="40.54296875" style="17" customWidth="1"/>
    <col min="3586" max="3586" width="16.7265625" style="17" customWidth="1"/>
    <col min="3587" max="3587" width="21" style="17" customWidth="1"/>
    <col min="3588" max="3588" width="21.26953125" style="17" customWidth="1"/>
    <col min="3589" max="3589" width="19.7265625" style="17" customWidth="1"/>
    <col min="3590" max="3590" width="48" style="17" customWidth="1"/>
    <col min="3591" max="3592" width="13.453125" style="17" customWidth="1"/>
    <col min="3593" max="3593" width="10.7265625" style="17" customWidth="1"/>
    <col min="3594" max="3594" width="8.54296875" style="17" bestFit="1" customWidth="1"/>
    <col min="3595" max="3596" width="9.26953125" style="17" customWidth="1"/>
    <col min="3597" max="3597" width="11.54296875" style="17" bestFit="1" customWidth="1"/>
    <col min="3598" max="3598" width="12.54296875" style="17" bestFit="1" customWidth="1"/>
    <col min="3599" max="3599" width="10.81640625" style="17" bestFit="1" customWidth="1"/>
    <col min="3600" max="3601" width="10.81640625" style="17" customWidth="1"/>
    <col min="3602" max="3602" width="12.54296875" style="17" customWidth="1"/>
    <col min="3603" max="3840" width="8.81640625" style="17"/>
    <col min="3841" max="3841" width="40.54296875" style="17" customWidth="1"/>
    <col min="3842" max="3842" width="16.7265625" style="17" customWidth="1"/>
    <col min="3843" max="3843" width="21" style="17" customWidth="1"/>
    <col min="3844" max="3844" width="21.26953125" style="17" customWidth="1"/>
    <col min="3845" max="3845" width="19.7265625" style="17" customWidth="1"/>
    <col min="3846" max="3846" width="48" style="17" customWidth="1"/>
    <col min="3847" max="3848" width="13.453125" style="17" customWidth="1"/>
    <col min="3849" max="3849" width="10.7265625" style="17" customWidth="1"/>
    <col min="3850" max="3850" width="8.54296875" style="17" bestFit="1" customWidth="1"/>
    <col min="3851" max="3852" width="9.26953125" style="17" customWidth="1"/>
    <col min="3853" max="3853" width="11.54296875" style="17" bestFit="1" customWidth="1"/>
    <col min="3854" max="3854" width="12.54296875" style="17" bestFit="1" customWidth="1"/>
    <col min="3855" max="3855" width="10.81640625" style="17" bestFit="1" customWidth="1"/>
    <col min="3856" max="3857" width="10.81640625" style="17" customWidth="1"/>
    <col min="3858" max="3858" width="12.54296875" style="17" customWidth="1"/>
    <col min="3859" max="4096" width="8.81640625" style="17"/>
    <col min="4097" max="4097" width="40.54296875" style="17" customWidth="1"/>
    <col min="4098" max="4098" width="16.7265625" style="17" customWidth="1"/>
    <col min="4099" max="4099" width="21" style="17" customWidth="1"/>
    <col min="4100" max="4100" width="21.26953125" style="17" customWidth="1"/>
    <col min="4101" max="4101" width="19.7265625" style="17" customWidth="1"/>
    <col min="4102" max="4102" width="48" style="17" customWidth="1"/>
    <col min="4103" max="4104" width="13.453125" style="17" customWidth="1"/>
    <col min="4105" max="4105" width="10.7265625" style="17" customWidth="1"/>
    <col min="4106" max="4106" width="8.54296875" style="17" bestFit="1" customWidth="1"/>
    <col min="4107" max="4108" width="9.26953125" style="17" customWidth="1"/>
    <col min="4109" max="4109" width="11.54296875" style="17" bestFit="1" customWidth="1"/>
    <col min="4110" max="4110" width="12.54296875" style="17" bestFit="1" customWidth="1"/>
    <col min="4111" max="4111" width="10.81640625" style="17" bestFit="1" customWidth="1"/>
    <col min="4112" max="4113" width="10.81640625" style="17" customWidth="1"/>
    <col min="4114" max="4114" width="12.54296875" style="17" customWidth="1"/>
    <col min="4115" max="4352" width="8.81640625" style="17"/>
    <col min="4353" max="4353" width="40.54296875" style="17" customWidth="1"/>
    <col min="4354" max="4354" width="16.7265625" style="17" customWidth="1"/>
    <col min="4355" max="4355" width="21" style="17" customWidth="1"/>
    <col min="4356" max="4356" width="21.26953125" style="17" customWidth="1"/>
    <col min="4357" max="4357" width="19.7265625" style="17" customWidth="1"/>
    <col min="4358" max="4358" width="48" style="17" customWidth="1"/>
    <col min="4359" max="4360" width="13.453125" style="17" customWidth="1"/>
    <col min="4361" max="4361" width="10.7265625" style="17" customWidth="1"/>
    <col min="4362" max="4362" width="8.54296875" style="17" bestFit="1" customWidth="1"/>
    <col min="4363" max="4364" width="9.26953125" style="17" customWidth="1"/>
    <col min="4365" max="4365" width="11.54296875" style="17" bestFit="1" customWidth="1"/>
    <col min="4366" max="4366" width="12.54296875" style="17" bestFit="1" customWidth="1"/>
    <col min="4367" max="4367" width="10.81640625" style="17" bestFit="1" customWidth="1"/>
    <col min="4368" max="4369" width="10.81640625" style="17" customWidth="1"/>
    <col min="4370" max="4370" width="12.54296875" style="17" customWidth="1"/>
    <col min="4371" max="4608" width="8.81640625" style="17"/>
    <col min="4609" max="4609" width="40.54296875" style="17" customWidth="1"/>
    <col min="4610" max="4610" width="16.7265625" style="17" customWidth="1"/>
    <col min="4611" max="4611" width="21" style="17" customWidth="1"/>
    <col min="4612" max="4612" width="21.26953125" style="17" customWidth="1"/>
    <col min="4613" max="4613" width="19.7265625" style="17" customWidth="1"/>
    <col min="4614" max="4614" width="48" style="17" customWidth="1"/>
    <col min="4615" max="4616" width="13.453125" style="17" customWidth="1"/>
    <col min="4617" max="4617" width="10.7265625" style="17" customWidth="1"/>
    <col min="4618" max="4618" width="8.54296875" style="17" bestFit="1" customWidth="1"/>
    <col min="4619" max="4620" width="9.26953125" style="17" customWidth="1"/>
    <col min="4621" max="4621" width="11.54296875" style="17" bestFit="1" customWidth="1"/>
    <col min="4622" max="4622" width="12.54296875" style="17" bestFit="1" customWidth="1"/>
    <col min="4623" max="4623" width="10.81640625" style="17" bestFit="1" customWidth="1"/>
    <col min="4624" max="4625" width="10.81640625" style="17" customWidth="1"/>
    <col min="4626" max="4626" width="12.54296875" style="17" customWidth="1"/>
    <col min="4627" max="4864" width="8.81640625" style="17"/>
    <col min="4865" max="4865" width="40.54296875" style="17" customWidth="1"/>
    <col min="4866" max="4866" width="16.7265625" style="17" customWidth="1"/>
    <col min="4867" max="4867" width="21" style="17" customWidth="1"/>
    <col min="4868" max="4868" width="21.26953125" style="17" customWidth="1"/>
    <col min="4869" max="4869" width="19.7265625" style="17" customWidth="1"/>
    <col min="4870" max="4870" width="48" style="17" customWidth="1"/>
    <col min="4871" max="4872" width="13.453125" style="17" customWidth="1"/>
    <col min="4873" max="4873" width="10.7265625" style="17" customWidth="1"/>
    <col min="4874" max="4874" width="8.54296875" style="17" bestFit="1" customWidth="1"/>
    <col min="4875" max="4876" width="9.26953125" style="17" customWidth="1"/>
    <col min="4877" max="4877" width="11.54296875" style="17" bestFit="1" customWidth="1"/>
    <col min="4878" max="4878" width="12.54296875" style="17" bestFit="1" customWidth="1"/>
    <col min="4879" max="4879" width="10.81640625" style="17" bestFit="1" customWidth="1"/>
    <col min="4880" max="4881" width="10.81640625" style="17" customWidth="1"/>
    <col min="4882" max="4882" width="12.54296875" style="17" customWidth="1"/>
    <col min="4883" max="5120" width="8.81640625" style="17"/>
    <col min="5121" max="5121" width="40.54296875" style="17" customWidth="1"/>
    <col min="5122" max="5122" width="16.7265625" style="17" customWidth="1"/>
    <col min="5123" max="5123" width="21" style="17" customWidth="1"/>
    <col min="5124" max="5124" width="21.26953125" style="17" customWidth="1"/>
    <col min="5125" max="5125" width="19.7265625" style="17" customWidth="1"/>
    <col min="5126" max="5126" width="48" style="17" customWidth="1"/>
    <col min="5127" max="5128" width="13.453125" style="17" customWidth="1"/>
    <col min="5129" max="5129" width="10.7265625" style="17" customWidth="1"/>
    <col min="5130" max="5130" width="8.54296875" style="17" bestFit="1" customWidth="1"/>
    <col min="5131" max="5132" width="9.26953125" style="17" customWidth="1"/>
    <col min="5133" max="5133" width="11.54296875" style="17" bestFit="1" customWidth="1"/>
    <col min="5134" max="5134" width="12.54296875" style="17" bestFit="1" customWidth="1"/>
    <col min="5135" max="5135" width="10.81640625" style="17" bestFit="1" customWidth="1"/>
    <col min="5136" max="5137" width="10.81640625" style="17" customWidth="1"/>
    <col min="5138" max="5138" width="12.54296875" style="17" customWidth="1"/>
    <col min="5139" max="5376" width="8.81640625" style="17"/>
    <col min="5377" max="5377" width="40.54296875" style="17" customWidth="1"/>
    <col min="5378" max="5378" width="16.7265625" style="17" customWidth="1"/>
    <col min="5379" max="5379" width="21" style="17" customWidth="1"/>
    <col min="5380" max="5380" width="21.26953125" style="17" customWidth="1"/>
    <col min="5381" max="5381" width="19.7265625" style="17" customWidth="1"/>
    <col min="5382" max="5382" width="48" style="17" customWidth="1"/>
    <col min="5383" max="5384" width="13.453125" style="17" customWidth="1"/>
    <col min="5385" max="5385" width="10.7265625" style="17" customWidth="1"/>
    <col min="5386" max="5386" width="8.54296875" style="17" bestFit="1" customWidth="1"/>
    <col min="5387" max="5388" width="9.26953125" style="17" customWidth="1"/>
    <col min="5389" max="5389" width="11.54296875" style="17" bestFit="1" customWidth="1"/>
    <col min="5390" max="5390" width="12.54296875" style="17" bestFit="1" customWidth="1"/>
    <col min="5391" max="5391" width="10.81640625" style="17" bestFit="1" customWidth="1"/>
    <col min="5392" max="5393" width="10.81640625" style="17" customWidth="1"/>
    <col min="5394" max="5394" width="12.54296875" style="17" customWidth="1"/>
    <col min="5395" max="5632" width="8.81640625" style="17"/>
    <col min="5633" max="5633" width="40.54296875" style="17" customWidth="1"/>
    <col min="5634" max="5634" width="16.7265625" style="17" customWidth="1"/>
    <col min="5635" max="5635" width="21" style="17" customWidth="1"/>
    <col min="5636" max="5636" width="21.26953125" style="17" customWidth="1"/>
    <col min="5637" max="5637" width="19.7265625" style="17" customWidth="1"/>
    <col min="5638" max="5638" width="48" style="17" customWidth="1"/>
    <col min="5639" max="5640" width="13.453125" style="17" customWidth="1"/>
    <col min="5641" max="5641" width="10.7265625" style="17" customWidth="1"/>
    <col min="5642" max="5642" width="8.54296875" style="17" bestFit="1" customWidth="1"/>
    <col min="5643" max="5644" width="9.26953125" style="17" customWidth="1"/>
    <col min="5645" max="5645" width="11.54296875" style="17" bestFit="1" customWidth="1"/>
    <col min="5646" max="5646" width="12.54296875" style="17" bestFit="1" customWidth="1"/>
    <col min="5647" max="5647" width="10.81640625" style="17" bestFit="1" customWidth="1"/>
    <col min="5648" max="5649" width="10.81640625" style="17" customWidth="1"/>
    <col min="5650" max="5650" width="12.54296875" style="17" customWidth="1"/>
    <col min="5651" max="5888" width="8.81640625" style="17"/>
    <col min="5889" max="5889" width="40.54296875" style="17" customWidth="1"/>
    <col min="5890" max="5890" width="16.7265625" style="17" customWidth="1"/>
    <col min="5891" max="5891" width="21" style="17" customWidth="1"/>
    <col min="5892" max="5892" width="21.26953125" style="17" customWidth="1"/>
    <col min="5893" max="5893" width="19.7265625" style="17" customWidth="1"/>
    <col min="5894" max="5894" width="48" style="17" customWidth="1"/>
    <col min="5895" max="5896" width="13.453125" style="17" customWidth="1"/>
    <col min="5897" max="5897" width="10.7265625" style="17" customWidth="1"/>
    <col min="5898" max="5898" width="8.54296875" style="17" bestFit="1" customWidth="1"/>
    <col min="5899" max="5900" width="9.26953125" style="17" customWidth="1"/>
    <col min="5901" max="5901" width="11.54296875" style="17" bestFit="1" customWidth="1"/>
    <col min="5902" max="5902" width="12.54296875" style="17" bestFit="1" customWidth="1"/>
    <col min="5903" max="5903" width="10.81640625" style="17" bestFit="1" customWidth="1"/>
    <col min="5904" max="5905" width="10.81640625" style="17" customWidth="1"/>
    <col min="5906" max="5906" width="12.54296875" style="17" customWidth="1"/>
    <col min="5907" max="6144" width="8.81640625" style="17"/>
    <col min="6145" max="6145" width="40.54296875" style="17" customWidth="1"/>
    <col min="6146" max="6146" width="16.7265625" style="17" customWidth="1"/>
    <col min="6147" max="6147" width="21" style="17" customWidth="1"/>
    <col min="6148" max="6148" width="21.26953125" style="17" customWidth="1"/>
    <col min="6149" max="6149" width="19.7265625" style="17" customWidth="1"/>
    <col min="6150" max="6150" width="48" style="17" customWidth="1"/>
    <col min="6151" max="6152" width="13.453125" style="17" customWidth="1"/>
    <col min="6153" max="6153" width="10.7265625" style="17" customWidth="1"/>
    <col min="6154" max="6154" width="8.54296875" style="17" bestFit="1" customWidth="1"/>
    <col min="6155" max="6156" width="9.26953125" style="17" customWidth="1"/>
    <col min="6157" max="6157" width="11.54296875" style="17" bestFit="1" customWidth="1"/>
    <col min="6158" max="6158" width="12.54296875" style="17" bestFit="1" customWidth="1"/>
    <col min="6159" max="6159" width="10.81640625" style="17" bestFit="1" customWidth="1"/>
    <col min="6160" max="6161" width="10.81640625" style="17" customWidth="1"/>
    <col min="6162" max="6162" width="12.54296875" style="17" customWidth="1"/>
    <col min="6163" max="6400" width="8.81640625" style="17"/>
    <col min="6401" max="6401" width="40.54296875" style="17" customWidth="1"/>
    <col min="6402" max="6402" width="16.7265625" style="17" customWidth="1"/>
    <col min="6403" max="6403" width="21" style="17" customWidth="1"/>
    <col min="6404" max="6404" width="21.26953125" style="17" customWidth="1"/>
    <col min="6405" max="6405" width="19.7265625" style="17" customWidth="1"/>
    <col min="6406" max="6406" width="48" style="17" customWidth="1"/>
    <col min="6407" max="6408" width="13.453125" style="17" customWidth="1"/>
    <col min="6409" max="6409" width="10.7265625" style="17" customWidth="1"/>
    <col min="6410" max="6410" width="8.54296875" style="17" bestFit="1" customWidth="1"/>
    <col min="6411" max="6412" width="9.26953125" style="17" customWidth="1"/>
    <col min="6413" max="6413" width="11.54296875" style="17" bestFit="1" customWidth="1"/>
    <col min="6414" max="6414" width="12.54296875" style="17" bestFit="1" customWidth="1"/>
    <col min="6415" max="6415" width="10.81640625" style="17" bestFit="1" customWidth="1"/>
    <col min="6416" max="6417" width="10.81640625" style="17" customWidth="1"/>
    <col min="6418" max="6418" width="12.54296875" style="17" customWidth="1"/>
    <col min="6419" max="6656" width="8.81640625" style="17"/>
    <col min="6657" max="6657" width="40.54296875" style="17" customWidth="1"/>
    <col min="6658" max="6658" width="16.7265625" style="17" customWidth="1"/>
    <col min="6659" max="6659" width="21" style="17" customWidth="1"/>
    <col min="6660" max="6660" width="21.26953125" style="17" customWidth="1"/>
    <col min="6661" max="6661" width="19.7265625" style="17" customWidth="1"/>
    <col min="6662" max="6662" width="48" style="17" customWidth="1"/>
    <col min="6663" max="6664" width="13.453125" style="17" customWidth="1"/>
    <col min="6665" max="6665" width="10.7265625" style="17" customWidth="1"/>
    <col min="6666" max="6666" width="8.54296875" style="17" bestFit="1" customWidth="1"/>
    <col min="6667" max="6668" width="9.26953125" style="17" customWidth="1"/>
    <col min="6669" max="6669" width="11.54296875" style="17" bestFit="1" customWidth="1"/>
    <col min="6670" max="6670" width="12.54296875" style="17" bestFit="1" customWidth="1"/>
    <col min="6671" max="6671" width="10.81640625" style="17" bestFit="1" customWidth="1"/>
    <col min="6672" max="6673" width="10.81640625" style="17" customWidth="1"/>
    <col min="6674" max="6674" width="12.54296875" style="17" customWidth="1"/>
    <col min="6675" max="6912" width="8.81640625" style="17"/>
    <col min="6913" max="6913" width="40.54296875" style="17" customWidth="1"/>
    <col min="6914" max="6914" width="16.7265625" style="17" customWidth="1"/>
    <col min="6915" max="6915" width="21" style="17" customWidth="1"/>
    <col min="6916" max="6916" width="21.26953125" style="17" customWidth="1"/>
    <col min="6917" max="6917" width="19.7265625" style="17" customWidth="1"/>
    <col min="6918" max="6918" width="48" style="17" customWidth="1"/>
    <col min="6919" max="6920" width="13.453125" style="17" customWidth="1"/>
    <col min="6921" max="6921" width="10.7265625" style="17" customWidth="1"/>
    <col min="6922" max="6922" width="8.54296875" style="17" bestFit="1" customWidth="1"/>
    <col min="6923" max="6924" width="9.26953125" style="17" customWidth="1"/>
    <col min="6925" max="6925" width="11.54296875" style="17" bestFit="1" customWidth="1"/>
    <col min="6926" max="6926" width="12.54296875" style="17" bestFit="1" customWidth="1"/>
    <col min="6927" max="6927" width="10.81640625" style="17" bestFit="1" customWidth="1"/>
    <col min="6928" max="6929" width="10.81640625" style="17" customWidth="1"/>
    <col min="6930" max="6930" width="12.54296875" style="17" customWidth="1"/>
    <col min="6931" max="7168" width="8.81640625" style="17"/>
    <col min="7169" max="7169" width="40.54296875" style="17" customWidth="1"/>
    <col min="7170" max="7170" width="16.7265625" style="17" customWidth="1"/>
    <col min="7171" max="7171" width="21" style="17" customWidth="1"/>
    <col min="7172" max="7172" width="21.26953125" style="17" customWidth="1"/>
    <col min="7173" max="7173" width="19.7265625" style="17" customWidth="1"/>
    <col min="7174" max="7174" width="48" style="17" customWidth="1"/>
    <col min="7175" max="7176" width="13.453125" style="17" customWidth="1"/>
    <col min="7177" max="7177" width="10.7265625" style="17" customWidth="1"/>
    <col min="7178" max="7178" width="8.54296875" style="17" bestFit="1" customWidth="1"/>
    <col min="7179" max="7180" width="9.26953125" style="17" customWidth="1"/>
    <col min="7181" max="7181" width="11.54296875" style="17" bestFit="1" customWidth="1"/>
    <col min="7182" max="7182" width="12.54296875" style="17" bestFit="1" customWidth="1"/>
    <col min="7183" max="7183" width="10.81640625" style="17" bestFit="1" customWidth="1"/>
    <col min="7184" max="7185" width="10.81640625" style="17" customWidth="1"/>
    <col min="7186" max="7186" width="12.54296875" style="17" customWidth="1"/>
    <col min="7187" max="7424" width="8.81640625" style="17"/>
    <col min="7425" max="7425" width="40.54296875" style="17" customWidth="1"/>
    <col min="7426" max="7426" width="16.7265625" style="17" customWidth="1"/>
    <col min="7427" max="7427" width="21" style="17" customWidth="1"/>
    <col min="7428" max="7428" width="21.26953125" style="17" customWidth="1"/>
    <col min="7429" max="7429" width="19.7265625" style="17" customWidth="1"/>
    <col min="7430" max="7430" width="48" style="17" customWidth="1"/>
    <col min="7431" max="7432" width="13.453125" style="17" customWidth="1"/>
    <col min="7433" max="7433" width="10.7265625" style="17" customWidth="1"/>
    <col min="7434" max="7434" width="8.54296875" style="17" bestFit="1" customWidth="1"/>
    <col min="7435" max="7436" width="9.26953125" style="17" customWidth="1"/>
    <col min="7437" max="7437" width="11.54296875" style="17" bestFit="1" customWidth="1"/>
    <col min="7438" max="7438" width="12.54296875" style="17" bestFit="1" customWidth="1"/>
    <col min="7439" max="7439" width="10.81640625" style="17" bestFit="1" customWidth="1"/>
    <col min="7440" max="7441" width="10.81640625" style="17" customWidth="1"/>
    <col min="7442" max="7442" width="12.54296875" style="17" customWidth="1"/>
    <col min="7443" max="7680" width="8.81640625" style="17"/>
    <col min="7681" max="7681" width="40.54296875" style="17" customWidth="1"/>
    <col min="7682" max="7682" width="16.7265625" style="17" customWidth="1"/>
    <col min="7683" max="7683" width="21" style="17" customWidth="1"/>
    <col min="7684" max="7684" width="21.26953125" style="17" customWidth="1"/>
    <col min="7685" max="7685" width="19.7265625" style="17" customWidth="1"/>
    <col min="7686" max="7686" width="48" style="17" customWidth="1"/>
    <col min="7687" max="7688" width="13.453125" style="17" customWidth="1"/>
    <col min="7689" max="7689" width="10.7265625" style="17" customWidth="1"/>
    <col min="7690" max="7690" width="8.54296875" style="17" bestFit="1" customWidth="1"/>
    <col min="7691" max="7692" width="9.26953125" style="17" customWidth="1"/>
    <col min="7693" max="7693" width="11.54296875" style="17" bestFit="1" customWidth="1"/>
    <col min="7694" max="7694" width="12.54296875" style="17" bestFit="1" customWidth="1"/>
    <col min="7695" max="7695" width="10.81640625" style="17" bestFit="1" customWidth="1"/>
    <col min="7696" max="7697" width="10.81640625" style="17" customWidth="1"/>
    <col min="7698" max="7698" width="12.54296875" style="17" customWidth="1"/>
    <col min="7699" max="7936" width="8.81640625" style="17"/>
    <col min="7937" max="7937" width="40.54296875" style="17" customWidth="1"/>
    <col min="7938" max="7938" width="16.7265625" style="17" customWidth="1"/>
    <col min="7939" max="7939" width="21" style="17" customWidth="1"/>
    <col min="7940" max="7940" width="21.26953125" style="17" customWidth="1"/>
    <col min="7941" max="7941" width="19.7265625" style="17" customWidth="1"/>
    <col min="7942" max="7942" width="48" style="17" customWidth="1"/>
    <col min="7943" max="7944" width="13.453125" style="17" customWidth="1"/>
    <col min="7945" max="7945" width="10.7265625" style="17" customWidth="1"/>
    <col min="7946" max="7946" width="8.54296875" style="17" bestFit="1" customWidth="1"/>
    <col min="7947" max="7948" width="9.26953125" style="17" customWidth="1"/>
    <col min="7949" max="7949" width="11.54296875" style="17" bestFit="1" customWidth="1"/>
    <col min="7950" max="7950" width="12.54296875" style="17" bestFit="1" customWidth="1"/>
    <col min="7951" max="7951" width="10.81640625" style="17" bestFit="1" customWidth="1"/>
    <col min="7952" max="7953" width="10.81640625" style="17" customWidth="1"/>
    <col min="7954" max="7954" width="12.54296875" style="17" customWidth="1"/>
    <col min="7955" max="8192" width="8.81640625" style="17"/>
    <col min="8193" max="8193" width="40.54296875" style="17" customWidth="1"/>
    <col min="8194" max="8194" width="16.7265625" style="17" customWidth="1"/>
    <col min="8195" max="8195" width="21" style="17" customWidth="1"/>
    <col min="8196" max="8196" width="21.26953125" style="17" customWidth="1"/>
    <col min="8197" max="8197" width="19.7265625" style="17" customWidth="1"/>
    <col min="8198" max="8198" width="48" style="17" customWidth="1"/>
    <col min="8199" max="8200" width="13.453125" style="17" customWidth="1"/>
    <col min="8201" max="8201" width="10.7265625" style="17" customWidth="1"/>
    <col min="8202" max="8202" width="8.54296875" style="17" bestFit="1" customWidth="1"/>
    <col min="8203" max="8204" width="9.26953125" style="17" customWidth="1"/>
    <col min="8205" max="8205" width="11.54296875" style="17" bestFit="1" customWidth="1"/>
    <col min="8206" max="8206" width="12.54296875" style="17" bestFit="1" customWidth="1"/>
    <col min="8207" max="8207" width="10.81640625" style="17" bestFit="1" customWidth="1"/>
    <col min="8208" max="8209" width="10.81640625" style="17" customWidth="1"/>
    <col min="8210" max="8210" width="12.54296875" style="17" customWidth="1"/>
    <col min="8211" max="8448" width="8.81640625" style="17"/>
    <col min="8449" max="8449" width="40.54296875" style="17" customWidth="1"/>
    <col min="8450" max="8450" width="16.7265625" style="17" customWidth="1"/>
    <col min="8451" max="8451" width="21" style="17" customWidth="1"/>
    <col min="8452" max="8452" width="21.26953125" style="17" customWidth="1"/>
    <col min="8453" max="8453" width="19.7265625" style="17" customWidth="1"/>
    <col min="8454" max="8454" width="48" style="17" customWidth="1"/>
    <col min="8455" max="8456" width="13.453125" style="17" customWidth="1"/>
    <col min="8457" max="8457" width="10.7265625" style="17" customWidth="1"/>
    <col min="8458" max="8458" width="8.54296875" style="17" bestFit="1" customWidth="1"/>
    <col min="8459" max="8460" width="9.26953125" style="17" customWidth="1"/>
    <col min="8461" max="8461" width="11.54296875" style="17" bestFit="1" customWidth="1"/>
    <col min="8462" max="8462" width="12.54296875" style="17" bestFit="1" customWidth="1"/>
    <col min="8463" max="8463" width="10.81640625" style="17" bestFit="1" customWidth="1"/>
    <col min="8464" max="8465" width="10.81640625" style="17" customWidth="1"/>
    <col min="8466" max="8466" width="12.54296875" style="17" customWidth="1"/>
    <col min="8467" max="8704" width="8.81640625" style="17"/>
    <col min="8705" max="8705" width="40.54296875" style="17" customWidth="1"/>
    <col min="8706" max="8706" width="16.7265625" style="17" customWidth="1"/>
    <col min="8707" max="8707" width="21" style="17" customWidth="1"/>
    <col min="8708" max="8708" width="21.26953125" style="17" customWidth="1"/>
    <col min="8709" max="8709" width="19.7265625" style="17" customWidth="1"/>
    <col min="8710" max="8710" width="48" style="17" customWidth="1"/>
    <col min="8711" max="8712" width="13.453125" style="17" customWidth="1"/>
    <col min="8713" max="8713" width="10.7265625" style="17" customWidth="1"/>
    <col min="8714" max="8714" width="8.54296875" style="17" bestFit="1" customWidth="1"/>
    <col min="8715" max="8716" width="9.26953125" style="17" customWidth="1"/>
    <col min="8717" max="8717" width="11.54296875" style="17" bestFit="1" customWidth="1"/>
    <col min="8718" max="8718" width="12.54296875" style="17" bestFit="1" customWidth="1"/>
    <col min="8719" max="8719" width="10.81640625" style="17" bestFit="1" customWidth="1"/>
    <col min="8720" max="8721" width="10.81640625" style="17" customWidth="1"/>
    <col min="8722" max="8722" width="12.54296875" style="17" customWidth="1"/>
    <col min="8723" max="8960" width="8.81640625" style="17"/>
    <col min="8961" max="8961" width="40.54296875" style="17" customWidth="1"/>
    <col min="8962" max="8962" width="16.7265625" style="17" customWidth="1"/>
    <col min="8963" max="8963" width="21" style="17" customWidth="1"/>
    <col min="8964" max="8964" width="21.26953125" style="17" customWidth="1"/>
    <col min="8965" max="8965" width="19.7265625" style="17" customWidth="1"/>
    <col min="8966" max="8966" width="48" style="17" customWidth="1"/>
    <col min="8967" max="8968" width="13.453125" style="17" customWidth="1"/>
    <col min="8969" max="8969" width="10.7265625" style="17" customWidth="1"/>
    <col min="8970" max="8970" width="8.54296875" style="17" bestFit="1" customWidth="1"/>
    <col min="8971" max="8972" width="9.26953125" style="17" customWidth="1"/>
    <col min="8973" max="8973" width="11.54296875" style="17" bestFit="1" customWidth="1"/>
    <col min="8974" max="8974" width="12.54296875" style="17" bestFit="1" customWidth="1"/>
    <col min="8975" max="8975" width="10.81640625" style="17" bestFit="1" customWidth="1"/>
    <col min="8976" max="8977" width="10.81640625" style="17" customWidth="1"/>
    <col min="8978" max="8978" width="12.54296875" style="17" customWidth="1"/>
    <col min="8979" max="9216" width="8.81640625" style="17"/>
    <col min="9217" max="9217" width="40.54296875" style="17" customWidth="1"/>
    <col min="9218" max="9218" width="16.7265625" style="17" customWidth="1"/>
    <col min="9219" max="9219" width="21" style="17" customWidth="1"/>
    <col min="9220" max="9220" width="21.26953125" style="17" customWidth="1"/>
    <col min="9221" max="9221" width="19.7265625" style="17" customWidth="1"/>
    <col min="9222" max="9222" width="48" style="17" customWidth="1"/>
    <col min="9223" max="9224" width="13.453125" style="17" customWidth="1"/>
    <col min="9225" max="9225" width="10.7265625" style="17" customWidth="1"/>
    <col min="9226" max="9226" width="8.54296875" style="17" bestFit="1" customWidth="1"/>
    <col min="9227" max="9228" width="9.26953125" style="17" customWidth="1"/>
    <col min="9229" max="9229" width="11.54296875" style="17" bestFit="1" customWidth="1"/>
    <col min="9230" max="9230" width="12.54296875" style="17" bestFit="1" customWidth="1"/>
    <col min="9231" max="9231" width="10.81640625" style="17" bestFit="1" customWidth="1"/>
    <col min="9232" max="9233" width="10.81640625" style="17" customWidth="1"/>
    <col min="9234" max="9234" width="12.54296875" style="17" customWidth="1"/>
    <col min="9235" max="9472" width="8.81640625" style="17"/>
    <col min="9473" max="9473" width="40.54296875" style="17" customWidth="1"/>
    <col min="9474" max="9474" width="16.7265625" style="17" customWidth="1"/>
    <col min="9475" max="9475" width="21" style="17" customWidth="1"/>
    <col min="9476" max="9476" width="21.26953125" style="17" customWidth="1"/>
    <col min="9477" max="9477" width="19.7265625" style="17" customWidth="1"/>
    <col min="9478" max="9478" width="48" style="17" customWidth="1"/>
    <col min="9479" max="9480" width="13.453125" style="17" customWidth="1"/>
    <col min="9481" max="9481" width="10.7265625" style="17" customWidth="1"/>
    <col min="9482" max="9482" width="8.54296875" style="17" bestFit="1" customWidth="1"/>
    <col min="9483" max="9484" width="9.26953125" style="17" customWidth="1"/>
    <col min="9485" max="9485" width="11.54296875" style="17" bestFit="1" customWidth="1"/>
    <col min="9486" max="9486" width="12.54296875" style="17" bestFit="1" customWidth="1"/>
    <col min="9487" max="9487" width="10.81640625" style="17" bestFit="1" customWidth="1"/>
    <col min="9488" max="9489" width="10.81640625" style="17" customWidth="1"/>
    <col min="9490" max="9490" width="12.54296875" style="17" customWidth="1"/>
    <col min="9491" max="9728" width="8.81640625" style="17"/>
    <col min="9729" max="9729" width="40.54296875" style="17" customWidth="1"/>
    <col min="9730" max="9730" width="16.7265625" style="17" customWidth="1"/>
    <col min="9731" max="9731" width="21" style="17" customWidth="1"/>
    <col min="9732" max="9732" width="21.26953125" style="17" customWidth="1"/>
    <col min="9733" max="9733" width="19.7265625" style="17" customWidth="1"/>
    <col min="9734" max="9734" width="48" style="17" customWidth="1"/>
    <col min="9735" max="9736" width="13.453125" style="17" customWidth="1"/>
    <col min="9737" max="9737" width="10.7265625" style="17" customWidth="1"/>
    <col min="9738" max="9738" width="8.54296875" style="17" bestFit="1" customWidth="1"/>
    <col min="9739" max="9740" width="9.26953125" style="17" customWidth="1"/>
    <col min="9741" max="9741" width="11.54296875" style="17" bestFit="1" customWidth="1"/>
    <col min="9742" max="9742" width="12.54296875" style="17" bestFit="1" customWidth="1"/>
    <col min="9743" max="9743" width="10.81640625" style="17" bestFit="1" customWidth="1"/>
    <col min="9744" max="9745" width="10.81640625" style="17" customWidth="1"/>
    <col min="9746" max="9746" width="12.54296875" style="17" customWidth="1"/>
    <col min="9747" max="9984" width="8.81640625" style="17"/>
    <col min="9985" max="9985" width="40.54296875" style="17" customWidth="1"/>
    <col min="9986" max="9986" width="16.7265625" style="17" customWidth="1"/>
    <col min="9987" max="9987" width="21" style="17" customWidth="1"/>
    <col min="9988" max="9988" width="21.26953125" style="17" customWidth="1"/>
    <col min="9989" max="9989" width="19.7265625" style="17" customWidth="1"/>
    <col min="9990" max="9990" width="48" style="17" customWidth="1"/>
    <col min="9991" max="9992" width="13.453125" style="17" customWidth="1"/>
    <col min="9993" max="9993" width="10.7265625" style="17" customWidth="1"/>
    <col min="9994" max="9994" width="8.54296875" style="17" bestFit="1" customWidth="1"/>
    <col min="9995" max="9996" width="9.26953125" style="17" customWidth="1"/>
    <col min="9997" max="9997" width="11.54296875" style="17" bestFit="1" customWidth="1"/>
    <col min="9998" max="9998" width="12.54296875" style="17" bestFit="1" customWidth="1"/>
    <col min="9999" max="9999" width="10.81640625" style="17" bestFit="1" customWidth="1"/>
    <col min="10000" max="10001" width="10.81640625" style="17" customWidth="1"/>
    <col min="10002" max="10002" width="12.54296875" style="17" customWidth="1"/>
    <col min="10003" max="10240" width="8.81640625" style="17"/>
    <col min="10241" max="10241" width="40.54296875" style="17" customWidth="1"/>
    <col min="10242" max="10242" width="16.7265625" style="17" customWidth="1"/>
    <col min="10243" max="10243" width="21" style="17" customWidth="1"/>
    <col min="10244" max="10244" width="21.26953125" style="17" customWidth="1"/>
    <col min="10245" max="10245" width="19.7265625" style="17" customWidth="1"/>
    <col min="10246" max="10246" width="48" style="17" customWidth="1"/>
    <col min="10247" max="10248" width="13.453125" style="17" customWidth="1"/>
    <col min="10249" max="10249" width="10.7265625" style="17" customWidth="1"/>
    <col min="10250" max="10250" width="8.54296875" style="17" bestFit="1" customWidth="1"/>
    <col min="10251" max="10252" width="9.26953125" style="17" customWidth="1"/>
    <col min="10253" max="10253" width="11.54296875" style="17" bestFit="1" customWidth="1"/>
    <col min="10254" max="10254" width="12.54296875" style="17" bestFit="1" customWidth="1"/>
    <col min="10255" max="10255" width="10.81640625" style="17" bestFit="1" customWidth="1"/>
    <col min="10256" max="10257" width="10.81640625" style="17" customWidth="1"/>
    <col min="10258" max="10258" width="12.54296875" style="17" customWidth="1"/>
    <col min="10259" max="10496" width="8.81640625" style="17"/>
    <col min="10497" max="10497" width="40.54296875" style="17" customWidth="1"/>
    <col min="10498" max="10498" width="16.7265625" style="17" customWidth="1"/>
    <col min="10499" max="10499" width="21" style="17" customWidth="1"/>
    <col min="10500" max="10500" width="21.26953125" style="17" customWidth="1"/>
    <col min="10501" max="10501" width="19.7265625" style="17" customWidth="1"/>
    <col min="10502" max="10502" width="48" style="17" customWidth="1"/>
    <col min="10503" max="10504" width="13.453125" style="17" customWidth="1"/>
    <col min="10505" max="10505" width="10.7265625" style="17" customWidth="1"/>
    <col min="10506" max="10506" width="8.54296875" style="17" bestFit="1" customWidth="1"/>
    <col min="10507" max="10508" width="9.26953125" style="17" customWidth="1"/>
    <col min="10509" max="10509" width="11.54296875" style="17" bestFit="1" customWidth="1"/>
    <col min="10510" max="10510" width="12.54296875" style="17" bestFit="1" customWidth="1"/>
    <col min="10511" max="10511" width="10.81640625" style="17" bestFit="1" customWidth="1"/>
    <col min="10512" max="10513" width="10.81640625" style="17" customWidth="1"/>
    <col min="10514" max="10514" width="12.54296875" style="17" customWidth="1"/>
    <col min="10515" max="10752" width="8.81640625" style="17"/>
    <col min="10753" max="10753" width="40.54296875" style="17" customWidth="1"/>
    <col min="10754" max="10754" width="16.7265625" style="17" customWidth="1"/>
    <col min="10755" max="10755" width="21" style="17" customWidth="1"/>
    <col min="10756" max="10756" width="21.26953125" style="17" customWidth="1"/>
    <col min="10757" max="10757" width="19.7265625" style="17" customWidth="1"/>
    <col min="10758" max="10758" width="48" style="17" customWidth="1"/>
    <col min="10759" max="10760" width="13.453125" style="17" customWidth="1"/>
    <col min="10761" max="10761" width="10.7265625" style="17" customWidth="1"/>
    <col min="10762" max="10762" width="8.54296875" style="17" bestFit="1" customWidth="1"/>
    <col min="10763" max="10764" width="9.26953125" style="17" customWidth="1"/>
    <col min="10765" max="10765" width="11.54296875" style="17" bestFit="1" customWidth="1"/>
    <col min="10766" max="10766" width="12.54296875" style="17" bestFit="1" customWidth="1"/>
    <col min="10767" max="10767" width="10.81640625" style="17" bestFit="1" customWidth="1"/>
    <col min="10768" max="10769" width="10.81640625" style="17" customWidth="1"/>
    <col min="10770" max="10770" width="12.54296875" style="17" customWidth="1"/>
    <col min="10771" max="11008" width="8.81640625" style="17"/>
    <col min="11009" max="11009" width="40.54296875" style="17" customWidth="1"/>
    <col min="11010" max="11010" width="16.7265625" style="17" customWidth="1"/>
    <col min="11011" max="11011" width="21" style="17" customWidth="1"/>
    <col min="11012" max="11012" width="21.26953125" style="17" customWidth="1"/>
    <col min="11013" max="11013" width="19.7265625" style="17" customWidth="1"/>
    <col min="11014" max="11014" width="48" style="17" customWidth="1"/>
    <col min="11015" max="11016" width="13.453125" style="17" customWidth="1"/>
    <col min="11017" max="11017" width="10.7265625" style="17" customWidth="1"/>
    <col min="11018" max="11018" width="8.54296875" style="17" bestFit="1" customWidth="1"/>
    <col min="11019" max="11020" width="9.26953125" style="17" customWidth="1"/>
    <col min="11021" max="11021" width="11.54296875" style="17" bestFit="1" customWidth="1"/>
    <col min="11022" max="11022" width="12.54296875" style="17" bestFit="1" customWidth="1"/>
    <col min="11023" max="11023" width="10.81640625" style="17" bestFit="1" customWidth="1"/>
    <col min="11024" max="11025" width="10.81640625" style="17" customWidth="1"/>
    <col min="11026" max="11026" width="12.54296875" style="17" customWidth="1"/>
    <col min="11027" max="11264" width="8.81640625" style="17"/>
    <col min="11265" max="11265" width="40.54296875" style="17" customWidth="1"/>
    <col min="11266" max="11266" width="16.7265625" style="17" customWidth="1"/>
    <col min="11267" max="11267" width="21" style="17" customWidth="1"/>
    <col min="11268" max="11268" width="21.26953125" style="17" customWidth="1"/>
    <col min="11269" max="11269" width="19.7265625" style="17" customWidth="1"/>
    <col min="11270" max="11270" width="48" style="17" customWidth="1"/>
    <col min="11271" max="11272" width="13.453125" style="17" customWidth="1"/>
    <col min="11273" max="11273" width="10.7265625" style="17" customWidth="1"/>
    <col min="11274" max="11274" width="8.54296875" style="17" bestFit="1" customWidth="1"/>
    <col min="11275" max="11276" width="9.26953125" style="17" customWidth="1"/>
    <col min="11277" max="11277" width="11.54296875" style="17" bestFit="1" customWidth="1"/>
    <col min="11278" max="11278" width="12.54296875" style="17" bestFit="1" customWidth="1"/>
    <col min="11279" max="11279" width="10.81640625" style="17" bestFit="1" customWidth="1"/>
    <col min="11280" max="11281" width="10.81640625" style="17" customWidth="1"/>
    <col min="11282" max="11282" width="12.54296875" style="17" customWidth="1"/>
    <col min="11283" max="11520" width="8.81640625" style="17"/>
    <col min="11521" max="11521" width="40.54296875" style="17" customWidth="1"/>
    <col min="11522" max="11522" width="16.7265625" style="17" customWidth="1"/>
    <col min="11523" max="11523" width="21" style="17" customWidth="1"/>
    <col min="11524" max="11524" width="21.26953125" style="17" customWidth="1"/>
    <col min="11525" max="11525" width="19.7265625" style="17" customWidth="1"/>
    <col min="11526" max="11526" width="48" style="17" customWidth="1"/>
    <col min="11527" max="11528" width="13.453125" style="17" customWidth="1"/>
    <col min="11529" max="11529" width="10.7265625" style="17" customWidth="1"/>
    <col min="11530" max="11530" width="8.54296875" style="17" bestFit="1" customWidth="1"/>
    <col min="11531" max="11532" width="9.26953125" style="17" customWidth="1"/>
    <col min="11533" max="11533" width="11.54296875" style="17" bestFit="1" customWidth="1"/>
    <col min="11534" max="11534" width="12.54296875" style="17" bestFit="1" customWidth="1"/>
    <col min="11535" max="11535" width="10.81640625" style="17" bestFit="1" customWidth="1"/>
    <col min="11536" max="11537" width="10.81640625" style="17" customWidth="1"/>
    <col min="11538" max="11538" width="12.54296875" style="17" customWidth="1"/>
    <col min="11539" max="11776" width="8.81640625" style="17"/>
    <col min="11777" max="11777" width="40.54296875" style="17" customWidth="1"/>
    <col min="11778" max="11778" width="16.7265625" style="17" customWidth="1"/>
    <col min="11779" max="11779" width="21" style="17" customWidth="1"/>
    <col min="11780" max="11780" width="21.26953125" style="17" customWidth="1"/>
    <col min="11781" max="11781" width="19.7265625" style="17" customWidth="1"/>
    <col min="11782" max="11782" width="48" style="17" customWidth="1"/>
    <col min="11783" max="11784" width="13.453125" style="17" customWidth="1"/>
    <col min="11785" max="11785" width="10.7265625" style="17" customWidth="1"/>
    <col min="11786" max="11786" width="8.54296875" style="17" bestFit="1" customWidth="1"/>
    <col min="11787" max="11788" width="9.26953125" style="17" customWidth="1"/>
    <col min="11789" max="11789" width="11.54296875" style="17" bestFit="1" customWidth="1"/>
    <col min="11790" max="11790" width="12.54296875" style="17" bestFit="1" customWidth="1"/>
    <col min="11791" max="11791" width="10.81640625" style="17" bestFit="1" customWidth="1"/>
    <col min="11792" max="11793" width="10.81640625" style="17" customWidth="1"/>
    <col min="11794" max="11794" width="12.54296875" style="17" customWidth="1"/>
    <col min="11795" max="12032" width="8.81640625" style="17"/>
    <col min="12033" max="12033" width="40.54296875" style="17" customWidth="1"/>
    <col min="12034" max="12034" width="16.7265625" style="17" customWidth="1"/>
    <col min="12035" max="12035" width="21" style="17" customWidth="1"/>
    <col min="12036" max="12036" width="21.26953125" style="17" customWidth="1"/>
    <col min="12037" max="12037" width="19.7265625" style="17" customWidth="1"/>
    <col min="12038" max="12038" width="48" style="17" customWidth="1"/>
    <col min="12039" max="12040" width="13.453125" style="17" customWidth="1"/>
    <col min="12041" max="12041" width="10.7265625" style="17" customWidth="1"/>
    <col min="12042" max="12042" width="8.54296875" style="17" bestFit="1" customWidth="1"/>
    <col min="12043" max="12044" width="9.26953125" style="17" customWidth="1"/>
    <col min="12045" max="12045" width="11.54296875" style="17" bestFit="1" customWidth="1"/>
    <col min="12046" max="12046" width="12.54296875" style="17" bestFit="1" customWidth="1"/>
    <col min="12047" max="12047" width="10.81640625" style="17" bestFit="1" customWidth="1"/>
    <col min="12048" max="12049" width="10.81640625" style="17" customWidth="1"/>
    <col min="12050" max="12050" width="12.54296875" style="17" customWidth="1"/>
    <col min="12051" max="12288" width="8.81640625" style="17"/>
    <col min="12289" max="12289" width="40.54296875" style="17" customWidth="1"/>
    <col min="12290" max="12290" width="16.7265625" style="17" customWidth="1"/>
    <col min="12291" max="12291" width="21" style="17" customWidth="1"/>
    <col min="12292" max="12292" width="21.26953125" style="17" customWidth="1"/>
    <col min="12293" max="12293" width="19.7265625" style="17" customWidth="1"/>
    <col min="12294" max="12294" width="48" style="17" customWidth="1"/>
    <col min="12295" max="12296" width="13.453125" style="17" customWidth="1"/>
    <col min="12297" max="12297" width="10.7265625" style="17" customWidth="1"/>
    <col min="12298" max="12298" width="8.54296875" style="17" bestFit="1" customWidth="1"/>
    <col min="12299" max="12300" width="9.26953125" style="17" customWidth="1"/>
    <col min="12301" max="12301" width="11.54296875" style="17" bestFit="1" customWidth="1"/>
    <col min="12302" max="12302" width="12.54296875" style="17" bestFit="1" customWidth="1"/>
    <col min="12303" max="12303" width="10.81640625" style="17" bestFit="1" customWidth="1"/>
    <col min="12304" max="12305" width="10.81640625" style="17" customWidth="1"/>
    <col min="12306" max="12306" width="12.54296875" style="17" customWidth="1"/>
    <col min="12307" max="12544" width="8.81640625" style="17"/>
    <col min="12545" max="12545" width="40.54296875" style="17" customWidth="1"/>
    <col min="12546" max="12546" width="16.7265625" style="17" customWidth="1"/>
    <col min="12547" max="12547" width="21" style="17" customWidth="1"/>
    <col min="12548" max="12548" width="21.26953125" style="17" customWidth="1"/>
    <col min="12549" max="12549" width="19.7265625" style="17" customWidth="1"/>
    <col min="12550" max="12550" width="48" style="17" customWidth="1"/>
    <col min="12551" max="12552" width="13.453125" style="17" customWidth="1"/>
    <col min="12553" max="12553" width="10.7265625" style="17" customWidth="1"/>
    <col min="12554" max="12554" width="8.54296875" style="17" bestFit="1" customWidth="1"/>
    <col min="12555" max="12556" width="9.26953125" style="17" customWidth="1"/>
    <col min="12557" max="12557" width="11.54296875" style="17" bestFit="1" customWidth="1"/>
    <col min="12558" max="12558" width="12.54296875" style="17" bestFit="1" customWidth="1"/>
    <col min="12559" max="12559" width="10.81640625" style="17" bestFit="1" customWidth="1"/>
    <col min="12560" max="12561" width="10.81640625" style="17" customWidth="1"/>
    <col min="12562" max="12562" width="12.54296875" style="17" customWidth="1"/>
    <col min="12563" max="12800" width="8.81640625" style="17"/>
    <col min="12801" max="12801" width="40.54296875" style="17" customWidth="1"/>
    <col min="12802" max="12802" width="16.7265625" style="17" customWidth="1"/>
    <col min="12803" max="12803" width="21" style="17" customWidth="1"/>
    <col min="12804" max="12804" width="21.26953125" style="17" customWidth="1"/>
    <col min="12805" max="12805" width="19.7265625" style="17" customWidth="1"/>
    <col min="12806" max="12806" width="48" style="17" customWidth="1"/>
    <col min="12807" max="12808" width="13.453125" style="17" customWidth="1"/>
    <col min="12809" max="12809" width="10.7265625" style="17" customWidth="1"/>
    <col min="12810" max="12810" width="8.54296875" style="17" bestFit="1" customWidth="1"/>
    <col min="12811" max="12812" width="9.26953125" style="17" customWidth="1"/>
    <col min="12813" max="12813" width="11.54296875" style="17" bestFit="1" customWidth="1"/>
    <col min="12814" max="12814" width="12.54296875" style="17" bestFit="1" customWidth="1"/>
    <col min="12815" max="12815" width="10.81640625" style="17" bestFit="1" customWidth="1"/>
    <col min="12816" max="12817" width="10.81640625" style="17" customWidth="1"/>
    <col min="12818" max="12818" width="12.54296875" style="17" customWidth="1"/>
    <col min="12819" max="13056" width="8.81640625" style="17"/>
    <col min="13057" max="13057" width="40.54296875" style="17" customWidth="1"/>
    <col min="13058" max="13058" width="16.7265625" style="17" customWidth="1"/>
    <col min="13059" max="13059" width="21" style="17" customWidth="1"/>
    <col min="13060" max="13060" width="21.26953125" style="17" customWidth="1"/>
    <col min="13061" max="13061" width="19.7265625" style="17" customWidth="1"/>
    <col min="13062" max="13062" width="48" style="17" customWidth="1"/>
    <col min="13063" max="13064" width="13.453125" style="17" customWidth="1"/>
    <col min="13065" max="13065" width="10.7265625" style="17" customWidth="1"/>
    <col min="13066" max="13066" width="8.54296875" style="17" bestFit="1" customWidth="1"/>
    <col min="13067" max="13068" width="9.26953125" style="17" customWidth="1"/>
    <col min="13069" max="13069" width="11.54296875" style="17" bestFit="1" customWidth="1"/>
    <col min="13070" max="13070" width="12.54296875" style="17" bestFit="1" customWidth="1"/>
    <col min="13071" max="13071" width="10.81640625" style="17" bestFit="1" customWidth="1"/>
    <col min="13072" max="13073" width="10.81640625" style="17" customWidth="1"/>
    <col min="13074" max="13074" width="12.54296875" style="17" customWidth="1"/>
    <col min="13075" max="13312" width="8.81640625" style="17"/>
    <col min="13313" max="13313" width="40.54296875" style="17" customWidth="1"/>
    <col min="13314" max="13314" width="16.7265625" style="17" customWidth="1"/>
    <col min="13315" max="13315" width="21" style="17" customWidth="1"/>
    <col min="13316" max="13316" width="21.26953125" style="17" customWidth="1"/>
    <col min="13317" max="13317" width="19.7265625" style="17" customWidth="1"/>
    <col min="13318" max="13318" width="48" style="17" customWidth="1"/>
    <col min="13319" max="13320" width="13.453125" style="17" customWidth="1"/>
    <col min="13321" max="13321" width="10.7265625" style="17" customWidth="1"/>
    <col min="13322" max="13322" width="8.54296875" style="17" bestFit="1" customWidth="1"/>
    <col min="13323" max="13324" width="9.26953125" style="17" customWidth="1"/>
    <col min="13325" max="13325" width="11.54296875" style="17" bestFit="1" customWidth="1"/>
    <col min="13326" max="13326" width="12.54296875" style="17" bestFit="1" customWidth="1"/>
    <col min="13327" max="13327" width="10.81640625" style="17" bestFit="1" customWidth="1"/>
    <col min="13328" max="13329" width="10.81640625" style="17" customWidth="1"/>
    <col min="13330" max="13330" width="12.54296875" style="17" customWidth="1"/>
    <col min="13331" max="13568" width="8.81640625" style="17"/>
    <col min="13569" max="13569" width="40.54296875" style="17" customWidth="1"/>
    <col min="13570" max="13570" width="16.7265625" style="17" customWidth="1"/>
    <col min="13571" max="13571" width="21" style="17" customWidth="1"/>
    <col min="13572" max="13572" width="21.26953125" style="17" customWidth="1"/>
    <col min="13573" max="13573" width="19.7265625" style="17" customWidth="1"/>
    <col min="13574" max="13574" width="48" style="17" customWidth="1"/>
    <col min="13575" max="13576" width="13.453125" style="17" customWidth="1"/>
    <col min="13577" max="13577" width="10.7265625" style="17" customWidth="1"/>
    <col min="13578" max="13578" width="8.54296875" style="17" bestFit="1" customWidth="1"/>
    <col min="13579" max="13580" width="9.26953125" style="17" customWidth="1"/>
    <col min="13581" max="13581" width="11.54296875" style="17" bestFit="1" customWidth="1"/>
    <col min="13582" max="13582" width="12.54296875" style="17" bestFit="1" customWidth="1"/>
    <col min="13583" max="13583" width="10.81640625" style="17" bestFit="1" customWidth="1"/>
    <col min="13584" max="13585" width="10.81640625" style="17" customWidth="1"/>
    <col min="13586" max="13586" width="12.54296875" style="17" customWidth="1"/>
    <col min="13587" max="13824" width="8.81640625" style="17"/>
    <col min="13825" max="13825" width="40.54296875" style="17" customWidth="1"/>
    <col min="13826" max="13826" width="16.7265625" style="17" customWidth="1"/>
    <col min="13827" max="13827" width="21" style="17" customWidth="1"/>
    <col min="13828" max="13828" width="21.26953125" style="17" customWidth="1"/>
    <col min="13829" max="13829" width="19.7265625" style="17" customWidth="1"/>
    <col min="13830" max="13830" width="48" style="17" customWidth="1"/>
    <col min="13831" max="13832" width="13.453125" style="17" customWidth="1"/>
    <col min="13833" max="13833" width="10.7265625" style="17" customWidth="1"/>
    <col min="13834" max="13834" width="8.54296875" style="17" bestFit="1" customWidth="1"/>
    <col min="13835" max="13836" width="9.26953125" style="17" customWidth="1"/>
    <col min="13837" max="13837" width="11.54296875" style="17" bestFit="1" customWidth="1"/>
    <col min="13838" max="13838" width="12.54296875" style="17" bestFit="1" customWidth="1"/>
    <col min="13839" max="13839" width="10.81640625" style="17" bestFit="1" customWidth="1"/>
    <col min="13840" max="13841" width="10.81640625" style="17" customWidth="1"/>
    <col min="13842" max="13842" width="12.54296875" style="17" customWidth="1"/>
    <col min="13843" max="14080" width="8.81640625" style="17"/>
    <col min="14081" max="14081" width="40.54296875" style="17" customWidth="1"/>
    <col min="14082" max="14082" width="16.7265625" style="17" customWidth="1"/>
    <col min="14083" max="14083" width="21" style="17" customWidth="1"/>
    <col min="14084" max="14084" width="21.26953125" style="17" customWidth="1"/>
    <col min="14085" max="14085" width="19.7265625" style="17" customWidth="1"/>
    <col min="14086" max="14086" width="48" style="17" customWidth="1"/>
    <col min="14087" max="14088" width="13.453125" style="17" customWidth="1"/>
    <col min="14089" max="14089" width="10.7265625" style="17" customWidth="1"/>
    <col min="14090" max="14090" width="8.54296875" style="17" bestFit="1" customWidth="1"/>
    <col min="14091" max="14092" width="9.26953125" style="17" customWidth="1"/>
    <col min="14093" max="14093" width="11.54296875" style="17" bestFit="1" customWidth="1"/>
    <col min="14094" max="14094" width="12.54296875" style="17" bestFit="1" customWidth="1"/>
    <col min="14095" max="14095" width="10.81640625" style="17" bestFit="1" customWidth="1"/>
    <col min="14096" max="14097" width="10.81640625" style="17" customWidth="1"/>
    <col min="14098" max="14098" width="12.54296875" style="17" customWidth="1"/>
    <col min="14099" max="14336" width="8.81640625" style="17"/>
    <col min="14337" max="14337" width="40.54296875" style="17" customWidth="1"/>
    <col min="14338" max="14338" width="16.7265625" style="17" customWidth="1"/>
    <col min="14339" max="14339" width="21" style="17" customWidth="1"/>
    <col min="14340" max="14340" width="21.26953125" style="17" customWidth="1"/>
    <col min="14341" max="14341" width="19.7265625" style="17" customWidth="1"/>
    <col min="14342" max="14342" width="48" style="17" customWidth="1"/>
    <col min="14343" max="14344" width="13.453125" style="17" customWidth="1"/>
    <col min="14345" max="14345" width="10.7265625" style="17" customWidth="1"/>
    <col min="14346" max="14346" width="8.54296875" style="17" bestFit="1" customWidth="1"/>
    <col min="14347" max="14348" width="9.26953125" style="17" customWidth="1"/>
    <col min="14349" max="14349" width="11.54296875" style="17" bestFit="1" customWidth="1"/>
    <col min="14350" max="14350" width="12.54296875" style="17" bestFit="1" customWidth="1"/>
    <col min="14351" max="14351" width="10.81640625" style="17" bestFit="1" customWidth="1"/>
    <col min="14352" max="14353" width="10.81640625" style="17" customWidth="1"/>
    <col min="14354" max="14354" width="12.54296875" style="17" customWidth="1"/>
    <col min="14355" max="14592" width="8.81640625" style="17"/>
    <col min="14593" max="14593" width="40.54296875" style="17" customWidth="1"/>
    <col min="14594" max="14594" width="16.7265625" style="17" customWidth="1"/>
    <col min="14595" max="14595" width="21" style="17" customWidth="1"/>
    <col min="14596" max="14596" width="21.26953125" style="17" customWidth="1"/>
    <col min="14597" max="14597" width="19.7265625" style="17" customWidth="1"/>
    <col min="14598" max="14598" width="48" style="17" customWidth="1"/>
    <col min="14599" max="14600" width="13.453125" style="17" customWidth="1"/>
    <col min="14601" max="14601" width="10.7265625" style="17" customWidth="1"/>
    <col min="14602" max="14602" width="8.54296875" style="17" bestFit="1" customWidth="1"/>
    <col min="14603" max="14604" width="9.26953125" style="17" customWidth="1"/>
    <col min="14605" max="14605" width="11.54296875" style="17" bestFit="1" customWidth="1"/>
    <col min="14606" max="14606" width="12.54296875" style="17" bestFit="1" customWidth="1"/>
    <col min="14607" max="14607" width="10.81640625" style="17" bestFit="1" customWidth="1"/>
    <col min="14608" max="14609" width="10.81640625" style="17" customWidth="1"/>
    <col min="14610" max="14610" width="12.54296875" style="17" customWidth="1"/>
    <col min="14611" max="14848" width="8.81640625" style="17"/>
    <col min="14849" max="14849" width="40.54296875" style="17" customWidth="1"/>
    <col min="14850" max="14850" width="16.7265625" style="17" customWidth="1"/>
    <col min="14851" max="14851" width="21" style="17" customWidth="1"/>
    <col min="14852" max="14852" width="21.26953125" style="17" customWidth="1"/>
    <col min="14853" max="14853" width="19.7265625" style="17" customWidth="1"/>
    <col min="14854" max="14854" width="48" style="17" customWidth="1"/>
    <col min="14855" max="14856" width="13.453125" style="17" customWidth="1"/>
    <col min="14857" max="14857" width="10.7265625" style="17" customWidth="1"/>
    <col min="14858" max="14858" width="8.54296875" style="17" bestFit="1" customWidth="1"/>
    <col min="14859" max="14860" width="9.26953125" style="17" customWidth="1"/>
    <col min="14861" max="14861" width="11.54296875" style="17" bestFit="1" customWidth="1"/>
    <col min="14862" max="14862" width="12.54296875" style="17" bestFit="1" customWidth="1"/>
    <col min="14863" max="14863" width="10.81640625" style="17" bestFit="1" customWidth="1"/>
    <col min="14864" max="14865" width="10.81640625" style="17" customWidth="1"/>
    <col min="14866" max="14866" width="12.54296875" style="17" customWidth="1"/>
    <col min="14867" max="15104" width="8.81640625" style="17"/>
    <col min="15105" max="15105" width="40.54296875" style="17" customWidth="1"/>
    <col min="15106" max="15106" width="16.7265625" style="17" customWidth="1"/>
    <col min="15107" max="15107" width="21" style="17" customWidth="1"/>
    <col min="15108" max="15108" width="21.26953125" style="17" customWidth="1"/>
    <col min="15109" max="15109" width="19.7265625" style="17" customWidth="1"/>
    <col min="15110" max="15110" width="48" style="17" customWidth="1"/>
    <col min="15111" max="15112" width="13.453125" style="17" customWidth="1"/>
    <col min="15113" max="15113" width="10.7265625" style="17" customWidth="1"/>
    <col min="15114" max="15114" width="8.54296875" style="17" bestFit="1" customWidth="1"/>
    <col min="15115" max="15116" width="9.26953125" style="17" customWidth="1"/>
    <col min="15117" max="15117" width="11.54296875" style="17" bestFit="1" customWidth="1"/>
    <col min="15118" max="15118" width="12.54296875" style="17" bestFit="1" customWidth="1"/>
    <col min="15119" max="15119" width="10.81640625" style="17" bestFit="1" customWidth="1"/>
    <col min="15120" max="15121" width="10.81640625" style="17" customWidth="1"/>
    <col min="15122" max="15122" width="12.54296875" style="17" customWidth="1"/>
    <col min="15123" max="15360" width="8.81640625" style="17"/>
    <col min="15361" max="15361" width="40.54296875" style="17" customWidth="1"/>
    <col min="15362" max="15362" width="16.7265625" style="17" customWidth="1"/>
    <col min="15363" max="15363" width="21" style="17" customWidth="1"/>
    <col min="15364" max="15364" width="21.26953125" style="17" customWidth="1"/>
    <col min="15365" max="15365" width="19.7265625" style="17" customWidth="1"/>
    <col min="15366" max="15366" width="48" style="17" customWidth="1"/>
    <col min="15367" max="15368" width="13.453125" style="17" customWidth="1"/>
    <col min="15369" max="15369" width="10.7265625" style="17" customWidth="1"/>
    <col min="15370" max="15370" width="8.54296875" style="17" bestFit="1" customWidth="1"/>
    <col min="15371" max="15372" width="9.26953125" style="17" customWidth="1"/>
    <col min="15373" max="15373" width="11.54296875" style="17" bestFit="1" customWidth="1"/>
    <col min="15374" max="15374" width="12.54296875" style="17" bestFit="1" customWidth="1"/>
    <col min="15375" max="15375" width="10.81640625" style="17" bestFit="1" customWidth="1"/>
    <col min="15376" max="15377" width="10.81640625" style="17" customWidth="1"/>
    <col min="15378" max="15378" width="12.54296875" style="17" customWidth="1"/>
    <col min="15379" max="15616" width="8.81640625" style="17"/>
    <col min="15617" max="15617" width="40.54296875" style="17" customWidth="1"/>
    <col min="15618" max="15618" width="16.7265625" style="17" customWidth="1"/>
    <col min="15619" max="15619" width="21" style="17" customWidth="1"/>
    <col min="15620" max="15620" width="21.26953125" style="17" customWidth="1"/>
    <col min="15621" max="15621" width="19.7265625" style="17" customWidth="1"/>
    <col min="15622" max="15622" width="48" style="17" customWidth="1"/>
    <col min="15623" max="15624" width="13.453125" style="17" customWidth="1"/>
    <col min="15625" max="15625" width="10.7265625" style="17" customWidth="1"/>
    <col min="15626" max="15626" width="8.54296875" style="17" bestFit="1" customWidth="1"/>
    <col min="15627" max="15628" width="9.26953125" style="17" customWidth="1"/>
    <col min="15629" max="15629" width="11.54296875" style="17" bestFit="1" customWidth="1"/>
    <col min="15630" max="15630" width="12.54296875" style="17" bestFit="1" customWidth="1"/>
    <col min="15631" max="15631" width="10.81640625" style="17" bestFit="1" customWidth="1"/>
    <col min="15632" max="15633" width="10.81640625" style="17" customWidth="1"/>
    <col min="15634" max="15634" width="12.54296875" style="17" customWidth="1"/>
    <col min="15635" max="15872" width="8.81640625" style="17"/>
    <col min="15873" max="15873" width="40.54296875" style="17" customWidth="1"/>
    <col min="15874" max="15874" width="16.7265625" style="17" customWidth="1"/>
    <col min="15875" max="15875" width="21" style="17" customWidth="1"/>
    <col min="15876" max="15876" width="21.26953125" style="17" customWidth="1"/>
    <col min="15877" max="15877" width="19.7265625" style="17" customWidth="1"/>
    <col min="15878" max="15878" width="48" style="17" customWidth="1"/>
    <col min="15879" max="15880" width="13.453125" style="17" customWidth="1"/>
    <col min="15881" max="15881" width="10.7265625" style="17" customWidth="1"/>
    <col min="15882" max="15882" width="8.54296875" style="17" bestFit="1" customWidth="1"/>
    <col min="15883" max="15884" width="9.26953125" style="17" customWidth="1"/>
    <col min="15885" max="15885" width="11.54296875" style="17" bestFit="1" customWidth="1"/>
    <col min="15886" max="15886" width="12.54296875" style="17" bestFit="1" customWidth="1"/>
    <col min="15887" max="15887" width="10.81640625" style="17" bestFit="1" customWidth="1"/>
    <col min="15888" max="15889" width="10.81640625" style="17" customWidth="1"/>
    <col min="15890" max="15890" width="12.54296875" style="17" customWidth="1"/>
    <col min="15891" max="16128" width="8.81640625" style="17"/>
    <col min="16129" max="16129" width="40.54296875" style="17" customWidth="1"/>
    <col min="16130" max="16130" width="16.7265625" style="17" customWidth="1"/>
    <col min="16131" max="16131" width="21" style="17" customWidth="1"/>
    <col min="16132" max="16132" width="21.26953125" style="17" customWidth="1"/>
    <col min="16133" max="16133" width="19.7265625" style="17" customWidth="1"/>
    <col min="16134" max="16134" width="48" style="17" customWidth="1"/>
    <col min="16135" max="16136" width="13.453125" style="17" customWidth="1"/>
    <col min="16137" max="16137" width="10.7265625" style="17" customWidth="1"/>
    <col min="16138" max="16138" width="8.54296875" style="17" bestFit="1" customWidth="1"/>
    <col min="16139" max="16140" width="9.26953125" style="17" customWidth="1"/>
    <col min="16141" max="16141" width="11.54296875" style="17" bestFit="1" customWidth="1"/>
    <col min="16142" max="16142" width="12.54296875" style="17" bestFit="1" customWidth="1"/>
    <col min="16143" max="16143" width="10.81640625" style="17" bestFit="1" customWidth="1"/>
    <col min="16144" max="16145" width="10.81640625" style="17" customWidth="1"/>
    <col min="16146" max="16146" width="12.54296875" style="17" customWidth="1"/>
    <col min="16147" max="16384" width="8.81640625" style="17"/>
  </cols>
  <sheetData>
    <row r="1" spans="1:18" ht="21">
      <c r="A1" s="373" t="s">
        <v>0</v>
      </c>
      <c r="B1" s="373"/>
      <c r="C1" s="373"/>
      <c r="D1" s="373"/>
      <c r="E1" s="373"/>
      <c r="F1" s="373"/>
      <c r="G1" s="268"/>
      <c r="H1" s="268"/>
      <c r="I1" s="268"/>
      <c r="J1" s="268"/>
      <c r="K1" s="268"/>
      <c r="L1" s="268"/>
    </row>
    <row r="2" spans="1:18" ht="23.65" customHeight="1">
      <c r="A2" s="374" t="s">
        <v>1</v>
      </c>
      <c r="B2" s="374"/>
      <c r="C2" s="374"/>
      <c r="D2" s="374"/>
      <c r="E2" s="374"/>
      <c r="F2" s="374"/>
      <c r="G2" s="269"/>
      <c r="H2" s="269"/>
      <c r="I2" s="270"/>
      <c r="J2" s="270"/>
      <c r="K2" s="270"/>
      <c r="L2" s="270"/>
    </row>
    <row r="3" spans="1:18" ht="23.65" customHeight="1">
      <c r="A3" s="371" t="s">
        <v>253</v>
      </c>
      <c r="B3" s="371"/>
      <c r="C3" s="371"/>
      <c r="D3" s="371"/>
      <c r="E3" s="371"/>
      <c r="F3" s="371"/>
      <c r="G3" s="271"/>
      <c r="H3" s="272"/>
      <c r="I3" s="272"/>
      <c r="J3" s="272"/>
      <c r="K3" s="272"/>
      <c r="L3" s="272"/>
    </row>
    <row r="4" spans="1:18" ht="23.65" customHeight="1">
      <c r="A4" s="371" t="s">
        <v>254</v>
      </c>
      <c r="B4" s="371"/>
      <c r="C4" s="371"/>
      <c r="D4" s="371"/>
      <c r="E4" s="371"/>
      <c r="F4" s="371"/>
      <c r="G4" s="375" t="s">
        <v>2</v>
      </c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7"/>
    </row>
    <row r="5" spans="1:18" ht="29">
      <c r="A5" s="273" t="s">
        <v>3</v>
      </c>
      <c r="B5" s="273" t="s">
        <v>4</v>
      </c>
      <c r="C5" s="273" t="s">
        <v>49</v>
      </c>
      <c r="D5" s="273" t="s">
        <v>6</v>
      </c>
      <c r="E5" s="274" t="s">
        <v>7</v>
      </c>
      <c r="F5" s="273" t="s">
        <v>8</v>
      </c>
      <c r="G5" s="275">
        <v>46023</v>
      </c>
      <c r="H5" s="275">
        <v>46055</v>
      </c>
      <c r="I5" s="275">
        <v>46087</v>
      </c>
      <c r="J5" s="275">
        <v>46119</v>
      </c>
      <c r="K5" s="275">
        <v>46151</v>
      </c>
      <c r="L5" s="275">
        <v>46183</v>
      </c>
      <c r="M5" s="275">
        <v>46215</v>
      </c>
      <c r="N5" s="275">
        <v>46247</v>
      </c>
      <c r="O5" s="275">
        <v>46279</v>
      </c>
      <c r="P5" s="275">
        <v>46311</v>
      </c>
      <c r="Q5" s="275">
        <v>46343</v>
      </c>
      <c r="R5" s="275">
        <v>46375</v>
      </c>
    </row>
    <row r="6" spans="1:18">
      <c r="A6" s="54"/>
      <c r="B6" s="6"/>
      <c r="C6" s="6"/>
      <c r="D6" s="63"/>
      <c r="E6" s="44"/>
      <c r="F6" s="54"/>
      <c r="G6" s="44"/>
      <c r="H6" s="44"/>
      <c r="I6" s="6"/>
      <c r="J6" s="6"/>
      <c r="K6" s="44"/>
      <c r="L6" s="44"/>
      <c r="M6" s="6"/>
      <c r="N6" s="6"/>
      <c r="O6" s="276"/>
      <c r="P6" s="54"/>
      <c r="Q6" s="54"/>
      <c r="R6" s="6"/>
    </row>
    <row r="7" spans="1:18" ht="15.5">
      <c r="A7" s="277" t="s">
        <v>21</v>
      </c>
      <c r="B7" s="96"/>
      <c r="C7" s="96"/>
      <c r="D7" s="63"/>
      <c r="E7" s="278"/>
      <c r="F7" s="96"/>
      <c r="G7" s="44"/>
      <c r="H7" s="44"/>
      <c r="I7" s="279"/>
      <c r="J7" s="279"/>
      <c r="K7" s="44"/>
      <c r="L7" s="44"/>
      <c r="M7" s="279"/>
      <c r="N7" s="280"/>
      <c r="O7" s="276"/>
      <c r="P7" s="54"/>
      <c r="Q7" s="54"/>
      <c r="R7" s="280"/>
    </row>
    <row r="8" spans="1:18">
      <c r="A8" s="96" t="s">
        <v>22</v>
      </c>
      <c r="B8" s="86" t="s">
        <v>23</v>
      </c>
      <c r="C8" s="281" t="s">
        <v>24</v>
      </c>
      <c r="D8" s="282">
        <v>0</v>
      </c>
      <c r="E8" s="282">
        <v>0</v>
      </c>
      <c r="F8" s="283"/>
      <c r="G8" s="44">
        <v>0</v>
      </c>
      <c r="H8" s="44">
        <v>0</v>
      </c>
      <c r="I8" s="97">
        <v>0</v>
      </c>
      <c r="J8" s="284">
        <v>0</v>
      </c>
      <c r="K8" s="44">
        <v>0</v>
      </c>
      <c r="L8" s="44">
        <v>0</v>
      </c>
      <c r="M8" s="282"/>
      <c r="N8" s="282"/>
      <c r="O8" s="276"/>
      <c r="P8" s="282"/>
      <c r="Q8" s="285"/>
      <c r="R8" s="285"/>
    </row>
    <row r="9" spans="1:18">
      <c r="A9" s="96" t="s">
        <v>25</v>
      </c>
      <c r="B9" s="86" t="s">
        <v>23</v>
      </c>
      <c r="C9" s="281" t="s">
        <v>24</v>
      </c>
      <c r="D9" s="64">
        <v>0</v>
      </c>
      <c r="E9" s="64">
        <v>0</v>
      </c>
      <c r="F9" s="286"/>
      <c r="G9" s="44">
        <v>0</v>
      </c>
      <c r="H9" s="44">
        <v>0</v>
      </c>
      <c r="I9" s="97">
        <v>0</v>
      </c>
      <c r="J9" s="284">
        <v>0</v>
      </c>
      <c r="K9" s="44">
        <v>0</v>
      </c>
      <c r="L9" s="44">
        <v>0</v>
      </c>
      <c r="M9" s="282"/>
      <c r="N9" s="282"/>
      <c r="O9" s="276"/>
      <c r="P9" s="282"/>
      <c r="Q9" s="285"/>
      <c r="R9" s="285"/>
    </row>
    <row r="10" spans="1:18">
      <c r="A10" s="96" t="s">
        <v>26</v>
      </c>
      <c r="B10" s="86" t="s">
        <v>23</v>
      </c>
      <c r="C10" s="281" t="s">
        <v>24</v>
      </c>
      <c r="D10" s="64">
        <v>0</v>
      </c>
      <c r="E10" s="44">
        <v>0</v>
      </c>
      <c r="F10" s="286"/>
      <c r="G10" s="44">
        <v>0</v>
      </c>
      <c r="H10" s="44">
        <v>0</v>
      </c>
      <c r="I10" s="97">
        <v>0</v>
      </c>
      <c r="J10" s="284">
        <v>0</v>
      </c>
      <c r="K10" s="44">
        <v>0</v>
      </c>
      <c r="L10" s="44">
        <v>0</v>
      </c>
      <c r="M10" s="282"/>
      <c r="N10" s="282"/>
      <c r="O10" s="276"/>
      <c r="P10" s="282"/>
      <c r="Q10" s="285"/>
      <c r="R10" s="285"/>
    </row>
    <row r="11" spans="1:18" ht="29">
      <c r="A11" s="54" t="s">
        <v>27</v>
      </c>
      <c r="B11" s="6" t="s">
        <v>23</v>
      </c>
      <c r="C11" s="6" t="s">
        <v>28</v>
      </c>
      <c r="D11" s="65">
        <v>5</v>
      </c>
      <c r="E11" s="65">
        <v>5</v>
      </c>
      <c r="F11" s="66" t="s">
        <v>255</v>
      </c>
      <c r="G11" s="44">
        <v>5</v>
      </c>
      <c r="H11" s="44">
        <v>5</v>
      </c>
      <c r="I11" s="97">
        <v>5</v>
      </c>
      <c r="J11" s="284">
        <v>5</v>
      </c>
      <c r="K11" s="44">
        <v>5</v>
      </c>
      <c r="L11" s="44">
        <v>5</v>
      </c>
      <c r="M11" s="282"/>
      <c r="N11" s="282"/>
      <c r="O11" s="276"/>
      <c r="P11" s="282"/>
      <c r="Q11" s="287"/>
      <c r="R11" s="63"/>
    </row>
    <row r="12" spans="1:18">
      <c r="A12" s="54" t="s">
        <v>104</v>
      </c>
      <c r="B12" s="6" t="s">
        <v>34</v>
      </c>
      <c r="C12" s="79" t="s">
        <v>24</v>
      </c>
      <c r="D12" s="67">
        <v>1</v>
      </c>
      <c r="E12" s="288">
        <v>0.95</v>
      </c>
      <c r="F12" s="68"/>
      <c r="G12" s="44">
        <v>0.95</v>
      </c>
      <c r="H12" s="44">
        <v>0.95</v>
      </c>
      <c r="I12" s="97">
        <v>0.95</v>
      </c>
      <c r="J12" s="284">
        <v>0.95</v>
      </c>
      <c r="K12" s="44">
        <v>0.95</v>
      </c>
      <c r="L12" s="44">
        <v>0.95</v>
      </c>
      <c r="M12" s="282"/>
      <c r="N12" s="282"/>
      <c r="O12" s="276"/>
      <c r="P12" s="282"/>
      <c r="Q12" s="289"/>
      <c r="R12" s="290"/>
    </row>
    <row r="13" spans="1:18">
      <c r="A13" s="54"/>
      <c r="B13" s="6"/>
      <c r="C13" s="6"/>
      <c r="D13" s="63"/>
      <c r="E13" s="44"/>
      <c r="F13" s="54"/>
      <c r="G13" s="44"/>
      <c r="H13" s="44"/>
      <c r="I13" s="97"/>
      <c r="J13" s="284"/>
      <c r="K13" s="44"/>
      <c r="L13" s="44"/>
      <c r="M13" s="282"/>
      <c r="N13" s="282"/>
      <c r="O13" s="276"/>
      <c r="P13" s="282"/>
      <c r="Q13" s="287"/>
      <c r="R13" s="6"/>
    </row>
    <row r="14" spans="1:18" ht="15.5">
      <c r="A14" s="277" t="s">
        <v>32</v>
      </c>
      <c r="B14" s="54"/>
      <c r="C14" s="54"/>
      <c r="D14" s="69"/>
      <c r="E14" s="44"/>
      <c r="F14" s="54"/>
      <c r="G14" s="44"/>
      <c r="H14" s="44"/>
      <c r="I14" s="97"/>
      <c r="J14" s="284"/>
      <c r="K14" s="44"/>
      <c r="L14" s="44"/>
      <c r="M14" s="282"/>
      <c r="N14" s="282"/>
      <c r="O14" s="276"/>
      <c r="P14" s="282"/>
      <c r="Q14" s="287"/>
      <c r="R14" s="54"/>
    </row>
    <row r="15" spans="1:18">
      <c r="A15" s="54" t="s">
        <v>105</v>
      </c>
      <c r="B15" s="6" t="s">
        <v>59</v>
      </c>
      <c r="C15" s="6" t="s">
        <v>28</v>
      </c>
      <c r="D15" s="63">
        <v>85000</v>
      </c>
      <c r="E15" s="315">
        <v>95573.78</v>
      </c>
      <c r="F15" s="70"/>
      <c r="G15" s="46">
        <v>90031.92</v>
      </c>
      <c r="H15" s="46">
        <v>68475.520000000004</v>
      </c>
      <c r="I15" s="234">
        <v>52633</v>
      </c>
      <c r="J15" s="284">
        <v>55293.8</v>
      </c>
      <c r="K15" s="46">
        <v>87932.82</v>
      </c>
      <c r="L15" s="46">
        <v>95573.78</v>
      </c>
      <c r="M15" s="282"/>
      <c r="N15" s="282"/>
      <c r="O15" s="276"/>
      <c r="P15" s="282"/>
      <c r="Q15" s="291"/>
      <c r="R15" s="291"/>
    </row>
    <row r="16" spans="1:18">
      <c r="A16" s="54" t="s">
        <v>106</v>
      </c>
      <c r="B16" s="6" t="s">
        <v>59</v>
      </c>
      <c r="C16" s="6"/>
      <c r="D16" s="63">
        <v>40000</v>
      </c>
      <c r="E16" s="315">
        <v>45296.160000000003</v>
      </c>
      <c r="F16" s="70"/>
      <c r="G16" s="46">
        <v>57041.66</v>
      </c>
      <c r="H16" s="46">
        <v>32396.2</v>
      </c>
      <c r="I16" s="234">
        <v>21277.84</v>
      </c>
      <c r="J16" s="284">
        <v>29912.54</v>
      </c>
      <c r="K16" s="46">
        <v>52421.32</v>
      </c>
      <c r="L16" s="46">
        <v>45296.160000000003</v>
      </c>
      <c r="M16" s="282"/>
      <c r="N16" s="282"/>
      <c r="O16" s="276"/>
      <c r="P16" s="282"/>
      <c r="Q16" s="292"/>
      <c r="R16" s="292"/>
    </row>
    <row r="17" spans="1:18">
      <c r="A17" s="54" t="s">
        <v>107</v>
      </c>
      <c r="B17" s="6" t="s">
        <v>59</v>
      </c>
      <c r="C17" s="6"/>
      <c r="D17" s="63">
        <v>18000</v>
      </c>
      <c r="E17" s="315">
        <v>0</v>
      </c>
      <c r="F17" s="70"/>
      <c r="G17" s="44">
        <v>0</v>
      </c>
      <c r="H17" s="44">
        <v>0</v>
      </c>
      <c r="I17" s="97">
        <v>0</v>
      </c>
      <c r="J17" s="284">
        <v>0</v>
      </c>
      <c r="K17" s="44">
        <v>0</v>
      </c>
      <c r="L17" s="44">
        <v>0</v>
      </c>
      <c r="M17" s="282"/>
      <c r="N17" s="282"/>
      <c r="O17" s="276"/>
      <c r="P17" s="282"/>
      <c r="Q17" s="293"/>
      <c r="R17" s="293"/>
    </row>
    <row r="18" spans="1:18">
      <c r="A18" s="54" t="s">
        <v>108</v>
      </c>
      <c r="B18" s="6" t="s">
        <v>59</v>
      </c>
      <c r="C18" s="6"/>
      <c r="D18" s="63">
        <v>27000</v>
      </c>
      <c r="E18" s="315">
        <v>32990.26</v>
      </c>
      <c r="F18" s="70"/>
      <c r="G18" s="46">
        <v>32990.26</v>
      </c>
      <c r="H18" s="46">
        <v>36079.32</v>
      </c>
      <c r="I18" s="234">
        <v>31355.46</v>
      </c>
      <c r="J18" s="284">
        <v>25381.26</v>
      </c>
      <c r="K18" s="46">
        <v>35511.5</v>
      </c>
      <c r="L18" s="46">
        <v>32990.26</v>
      </c>
      <c r="M18" s="282"/>
      <c r="N18" s="282"/>
      <c r="O18" s="276"/>
      <c r="P18" s="282"/>
      <c r="Q18" s="294"/>
      <c r="R18" s="294"/>
    </row>
    <row r="19" spans="1:18">
      <c r="A19" s="295" t="s">
        <v>109</v>
      </c>
      <c r="B19" s="6" t="s">
        <v>34</v>
      </c>
      <c r="C19" s="6" t="s">
        <v>28</v>
      </c>
      <c r="D19" s="67">
        <v>0.25</v>
      </c>
      <c r="E19" s="296" t="s">
        <v>239</v>
      </c>
      <c r="F19" s="71"/>
      <c r="G19" s="44" t="s">
        <v>239</v>
      </c>
      <c r="H19" s="44" t="s">
        <v>239</v>
      </c>
      <c r="I19" s="97" t="s">
        <v>239</v>
      </c>
      <c r="J19" s="284" t="s">
        <v>239</v>
      </c>
      <c r="K19" s="44" t="s">
        <v>239</v>
      </c>
      <c r="L19" s="44" t="s">
        <v>239</v>
      </c>
      <c r="M19" s="282"/>
      <c r="N19" s="282"/>
      <c r="O19" s="276"/>
      <c r="P19" s="282"/>
      <c r="Q19" s="296"/>
      <c r="R19" s="296"/>
    </row>
    <row r="20" spans="1:18" ht="21.75" customHeight="1">
      <c r="A20" s="96" t="s">
        <v>110</v>
      </c>
      <c r="B20" s="6" t="s">
        <v>103</v>
      </c>
      <c r="C20" s="6" t="s">
        <v>28</v>
      </c>
      <c r="D20" s="63">
        <v>400</v>
      </c>
      <c r="E20" s="314">
        <f>'[1]MTBF&amp;PRI_KSM 304_1'!F56</f>
        <v>255.85</v>
      </c>
      <c r="F20" s="69"/>
      <c r="G20" s="46">
        <v>709.8</v>
      </c>
      <c r="H20" s="46">
        <v>660</v>
      </c>
      <c r="I20" s="234">
        <v>185</v>
      </c>
      <c r="J20" s="284">
        <v>181</v>
      </c>
      <c r="K20" s="46">
        <v>361</v>
      </c>
      <c r="L20" s="46">
        <v>255.85</v>
      </c>
      <c r="M20" s="282"/>
      <c r="N20" s="282"/>
      <c r="O20" s="276"/>
      <c r="P20" s="282"/>
      <c r="Q20" s="298"/>
      <c r="R20" s="297"/>
    </row>
    <row r="21" spans="1:18" ht="26.25" customHeight="1">
      <c r="A21" s="96" t="s">
        <v>111</v>
      </c>
      <c r="B21" s="6" t="s">
        <v>103</v>
      </c>
      <c r="C21" s="6" t="s">
        <v>28</v>
      </c>
      <c r="D21" s="63">
        <v>400</v>
      </c>
      <c r="E21" s="297">
        <v>0</v>
      </c>
      <c r="F21" s="69"/>
      <c r="G21" s="44">
        <v>0</v>
      </c>
      <c r="H21" s="44">
        <v>0</v>
      </c>
      <c r="I21" s="97">
        <v>0</v>
      </c>
      <c r="J21" s="284">
        <v>0</v>
      </c>
      <c r="K21" s="44">
        <v>0</v>
      </c>
      <c r="L21" s="44">
        <v>0</v>
      </c>
      <c r="M21" s="282"/>
      <c r="N21" s="282"/>
      <c r="O21" s="276"/>
      <c r="P21" s="282"/>
      <c r="Q21" s="298"/>
      <c r="R21" s="297"/>
    </row>
    <row r="22" spans="1:18">
      <c r="A22" s="54" t="s">
        <v>112</v>
      </c>
      <c r="B22" s="6" t="s">
        <v>34</v>
      </c>
      <c r="C22" s="79" t="s">
        <v>28</v>
      </c>
      <c r="D22" s="63">
        <v>95</v>
      </c>
      <c r="E22" s="288">
        <v>1</v>
      </c>
      <c r="F22" s="54"/>
      <c r="G22" s="44">
        <v>100</v>
      </c>
      <c r="H22" s="44">
        <v>100</v>
      </c>
      <c r="I22" s="97">
        <v>100</v>
      </c>
      <c r="J22" s="284">
        <v>100</v>
      </c>
      <c r="K22" s="44">
        <v>100</v>
      </c>
      <c r="L22" s="44">
        <v>1</v>
      </c>
      <c r="M22" s="282"/>
      <c r="N22" s="282"/>
      <c r="O22" s="276"/>
      <c r="P22" s="282"/>
      <c r="Q22" s="288"/>
      <c r="R22" s="290"/>
    </row>
    <row r="23" spans="1:18" ht="29">
      <c r="A23" s="96" t="s">
        <v>113</v>
      </c>
      <c r="B23" s="6" t="s">
        <v>42</v>
      </c>
      <c r="C23" s="79" t="s">
        <v>28</v>
      </c>
      <c r="D23" s="63">
        <v>350</v>
      </c>
      <c r="E23" s="300">
        <f>[1]Summary!B44/[1]Summary!B46</f>
        <v>184.87711386696731</v>
      </c>
      <c r="F23" s="54" t="s">
        <v>256</v>
      </c>
      <c r="G23" s="44">
        <v>206.64494410249969</v>
      </c>
      <c r="H23" s="44">
        <v>190.2</v>
      </c>
      <c r="I23" s="97">
        <v>170.7</v>
      </c>
      <c r="J23" s="284">
        <v>183</v>
      </c>
      <c r="K23" s="44">
        <v>193.7</v>
      </c>
      <c r="L23" s="44">
        <v>184.87711386696731</v>
      </c>
      <c r="M23" s="282"/>
      <c r="N23" s="282"/>
      <c r="O23" s="276"/>
      <c r="P23" s="282"/>
      <c r="Q23" s="300"/>
      <c r="R23" s="299"/>
    </row>
    <row r="24" spans="1:18">
      <c r="A24" s="54" t="s">
        <v>114</v>
      </c>
      <c r="B24" s="6" t="s">
        <v>115</v>
      </c>
      <c r="C24" s="6" t="s">
        <v>31</v>
      </c>
      <c r="D24" s="63">
        <v>0.15</v>
      </c>
      <c r="E24" s="301">
        <f>[1]Summary!B31/[1]Summary!B30</f>
        <v>0.26545983636934734</v>
      </c>
      <c r="F24" s="54"/>
      <c r="G24" s="44">
        <v>0.22125486160908264</v>
      </c>
      <c r="H24" s="44">
        <v>0.17125486160908299</v>
      </c>
      <c r="I24" s="97">
        <v>0.19</v>
      </c>
      <c r="J24" s="97">
        <v>0.18</v>
      </c>
      <c r="K24" s="44">
        <v>0.16</v>
      </c>
      <c r="L24" s="44">
        <v>0.26545983636934734</v>
      </c>
      <c r="M24" s="282"/>
      <c r="N24" s="282"/>
      <c r="O24" s="276"/>
      <c r="P24" s="282"/>
      <c r="Q24" s="49"/>
      <c r="R24" s="49"/>
    </row>
    <row r="25" spans="1:18">
      <c r="A25" s="54"/>
      <c r="B25" s="6"/>
      <c r="C25" s="6"/>
      <c r="D25" s="63"/>
      <c r="E25" s="44"/>
      <c r="F25" s="54"/>
      <c r="G25" s="44"/>
      <c r="H25" s="44"/>
      <c r="I25" s="97"/>
      <c r="J25" s="284"/>
      <c r="K25" s="44"/>
      <c r="L25" s="44"/>
      <c r="M25" s="282"/>
      <c r="N25" s="282"/>
      <c r="O25" s="276"/>
      <c r="P25" s="282"/>
      <c r="Q25" s="287"/>
      <c r="R25" s="6"/>
    </row>
    <row r="26" spans="1:18" ht="15.5">
      <c r="A26" s="277" t="s">
        <v>44</v>
      </c>
      <c r="B26" s="6"/>
      <c r="C26" s="6"/>
      <c r="D26" s="63"/>
      <c r="E26" s="46"/>
      <c r="F26" s="311"/>
      <c r="G26" s="46"/>
      <c r="H26" s="46"/>
      <c r="I26" s="234"/>
      <c r="J26" s="284"/>
      <c r="K26" s="46"/>
      <c r="L26" s="46"/>
      <c r="M26" s="282"/>
      <c r="N26" s="282"/>
      <c r="O26" s="276"/>
      <c r="P26" s="282"/>
      <c r="Q26" s="287"/>
      <c r="R26" s="6"/>
    </row>
    <row r="27" spans="1:18">
      <c r="A27" s="54" t="s">
        <v>116</v>
      </c>
      <c r="B27" s="6" t="s">
        <v>117</v>
      </c>
      <c r="C27" s="6" t="s">
        <v>31</v>
      </c>
      <c r="D27" s="63">
        <v>175</v>
      </c>
      <c r="E27" s="46">
        <f>([1]Summary!C4 + [1]Summary!U4 +[1]Summary!G4)/[1]Summary!B30</f>
        <v>299.94782230021667</v>
      </c>
      <c r="F27" s="312"/>
      <c r="G27" s="46">
        <v>197.66975101719481</v>
      </c>
      <c r="H27" s="46">
        <v>194</v>
      </c>
      <c r="I27" s="234">
        <v>205</v>
      </c>
      <c r="J27" s="284">
        <v>211</v>
      </c>
      <c r="K27" s="46">
        <v>183</v>
      </c>
      <c r="L27" s="46">
        <v>299.94782230021667</v>
      </c>
      <c r="M27" s="282"/>
      <c r="N27" s="282"/>
      <c r="O27" s="276"/>
      <c r="P27" s="282"/>
      <c r="Q27" s="298"/>
      <c r="R27" s="299"/>
    </row>
    <row r="28" spans="1:18">
      <c r="A28" s="54" t="s">
        <v>118</v>
      </c>
      <c r="B28" s="6" t="s">
        <v>117</v>
      </c>
      <c r="C28" s="6" t="s">
        <v>31</v>
      </c>
      <c r="D28" s="63">
        <v>4350</v>
      </c>
      <c r="E28" s="313">
        <f>[1]Summary!B27/[1]Summary!B41</f>
        <v>4910.6499264339081</v>
      </c>
      <c r="F28" s="311"/>
      <c r="G28" s="46">
        <v>4496.9705398660444</v>
      </c>
      <c r="H28" s="46">
        <v>4388</v>
      </c>
      <c r="I28" s="234">
        <v>4520</v>
      </c>
      <c r="J28" s="284">
        <v>4619</v>
      </c>
      <c r="K28" s="46">
        <v>4314</v>
      </c>
      <c r="L28" s="46">
        <v>4910.6499264339081</v>
      </c>
      <c r="M28" s="282"/>
      <c r="N28" s="282"/>
      <c r="O28" s="276"/>
      <c r="P28" s="282"/>
      <c r="Q28" s="302"/>
      <c r="R28" s="299"/>
    </row>
    <row r="32" spans="1:18">
      <c r="F32" s="304"/>
    </row>
  </sheetData>
  <mergeCells count="5">
    <mergeCell ref="A1:F1"/>
    <mergeCell ref="A2:F2"/>
    <mergeCell ref="A3:F3"/>
    <mergeCell ref="A4:F4"/>
    <mergeCell ref="G4:R4"/>
  </mergeCells>
  <printOptions horizontalCentered="1"/>
  <pageMargins left="0.45" right="0.2" top="0.5" bottom="0.25" header="0.3" footer="0.3"/>
  <pageSetup paperSize="9" scale="84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9"/>
  <sheetViews>
    <sheetView workbookViewId="0">
      <selection activeCell="F9" sqref="F9"/>
    </sheetView>
  </sheetViews>
  <sheetFormatPr defaultColWidth="8.81640625" defaultRowHeight="14.5"/>
  <cols>
    <col min="1" max="1" width="23.54296875" style="17" bestFit="1" customWidth="1"/>
    <col min="2" max="2" width="7.54296875" style="17" bestFit="1" customWidth="1"/>
    <col min="3" max="3" width="8.453125" style="17" bestFit="1" customWidth="1"/>
    <col min="4" max="4" width="7.453125" style="17" bestFit="1" customWidth="1"/>
    <col min="5" max="5" width="13.453125" style="17" bestFit="1" customWidth="1"/>
    <col min="6" max="6" width="29.453125" style="17" customWidth="1"/>
    <col min="7" max="12" width="5.81640625" style="17" bestFit="1" customWidth="1"/>
    <col min="13" max="13" width="3.81640625" style="17" bestFit="1" customWidth="1"/>
    <col min="14" max="14" width="4" style="17" bestFit="1" customWidth="1"/>
    <col min="15" max="15" width="4.54296875" style="17" bestFit="1" customWidth="1"/>
    <col min="16" max="16" width="3.54296875" style="17" bestFit="1" customWidth="1"/>
    <col min="17" max="17" width="4.1796875" style="17" bestFit="1" customWidth="1"/>
    <col min="18" max="18" width="3.81640625" style="17" bestFit="1" customWidth="1"/>
    <col min="19" max="16384" width="8.81640625" style="17"/>
  </cols>
  <sheetData>
    <row r="1" spans="1:18" ht="21">
      <c r="A1" s="368" t="s">
        <v>0</v>
      </c>
      <c r="B1" s="368"/>
      <c r="C1" s="368"/>
      <c r="D1" s="368"/>
      <c r="E1" s="368"/>
      <c r="F1" s="368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5.4" customHeight="1">
      <c r="A2" s="369" t="s">
        <v>1</v>
      </c>
      <c r="B2" s="369"/>
      <c r="C2" s="369"/>
      <c r="D2" s="369"/>
      <c r="E2" s="369"/>
      <c r="F2" s="369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23.9" customHeight="1">
      <c r="A3" s="370" t="s">
        <v>276</v>
      </c>
      <c r="B3" s="370"/>
      <c r="C3" s="370"/>
      <c r="D3" s="370"/>
      <c r="E3" s="370"/>
      <c r="F3" s="370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18" ht="23.9" customHeight="1">
      <c r="A4" s="366" t="s">
        <v>248</v>
      </c>
      <c r="B4" s="367"/>
      <c r="C4" s="367"/>
      <c r="D4" s="367"/>
      <c r="E4" s="367"/>
      <c r="F4" s="367"/>
      <c r="G4" s="372" t="s">
        <v>2</v>
      </c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1"/>
    </row>
    <row r="5" spans="1:18" ht="39.65" customHeight="1">
      <c r="A5" s="25" t="s">
        <v>3</v>
      </c>
      <c r="B5" s="25" t="s">
        <v>4</v>
      </c>
      <c r="C5" s="25" t="s">
        <v>49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18">
      <c r="A6" s="26"/>
      <c r="B6" s="26"/>
      <c r="C6" s="26"/>
      <c r="D6" s="26"/>
      <c r="E6" s="7"/>
      <c r="F6" s="7"/>
      <c r="G6" s="52"/>
      <c r="H6" s="52"/>
      <c r="I6" s="52"/>
      <c r="J6" s="57"/>
      <c r="K6" s="57"/>
      <c r="L6" s="57"/>
      <c r="M6" s="30"/>
      <c r="N6" s="57"/>
      <c r="O6" s="30"/>
      <c r="P6" s="30"/>
      <c r="Q6" s="30"/>
      <c r="R6" s="30"/>
    </row>
    <row r="7" spans="1:18" ht="16" customHeight="1">
      <c r="A7" s="53" t="s">
        <v>21</v>
      </c>
      <c r="B7" s="33"/>
      <c r="C7" s="33"/>
      <c r="D7" s="33"/>
      <c r="E7" s="33"/>
      <c r="F7" s="7"/>
      <c r="G7" s="32"/>
      <c r="H7" s="32"/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18" ht="16" customHeight="1">
      <c r="A8" s="33" t="s">
        <v>22</v>
      </c>
      <c r="B8" s="7" t="s">
        <v>23</v>
      </c>
      <c r="C8" s="78" t="s">
        <v>24</v>
      </c>
      <c r="D8" s="7">
        <v>0</v>
      </c>
      <c r="E8" s="86">
        <v>0</v>
      </c>
      <c r="F8" s="86"/>
      <c r="G8" s="7">
        <f>E8</f>
        <v>0</v>
      </c>
      <c r="H8" s="7">
        <v>0</v>
      </c>
      <c r="I8" s="7">
        <v>0</v>
      </c>
      <c r="J8" s="7">
        <v>0</v>
      </c>
      <c r="K8" s="86">
        <v>0</v>
      </c>
      <c r="L8" s="86">
        <v>0</v>
      </c>
      <c r="M8" s="7"/>
      <c r="N8" s="7"/>
      <c r="O8" s="7"/>
      <c r="P8" s="7"/>
      <c r="Q8" s="7"/>
      <c r="R8" s="7"/>
    </row>
    <row r="9" spans="1:18" ht="16" customHeight="1">
      <c r="A9" s="33" t="s">
        <v>25</v>
      </c>
      <c r="B9" s="7" t="s">
        <v>23</v>
      </c>
      <c r="C9" s="78" t="s">
        <v>24</v>
      </c>
      <c r="D9" s="7">
        <v>0</v>
      </c>
      <c r="E9" s="86">
        <v>0</v>
      </c>
      <c r="F9" s="86"/>
      <c r="G9" s="7">
        <f t="shared" ref="G9:G18" si="0">E9</f>
        <v>0</v>
      </c>
      <c r="H9" s="7">
        <v>0</v>
      </c>
      <c r="I9" s="7">
        <v>0</v>
      </c>
      <c r="J9" s="7">
        <v>0</v>
      </c>
      <c r="K9" s="86">
        <v>0</v>
      </c>
      <c r="L9" s="86">
        <v>0</v>
      </c>
      <c r="M9" s="7"/>
      <c r="N9" s="7"/>
      <c r="O9" s="7"/>
      <c r="P9" s="7"/>
      <c r="Q9" s="7"/>
      <c r="R9" s="7"/>
    </row>
    <row r="10" spans="1:18">
      <c r="A10" s="33" t="s">
        <v>26</v>
      </c>
      <c r="B10" s="7" t="s">
        <v>23</v>
      </c>
      <c r="C10" s="78" t="s">
        <v>24</v>
      </c>
      <c r="D10" s="7">
        <v>0</v>
      </c>
      <c r="E10" s="86">
        <v>0</v>
      </c>
      <c r="F10" s="86"/>
      <c r="G10" s="7">
        <f t="shared" si="0"/>
        <v>0</v>
      </c>
      <c r="H10" s="7">
        <v>0</v>
      </c>
      <c r="I10" s="7">
        <v>0</v>
      </c>
      <c r="J10" s="7">
        <v>0</v>
      </c>
      <c r="K10" s="86">
        <v>1</v>
      </c>
      <c r="L10" s="86">
        <v>0</v>
      </c>
      <c r="M10" s="7"/>
      <c r="N10" s="7"/>
      <c r="O10" s="7"/>
      <c r="P10" s="7"/>
      <c r="Q10" s="7"/>
      <c r="R10" s="7"/>
    </row>
    <row r="11" spans="1:18">
      <c r="A11" s="54" t="s">
        <v>27</v>
      </c>
      <c r="B11" s="6" t="s">
        <v>23</v>
      </c>
      <c r="C11" s="78" t="s">
        <v>28</v>
      </c>
      <c r="D11" s="6">
        <v>2</v>
      </c>
      <c r="E11" s="86">
        <v>5</v>
      </c>
      <c r="F11" s="86"/>
      <c r="G11" s="7">
        <f t="shared" si="0"/>
        <v>5</v>
      </c>
      <c r="H11" s="7">
        <v>4</v>
      </c>
      <c r="I11" s="7">
        <v>3</v>
      </c>
      <c r="J11" s="7">
        <v>5</v>
      </c>
      <c r="K11" s="86">
        <v>4</v>
      </c>
      <c r="L11" s="86">
        <v>5</v>
      </c>
      <c r="M11" s="7"/>
      <c r="N11" s="6"/>
      <c r="O11" s="6"/>
      <c r="P11" s="6"/>
      <c r="Q11" s="6"/>
      <c r="R11" s="7"/>
    </row>
    <row r="12" spans="1:18" ht="29">
      <c r="A12" s="54" t="s">
        <v>104</v>
      </c>
      <c r="B12" s="6" t="s">
        <v>34</v>
      </c>
      <c r="C12" s="78" t="s">
        <v>24</v>
      </c>
      <c r="D12" s="55">
        <v>1</v>
      </c>
      <c r="E12" s="345">
        <v>1</v>
      </c>
      <c r="F12" s="345"/>
      <c r="G12" s="55">
        <f t="shared" si="0"/>
        <v>1</v>
      </c>
      <c r="H12" s="55">
        <v>1</v>
      </c>
      <c r="I12" s="55">
        <v>1</v>
      </c>
      <c r="J12" s="55">
        <v>1</v>
      </c>
      <c r="K12" s="345">
        <v>1</v>
      </c>
      <c r="L12" s="345">
        <v>1</v>
      </c>
      <c r="M12" s="45"/>
      <c r="N12" s="44"/>
      <c r="O12" s="6"/>
      <c r="P12" s="6"/>
      <c r="Q12" s="6"/>
      <c r="R12" s="45"/>
    </row>
    <row r="13" spans="1:18" ht="16.399999999999999" customHeight="1">
      <c r="A13" s="54"/>
      <c r="B13" s="6"/>
      <c r="C13" s="6"/>
      <c r="D13" s="6"/>
      <c r="E13" s="86"/>
      <c r="F13" s="86"/>
      <c r="G13" s="7"/>
      <c r="H13" s="7"/>
      <c r="I13" s="7"/>
      <c r="J13" s="7"/>
      <c r="K13" s="86"/>
      <c r="L13" s="86"/>
      <c r="M13" s="7"/>
      <c r="N13" s="6"/>
      <c r="O13" s="6"/>
      <c r="P13" s="6"/>
      <c r="Q13" s="6"/>
      <c r="R13" s="7"/>
    </row>
    <row r="14" spans="1:18" ht="17.899999999999999" customHeight="1">
      <c r="A14" s="53" t="s">
        <v>32</v>
      </c>
      <c r="B14" s="6"/>
      <c r="C14" s="6"/>
      <c r="D14" s="6"/>
      <c r="E14" s="86"/>
      <c r="F14" s="86"/>
      <c r="G14" s="7"/>
      <c r="H14" s="7"/>
      <c r="I14" s="7"/>
      <c r="J14" s="7"/>
      <c r="K14" s="86"/>
      <c r="L14" s="86"/>
      <c r="M14" s="7"/>
      <c r="N14" s="6"/>
      <c r="O14" s="6"/>
      <c r="P14" s="6"/>
      <c r="Q14" s="6"/>
      <c r="R14" s="7"/>
    </row>
    <row r="15" spans="1:18" ht="87">
      <c r="A15" s="54" t="s">
        <v>58</v>
      </c>
      <c r="B15" s="6" t="s">
        <v>59</v>
      </c>
      <c r="C15" s="6" t="s">
        <v>28</v>
      </c>
      <c r="D15" s="6">
        <v>2700</v>
      </c>
      <c r="E15" s="86">
        <v>2709</v>
      </c>
      <c r="F15" s="96" t="s">
        <v>273</v>
      </c>
      <c r="G15" s="7">
        <f t="shared" si="0"/>
        <v>2709</v>
      </c>
      <c r="H15" s="7">
        <v>2738</v>
      </c>
      <c r="I15" s="7">
        <v>2428</v>
      </c>
      <c r="J15" s="7">
        <v>1492</v>
      </c>
      <c r="K15" s="86">
        <v>1870</v>
      </c>
      <c r="L15" s="86">
        <v>2709</v>
      </c>
      <c r="M15" s="35"/>
      <c r="N15" s="46"/>
      <c r="O15" s="35"/>
      <c r="P15" s="47"/>
      <c r="Q15" s="47"/>
      <c r="R15" s="47"/>
    </row>
    <row r="16" spans="1:18">
      <c r="A16" s="54" t="s">
        <v>86</v>
      </c>
      <c r="B16" s="6" t="s">
        <v>34</v>
      </c>
      <c r="C16" s="78" t="s">
        <v>24</v>
      </c>
      <c r="D16" s="6">
        <v>100</v>
      </c>
      <c r="E16" s="345">
        <v>0.98</v>
      </c>
      <c r="F16" s="346"/>
      <c r="G16" s="55">
        <f t="shared" si="0"/>
        <v>0.98</v>
      </c>
      <c r="H16" s="55">
        <v>0.95</v>
      </c>
      <c r="I16" s="55">
        <v>0.97</v>
      </c>
      <c r="J16" s="55">
        <v>0.98</v>
      </c>
      <c r="K16" s="345">
        <v>0.97</v>
      </c>
      <c r="L16" s="345">
        <v>0.98</v>
      </c>
      <c r="M16" s="35"/>
      <c r="N16" s="46"/>
      <c r="O16" s="45"/>
      <c r="P16" s="48"/>
      <c r="Q16" s="50"/>
      <c r="R16" s="50"/>
    </row>
    <row r="17" spans="1:18" ht="159.5">
      <c r="A17" s="33" t="s">
        <v>119</v>
      </c>
      <c r="B17" s="7" t="s">
        <v>34</v>
      </c>
      <c r="C17" s="7" t="s">
        <v>31</v>
      </c>
      <c r="D17" s="40">
        <v>3.0000000000000001E-3</v>
      </c>
      <c r="E17" s="347">
        <v>4.0000000000000001E-3</v>
      </c>
      <c r="F17" s="96" t="s">
        <v>274</v>
      </c>
      <c r="G17" s="40">
        <f t="shared" si="0"/>
        <v>4.0000000000000001E-3</v>
      </c>
      <c r="H17" s="40">
        <v>5.0000000000000001E-3</v>
      </c>
      <c r="I17" s="40">
        <v>6.0000000000000001E-3</v>
      </c>
      <c r="J17" s="40">
        <v>8.9999999999999993E-3</v>
      </c>
      <c r="K17" s="347">
        <v>7.0000000000000001E-3</v>
      </c>
      <c r="L17" s="347">
        <v>4.0000000000000001E-3</v>
      </c>
      <c r="M17" s="35"/>
      <c r="N17" s="46"/>
      <c r="O17" s="45"/>
      <c r="P17" s="48"/>
      <c r="Q17" s="48"/>
      <c r="R17" s="48"/>
    </row>
    <row r="18" spans="1:18" ht="87">
      <c r="A18" s="54" t="s">
        <v>120</v>
      </c>
      <c r="B18" s="6" t="s">
        <v>121</v>
      </c>
      <c r="C18" s="6" t="s">
        <v>31</v>
      </c>
      <c r="D18" s="6">
        <v>500</v>
      </c>
      <c r="E18" s="333">
        <v>1725</v>
      </c>
      <c r="F18" s="96" t="s">
        <v>275</v>
      </c>
      <c r="G18" s="7">
        <f t="shared" si="0"/>
        <v>1725</v>
      </c>
      <c r="H18" s="82">
        <v>607</v>
      </c>
      <c r="I18" s="82">
        <v>827</v>
      </c>
      <c r="J18" s="82">
        <v>1224</v>
      </c>
      <c r="K18" s="333">
        <v>1693</v>
      </c>
      <c r="L18" s="333">
        <v>1725</v>
      </c>
      <c r="M18" s="35"/>
      <c r="N18" s="46"/>
      <c r="O18" s="45"/>
      <c r="P18" s="48"/>
      <c r="Q18" s="48"/>
      <c r="R18" s="48"/>
    </row>
    <row r="19" spans="1:18" ht="16" customHeight="1">
      <c r="A19" s="54"/>
      <c r="B19" s="6"/>
      <c r="C19" s="6"/>
      <c r="D19" s="26"/>
      <c r="E19" s="35"/>
      <c r="F19" s="33"/>
      <c r="G19" s="36"/>
      <c r="H19" s="36"/>
      <c r="I19" s="36"/>
      <c r="J19" s="45"/>
      <c r="K19" s="35"/>
      <c r="L19" s="35"/>
      <c r="M19" s="35"/>
      <c r="N19" s="46"/>
      <c r="O19" s="45"/>
      <c r="P19" s="48"/>
      <c r="Q19" s="48"/>
      <c r="R19" s="48"/>
    </row>
  </sheetData>
  <mergeCells count="5">
    <mergeCell ref="A1:F1"/>
    <mergeCell ref="A2:F2"/>
    <mergeCell ref="A3:F3"/>
    <mergeCell ref="A4:F4"/>
    <mergeCell ref="G4:R4"/>
  </mergeCells>
  <printOptions horizontalCentered="1"/>
  <pageMargins left="0.45" right="0.2" top="0.5" bottom="0.25" header="0.3" footer="0.3"/>
  <pageSetup paperSize="9" scale="8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1"/>
  <sheetViews>
    <sheetView workbookViewId="0">
      <selection activeCell="A4" sqref="A4:F4"/>
    </sheetView>
  </sheetViews>
  <sheetFormatPr defaultColWidth="9.1796875" defaultRowHeight="14.5"/>
  <cols>
    <col min="1" max="1" width="53" style="14" customWidth="1"/>
    <col min="2" max="2" width="13.54296875" style="14" customWidth="1"/>
    <col min="3" max="3" width="9.54296875" style="14" customWidth="1"/>
    <col min="4" max="4" width="11.81640625" style="15" customWidth="1"/>
    <col min="5" max="5" width="20.81640625" style="15" customWidth="1"/>
    <col min="6" max="6" width="25.54296875" style="16" customWidth="1"/>
    <col min="7" max="18" width="7.54296875" style="17" customWidth="1"/>
    <col min="19" max="16384" width="9.1796875" style="14"/>
  </cols>
  <sheetData>
    <row r="1" spans="1:18" s="12" customFormat="1" ht="21">
      <c r="E1" s="18"/>
      <c r="F1" s="19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s="12" customFormat="1" ht="21">
      <c r="A2" s="378" t="s">
        <v>0</v>
      </c>
      <c r="B2" s="378"/>
      <c r="C2" s="378"/>
      <c r="D2" s="378"/>
      <c r="E2" s="378"/>
      <c r="F2" s="378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s="12" customFormat="1" ht="15.5">
      <c r="A3" s="379" t="s">
        <v>1</v>
      </c>
      <c r="B3" s="379"/>
      <c r="C3" s="379"/>
      <c r="D3" s="379"/>
      <c r="E3" s="379"/>
      <c r="F3" s="379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s="12" customFormat="1" ht="15.5">
      <c r="A4" s="370" t="s">
        <v>262</v>
      </c>
      <c r="B4" s="370"/>
      <c r="C4" s="370"/>
      <c r="D4" s="370"/>
      <c r="E4" s="370"/>
      <c r="F4" s="370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s="12" customFormat="1">
      <c r="A5" s="380" t="s">
        <v>249</v>
      </c>
      <c r="B5" s="381"/>
      <c r="C5" s="381"/>
      <c r="D5" s="381"/>
      <c r="E5" s="381"/>
      <c r="F5" s="24"/>
      <c r="G5" s="372" t="s">
        <v>2</v>
      </c>
      <c r="H5" s="382"/>
      <c r="I5" s="382"/>
      <c r="J5" s="382"/>
      <c r="K5" s="382"/>
      <c r="L5" s="382"/>
      <c r="M5" s="382"/>
      <c r="N5" s="382"/>
      <c r="O5" s="382"/>
      <c r="P5" s="382"/>
      <c r="Q5" s="382"/>
      <c r="R5" s="382"/>
    </row>
    <row r="6" spans="1:18" s="12" customFormat="1">
      <c r="A6" s="27" t="s">
        <v>3</v>
      </c>
      <c r="B6" s="28" t="s">
        <v>4</v>
      </c>
      <c r="C6" s="28" t="s">
        <v>49</v>
      </c>
      <c r="D6" s="28" t="s">
        <v>6</v>
      </c>
      <c r="E6" s="28" t="s">
        <v>122</v>
      </c>
      <c r="F6" s="29" t="s">
        <v>8</v>
      </c>
      <c r="G6" s="25" t="s">
        <v>9</v>
      </c>
      <c r="H6" s="25" t="s">
        <v>10</v>
      </c>
      <c r="I6" s="25" t="s">
        <v>11</v>
      </c>
      <c r="J6" s="25" t="s">
        <v>12</v>
      </c>
      <c r="K6" s="25" t="s">
        <v>13</v>
      </c>
      <c r="L6" s="25" t="s">
        <v>14</v>
      </c>
      <c r="M6" s="25" t="s">
        <v>15</v>
      </c>
      <c r="N6" s="25" t="s">
        <v>16</v>
      </c>
      <c r="O6" s="25" t="s">
        <v>17</v>
      </c>
      <c r="P6" s="25" t="s">
        <v>18</v>
      </c>
      <c r="Q6" s="25" t="s">
        <v>19</v>
      </c>
      <c r="R6" s="25" t="s">
        <v>20</v>
      </c>
    </row>
    <row r="7" spans="1:18" s="13" customFormat="1">
      <c r="A7" s="30"/>
      <c r="B7" s="31"/>
      <c r="C7" s="31"/>
      <c r="D7" s="31"/>
      <c r="E7" s="7"/>
      <c r="F7" s="32"/>
      <c r="G7" s="32"/>
      <c r="H7" s="32"/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18" s="12" customFormat="1">
      <c r="A8" s="30" t="s">
        <v>21</v>
      </c>
      <c r="B8" s="33"/>
      <c r="C8" s="33"/>
      <c r="D8" s="7"/>
      <c r="E8" s="7"/>
      <c r="F8" s="32"/>
      <c r="G8" s="32"/>
      <c r="H8" s="32"/>
      <c r="I8" s="32"/>
      <c r="J8" s="7"/>
      <c r="K8" s="7"/>
      <c r="L8" s="7"/>
      <c r="M8" s="7"/>
      <c r="N8" s="7"/>
      <c r="O8" s="7"/>
      <c r="P8" s="7"/>
      <c r="Q8" s="7"/>
      <c r="R8" s="7"/>
    </row>
    <row r="9" spans="1:18" s="12" customFormat="1" ht="16" customHeight="1">
      <c r="A9" s="33" t="s">
        <v>22</v>
      </c>
      <c r="B9" s="7" t="s">
        <v>23</v>
      </c>
      <c r="C9" s="78" t="s">
        <v>24</v>
      </c>
      <c r="D9" s="7">
        <v>0</v>
      </c>
      <c r="E9" s="86">
        <v>0</v>
      </c>
      <c r="F9" s="90"/>
      <c r="G9" s="86">
        <v>0</v>
      </c>
      <c r="H9" s="86">
        <v>0</v>
      </c>
      <c r="I9" s="86">
        <v>0</v>
      </c>
      <c r="J9" s="86">
        <v>0</v>
      </c>
      <c r="K9" s="234">
        <v>0</v>
      </c>
      <c r="L9" s="86">
        <v>0</v>
      </c>
      <c r="M9" s="7"/>
      <c r="N9" s="7"/>
      <c r="O9" s="7"/>
      <c r="P9" s="7"/>
      <c r="Q9" s="7"/>
      <c r="R9" s="7"/>
    </row>
    <row r="10" spans="1:18" s="12" customFormat="1" ht="16" customHeight="1">
      <c r="A10" s="33" t="s">
        <v>25</v>
      </c>
      <c r="B10" s="7" t="s">
        <v>23</v>
      </c>
      <c r="C10" s="78" t="s">
        <v>24</v>
      </c>
      <c r="D10" s="7">
        <v>0</v>
      </c>
      <c r="E10" s="86">
        <v>0</v>
      </c>
      <c r="F10" s="90"/>
      <c r="G10" s="86">
        <v>0</v>
      </c>
      <c r="H10" s="86">
        <v>0</v>
      </c>
      <c r="I10" s="86">
        <v>0</v>
      </c>
      <c r="J10" s="86">
        <v>0</v>
      </c>
      <c r="K10" s="234">
        <v>0</v>
      </c>
      <c r="L10" s="86">
        <v>0</v>
      </c>
      <c r="M10" s="7"/>
      <c r="N10" s="7"/>
      <c r="O10" s="7"/>
      <c r="P10" s="7"/>
      <c r="Q10" s="7"/>
      <c r="R10" s="7"/>
    </row>
    <row r="11" spans="1:18" s="12" customFormat="1">
      <c r="A11" s="33" t="s">
        <v>26</v>
      </c>
      <c r="B11" s="7" t="s">
        <v>23</v>
      </c>
      <c r="C11" s="78" t="s">
        <v>24</v>
      </c>
      <c r="D11" s="7">
        <v>0</v>
      </c>
      <c r="E11" s="86">
        <v>0</v>
      </c>
      <c r="F11" s="90"/>
      <c r="G11" s="86">
        <v>0</v>
      </c>
      <c r="H11" s="86">
        <v>0</v>
      </c>
      <c r="I11" s="86">
        <v>0</v>
      </c>
      <c r="J11" s="86">
        <v>0</v>
      </c>
      <c r="K11" s="234">
        <v>0</v>
      </c>
      <c r="L11" s="86">
        <v>0</v>
      </c>
      <c r="M11" s="7"/>
      <c r="N11" s="6"/>
      <c r="O11" s="6"/>
      <c r="P11" s="6"/>
      <c r="Q11" s="6"/>
      <c r="R11" s="7"/>
    </row>
    <row r="12" spans="1:18" s="12" customFormat="1">
      <c r="A12" s="33" t="s">
        <v>27</v>
      </c>
      <c r="B12" s="7" t="s">
        <v>23</v>
      </c>
      <c r="C12" s="78" t="s">
        <v>28</v>
      </c>
      <c r="D12" s="7">
        <v>2</v>
      </c>
      <c r="E12" s="86">
        <v>0</v>
      </c>
      <c r="F12" s="34"/>
      <c r="G12" s="86">
        <v>0</v>
      </c>
      <c r="H12" s="86">
        <v>0</v>
      </c>
      <c r="I12" s="86">
        <v>0</v>
      </c>
      <c r="J12" s="86">
        <v>0</v>
      </c>
      <c r="K12" s="234">
        <v>0</v>
      </c>
      <c r="L12" s="86">
        <v>0</v>
      </c>
      <c r="M12" s="45"/>
      <c r="N12" s="44"/>
      <c r="O12" s="6"/>
      <c r="P12" s="6"/>
      <c r="Q12" s="6"/>
      <c r="R12" s="45"/>
    </row>
    <row r="13" spans="1:18" s="12" customFormat="1" ht="29">
      <c r="A13" s="33" t="s">
        <v>104</v>
      </c>
      <c r="B13" s="7" t="s">
        <v>34</v>
      </c>
      <c r="C13" s="78" t="s">
        <v>24</v>
      </c>
      <c r="D13" s="7">
        <v>100</v>
      </c>
      <c r="E13" s="86">
        <v>100</v>
      </c>
      <c r="F13" s="91" t="s">
        <v>228</v>
      </c>
      <c r="G13" s="86">
        <v>100</v>
      </c>
      <c r="H13" s="86">
        <v>100</v>
      </c>
      <c r="I13" s="86">
        <v>100</v>
      </c>
      <c r="J13" s="86">
        <v>100</v>
      </c>
      <c r="K13" s="234">
        <v>100</v>
      </c>
      <c r="L13" s="86">
        <v>100</v>
      </c>
      <c r="M13" s="7"/>
      <c r="N13" s="6"/>
      <c r="O13" s="6"/>
      <c r="P13" s="6"/>
      <c r="Q13" s="6"/>
      <c r="R13" s="7"/>
    </row>
    <row r="14" spans="1:18" s="12" customFormat="1" ht="16.399999999999999" customHeight="1">
      <c r="A14" s="33"/>
      <c r="B14" s="7" t="s">
        <v>123</v>
      </c>
      <c r="C14" s="7"/>
      <c r="D14" s="7"/>
      <c r="E14" s="86"/>
      <c r="F14" s="91"/>
      <c r="G14" s="86"/>
      <c r="H14" s="86"/>
      <c r="I14" s="86"/>
      <c r="J14" s="86"/>
      <c r="K14" s="327"/>
      <c r="L14" s="86"/>
      <c r="M14" s="7"/>
      <c r="N14" s="6"/>
      <c r="O14" s="6"/>
      <c r="P14" s="6"/>
      <c r="Q14" s="6"/>
      <c r="R14" s="7"/>
    </row>
    <row r="15" spans="1:18" s="12" customFormat="1">
      <c r="A15" s="30" t="s">
        <v>32</v>
      </c>
      <c r="B15" s="7" t="s">
        <v>123</v>
      </c>
      <c r="C15" s="7"/>
      <c r="D15" s="7"/>
      <c r="E15" s="234"/>
      <c r="F15" s="91"/>
      <c r="G15" s="86"/>
      <c r="H15" s="234"/>
      <c r="I15" s="86"/>
      <c r="J15" s="86"/>
      <c r="K15" s="327"/>
      <c r="L15" s="234"/>
      <c r="M15" s="35"/>
      <c r="N15" s="46"/>
      <c r="O15" s="35"/>
      <c r="P15" s="47"/>
      <c r="Q15" s="47"/>
      <c r="R15" s="47"/>
    </row>
    <row r="16" spans="1:18" s="12" customFormat="1" ht="58">
      <c r="A16" s="33" t="s">
        <v>124</v>
      </c>
      <c r="B16" s="7" t="s">
        <v>125</v>
      </c>
      <c r="C16" s="7" t="s">
        <v>24</v>
      </c>
      <c r="D16" s="35">
        <v>1</v>
      </c>
      <c r="E16" s="86">
        <v>1</v>
      </c>
      <c r="F16" s="92" t="s">
        <v>229</v>
      </c>
      <c r="G16" s="86">
        <v>1</v>
      </c>
      <c r="H16" s="86">
        <v>1</v>
      </c>
      <c r="I16" s="86">
        <v>1</v>
      </c>
      <c r="J16" s="86">
        <v>1</v>
      </c>
      <c r="K16" s="327">
        <v>1</v>
      </c>
      <c r="L16" s="86">
        <v>1</v>
      </c>
      <c r="M16" s="35"/>
      <c r="N16" s="46"/>
      <c r="O16" s="45"/>
      <c r="P16" s="48"/>
      <c r="Q16" s="50"/>
      <c r="R16" s="50"/>
    </row>
    <row r="17" spans="1:18" s="12" customFormat="1" ht="87">
      <c r="A17" s="33" t="s">
        <v>126</v>
      </c>
      <c r="B17" s="7" t="s">
        <v>125</v>
      </c>
      <c r="C17" s="7" t="s">
        <v>31</v>
      </c>
      <c r="D17" s="35">
        <v>2</v>
      </c>
      <c r="E17" s="86">
        <v>1</v>
      </c>
      <c r="F17" s="93" t="s">
        <v>230</v>
      </c>
      <c r="G17" s="87">
        <v>1</v>
      </c>
      <c r="H17" s="86">
        <v>1</v>
      </c>
      <c r="I17" s="87">
        <v>1</v>
      </c>
      <c r="J17" s="86">
        <v>1</v>
      </c>
      <c r="K17" s="327">
        <v>1</v>
      </c>
      <c r="L17" s="86">
        <v>1</v>
      </c>
      <c r="M17" s="35"/>
      <c r="N17" s="46"/>
      <c r="O17" s="45"/>
      <c r="P17" s="48"/>
      <c r="Q17" s="48"/>
      <c r="R17" s="48"/>
    </row>
    <row r="18" spans="1:18" ht="87">
      <c r="A18" s="37" t="s">
        <v>127</v>
      </c>
      <c r="B18" s="38" t="s">
        <v>128</v>
      </c>
      <c r="C18" s="38" t="s">
        <v>34</v>
      </c>
      <c r="D18" s="38">
        <v>100</v>
      </c>
      <c r="E18" s="87">
        <v>95</v>
      </c>
      <c r="F18" s="93" t="s">
        <v>230</v>
      </c>
      <c r="G18" s="87">
        <v>95</v>
      </c>
      <c r="H18" s="87">
        <v>95</v>
      </c>
      <c r="I18" s="87">
        <v>95</v>
      </c>
      <c r="J18" s="87">
        <v>95</v>
      </c>
      <c r="K18" s="328">
        <v>95</v>
      </c>
      <c r="L18" s="87">
        <v>95</v>
      </c>
      <c r="M18" s="35"/>
      <c r="N18" s="46"/>
      <c r="O18" s="45"/>
      <c r="P18" s="48"/>
      <c r="Q18" s="48"/>
      <c r="R18" s="48"/>
    </row>
    <row r="19" spans="1:18" s="12" customFormat="1">
      <c r="A19" s="33" t="s">
        <v>129</v>
      </c>
      <c r="B19" s="7" t="s">
        <v>125</v>
      </c>
      <c r="C19" s="7" t="s">
        <v>31</v>
      </c>
      <c r="D19" s="7">
        <v>5</v>
      </c>
      <c r="E19" s="86">
        <v>1</v>
      </c>
      <c r="F19" s="34"/>
      <c r="G19" s="86">
        <v>1</v>
      </c>
      <c r="H19" s="86">
        <v>1</v>
      </c>
      <c r="I19" s="86">
        <v>1</v>
      </c>
      <c r="J19" s="86">
        <v>1</v>
      </c>
      <c r="K19" s="327">
        <v>1</v>
      </c>
      <c r="L19" s="86">
        <v>1</v>
      </c>
      <c r="M19" s="35"/>
      <c r="N19" s="46"/>
      <c r="O19" s="45"/>
      <c r="P19" s="48"/>
      <c r="Q19" s="48"/>
      <c r="R19" s="48"/>
    </row>
    <row r="20" spans="1:18" s="12" customFormat="1" ht="101.5">
      <c r="A20" s="33" t="s">
        <v>130</v>
      </c>
      <c r="B20" s="7" t="s">
        <v>131</v>
      </c>
      <c r="C20" s="7" t="s">
        <v>31</v>
      </c>
      <c r="D20" s="39">
        <v>0.02</v>
      </c>
      <c r="E20" s="88">
        <f>((4/560)*100%)</f>
        <v>7.1428571428571426E-3</v>
      </c>
      <c r="F20" s="324" t="s">
        <v>259</v>
      </c>
      <c r="G20" s="88">
        <v>0</v>
      </c>
      <c r="H20" s="88">
        <v>1.8E-3</v>
      </c>
      <c r="I20" s="329">
        <f>((4/560)*100%)</f>
        <v>7.1428571428571426E-3</v>
      </c>
      <c r="J20" s="88">
        <v>7.1000000000000004E-3</v>
      </c>
      <c r="K20" s="88">
        <v>8.8999999999999999E-3</v>
      </c>
      <c r="L20" s="88">
        <f>((4/560)*100%)</f>
        <v>7.1428571428571426E-3</v>
      </c>
      <c r="M20" s="45"/>
      <c r="N20" s="44"/>
      <c r="O20" s="45"/>
      <c r="P20" s="48"/>
      <c r="Q20" s="48"/>
      <c r="R20" s="48"/>
    </row>
    <row r="21" spans="1:18" s="12" customFormat="1" ht="72.5">
      <c r="A21" s="33" t="s">
        <v>132</v>
      </c>
      <c r="B21" s="7" t="s">
        <v>125</v>
      </c>
      <c r="C21" s="7" t="s">
        <v>24</v>
      </c>
      <c r="D21" s="7">
        <v>1</v>
      </c>
      <c r="E21" s="86">
        <v>1</v>
      </c>
      <c r="F21" s="92" t="s">
        <v>231</v>
      </c>
      <c r="G21" s="86">
        <v>1</v>
      </c>
      <c r="H21" s="86">
        <v>1</v>
      </c>
      <c r="I21" s="86">
        <v>1</v>
      </c>
      <c r="J21" s="86">
        <v>1</v>
      </c>
      <c r="K21" s="327">
        <v>1</v>
      </c>
      <c r="L21" s="86">
        <v>1</v>
      </c>
      <c r="M21" s="35"/>
      <c r="N21" s="46"/>
      <c r="O21" s="35"/>
      <c r="P21" s="47"/>
      <c r="Q21" s="47"/>
      <c r="R21" s="47"/>
    </row>
    <row r="22" spans="1:18" s="12" customFormat="1" ht="130.5">
      <c r="A22" s="33" t="s">
        <v>133</v>
      </c>
      <c r="B22" s="7" t="s">
        <v>125</v>
      </c>
      <c r="C22" s="7" t="s">
        <v>31</v>
      </c>
      <c r="D22" s="7">
        <v>10</v>
      </c>
      <c r="E22" s="86">
        <v>7</v>
      </c>
      <c r="F22" s="92" t="s">
        <v>260</v>
      </c>
      <c r="G22" s="86">
        <v>1</v>
      </c>
      <c r="H22" s="234">
        <v>1</v>
      </c>
      <c r="I22" s="325">
        <v>1</v>
      </c>
      <c r="J22" s="86">
        <v>6</v>
      </c>
      <c r="K22" s="327">
        <v>1</v>
      </c>
      <c r="L22" s="86">
        <v>7</v>
      </c>
      <c r="M22" s="35"/>
      <c r="N22" s="46"/>
      <c r="O22" s="35"/>
      <c r="P22" s="47"/>
      <c r="Q22" s="47"/>
      <c r="R22" s="47"/>
    </row>
    <row r="23" spans="1:18" s="12" customFormat="1" ht="29">
      <c r="A23" s="37" t="s">
        <v>134</v>
      </c>
      <c r="B23" s="41" t="s">
        <v>34</v>
      </c>
      <c r="C23" s="7" t="s">
        <v>31</v>
      </c>
      <c r="D23" s="7">
        <v>2</v>
      </c>
      <c r="E23" s="86">
        <v>2</v>
      </c>
      <c r="F23" s="94" t="s">
        <v>232</v>
      </c>
      <c r="G23" s="86">
        <v>2</v>
      </c>
      <c r="H23" s="86">
        <v>2</v>
      </c>
      <c r="I23" s="86">
        <v>2</v>
      </c>
      <c r="J23" s="86">
        <v>2</v>
      </c>
      <c r="K23" s="327">
        <v>2</v>
      </c>
      <c r="L23" s="86">
        <v>2</v>
      </c>
      <c r="M23" s="45"/>
      <c r="N23" s="44"/>
      <c r="O23" s="45"/>
      <c r="P23" s="48"/>
      <c r="Q23" s="48"/>
      <c r="R23" s="48"/>
    </row>
    <row r="24" spans="1:18" ht="58">
      <c r="A24" s="37" t="s">
        <v>135</v>
      </c>
      <c r="B24" s="37" t="s">
        <v>136</v>
      </c>
      <c r="C24" s="7" t="s">
        <v>24</v>
      </c>
      <c r="D24" s="7">
        <v>100</v>
      </c>
      <c r="E24" s="325">
        <v>80</v>
      </c>
      <c r="F24" s="94" t="s">
        <v>233</v>
      </c>
      <c r="G24" s="330">
        <v>80</v>
      </c>
      <c r="H24" s="330">
        <v>80</v>
      </c>
      <c r="I24" s="330">
        <v>80</v>
      </c>
      <c r="J24" s="330">
        <v>80</v>
      </c>
      <c r="K24" s="331">
        <v>80</v>
      </c>
      <c r="L24" s="325">
        <v>80</v>
      </c>
      <c r="M24" s="45"/>
      <c r="N24" s="44"/>
      <c r="O24" s="45"/>
      <c r="P24" s="45"/>
      <c r="Q24" s="45"/>
      <c r="R24" s="45"/>
    </row>
    <row r="25" spans="1:18" s="12" customFormat="1" ht="29">
      <c r="A25" s="37" t="s">
        <v>137</v>
      </c>
      <c r="B25" s="7" t="s">
        <v>138</v>
      </c>
      <c r="C25" s="7" t="s">
        <v>24</v>
      </c>
      <c r="D25" s="7">
        <v>100</v>
      </c>
      <c r="E25" s="86">
        <v>100</v>
      </c>
      <c r="F25" s="92"/>
      <c r="G25" s="86">
        <v>100</v>
      </c>
      <c r="H25" s="86">
        <v>100</v>
      </c>
      <c r="I25" s="86">
        <v>100</v>
      </c>
      <c r="J25" s="86">
        <v>100</v>
      </c>
      <c r="K25" s="327">
        <v>100</v>
      </c>
      <c r="L25" s="86">
        <v>100</v>
      </c>
      <c r="M25" s="45"/>
      <c r="N25" s="44"/>
      <c r="O25" s="45"/>
      <c r="P25" s="48"/>
      <c r="Q25" s="48"/>
      <c r="R25" s="48"/>
    </row>
    <row r="26" spans="1:18" ht="43.5">
      <c r="A26" s="37" t="s">
        <v>139</v>
      </c>
      <c r="B26" s="7" t="s">
        <v>138</v>
      </c>
      <c r="C26" s="7" t="s">
        <v>24</v>
      </c>
      <c r="D26" s="7">
        <v>100</v>
      </c>
      <c r="E26" s="234">
        <v>80</v>
      </c>
      <c r="F26" s="94" t="s">
        <v>234</v>
      </c>
      <c r="G26" s="87">
        <v>80</v>
      </c>
      <c r="H26" s="87">
        <v>80</v>
      </c>
      <c r="I26" s="87">
        <v>80</v>
      </c>
      <c r="J26" s="87">
        <v>80</v>
      </c>
      <c r="K26" s="328">
        <v>80</v>
      </c>
      <c r="L26" s="234">
        <v>80</v>
      </c>
      <c r="M26" s="35"/>
      <c r="N26" s="46"/>
      <c r="O26" s="35"/>
      <c r="P26" s="47"/>
      <c r="Q26" s="47"/>
      <c r="R26" s="47"/>
    </row>
    <row r="27" spans="1:18" s="12" customFormat="1" ht="29">
      <c r="A27" s="33" t="s">
        <v>140</v>
      </c>
      <c r="B27" s="7" t="s">
        <v>34</v>
      </c>
      <c r="C27" s="7" t="s">
        <v>24</v>
      </c>
      <c r="D27" s="7">
        <v>100</v>
      </c>
      <c r="E27" s="86">
        <v>90</v>
      </c>
      <c r="F27" s="94" t="s">
        <v>235</v>
      </c>
      <c r="G27" s="86">
        <v>90</v>
      </c>
      <c r="H27" s="86">
        <v>90</v>
      </c>
      <c r="I27" s="86">
        <v>90</v>
      </c>
      <c r="J27" s="86">
        <v>90</v>
      </c>
      <c r="K27" s="327">
        <v>90</v>
      </c>
      <c r="L27" s="86">
        <v>90</v>
      </c>
      <c r="M27" s="7"/>
      <c r="N27" s="6"/>
      <c r="O27" s="7"/>
      <c r="P27" s="6"/>
      <c r="Q27" s="6"/>
      <c r="R27" s="7"/>
    </row>
    <row r="28" spans="1:18">
      <c r="A28" s="37"/>
      <c r="B28" s="37" t="s">
        <v>123</v>
      </c>
      <c r="C28" s="37"/>
      <c r="D28" s="38"/>
      <c r="E28" s="86"/>
      <c r="F28" s="34"/>
      <c r="G28" s="87"/>
      <c r="H28" s="326"/>
      <c r="I28" s="87"/>
      <c r="J28" s="87"/>
      <c r="K28" s="328"/>
      <c r="L28" s="86"/>
      <c r="M28" s="7"/>
      <c r="N28" s="6"/>
      <c r="O28" s="7"/>
      <c r="P28" s="6"/>
      <c r="Q28" s="6"/>
      <c r="R28" s="7"/>
    </row>
    <row r="29" spans="1:18" s="12" customFormat="1">
      <c r="A29" s="30" t="s">
        <v>44</v>
      </c>
      <c r="B29" s="7" t="s">
        <v>123</v>
      </c>
      <c r="C29" s="7"/>
      <c r="D29" s="7"/>
      <c r="E29" s="326"/>
      <c r="F29" s="34"/>
      <c r="G29" s="86"/>
      <c r="H29" s="326"/>
      <c r="I29" s="86"/>
      <c r="J29" s="86"/>
      <c r="K29" s="327"/>
      <c r="L29" s="326"/>
      <c r="M29" s="45"/>
      <c r="N29" s="43"/>
      <c r="O29" s="43"/>
      <c r="P29" s="43"/>
      <c r="Q29" s="43"/>
      <c r="R29" s="50"/>
    </row>
    <row r="30" spans="1:18" s="12" customFormat="1" ht="58">
      <c r="A30" s="33" t="s">
        <v>141</v>
      </c>
      <c r="B30" s="7" t="s">
        <v>121</v>
      </c>
      <c r="C30" s="7" t="s">
        <v>31</v>
      </c>
      <c r="D30" s="7" t="s">
        <v>136</v>
      </c>
      <c r="E30" s="326">
        <f>(14449966381.75)/1000000</f>
        <v>14449.96638175</v>
      </c>
      <c r="F30" s="94" t="s">
        <v>236</v>
      </c>
      <c r="G30" s="89">
        <v>13303.116896400001</v>
      </c>
      <c r="H30" s="233">
        <v>13136.14</v>
      </c>
      <c r="I30" s="332">
        <f>12140881962/1000000</f>
        <v>12140.881961999999</v>
      </c>
      <c r="J30" s="333">
        <v>11871.43925413</v>
      </c>
      <c r="K30" s="327">
        <f>12454453.23/1000000</f>
        <v>12.45445323</v>
      </c>
      <c r="L30" s="334">
        <v>14449.97</v>
      </c>
      <c r="M30" s="45"/>
      <c r="N30" s="49"/>
      <c r="O30" s="43"/>
      <c r="P30" s="43"/>
      <c r="Q30" s="43"/>
      <c r="R30" s="50"/>
    </row>
    <row r="31" spans="1:18" s="12" customFormat="1" ht="130.5">
      <c r="A31" s="33" t="s">
        <v>142</v>
      </c>
      <c r="B31" s="7" t="s">
        <v>121</v>
      </c>
      <c r="C31" s="78" t="s">
        <v>28</v>
      </c>
      <c r="D31" s="35">
        <v>10</v>
      </c>
      <c r="E31" s="326">
        <f>(400000+31270000+19212000+4800000+13728000+4823000+12108000+10000+30044216+610000+3363000+8190000+15120000)/1000000</f>
        <v>143.67821599999999</v>
      </c>
      <c r="F31" s="90" t="s">
        <v>261</v>
      </c>
      <c r="G31" s="335">
        <f>(68214816+16335448+140000)/1000000</f>
        <v>84.690263999999999</v>
      </c>
      <c r="H31" s="336">
        <v>50.18</v>
      </c>
      <c r="I31" s="337">
        <v>50.146360000000001</v>
      </c>
      <c r="J31" s="97">
        <f>(486000+542000+1078000+2624000+1055000+42000+7344000+44738500)/1000000</f>
        <v>57.909500000000001</v>
      </c>
      <c r="K31" s="327">
        <f>(4800000+3120000+17511200+5184000+14934552+40000+1540000+30000+835000+7340000)/1000000</f>
        <v>55.334752000000002</v>
      </c>
      <c r="L31" s="326">
        <f>(400000+31270000+19212000+4800000+13728000+4823000+12108000+10000+30044216+610000+3363000+8190000+15120000)/1000000</f>
        <v>143.67821599999999</v>
      </c>
      <c r="M31" s="45"/>
      <c r="N31" s="49"/>
      <c r="O31" s="43"/>
      <c r="P31" s="43"/>
      <c r="Q31" s="43"/>
      <c r="R31" s="50"/>
    </row>
  </sheetData>
  <mergeCells count="5">
    <mergeCell ref="A2:F2"/>
    <mergeCell ref="A3:F3"/>
    <mergeCell ref="A4:F4"/>
    <mergeCell ref="A5:E5"/>
    <mergeCell ref="G5:R5"/>
  </mergeCells>
  <pageMargins left="0.7" right="0.7" top="0.75" bottom="0.75" header="0.3" footer="0.3"/>
  <pageSetup scale="71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1"/>
  <sheetViews>
    <sheetView workbookViewId="0">
      <selection activeCell="A2" sqref="A2:W2"/>
    </sheetView>
  </sheetViews>
  <sheetFormatPr defaultColWidth="9.1796875" defaultRowHeight="14.5"/>
  <cols>
    <col min="1" max="1" width="16.81640625" style="107" customWidth="1"/>
    <col min="2" max="2" width="6.26953125" style="107" bestFit="1" customWidth="1"/>
    <col min="3" max="3" width="1.81640625" style="107" bestFit="1" customWidth="1"/>
    <col min="4" max="4" width="9.7265625" style="107" customWidth="1"/>
    <col min="5" max="5" width="10.7265625" style="107" bestFit="1" customWidth="1"/>
    <col min="6" max="6" width="8.26953125" style="107" bestFit="1" customWidth="1"/>
    <col min="7" max="7" width="7.81640625" style="107" bestFit="1" customWidth="1"/>
    <col min="8" max="10" width="8.7265625" style="107" bestFit="1" customWidth="1"/>
    <col min="11" max="11" width="9.26953125" style="107" bestFit="1" customWidth="1"/>
    <col min="12" max="12" width="8.7265625" style="107" bestFit="1" customWidth="1"/>
    <col min="13" max="13" width="9.54296875" style="107" bestFit="1" customWidth="1"/>
    <col min="14" max="14" width="9.54296875" style="107" customWidth="1"/>
    <col min="15" max="15" width="10.453125" style="107" customWidth="1"/>
    <col min="16" max="17" width="8.26953125" style="107" bestFit="1" customWidth="1"/>
    <col min="18" max="18" width="9.81640625" style="107" customWidth="1"/>
    <col min="19" max="19" width="8.7265625" style="107" bestFit="1" customWidth="1"/>
    <col min="20" max="20" width="8.26953125" style="107" bestFit="1" customWidth="1"/>
    <col min="21" max="21" width="8.7265625" style="107" bestFit="1" customWidth="1"/>
    <col min="22" max="22" width="11" style="107" customWidth="1"/>
    <col min="23" max="23" width="9.54296875" style="107" bestFit="1" customWidth="1"/>
    <col min="24" max="24" width="4.453125" style="107" customWidth="1"/>
    <col min="25" max="25" width="9.1796875" style="107"/>
    <col min="26" max="26" width="4.453125" style="107" customWidth="1"/>
    <col min="27" max="27" width="9.1796875" style="107"/>
    <col min="28" max="28" width="11" style="107" customWidth="1"/>
    <col min="29" max="16384" width="9.1796875" style="107"/>
  </cols>
  <sheetData>
    <row r="1" spans="1:26" ht="18.5">
      <c r="A1" s="390" t="s">
        <v>0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</row>
    <row r="2" spans="1:26" ht="15" customHeight="1">
      <c r="A2" s="392" t="s">
        <v>252</v>
      </c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</row>
    <row r="3" spans="1:26" ht="15" thickBot="1">
      <c r="A3" s="383" t="s">
        <v>250</v>
      </c>
      <c r="B3" s="384"/>
      <c r="C3" s="384"/>
      <c r="D3" s="384"/>
      <c r="E3" s="384"/>
      <c r="F3" s="384"/>
      <c r="G3" s="384"/>
      <c r="H3" s="384"/>
      <c r="I3" s="385"/>
      <c r="J3" s="108"/>
      <c r="K3" s="108"/>
      <c r="L3" s="108"/>
      <c r="M3" s="108"/>
      <c r="N3" s="108"/>
    </row>
    <row r="4" spans="1:26" ht="29.5" thickBot="1">
      <c r="A4" s="109" t="s">
        <v>143</v>
      </c>
      <c r="B4" s="110"/>
      <c r="C4" s="111"/>
      <c r="D4" s="386" t="s">
        <v>144</v>
      </c>
      <c r="E4" s="387"/>
      <c r="F4" s="386" t="s">
        <v>145</v>
      </c>
      <c r="G4" s="387"/>
      <c r="H4" s="386" t="s">
        <v>146</v>
      </c>
      <c r="I4" s="387"/>
      <c r="J4" s="386" t="s">
        <v>147</v>
      </c>
      <c r="K4" s="387"/>
      <c r="L4" s="386" t="s">
        <v>148</v>
      </c>
      <c r="M4" s="387"/>
      <c r="N4" s="388" t="s">
        <v>149</v>
      </c>
      <c r="O4" s="389"/>
      <c r="P4" s="386" t="s">
        <v>150</v>
      </c>
      <c r="Q4" s="387"/>
      <c r="R4" s="386" t="s">
        <v>151</v>
      </c>
      <c r="S4" s="387"/>
      <c r="T4" s="386" t="s">
        <v>152</v>
      </c>
      <c r="U4" s="387"/>
      <c r="V4" s="386" t="s">
        <v>153</v>
      </c>
      <c r="W4" s="387"/>
    </row>
    <row r="5" spans="1:26" ht="44" thickBot="1">
      <c r="A5" s="140" t="s">
        <v>154</v>
      </c>
      <c r="B5" s="141" t="s">
        <v>4</v>
      </c>
      <c r="C5" s="247" t="s">
        <v>136</v>
      </c>
      <c r="D5" s="142" t="s">
        <v>6</v>
      </c>
      <c r="E5" s="143" t="s">
        <v>155</v>
      </c>
      <c r="F5" s="142" t="s">
        <v>6</v>
      </c>
      <c r="G5" s="143" t="s">
        <v>155</v>
      </c>
      <c r="H5" s="142" t="s">
        <v>6</v>
      </c>
      <c r="I5" s="143" t="s">
        <v>155</v>
      </c>
      <c r="J5" s="142" t="s">
        <v>6</v>
      </c>
      <c r="K5" s="144" t="s">
        <v>155</v>
      </c>
      <c r="L5" s="142" t="s">
        <v>6</v>
      </c>
      <c r="M5" s="143" t="s">
        <v>155</v>
      </c>
      <c r="N5" s="145" t="s">
        <v>6</v>
      </c>
      <c r="O5" s="143" t="s">
        <v>155</v>
      </c>
      <c r="P5" s="146" t="s">
        <v>6</v>
      </c>
      <c r="Q5" s="147" t="s">
        <v>155</v>
      </c>
      <c r="R5" s="142" t="s">
        <v>6</v>
      </c>
      <c r="S5" s="143" t="s">
        <v>155</v>
      </c>
      <c r="T5" s="142" t="s">
        <v>6</v>
      </c>
      <c r="U5" s="143" t="s">
        <v>155</v>
      </c>
      <c r="V5" s="148" t="s">
        <v>6</v>
      </c>
      <c r="W5" s="149" t="s">
        <v>155</v>
      </c>
    </row>
    <row r="6" spans="1:26" ht="29">
      <c r="A6" s="150" t="s">
        <v>156</v>
      </c>
      <c r="B6" s="113" t="s">
        <v>38</v>
      </c>
      <c r="C6" s="114"/>
      <c r="D6" s="151">
        <f>250*12</f>
        <v>3000</v>
      </c>
      <c r="E6" s="152">
        <f>350.6+E7</f>
        <v>522.1</v>
      </c>
      <c r="F6" s="151">
        <f>250*12</f>
        <v>3000</v>
      </c>
      <c r="G6" s="253">
        <v>0</v>
      </c>
      <c r="H6" s="151">
        <f>480*12</f>
        <v>5760</v>
      </c>
      <c r="I6" s="254">
        <f>435+I7</f>
        <v>646.5</v>
      </c>
      <c r="J6" s="151">
        <f>250*12</f>
        <v>3000</v>
      </c>
      <c r="K6" s="255">
        <f>603.4+K7</f>
        <v>1036.3000000000015</v>
      </c>
      <c r="L6" s="151">
        <f>480*12</f>
        <v>5760</v>
      </c>
      <c r="M6" s="254">
        <f>977.2+M7</f>
        <v>1356.2</v>
      </c>
      <c r="N6" s="249">
        <f>250*12</f>
        <v>3000</v>
      </c>
      <c r="O6" s="256">
        <f>163.1+O7</f>
        <v>562.50000000000011</v>
      </c>
      <c r="P6" s="249">
        <f>250*12</f>
        <v>3000</v>
      </c>
      <c r="Q6" s="257">
        <v>18.7</v>
      </c>
      <c r="R6" s="151">
        <f>1000*12</f>
        <v>12000</v>
      </c>
      <c r="S6" s="258">
        <f>1089+S7</f>
        <v>1221</v>
      </c>
      <c r="T6" s="151">
        <f>500*12</f>
        <v>6000</v>
      </c>
      <c r="U6" s="254">
        <f>53+U7</f>
        <v>171.5</v>
      </c>
      <c r="V6" s="153">
        <v>12000</v>
      </c>
      <c r="W6" s="259">
        <f>1513+W7</f>
        <v>2243.6000000000004</v>
      </c>
      <c r="X6" s="154"/>
      <c r="Y6" s="154"/>
      <c r="Z6" s="154"/>
    </row>
    <row r="7" spans="1:26" ht="29">
      <c r="A7" s="150" t="s">
        <v>157</v>
      </c>
      <c r="B7" s="116" t="s">
        <v>38</v>
      </c>
      <c r="C7" s="117"/>
      <c r="D7" s="151">
        <v>250</v>
      </c>
      <c r="E7" s="260">
        <f>3008.2-2836.7</f>
        <v>171.5</v>
      </c>
      <c r="F7" s="151">
        <v>250</v>
      </c>
      <c r="G7" s="261">
        <v>0</v>
      </c>
      <c r="H7" s="155">
        <v>250</v>
      </c>
      <c r="I7" s="262">
        <f>6690.6-6479.1</f>
        <v>211.5</v>
      </c>
      <c r="J7" s="151">
        <v>480</v>
      </c>
      <c r="K7" s="255">
        <f>21736.5-21303.6</f>
        <v>432.90000000000146</v>
      </c>
      <c r="L7" s="151">
        <v>480</v>
      </c>
      <c r="M7" s="254">
        <f>10276.2-9897.2</f>
        <v>379</v>
      </c>
      <c r="N7" s="249">
        <v>250</v>
      </c>
      <c r="O7" s="256">
        <f>2082-1682.6</f>
        <v>399.40000000000009</v>
      </c>
      <c r="P7" s="249">
        <v>250</v>
      </c>
      <c r="Q7" s="257">
        <v>0</v>
      </c>
      <c r="R7" s="151">
        <v>1000</v>
      </c>
      <c r="S7" s="258">
        <f>15493-15361</f>
        <v>132</v>
      </c>
      <c r="T7" s="151">
        <v>500</v>
      </c>
      <c r="U7" s="263">
        <f>789.1-670.6</f>
        <v>118.5</v>
      </c>
      <c r="V7" s="153">
        <v>1000</v>
      </c>
      <c r="W7" s="259">
        <f>13683.6-12953</f>
        <v>730.60000000000036</v>
      </c>
      <c r="X7" s="154"/>
      <c r="Y7" s="154"/>
      <c r="Z7" s="154"/>
    </row>
    <row r="8" spans="1:26">
      <c r="A8" s="150" t="s">
        <v>158</v>
      </c>
      <c r="B8" s="116" t="s">
        <v>34</v>
      </c>
      <c r="C8" s="156" t="s">
        <v>28</v>
      </c>
      <c r="D8" s="157">
        <v>1</v>
      </c>
      <c r="E8" s="158">
        <f>(D7-E12)/D7</f>
        <v>0.13600000000000001</v>
      </c>
      <c r="F8" s="157">
        <v>1</v>
      </c>
      <c r="G8" s="158">
        <f>(F7-G12)/F7</f>
        <v>0</v>
      </c>
      <c r="H8" s="157">
        <v>1</v>
      </c>
      <c r="I8" s="158">
        <f>(H7-I12)/H7</f>
        <v>0.84</v>
      </c>
      <c r="J8" s="157">
        <v>1</v>
      </c>
      <c r="K8" s="159">
        <f>(J7-K12)/J7</f>
        <v>0.91666666666666663</v>
      </c>
      <c r="L8" s="157">
        <v>1</v>
      </c>
      <c r="M8" s="158">
        <f>(L7-M12)/L7</f>
        <v>0.90625</v>
      </c>
      <c r="N8" s="160">
        <v>1</v>
      </c>
      <c r="O8" s="158">
        <f>(N7-O12)/N7</f>
        <v>0.84</v>
      </c>
      <c r="P8" s="160">
        <v>1</v>
      </c>
      <c r="Q8" s="159">
        <f>(P7-Q12)/P7</f>
        <v>0</v>
      </c>
      <c r="R8" s="157">
        <v>1</v>
      </c>
      <c r="S8" s="158">
        <f>(R7-S12)/R7</f>
        <v>0.98499999999999999</v>
      </c>
      <c r="T8" s="157">
        <v>1</v>
      </c>
      <c r="U8" s="158">
        <f>(T7-U12)/T7</f>
        <v>0.92</v>
      </c>
      <c r="V8" s="161">
        <v>1</v>
      </c>
      <c r="W8" s="162">
        <f>(V7-W12)/V7</f>
        <v>0.97499999999999998</v>
      </c>
      <c r="X8" s="154"/>
      <c r="Y8" s="154"/>
      <c r="Z8" s="154"/>
    </row>
    <row r="9" spans="1:26" ht="29">
      <c r="A9" s="150" t="s">
        <v>159</v>
      </c>
      <c r="B9" s="118" t="s">
        <v>59</v>
      </c>
      <c r="C9" s="163" t="s">
        <v>31</v>
      </c>
      <c r="D9" s="164"/>
      <c r="E9" s="165"/>
      <c r="F9" s="166"/>
      <c r="G9" s="165"/>
      <c r="H9" s="166"/>
      <c r="I9" s="165"/>
      <c r="J9" s="166"/>
      <c r="K9" s="167"/>
      <c r="L9" s="166"/>
      <c r="M9" s="165"/>
      <c r="N9" s="249"/>
      <c r="O9" s="168"/>
      <c r="P9" s="249"/>
      <c r="Q9" s="248"/>
      <c r="R9" s="151"/>
      <c r="S9" s="168"/>
      <c r="T9" s="151"/>
      <c r="U9" s="168"/>
      <c r="V9" s="153"/>
      <c r="W9" s="169"/>
      <c r="X9" s="154"/>
      <c r="Y9" s="154"/>
      <c r="Z9" s="154"/>
    </row>
    <row r="10" spans="1:26">
      <c r="A10" s="150" t="s">
        <v>160</v>
      </c>
      <c r="B10" s="118" t="s">
        <v>34</v>
      </c>
      <c r="C10" s="163" t="s">
        <v>28</v>
      </c>
      <c r="D10" s="170">
        <v>1</v>
      </c>
      <c r="E10" s="171">
        <f>E7/(D7-E12)</f>
        <v>5.0441176470588234</v>
      </c>
      <c r="F10" s="170">
        <v>1</v>
      </c>
      <c r="G10" s="171" t="e">
        <f>G7/(F7-G12)</f>
        <v>#DIV/0!</v>
      </c>
      <c r="H10" s="170">
        <v>1</v>
      </c>
      <c r="I10" s="171">
        <f>I7/(H7-I12)</f>
        <v>1.0071428571428571</v>
      </c>
      <c r="J10" s="170">
        <v>1</v>
      </c>
      <c r="K10" s="172">
        <f>K7/(J7-K12)</f>
        <v>0.98386363636363972</v>
      </c>
      <c r="L10" s="170">
        <v>1</v>
      </c>
      <c r="M10" s="171">
        <f>M7/(L7-M12)</f>
        <v>0.87126436781609196</v>
      </c>
      <c r="N10" s="173">
        <v>1</v>
      </c>
      <c r="O10" s="171">
        <f>O7/(N7-O12)</f>
        <v>1.9019047619047624</v>
      </c>
      <c r="P10" s="173">
        <v>1</v>
      </c>
      <c r="Q10" s="172" t="e">
        <f>Q7/(P7-Q12)</f>
        <v>#DIV/0!</v>
      </c>
      <c r="R10" s="170">
        <v>1</v>
      </c>
      <c r="S10" s="171">
        <f>S7/(R7-S12)</f>
        <v>0.13401015228426397</v>
      </c>
      <c r="T10" s="170">
        <v>1</v>
      </c>
      <c r="U10" s="171">
        <f>U7/(T7-U12)</f>
        <v>0.25760869565217392</v>
      </c>
      <c r="V10" s="174">
        <v>1</v>
      </c>
      <c r="W10" s="175">
        <f>W7/(V7-W12)</f>
        <v>0.74933333333333374</v>
      </c>
      <c r="X10" s="154"/>
      <c r="Y10" s="154"/>
      <c r="Z10" s="154"/>
    </row>
    <row r="11" spans="1:26" ht="29">
      <c r="A11" s="150" t="s">
        <v>161</v>
      </c>
      <c r="B11" s="116" t="s">
        <v>38</v>
      </c>
      <c r="C11" s="163" t="s">
        <v>31</v>
      </c>
      <c r="D11" s="164"/>
      <c r="E11" s="176"/>
      <c r="F11" s="177"/>
      <c r="G11" s="176"/>
      <c r="H11" s="177"/>
      <c r="I11" s="176"/>
      <c r="J11" s="177"/>
      <c r="K11" s="178"/>
      <c r="L11" s="177"/>
      <c r="M11" s="176"/>
      <c r="N11" s="179"/>
      <c r="O11" s="180"/>
      <c r="P11" s="179"/>
      <c r="Q11" s="181"/>
      <c r="R11" s="182"/>
      <c r="S11" s="180"/>
      <c r="T11" s="182"/>
      <c r="U11" s="180"/>
      <c r="V11" s="183"/>
      <c r="W11" s="184"/>
      <c r="X11" s="154"/>
      <c r="Y11" s="154"/>
      <c r="Z11" s="154"/>
    </row>
    <row r="12" spans="1:26" ht="29">
      <c r="A12" s="150" t="s">
        <v>162</v>
      </c>
      <c r="B12" s="116" t="s">
        <v>38</v>
      </c>
      <c r="C12" s="163" t="s">
        <v>31</v>
      </c>
      <c r="D12" s="164">
        <v>60</v>
      </c>
      <c r="E12" s="176">
        <v>216</v>
      </c>
      <c r="F12" s="177">
        <v>60</v>
      </c>
      <c r="G12" s="176">
        <v>250</v>
      </c>
      <c r="H12" s="177">
        <v>60</v>
      </c>
      <c r="I12" s="176">
        <v>40</v>
      </c>
      <c r="J12" s="177">
        <v>60</v>
      </c>
      <c r="K12" s="178">
        <v>40</v>
      </c>
      <c r="L12" s="177">
        <v>60</v>
      </c>
      <c r="M12" s="176">
        <v>45</v>
      </c>
      <c r="N12" s="185">
        <v>60</v>
      </c>
      <c r="O12" s="176">
        <v>40</v>
      </c>
      <c r="P12" s="185">
        <v>60</v>
      </c>
      <c r="Q12" s="178">
        <v>250</v>
      </c>
      <c r="R12" s="177">
        <v>60</v>
      </c>
      <c r="S12" s="176">
        <v>15</v>
      </c>
      <c r="T12" s="177">
        <v>60</v>
      </c>
      <c r="U12" s="176">
        <v>40</v>
      </c>
      <c r="V12" s="186">
        <v>60</v>
      </c>
      <c r="W12" s="187">
        <v>25</v>
      </c>
      <c r="X12" s="154"/>
      <c r="Y12" s="154"/>
      <c r="Z12" s="154"/>
    </row>
    <row r="13" spans="1:26" ht="43.5">
      <c r="A13" s="150" t="s">
        <v>163</v>
      </c>
      <c r="B13" s="119" t="s">
        <v>38</v>
      </c>
      <c r="C13" s="163" t="s">
        <v>31</v>
      </c>
      <c r="D13" s="164">
        <v>250</v>
      </c>
      <c r="E13" s="188">
        <f>E7/3</f>
        <v>57.166666666666664</v>
      </c>
      <c r="F13" s="177">
        <v>250</v>
      </c>
      <c r="G13" s="189" t="s">
        <v>240</v>
      </c>
      <c r="H13" s="177">
        <v>250</v>
      </c>
      <c r="I13" s="256">
        <f>I7/3</f>
        <v>70.5</v>
      </c>
      <c r="J13" s="177">
        <v>250</v>
      </c>
      <c r="K13" s="178">
        <f>L7/4</f>
        <v>120</v>
      </c>
      <c r="L13" s="177">
        <v>250</v>
      </c>
      <c r="M13" s="262">
        <f>M7/3</f>
        <v>126.33333333333333</v>
      </c>
      <c r="N13" s="190">
        <v>480</v>
      </c>
      <c r="O13" s="165">
        <f>O7/4</f>
        <v>99.850000000000023</v>
      </c>
      <c r="P13" s="190">
        <v>480</v>
      </c>
      <c r="Q13" s="248">
        <v>0</v>
      </c>
      <c r="R13" s="166">
        <v>480</v>
      </c>
      <c r="S13" s="262">
        <f>S7/5</f>
        <v>26.4</v>
      </c>
      <c r="T13" s="166">
        <v>480</v>
      </c>
      <c r="U13" s="254"/>
      <c r="V13" s="191">
        <v>480</v>
      </c>
      <c r="W13" s="187">
        <f>W7/5</f>
        <v>146.12000000000006</v>
      </c>
      <c r="X13" s="154"/>
      <c r="Y13" s="154"/>
      <c r="Z13" s="154"/>
    </row>
    <row r="14" spans="1:26" ht="43.5">
      <c r="A14" s="150" t="s">
        <v>164</v>
      </c>
      <c r="B14" s="116" t="s">
        <v>165</v>
      </c>
      <c r="C14" s="192" t="s">
        <v>31</v>
      </c>
      <c r="D14" s="193">
        <f>1000000/D7</f>
        <v>4000</v>
      </c>
      <c r="E14" s="194">
        <f>19169246/E7</f>
        <v>111774.02915451895</v>
      </c>
      <c r="F14" s="193">
        <f>1000000/F7</f>
        <v>4000</v>
      </c>
      <c r="G14" s="194">
        <v>0</v>
      </c>
      <c r="H14" s="193">
        <f>1000000/H7</f>
        <v>4000</v>
      </c>
      <c r="I14" s="194">
        <f>1717125/I7</f>
        <v>8118.7943262411345</v>
      </c>
      <c r="J14" s="193">
        <f>1000000/J7</f>
        <v>2083.3333333333335</v>
      </c>
      <c r="K14" s="195">
        <f>805084/K7</f>
        <v>1859.7458997458934</v>
      </c>
      <c r="L14" s="193">
        <f>1000000/L7</f>
        <v>2083.3333333333335</v>
      </c>
      <c r="M14" s="194">
        <f>2744342/M7</f>
        <v>7241.007915567282</v>
      </c>
      <c r="N14" s="196">
        <f>1000000/N7</f>
        <v>4000</v>
      </c>
      <c r="O14" s="197">
        <f>172300/O7</f>
        <v>431.39709564346509</v>
      </c>
      <c r="P14" s="196">
        <f>1000000/P7</f>
        <v>4000</v>
      </c>
      <c r="Q14" s="264" t="e">
        <f>645148.42/Q7</f>
        <v>#DIV/0!</v>
      </c>
      <c r="R14" s="193">
        <f>1000000/R7</f>
        <v>1000</v>
      </c>
      <c r="S14" s="194">
        <f>0/S7</f>
        <v>0</v>
      </c>
      <c r="T14" s="193">
        <f>1000000/T7</f>
        <v>2000</v>
      </c>
      <c r="U14" s="194">
        <f>0/U7</f>
        <v>0</v>
      </c>
      <c r="V14" s="198">
        <f>1000000/V7</f>
        <v>1000</v>
      </c>
      <c r="W14" s="199">
        <f>0/W7</f>
        <v>0</v>
      </c>
      <c r="X14" s="154"/>
      <c r="Y14" s="154"/>
      <c r="Z14" s="154"/>
    </row>
    <row r="15" spans="1:26" s="121" customFormat="1" ht="29">
      <c r="A15" s="200" t="s">
        <v>166</v>
      </c>
      <c r="B15" s="120" t="s">
        <v>165</v>
      </c>
      <c r="C15" s="201" t="s">
        <v>31</v>
      </c>
      <c r="D15" s="193">
        <f>1000000/D7</f>
        <v>4000</v>
      </c>
      <c r="E15" s="194">
        <f>6674775/E7</f>
        <v>38919.970845481046</v>
      </c>
      <c r="F15" s="193">
        <f>1000000/F7</f>
        <v>4000</v>
      </c>
      <c r="G15" s="194" t="e">
        <f>0/G7</f>
        <v>#DIV/0!</v>
      </c>
      <c r="H15" s="193">
        <f>1000000/H7</f>
        <v>4000</v>
      </c>
      <c r="I15" s="194">
        <f>585600/I7</f>
        <v>2768.794326241135</v>
      </c>
      <c r="J15" s="193">
        <f>1000000/J7</f>
        <v>2083.3333333333335</v>
      </c>
      <c r="K15" s="195">
        <f>0/K7</f>
        <v>0</v>
      </c>
      <c r="L15" s="193">
        <f>1000000/L7</f>
        <v>2083.3333333333335</v>
      </c>
      <c r="M15" s="194">
        <f>7797000/M7</f>
        <v>20572.559366754616</v>
      </c>
      <c r="N15" s="196">
        <f>1000000/N7</f>
        <v>4000</v>
      </c>
      <c r="O15" s="194">
        <f>1240226/O7</f>
        <v>3105.2228342513763</v>
      </c>
      <c r="P15" s="196">
        <f>1000000/P7</f>
        <v>4000</v>
      </c>
      <c r="Q15" s="265" t="e">
        <f>0/Q7</f>
        <v>#DIV/0!</v>
      </c>
      <c r="R15" s="193">
        <f>1000000/R7</f>
        <v>1000</v>
      </c>
      <c r="S15" s="199">
        <f>175211/S7</f>
        <v>1327.3560606060605</v>
      </c>
      <c r="T15" s="193">
        <f>1000000/T7</f>
        <v>2000</v>
      </c>
      <c r="U15" s="202">
        <v>0</v>
      </c>
      <c r="V15" s="198">
        <f>1000000/V7</f>
        <v>1000</v>
      </c>
      <c r="W15" s="203">
        <f>0/W7</f>
        <v>0</v>
      </c>
      <c r="X15" s="204"/>
      <c r="Y15" s="204"/>
      <c r="Z15" s="204"/>
    </row>
    <row r="16" spans="1:26" ht="43.5">
      <c r="A16" s="150" t="s">
        <v>167</v>
      </c>
      <c r="B16" s="116" t="s">
        <v>168</v>
      </c>
      <c r="C16" s="205" t="s">
        <v>31</v>
      </c>
      <c r="D16" s="206">
        <f>20000/D7</f>
        <v>80</v>
      </c>
      <c r="E16" s="207">
        <f>15000/E7</f>
        <v>87.463556851311949</v>
      </c>
      <c r="F16" s="206">
        <f>20000/F7</f>
        <v>80</v>
      </c>
      <c r="G16" s="266" t="e">
        <f>0/G7</f>
        <v>#DIV/0!</v>
      </c>
      <c r="H16" s="208">
        <f>30</f>
        <v>30</v>
      </c>
      <c r="I16" s="209">
        <f>7500/I7</f>
        <v>35.460992907801419</v>
      </c>
      <c r="J16" s="208">
        <v>15</v>
      </c>
      <c r="K16" s="210">
        <f>6000/K7</f>
        <v>13.860013860013813</v>
      </c>
      <c r="L16" s="208">
        <v>15</v>
      </c>
      <c r="M16" s="209">
        <f>5476/M7</f>
        <v>14.448548812664908</v>
      </c>
      <c r="N16" s="211">
        <v>2</v>
      </c>
      <c r="O16" s="209">
        <f>1800/O7</f>
        <v>4.5067601402103143</v>
      </c>
      <c r="P16" s="211">
        <v>2</v>
      </c>
      <c r="Q16" s="210" t="e">
        <f>0/Q7</f>
        <v>#DIV/0!</v>
      </c>
      <c r="R16" s="206">
        <v>2</v>
      </c>
      <c r="S16" s="209">
        <f>0/S7</f>
        <v>0</v>
      </c>
      <c r="T16" s="206">
        <v>2</v>
      </c>
      <c r="U16" s="212">
        <f>700/U7</f>
        <v>5.9071729957805905</v>
      </c>
      <c r="V16" s="213">
        <v>2</v>
      </c>
      <c r="W16" s="214">
        <f>2430/W7</f>
        <v>3.3260333972077727</v>
      </c>
      <c r="X16" s="154"/>
      <c r="Y16" s="154"/>
      <c r="Z16" s="154"/>
    </row>
    <row r="17" spans="1:26" ht="43.5">
      <c r="A17" s="150" t="s">
        <v>169</v>
      </c>
      <c r="B17" s="116" t="s">
        <v>170</v>
      </c>
      <c r="C17" s="205" t="s">
        <v>31</v>
      </c>
      <c r="D17" s="206">
        <f>150/D7</f>
        <v>0.6</v>
      </c>
      <c r="E17" s="215">
        <f>200/E7</f>
        <v>1.1661807580174928</v>
      </c>
      <c r="F17" s="206">
        <f>150/F7</f>
        <v>0.6</v>
      </c>
      <c r="G17" s="215" t="e">
        <f>0/G7</f>
        <v>#DIV/0!</v>
      </c>
      <c r="H17" s="208">
        <f>45/H7</f>
        <v>0.18</v>
      </c>
      <c r="I17" s="215">
        <f>250/I7</f>
        <v>1.1820330969267139</v>
      </c>
      <c r="J17" s="208">
        <f>140/J7</f>
        <v>0.29166666666666669</v>
      </c>
      <c r="K17" s="216">
        <f>60/K7</f>
        <v>0.13860013860013815</v>
      </c>
      <c r="L17" s="208">
        <f>40/L7</f>
        <v>8.3333333333333329E-2</v>
      </c>
      <c r="M17" s="215">
        <f>60/M7</f>
        <v>0.15831134564643801</v>
      </c>
      <c r="N17" s="217">
        <f>25/N7</f>
        <v>0.1</v>
      </c>
      <c r="O17" s="207">
        <f>30/O7</f>
        <v>7.5112669003505245E-2</v>
      </c>
      <c r="P17" s="217">
        <f>25/P7</f>
        <v>0.1</v>
      </c>
      <c r="Q17" s="218" t="e">
        <f>0/Q7</f>
        <v>#DIV/0!</v>
      </c>
      <c r="R17" s="208">
        <f>25</f>
        <v>25</v>
      </c>
      <c r="S17" s="207">
        <f>30/S7</f>
        <v>0.22727272727272727</v>
      </c>
      <c r="T17" s="208">
        <f>25/T7</f>
        <v>0.05</v>
      </c>
      <c r="U17" s="207">
        <f>0/U7</f>
        <v>0</v>
      </c>
      <c r="V17" s="219">
        <f>25/V7</f>
        <v>2.5000000000000001E-2</v>
      </c>
      <c r="W17" s="220">
        <f>30/W7</f>
        <v>4.1062140706268797E-2</v>
      </c>
      <c r="X17" s="154"/>
      <c r="Y17" s="154"/>
      <c r="Z17" s="154"/>
    </row>
    <row r="18" spans="1:26" ht="44" thickBot="1">
      <c r="A18" s="221" t="s">
        <v>171</v>
      </c>
      <c r="B18" s="122" t="s">
        <v>170</v>
      </c>
      <c r="C18" s="222" t="s">
        <v>31</v>
      </c>
      <c r="D18" s="223">
        <f>200/D7</f>
        <v>0.8</v>
      </c>
      <c r="E18" s="224">
        <f>150/E7</f>
        <v>0.87463556851311952</v>
      </c>
      <c r="F18" s="223">
        <f>100/F7</f>
        <v>0.4</v>
      </c>
      <c r="G18" s="224" t="e">
        <f>0/G7</f>
        <v>#DIV/0!</v>
      </c>
      <c r="H18" s="223">
        <f>100/H7</f>
        <v>0.4</v>
      </c>
      <c r="I18" s="224">
        <f>200/I7</f>
        <v>0.94562647754137119</v>
      </c>
      <c r="J18" s="225">
        <f>40/J7</f>
        <v>8.3333333333333329E-2</v>
      </c>
      <c r="K18" s="226">
        <f>100/K7</f>
        <v>0.23100023100023023</v>
      </c>
      <c r="L18" s="227">
        <f>40/L7</f>
        <v>8.3333333333333329E-2</v>
      </c>
      <c r="M18" s="228">
        <f>60/M7</f>
        <v>0.15831134564643801</v>
      </c>
      <c r="N18" s="229">
        <f>10/N7</f>
        <v>0.04</v>
      </c>
      <c r="O18" s="228">
        <f>0/O7</f>
        <v>0</v>
      </c>
      <c r="P18" s="229">
        <f>10/P7</f>
        <v>0.04</v>
      </c>
      <c r="Q18" s="226" t="e">
        <f>0/Q7</f>
        <v>#DIV/0!</v>
      </c>
      <c r="R18" s="227">
        <f>10/R7</f>
        <v>0.01</v>
      </c>
      <c r="S18" s="228">
        <f>0/S7</f>
        <v>0</v>
      </c>
      <c r="T18" s="227">
        <f>10/T7</f>
        <v>0.02</v>
      </c>
      <c r="U18" s="228">
        <v>0</v>
      </c>
      <c r="V18" s="230">
        <f>10/V7</f>
        <v>0.01</v>
      </c>
      <c r="W18" s="231">
        <f>0/W7</f>
        <v>0</v>
      </c>
      <c r="X18" s="154"/>
      <c r="Y18" s="154"/>
      <c r="Z18" s="154"/>
    </row>
    <row r="19" spans="1:26">
      <c r="A19" s="108"/>
      <c r="B19" s="119"/>
      <c r="C19" s="108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 spans="1:26">
      <c r="A20" s="108"/>
      <c r="B20" s="119"/>
      <c r="C20" s="108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1" spans="1:26" ht="43.5">
      <c r="A21" s="123" t="s">
        <v>172</v>
      </c>
      <c r="B21" s="123"/>
      <c r="C21" s="124"/>
      <c r="D21" s="394" t="s">
        <v>173</v>
      </c>
      <c r="E21" s="395"/>
      <c r="F21" s="394" t="s">
        <v>174</v>
      </c>
      <c r="G21" s="395"/>
      <c r="H21" s="394" t="s">
        <v>175</v>
      </c>
      <c r="I21" s="395"/>
      <c r="J21" s="394" t="s">
        <v>176</v>
      </c>
      <c r="K21" s="395"/>
      <c r="L21" s="394" t="s">
        <v>177</v>
      </c>
      <c r="M21" s="395"/>
      <c r="N21" s="394" t="s">
        <v>178</v>
      </c>
      <c r="O21" s="395"/>
      <c r="P21" s="394" t="s">
        <v>241</v>
      </c>
      <c r="Q21" s="395"/>
      <c r="R21" s="394" t="s">
        <v>179</v>
      </c>
      <c r="S21" s="395"/>
      <c r="T21" s="394" t="s">
        <v>180</v>
      </c>
      <c r="U21" s="395"/>
      <c r="V21" s="248" t="s">
        <v>181</v>
      </c>
      <c r="W21" s="394" t="s">
        <v>182</v>
      </c>
      <c r="X21" s="395"/>
      <c r="Y21" s="394" t="s">
        <v>183</v>
      </c>
      <c r="Z21" s="395"/>
    </row>
    <row r="22" spans="1:26" ht="43.5">
      <c r="A22" s="123" t="s">
        <v>154</v>
      </c>
      <c r="B22" s="123" t="s">
        <v>4</v>
      </c>
      <c r="C22" s="115" t="s">
        <v>136</v>
      </c>
      <c r="D22" s="394" t="s">
        <v>122</v>
      </c>
      <c r="E22" s="395"/>
      <c r="F22" s="394" t="s">
        <v>122</v>
      </c>
      <c r="G22" s="395"/>
      <c r="H22" s="394" t="s">
        <v>122</v>
      </c>
      <c r="I22" s="395"/>
      <c r="J22" s="394" t="s">
        <v>122</v>
      </c>
      <c r="K22" s="395"/>
      <c r="L22" s="394" t="s">
        <v>122</v>
      </c>
      <c r="M22" s="395"/>
      <c r="N22" s="394" t="s">
        <v>122</v>
      </c>
      <c r="O22" s="395"/>
      <c r="P22" s="394" t="s">
        <v>122</v>
      </c>
      <c r="Q22" s="395"/>
      <c r="R22" s="394" t="s">
        <v>122</v>
      </c>
      <c r="S22" s="395"/>
      <c r="T22" s="394" t="s">
        <v>122</v>
      </c>
      <c r="U22" s="395"/>
      <c r="V22" s="248" t="s">
        <v>122</v>
      </c>
      <c r="W22" s="394" t="s">
        <v>122</v>
      </c>
      <c r="X22" s="395"/>
      <c r="Y22" s="394" t="s">
        <v>122</v>
      </c>
      <c r="Z22" s="395"/>
    </row>
    <row r="23" spans="1:26" ht="29">
      <c r="A23" s="112" t="s">
        <v>156</v>
      </c>
      <c r="B23" s="112" t="s">
        <v>38</v>
      </c>
      <c r="C23" s="69"/>
      <c r="D23" s="396">
        <v>0</v>
      </c>
      <c r="E23" s="396"/>
      <c r="F23" s="396">
        <f>133+F25</f>
        <v>324.09999999999991</v>
      </c>
      <c r="G23" s="396"/>
      <c r="H23" s="396">
        <f>117.3+H25</f>
        <v>257.99999999999892</v>
      </c>
      <c r="I23" s="396"/>
      <c r="J23" s="396">
        <f>165.8+J25</f>
        <v>276.3</v>
      </c>
      <c r="K23" s="396"/>
      <c r="L23" s="396">
        <f>176.7+L25</f>
        <v>376.60000000000053</v>
      </c>
      <c r="M23" s="396"/>
      <c r="N23" s="396">
        <f>426.3+N25</f>
        <v>677.39999999999986</v>
      </c>
      <c r="O23" s="396"/>
      <c r="P23" s="397">
        <f>286+P25</f>
        <v>378.10000000000036</v>
      </c>
      <c r="Q23" s="398"/>
      <c r="R23" s="396"/>
      <c r="S23" s="396"/>
      <c r="T23" s="396">
        <f>106.4+T25</f>
        <v>134.49999999999991</v>
      </c>
      <c r="U23" s="396"/>
      <c r="V23" s="267">
        <f>6+V25</f>
        <v>13.5</v>
      </c>
      <c r="W23" s="396">
        <f>156+W25</f>
        <v>238.10000000000036</v>
      </c>
      <c r="X23" s="396"/>
      <c r="Y23" s="396">
        <f>235.1+Y25</f>
        <v>312.20000000000016</v>
      </c>
      <c r="Z23" s="396"/>
    </row>
    <row r="24" spans="1:26" ht="29">
      <c r="A24" s="112" t="s">
        <v>184</v>
      </c>
      <c r="B24" s="112" t="s">
        <v>38</v>
      </c>
      <c r="C24" s="69"/>
      <c r="D24" s="396">
        <f>250-D26</f>
        <v>0</v>
      </c>
      <c r="E24" s="396"/>
      <c r="F24" s="396">
        <f>250-F26</f>
        <v>180</v>
      </c>
      <c r="G24" s="396"/>
      <c r="H24" s="396">
        <f>250-H26</f>
        <v>218</v>
      </c>
      <c r="I24" s="396"/>
      <c r="J24" s="396">
        <f>250-J26</f>
        <v>225</v>
      </c>
      <c r="K24" s="396"/>
      <c r="L24" s="396">
        <f t="shared" ref="L24" si="0">250-L26</f>
        <v>220</v>
      </c>
      <c r="M24" s="396"/>
      <c r="N24" s="396">
        <f t="shared" ref="N24" si="1">250-N26</f>
        <v>130</v>
      </c>
      <c r="O24" s="396"/>
      <c r="P24" s="396">
        <f t="shared" ref="P24" si="2">250-P26</f>
        <v>10</v>
      </c>
      <c r="Q24" s="396"/>
      <c r="R24" s="396"/>
      <c r="S24" s="396"/>
      <c r="T24" s="396">
        <f t="shared" ref="T24" si="3">250-T26</f>
        <v>240</v>
      </c>
      <c r="U24" s="396"/>
      <c r="V24" s="250">
        <f>250-V26</f>
        <v>250</v>
      </c>
      <c r="W24" s="396">
        <f>250-W26</f>
        <v>218</v>
      </c>
      <c r="X24" s="396"/>
      <c r="Y24" s="396">
        <f>250-Y26</f>
        <v>227</v>
      </c>
      <c r="Z24" s="396"/>
    </row>
    <row r="25" spans="1:26" ht="29">
      <c r="A25" s="112" t="s">
        <v>157</v>
      </c>
      <c r="B25" s="112" t="s">
        <v>38</v>
      </c>
      <c r="C25" s="69"/>
      <c r="D25" s="396">
        <v>0</v>
      </c>
      <c r="E25" s="396"/>
      <c r="F25" s="396">
        <f>909.8-718.7</f>
        <v>191.09999999999991</v>
      </c>
      <c r="G25" s="396"/>
      <c r="H25" s="396">
        <f>11102.8-10962.1</f>
        <v>140.69999999999891</v>
      </c>
      <c r="I25" s="396"/>
      <c r="J25" s="394">
        <f>6977.7-6867.2</f>
        <v>110.5</v>
      </c>
      <c r="K25" s="395"/>
      <c r="L25" s="396">
        <f>7377.1-7177.2</f>
        <v>199.90000000000055</v>
      </c>
      <c r="M25" s="396"/>
      <c r="N25" s="396">
        <f>2604.7-2353.6</f>
        <v>251.09999999999991</v>
      </c>
      <c r="O25" s="396"/>
      <c r="P25" s="396">
        <f>8297.4-8205.3</f>
        <v>92.100000000000364</v>
      </c>
      <c r="Q25" s="396"/>
      <c r="R25" s="396"/>
      <c r="S25" s="396"/>
      <c r="T25" s="396">
        <f>1135.5-1107.4</f>
        <v>28.099999999999909</v>
      </c>
      <c r="U25" s="396"/>
      <c r="V25" s="267">
        <f>3836.8-3829.3</f>
        <v>7.5</v>
      </c>
      <c r="W25" s="396">
        <f>5351.6-5269.5</f>
        <v>82.100000000000364</v>
      </c>
      <c r="X25" s="396"/>
      <c r="Y25" s="396">
        <f>1171.9-1094.8</f>
        <v>77.100000000000136</v>
      </c>
      <c r="Z25" s="396"/>
    </row>
    <row r="26" spans="1:26" ht="29">
      <c r="A26" s="112" t="s">
        <v>162</v>
      </c>
      <c r="B26" s="112" t="s">
        <v>38</v>
      </c>
      <c r="C26" s="125" t="s">
        <v>31</v>
      </c>
      <c r="D26" s="396">
        <v>250</v>
      </c>
      <c r="E26" s="396"/>
      <c r="F26" s="396">
        <v>70</v>
      </c>
      <c r="G26" s="396"/>
      <c r="H26" s="396">
        <v>32</v>
      </c>
      <c r="I26" s="396"/>
      <c r="J26" s="396">
        <v>25</v>
      </c>
      <c r="K26" s="396"/>
      <c r="L26" s="396">
        <v>30</v>
      </c>
      <c r="M26" s="396"/>
      <c r="N26" s="396">
        <v>120</v>
      </c>
      <c r="O26" s="396"/>
      <c r="P26" s="396">
        <v>240</v>
      </c>
      <c r="Q26" s="396"/>
      <c r="R26" s="396"/>
      <c r="S26" s="396"/>
      <c r="T26" s="396">
        <v>10</v>
      </c>
      <c r="U26" s="396"/>
      <c r="V26" s="250">
        <v>0</v>
      </c>
      <c r="W26" s="396">
        <v>32</v>
      </c>
      <c r="X26" s="396"/>
      <c r="Y26" s="396">
        <v>23</v>
      </c>
      <c r="Z26" s="396"/>
    </row>
    <row r="27" spans="1:26" ht="36" customHeight="1">
      <c r="A27" s="112" t="s">
        <v>185</v>
      </c>
      <c r="B27" s="112" t="s">
        <v>38</v>
      </c>
      <c r="C27" s="126" t="s">
        <v>28</v>
      </c>
      <c r="D27" s="396"/>
      <c r="E27" s="396"/>
      <c r="F27" s="396"/>
      <c r="G27" s="396"/>
      <c r="H27" s="396"/>
      <c r="I27" s="396"/>
      <c r="J27" s="396"/>
      <c r="K27" s="396"/>
      <c r="L27" s="396"/>
      <c r="M27" s="396"/>
      <c r="N27" s="396"/>
      <c r="O27" s="396"/>
      <c r="P27" s="396"/>
      <c r="Q27" s="396"/>
      <c r="R27" s="396"/>
      <c r="S27" s="396"/>
      <c r="T27" s="396"/>
      <c r="U27" s="396"/>
      <c r="V27" s="250"/>
      <c r="W27" s="396"/>
      <c r="X27" s="396"/>
      <c r="Y27" s="396"/>
      <c r="Z27" s="396"/>
    </row>
    <row r="28" spans="1:26" ht="31.5" customHeight="1">
      <c r="A28" s="112" t="s">
        <v>186</v>
      </c>
      <c r="B28" s="112" t="s">
        <v>38</v>
      </c>
      <c r="C28" s="63" t="s">
        <v>31</v>
      </c>
      <c r="D28" s="396">
        <v>0</v>
      </c>
      <c r="E28" s="396"/>
      <c r="F28" s="396">
        <f>F25/3</f>
        <v>63.699999999999967</v>
      </c>
      <c r="G28" s="396"/>
      <c r="H28" s="396">
        <f>H25/2</f>
        <v>70.349999999999454</v>
      </c>
      <c r="I28" s="396"/>
      <c r="J28" s="396">
        <f>J25/2</f>
        <v>55.25</v>
      </c>
      <c r="K28" s="396"/>
      <c r="L28" s="394">
        <f>L25/2</f>
        <v>99.950000000000273</v>
      </c>
      <c r="M28" s="395"/>
      <c r="N28" s="396">
        <f>N25/3</f>
        <v>83.699999999999974</v>
      </c>
      <c r="O28" s="396"/>
      <c r="P28" s="396">
        <f>P25/3</f>
        <v>30.70000000000012</v>
      </c>
      <c r="Q28" s="396"/>
      <c r="R28" s="396"/>
      <c r="S28" s="396"/>
      <c r="T28" s="396" t="s">
        <v>187</v>
      </c>
      <c r="U28" s="396"/>
      <c r="V28" s="127" t="s">
        <v>187</v>
      </c>
      <c r="W28" s="396">
        <f>W25/2</f>
        <v>41.050000000000182</v>
      </c>
      <c r="X28" s="396"/>
      <c r="Y28" s="396">
        <f>Y25/2</f>
        <v>38.550000000000068</v>
      </c>
      <c r="Z28" s="396"/>
    </row>
    <row r="29" spans="1:26" ht="43.5">
      <c r="A29" s="112" t="s">
        <v>164</v>
      </c>
      <c r="B29" s="112" t="s">
        <v>165</v>
      </c>
      <c r="C29" s="63" t="s">
        <v>31</v>
      </c>
      <c r="D29" s="401" t="e">
        <f>0/D25</f>
        <v>#DIV/0!</v>
      </c>
      <c r="E29" s="401"/>
      <c r="F29" s="399">
        <f>0/F25</f>
        <v>0</v>
      </c>
      <c r="G29" s="399"/>
      <c r="H29" s="399">
        <f>0/H25</f>
        <v>0</v>
      </c>
      <c r="I29" s="399"/>
      <c r="J29" s="399">
        <f>68985/J25</f>
        <v>624.29864253393669</v>
      </c>
      <c r="K29" s="399"/>
      <c r="L29" s="399">
        <f>0/L25</f>
        <v>0</v>
      </c>
      <c r="M29" s="399"/>
      <c r="N29" s="399">
        <f>4941276/N25</f>
        <v>19678.518518518526</v>
      </c>
      <c r="O29" s="399"/>
      <c r="P29" s="399">
        <f>1802976/P25</f>
        <v>19576.286644951062</v>
      </c>
      <c r="Q29" s="399"/>
      <c r="R29" s="399"/>
      <c r="S29" s="399"/>
      <c r="T29" s="399">
        <f>0/T25</f>
        <v>0</v>
      </c>
      <c r="U29" s="399"/>
      <c r="V29" s="251">
        <f>0/V25</f>
        <v>0</v>
      </c>
      <c r="W29" s="399">
        <f>0/W25</f>
        <v>0</v>
      </c>
      <c r="X29" s="399"/>
      <c r="Y29" s="399">
        <f>125618/Y25</f>
        <v>1629.2866407263266</v>
      </c>
      <c r="Z29" s="399"/>
    </row>
    <row r="30" spans="1:26" ht="43.5">
      <c r="A30" s="112" t="s">
        <v>167</v>
      </c>
      <c r="B30" s="112"/>
      <c r="C30" s="128" t="s">
        <v>31</v>
      </c>
      <c r="D30" s="400">
        <v>0</v>
      </c>
      <c r="E30" s="400"/>
      <c r="F30" s="400">
        <f>600/F25</f>
        <v>3.1397174254317126</v>
      </c>
      <c r="G30" s="400"/>
      <c r="H30" s="400">
        <f>257/H25</f>
        <v>1.826581378820199</v>
      </c>
      <c r="I30" s="400"/>
      <c r="J30" s="400">
        <f>240/J25</f>
        <v>2.1719457013574659</v>
      </c>
      <c r="K30" s="400"/>
      <c r="L30" s="400">
        <f>230/L25</f>
        <v>1.1505752876438187</v>
      </c>
      <c r="M30" s="400"/>
      <c r="N30" s="400">
        <f>1686/N25</f>
        <v>6.7144563918757489</v>
      </c>
      <c r="O30" s="400"/>
      <c r="P30" s="400">
        <f>435/P25</f>
        <v>4.7231270358306006</v>
      </c>
      <c r="Q30" s="400"/>
      <c r="R30" s="400"/>
      <c r="S30" s="400"/>
      <c r="T30" s="400">
        <f>10/T25</f>
        <v>0.35587188612099757</v>
      </c>
      <c r="U30" s="400"/>
      <c r="V30" s="252">
        <f>60/V25</f>
        <v>8</v>
      </c>
      <c r="W30" s="400">
        <f>10/W25</f>
        <v>0.12180267965895196</v>
      </c>
      <c r="X30" s="400"/>
      <c r="Y30" s="400">
        <f>105/Y25</f>
        <v>1.3618677042801532</v>
      </c>
      <c r="Z30" s="400"/>
    </row>
    <row r="31" spans="1:26" ht="43.5">
      <c r="A31" s="112" t="s">
        <v>169</v>
      </c>
      <c r="B31" s="112" t="s">
        <v>168</v>
      </c>
      <c r="C31" s="128" t="s">
        <v>31</v>
      </c>
      <c r="D31" s="400">
        <v>0</v>
      </c>
      <c r="E31" s="400"/>
      <c r="F31" s="400">
        <f>100/F25</f>
        <v>0.52328623757195214</v>
      </c>
      <c r="G31" s="400"/>
      <c r="H31" s="400">
        <v>0</v>
      </c>
      <c r="I31" s="400"/>
      <c r="J31" s="400">
        <f>0/J25</f>
        <v>0</v>
      </c>
      <c r="K31" s="400"/>
      <c r="L31" s="400">
        <f>17/L25</f>
        <v>8.5042521260630083E-2</v>
      </c>
      <c r="M31" s="400"/>
      <c r="N31" s="400">
        <f>18/N25</f>
        <v>7.1684587813620096E-2</v>
      </c>
      <c r="O31" s="400"/>
      <c r="P31" s="400">
        <f>0/P25</f>
        <v>0</v>
      </c>
      <c r="Q31" s="400"/>
      <c r="R31" s="400"/>
      <c r="S31" s="400"/>
      <c r="T31" s="400">
        <f>0/T25</f>
        <v>0</v>
      </c>
      <c r="U31" s="400"/>
      <c r="V31" s="252">
        <f>0/V25</f>
        <v>0</v>
      </c>
      <c r="W31" s="402">
        <f>10/W25</f>
        <v>0.12180267965895196</v>
      </c>
      <c r="X31" s="403"/>
      <c r="Y31" s="400">
        <f>10/Y25</f>
        <v>0.12970168612191935</v>
      </c>
      <c r="Z31" s="400"/>
    </row>
  </sheetData>
  <mergeCells count="134">
    <mergeCell ref="W31:X31"/>
    <mergeCell ref="Y31:Z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W29:X29"/>
    <mergeCell ref="Y29:Z29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W30:X30"/>
    <mergeCell ref="Y30:Z30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W27:X27"/>
    <mergeCell ref="Y27:Z27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W28:X28"/>
    <mergeCell ref="Y28:Z28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W25:X25"/>
    <mergeCell ref="Y25:Z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W26:X26"/>
    <mergeCell ref="Y26:Z26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W23:X23"/>
    <mergeCell ref="Y23:Z23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W24:X24"/>
    <mergeCell ref="Y24:Z24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W21:X21"/>
    <mergeCell ref="Y21:Z21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W22:X22"/>
    <mergeCell ref="Y22:Z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3:I3"/>
    <mergeCell ref="D4:E4"/>
    <mergeCell ref="F4:G4"/>
    <mergeCell ref="H4:I4"/>
    <mergeCell ref="J4:K4"/>
    <mergeCell ref="L4:M4"/>
    <mergeCell ref="N4:O4"/>
    <mergeCell ref="A1:W1"/>
    <mergeCell ref="A2:W2"/>
    <mergeCell ref="P4:Q4"/>
    <mergeCell ref="R4:S4"/>
    <mergeCell ref="T4:U4"/>
    <mergeCell ref="V4:W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41"/>
  <sheetViews>
    <sheetView zoomScale="93" zoomScaleNormal="93" workbookViewId="0">
      <selection activeCell="P39" sqref="P39"/>
    </sheetView>
  </sheetViews>
  <sheetFormatPr defaultColWidth="8.7265625" defaultRowHeight="14.5"/>
  <cols>
    <col min="1" max="1" width="5.54296875" style="1" customWidth="1"/>
    <col min="2" max="2" width="27.26953125" style="2" customWidth="1"/>
    <col min="3" max="3" width="10.81640625" style="1" customWidth="1"/>
    <col min="4" max="4" width="10.7265625" style="1" customWidth="1"/>
    <col min="5" max="5" width="10.81640625" style="2" customWidth="1"/>
    <col min="6" max="6" width="15.81640625" style="2" customWidth="1"/>
    <col min="7" max="7" width="15.81640625" style="133" customWidth="1"/>
    <col min="8" max="8" width="24.54296875" style="2" customWidth="1"/>
    <col min="9" max="9" width="15.453125" style="2" bestFit="1" customWidth="1"/>
    <col min="10" max="14" width="15.26953125" style="2" bestFit="1" customWidth="1"/>
    <col min="15" max="20" width="8.81640625" style="2" bestFit="1" customWidth="1"/>
    <col min="21" max="21" width="16.453125" style="133" bestFit="1" customWidth="1"/>
    <col min="22" max="22" width="8.7265625" style="2"/>
    <col min="23" max="23" width="20.1796875" style="2" bestFit="1" customWidth="1"/>
    <col min="24" max="16384" width="8.7265625" style="2"/>
  </cols>
  <sheetData>
    <row r="1" spans="1:25" ht="21">
      <c r="A1" s="404" t="s">
        <v>0</v>
      </c>
      <c r="B1" s="405"/>
      <c r="C1" s="405"/>
      <c r="D1" s="405"/>
      <c r="E1" s="405"/>
      <c r="F1" s="405"/>
      <c r="G1" s="405"/>
      <c r="H1" s="406"/>
    </row>
    <row r="2" spans="1:25" ht="18.5">
      <c r="A2" s="407" t="s">
        <v>1</v>
      </c>
      <c r="B2" s="408"/>
      <c r="C2" s="408"/>
      <c r="D2" s="408"/>
      <c r="E2" s="408"/>
      <c r="F2" s="408"/>
      <c r="G2" s="408"/>
      <c r="H2" s="409"/>
    </row>
    <row r="3" spans="1:25" ht="15.5">
      <c r="A3" s="410" t="s">
        <v>257</v>
      </c>
      <c r="B3" s="411"/>
      <c r="C3" s="411"/>
      <c r="D3" s="411"/>
      <c r="E3" s="411"/>
      <c r="F3" s="411"/>
      <c r="G3" s="411"/>
      <c r="H3" s="412"/>
    </row>
    <row r="4" spans="1:25">
      <c r="A4" s="305"/>
      <c r="H4" s="306"/>
    </row>
    <row r="5" spans="1:25" ht="30" customHeight="1">
      <c r="A5" s="417" t="s">
        <v>188</v>
      </c>
      <c r="B5" s="419" t="s">
        <v>189</v>
      </c>
      <c r="C5" s="421" t="s">
        <v>190</v>
      </c>
      <c r="D5" s="413" t="s">
        <v>191</v>
      </c>
      <c r="E5" s="413"/>
      <c r="F5" s="413" t="s">
        <v>192</v>
      </c>
      <c r="G5" s="414"/>
      <c r="H5" s="423" t="s">
        <v>193</v>
      </c>
      <c r="I5" s="415" t="s">
        <v>194</v>
      </c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6"/>
      <c r="U5" s="307" t="s">
        <v>195</v>
      </c>
      <c r="W5" s="2" t="s">
        <v>226</v>
      </c>
    </row>
    <row r="6" spans="1:25" ht="18" customHeight="1">
      <c r="A6" s="418"/>
      <c r="B6" s="420"/>
      <c r="C6" s="422"/>
      <c r="D6" s="85" t="s">
        <v>196</v>
      </c>
      <c r="E6" s="85" t="s">
        <v>197</v>
      </c>
      <c r="F6" s="85" t="s">
        <v>196</v>
      </c>
      <c r="G6" s="134" t="s">
        <v>197</v>
      </c>
      <c r="H6" s="424"/>
      <c r="I6" s="84" t="s">
        <v>198</v>
      </c>
      <c r="J6" s="83" t="s">
        <v>199</v>
      </c>
      <c r="K6" s="83" t="s">
        <v>200</v>
      </c>
      <c r="L6" s="83" t="s">
        <v>201</v>
      </c>
      <c r="M6" s="83" t="s">
        <v>202</v>
      </c>
      <c r="N6" s="83" t="s">
        <v>203</v>
      </c>
      <c r="O6" s="83" t="s">
        <v>204</v>
      </c>
      <c r="P6" s="83" t="s">
        <v>205</v>
      </c>
      <c r="Q6" s="83" t="s">
        <v>206</v>
      </c>
      <c r="R6" s="83" t="s">
        <v>207</v>
      </c>
      <c r="S6" s="83" t="s">
        <v>208</v>
      </c>
      <c r="T6" s="83" t="s">
        <v>209</v>
      </c>
      <c r="U6" s="308" t="s">
        <v>197</v>
      </c>
    </row>
    <row r="7" spans="1:25">
      <c r="A7" s="3">
        <v>1</v>
      </c>
      <c r="B7" s="4" t="s">
        <v>210</v>
      </c>
      <c r="C7" s="5" t="s">
        <v>211</v>
      </c>
      <c r="D7" s="6">
        <v>900</v>
      </c>
      <c r="E7" s="4">
        <f>IFERROR(_xlfn.XLOOKUP(Y7,'[2]OT summary'!$K:$K,'[2]OT summary'!$B:$B),0)</f>
        <v>852.8</v>
      </c>
      <c r="F7" s="316">
        <f>IFERROR(G7/E7*D7,0)</f>
        <v>4611385.5534709189</v>
      </c>
      <c r="G7" s="137">
        <f>IFERROR(_xlfn.XLOOKUP(Y7,'[2]OT summary'!$K:$K,'[2]OT summary'!$C:$C),0)</f>
        <v>4369544</v>
      </c>
      <c r="H7" s="319"/>
      <c r="I7" s="129">
        <v>3729146.04</v>
      </c>
      <c r="J7" s="137">
        <v>3778535.0699999989</v>
      </c>
      <c r="K7" s="137">
        <v>4037814.99</v>
      </c>
      <c r="L7" s="137">
        <v>5908707.1099999994</v>
      </c>
      <c r="M7" s="137">
        <v>4725469.1000000006</v>
      </c>
      <c r="N7" s="137">
        <v>4369544</v>
      </c>
      <c r="O7" s="317"/>
      <c r="P7" s="317"/>
      <c r="Q7" s="317"/>
      <c r="R7" s="317"/>
      <c r="S7" s="317"/>
      <c r="T7" s="317"/>
      <c r="U7" s="137">
        <f t="shared" ref="U7:U34" si="0">SUM(I7:T7)</f>
        <v>26549216.310000002</v>
      </c>
      <c r="W7" s="4" t="s">
        <v>210</v>
      </c>
      <c r="X7" s="5" t="s">
        <v>211</v>
      </c>
      <c r="Y7" s="2" t="str">
        <f>CONCATENATE(W7,X7)</f>
        <v>ProductionOT1</v>
      </c>
    </row>
    <row r="8" spans="1:25">
      <c r="A8" s="3"/>
      <c r="B8" s="4" t="str">
        <f>+B7</f>
        <v>Production</v>
      </c>
      <c r="C8" s="5" t="s">
        <v>212</v>
      </c>
      <c r="D8" s="6">
        <v>200</v>
      </c>
      <c r="E8" s="4">
        <f>IFERROR(_xlfn.XLOOKUP(Y8,'[2]OT summary'!$L:$L,'[2]OT summary'!$D:$D),0)</f>
        <v>227.5</v>
      </c>
      <c r="F8" s="316">
        <f t="shared" ref="F8:F34" si="1">IFERROR(G8/E8*D8,0)</f>
        <v>1511268.9142857143</v>
      </c>
      <c r="G8" s="137">
        <f>IFERROR(_xlfn.XLOOKUP(Y8,'[2]OT summary'!$L:$L,'[2]OT summary'!$E:$E),0)</f>
        <v>1719068.3900000001</v>
      </c>
      <c r="H8" s="319"/>
      <c r="I8" s="129">
        <v>3238759.6799999997</v>
      </c>
      <c r="J8" s="137">
        <v>280972.45</v>
      </c>
      <c r="K8" s="137">
        <v>919712.48</v>
      </c>
      <c r="L8" s="137">
        <v>7858972.669999999</v>
      </c>
      <c r="M8" s="137">
        <v>2056731.9100000001</v>
      </c>
      <c r="N8" s="137">
        <v>1719068.3900000001</v>
      </c>
      <c r="O8" s="317"/>
      <c r="P8" s="317"/>
      <c r="Q8" s="317"/>
      <c r="R8" s="317"/>
      <c r="S8" s="317"/>
      <c r="T8" s="317"/>
      <c r="U8" s="137">
        <f t="shared" si="0"/>
        <v>16074217.579999998</v>
      </c>
      <c r="W8" s="4" t="str">
        <f>+W7</f>
        <v>Production</v>
      </c>
      <c r="X8" s="5" t="s">
        <v>212</v>
      </c>
      <c r="Y8" s="2" t="str">
        <f t="shared" ref="Y8:Y34" si="2">CONCATENATE(W8,X8)</f>
        <v>ProductionOT2</v>
      </c>
    </row>
    <row r="9" spans="1:25">
      <c r="A9" s="3">
        <v>2</v>
      </c>
      <c r="B9" s="4" t="s">
        <v>213</v>
      </c>
      <c r="C9" s="5" t="s">
        <v>211</v>
      </c>
      <c r="D9" s="5">
        <v>500</v>
      </c>
      <c r="E9" s="4">
        <f>IFERROR(_xlfn.XLOOKUP(Y9,'[2]OT summary'!$K:$K,'[2]OT summary'!$B:$B),0)</f>
        <v>342</v>
      </c>
      <c r="F9" s="316">
        <f t="shared" si="1"/>
        <v>2044786.9005847955</v>
      </c>
      <c r="G9" s="137">
        <f>IFERROR(_xlfn.XLOOKUP(Y9,'[2]OT summary'!$K:$K,'[2]OT summary'!$C:$C),0)</f>
        <v>1398634.2400000002</v>
      </c>
      <c r="H9" s="319"/>
      <c r="I9" s="129">
        <v>1133798.97</v>
      </c>
      <c r="J9" s="137">
        <v>1386907.2500000002</v>
      </c>
      <c r="K9" s="137">
        <v>1148257.3600000001</v>
      </c>
      <c r="L9" s="137">
        <v>769022.85</v>
      </c>
      <c r="M9" s="137">
        <v>1286839.2200000002</v>
      </c>
      <c r="N9" s="137">
        <v>1398634.2400000002</v>
      </c>
      <c r="O9" s="317"/>
      <c r="P9" s="317"/>
      <c r="Q9" s="317"/>
      <c r="R9" s="317"/>
      <c r="S9" s="317"/>
      <c r="T9" s="317"/>
      <c r="U9" s="137">
        <f t="shared" si="0"/>
        <v>7123459.8900000006</v>
      </c>
      <c r="W9" s="4" t="s">
        <v>213</v>
      </c>
      <c r="X9" s="5" t="s">
        <v>211</v>
      </c>
      <c r="Y9" s="2" t="str">
        <f t="shared" si="2"/>
        <v>QualityOT1</v>
      </c>
    </row>
    <row r="10" spans="1:25">
      <c r="A10" s="3"/>
      <c r="B10" s="4" t="str">
        <f>+B9</f>
        <v>Quality</v>
      </c>
      <c r="C10" s="5" t="s">
        <v>212</v>
      </c>
      <c r="D10" s="5">
        <v>0</v>
      </c>
      <c r="E10" s="4">
        <f>IFERROR(_xlfn.XLOOKUP(Y10,'[2]OT summary'!$L:$L,'[2]OT summary'!$D:$D),0)</f>
        <v>99</v>
      </c>
      <c r="F10" s="316">
        <f t="shared" si="1"/>
        <v>0</v>
      </c>
      <c r="G10" s="137">
        <f>IFERROR(_xlfn.XLOOKUP(Y10,'[2]OT summary'!$L:$L,'[2]OT summary'!$E:$E),0)</f>
        <v>1005760.9199999999</v>
      </c>
      <c r="H10" s="319"/>
      <c r="I10" s="129">
        <v>1447496.3</v>
      </c>
      <c r="J10" s="137">
        <v>0</v>
      </c>
      <c r="K10" s="137">
        <v>16473.689999999999</v>
      </c>
      <c r="L10" s="137">
        <v>1712807.2800000003</v>
      </c>
      <c r="M10" s="137">
        <v>1294053.8400000001</v>
      </c>
      <c r="N10" s="137">
        <v>1005760.9199999999</v>
      </c>
      <c r="O10" s="317"/>
      <c r="P10" s="317"/>
      <c r="Q10" s="317"/>
      <c r="R10" s="317"/>
      <c r="S10" s="317"/>
      <c r="T10" s="317"/>
      <c r="U10" s="137">
        <f t="shared" si="0"/>
        <v>5476592.0300000003</v>
      </c>
      <c r="W10" s="4" t="str">
        <f>+W9</f>
        <v>Quality</v>
      </c>
      <c r="X10" s="5" t="s">
        <v>212</v>
      </c>
      <c r="Y10" s="2" t="str">
        <f t="shared" si="2"/>
        <v>QualityOT2</v>
      </c>
    </row>
    <row r="11" spans="1:25">
      <c r="A11" s="3">
        <v>3</v>
      </c>
      <c r="B11" s="4" t="s">
        <v>214</v>
      </c>
      <c r="C11" s="5" t="s">
        <v>211</v>
      </c>
      <c r="D11" s="6">
        <v>450</v>
      </c>
      <c r="E11" s="4">
        <f>IFERROR(_xlfn.XLOOKUP(Y11,'[2]OT summary'!$K:$K,'[2]OT summary'!$B:$B),0)</f>
        <v>596</v>
      </c>
      <c r="F11" s="316">
        <f t="shared" si="1"/>
        <v>2619421.8523489931</v>
      </c>
      <c r="G11" s="137">
        <f>IFERROR(_xlfn.XLOOKUP(Y11,'[2]OT summary'!$K:$K,'[2]OT summary'!$C:$C),0)</f>
        <v>3469278.72</v>
      </c>
      <c r="H11" s="319"/>
      <c r="I11" s="129">
        <v>3392970.4699999997</v>
      </c>
      <c r="J11" s="137">
        <v>4272490.99</v>
      </c>
      <c r="K11" s="137">
        <v>3371490.0599999996</v>
      </c>
      <c r="L11" s="137">
        <v>6990967.2800000003</v>
      </c>
      <c r="M11" s="137">
        <v>2841306.2600000002</v>
      </c>
      <c r="N11" s="137">
        <v>3469278.72</v>
      </c>
      <c r="O11" s="317"/>
      <c r="P11" s="317"/>
      <c r="Q11" s="317"/>
      <c r="R11" s="317"/>
      <c r="S11" s="317"/>
      <c r="T11" s="317"/>
      <c r="U11" s="137">
        <f t="shared" si="0"/>
        <v>24338503.780000001</v>
      </c>
      <c r="W11" s="4" t="s">
        <v>214</v>
      </c>
      <c r="X11" s="5" t="s">
        <v>211</v>
      </c>
      <c r="Y11" s="2" t="str">
        <f t="shared" si="2"/>
        <v>MechanicalOT1</v>
      </c>
    </row>
    <row r="12" spans="1:25">
      <c r="A12" s="3"/>
      <c r="B12" s="4" t="str">
        <f>+B11</f>
        <v>Mechanical</v>
      </c>
      <c r="C12" s="5" t="s">
        <v>212</v>
      </c>
      <c r="D12" s="6">
        <v>200</v>
      </c>
      <c r="E12" s="4">
        <f>IFERROR(_xlfn.XLOOKUP(Y12,'[2]OT summary'!$L:$L,'[2]OT summary'!$D:$D),0)</f>
        <v>249</v>
      </c>
      <c r="F12" s="316">
        <f t="shared" si="1"/>
        <v>1466173.8152610443</v>
      </c>
      <c r="G12" s="137">
        <f>IFERROR(_xlfn.XLOOKUP(Y12,'[2]OT summary'!$L:$L,'[2]OT summary'!$E:$E),0)</f>
        <v>1825386.4000000001</v>
      </c>
      <c r="H12" s="319"/>
      <c r="I12" s="129">
        <v>3196034.5700000003</v>
      </c>
      <c r="J12" s="137">
        <v>821004.74</v>
      </c>
      <c r="K12" s="137">
        <v>588341.41999999993</v>
      </c>
      <c r="L12" s="137">
        <v>14818004.879999997</v>
      </c>
      <c r="M12" s="137">
        <v>1294271.25</v>
      </c>
      <c r="N12" s="137">
        <v>1825386.4000000001</v>
      </c>
      <c r="O12" s="317"/>
      <c r="P12" s="317"/>
      <c r="Q12" s="317"/>
      <c r="R12" s="317"/>
      <c r="S12" s="317"/>
      <c r="T12" s="317"/>
      <c r="U12" s="137">
        <f t="shared" si="0"/>
        <v>22543043.259999998</v>
      </c>
      <c r="W12" s="4" t="str">
        <f>+W11</f>
        <v>Mechanical</v>
      </c>
      <c r="X12" s="5" t="s">
        <v>212</v>
      </c>
      <c r="Y12" s="2" t="str">
        <f t="shared" si="2"/>
        <v>MechanicalOT2</v>
      </c>
    </row>
    <row r="13" spans="1:25">
      <c r="A13" s="3">
        <v>4</v>
      </c>
      <c r="B13" s="135" t="s">
        <v>215</v>
      </c>
      <c r="C13" s="5" t="s">
        <v>211</v>
      </c>
      <c r="D13" s="6">
        <v>600</v>
      </c>
      <c r="E13" s="4">
        <f>IFERROR(_xlfn.XLOOKUP(Y13,'[2]OT summary'!$K:$K,'[2]OT summary'!$B:$B),0)</f>
        <v>499</v>
      </c>
      <c r="F13" s="316">
        <f t="shared" si="1"/>
        <v>3765666.7094188379</v>
      </c>
      <c r="G13" s="137">
        <f>IFERROR(_xlfn.XLOOKUP(Y13,'[2]OT summary'!$K:$K,'[2]OT summary'!$C:$C),0)</f>
        <v>3131779.48</v>
      </c>
      <c r="H13" s="319"/>
      <c r="I13" s="129">
        <v>2599072.1100000003</v>
      </c>
      <c r="J13" s="137">
        <v>3762447.19</v>
      </c>
      <c r="K13" s="137">
        <v>2317532.34</v>
      </c>
      <c r="L13" s="137">
        <v>2804866.0300000003</v>
      </c>
      <c r="M13" s="137">
        <v>2741804.69</v>
      </c>
      <c r="N13" s="137">
        <v>3131779.48</v>
      </c>
      <c r="O13" s="317"/>
      <c r="P13" s="317"/>
      <c r="Q13" s="317"/>
      <c r="R13" s="317"/>
      <c r="S13" s="317"/>
      <c r="T13" s="317"/>
      <c r="U13" s="137">
        <f t="shared" si="0"/>
        <v>17357501.84</v>
      </c>
      <c r="W13" s="4" t="s">
        <v>215</v>
      </c>
      <c r="X13" s="5" t="s">
        <v>211</v>
      </c>
      <c r="Y13" s="2" t="str">
        <f t="shared" si="2"/>
        <v>ElectricalOT1</v>
      </c>
    </row>
    <row r="14" spans="1:25">
      <c r="A14" s="3"/>
      <c r="B14" s="4" t="str">
        <f>+B13</f>
        <v>Electrical</v>
      </c>
      <c r="C14" s="5" t="s">
        <v>212</v>
      </c>
      <c r="D14" s="6">
        <v>75</v>
      </c>
      <c r="E14" s="4">
        <f>IFERROR(_xlfn.XLOOKUP(Y14,'[2]OT summary'!$L:$L,'[2]OT summary'!$D:$D),0)</f>
        <v>272</v>
      </c>
      <c r="F14" s="316">
        <f t="shared" si="1"/>
        <v>636384.97886029421</v>
      </c>
      <c r="G14" s="137">
        <f>IFERROR(_xlfn.XLOOKUP(Y14,'[2]OT summary'!$L:$L,'[2]OT summary'!$E:$E),0)</f>
        <v>2307956.1900000004</v>
      </c>
      <c r="H14" s="319"/>
      <c r="I14" s="129">
        <v>4013444.3599999994</v>
      </c>
      <c r="J14" s="137">
        <v>1682010.91</v>
      </c>
      <c r="K14" s="137">
        <v>639864.62</v>
      </c>
      <c r="L14" s="137">
        <v>7213621.21</v>
      </c>
      <c r="M14" s="137">
        <v>1715597.2299999997</v>
      </c>
      <c r="N14" s="137">
        <v>2307956.1900000004</v>
      </c>
      <c r="O14" s="317"/>
      <c r="P14" s="317"/>
      <c r="Q14" s="317"/>
      <c r="R14" s="317"/>
      <c r="S14" s="317"/>
      <c r="T14" s="317"/>
      <c r="U14" s="137">
        <f t="shared" si="0"/>
        <v>17572494.52</v>
      </c>
      <c r="W14" s="4" t="str">
        <f>+W13</f>
        <v>Electrical</v>
      </c>
      <c r="X14" s="5" t="s">
        <v>212</v>
      </c>
      <c r="Y14" s="2" t="str">
        <f t="shared" si="2"/>
        <v>ElectricalOT2</v>
      </c>
    </row>
    <row r="15" spans="1:25">
      <c r="A15" s="3">
        <v>5</v>
      </c>
      <c r="B15" s="4" t="s">
        <v>216</v>
      </c>
      <c r="C15" s="5" t="s">
        <v>211</v>
      </c>
      <c r="D15" s="5">
        <v>600</v>
      </c>
      <c r="E15" s="4">
        <f>IFERROR(_xlfn.XLOOKUP(Y15,'[2]OT summary'!$K:$K,'[2]OT summary'!$B:$B),0)</f>
        <v>664</v>
      </c>
      <c r="F15" s="316">
        <f t="shared" si="1"/>
        <v>2879746.6807228918</v>
      </c>
      <c r="G15" s="137">
        <f>IFERROR(_xlfn.XLOOKUP(Y15,'[2]OT summary'!$K:$K,'[2]OT summary'!$C:$C),0)</f>
        <v>3186919.66</v>
      </c>
      <c r="H15" s="319"/>
      <c r="I15" s="129">
        <v>3191920.8700000006</v>
      </c>
      <c r="J15" s="137">
        <v>3651297.2699999996</v>
      </c>
      <c r="K15" s="137">
        <v>2886060.48</v>
      </c>
      <c r="L15" s="137">
        <v>3334500.9000000004</v>
      </c>
      <c r="M15" s="137">
        <v>3097317.5</v>
      </c>
      <c r="N15" s="137">
        <v>3186919.66</v>
      </c>
      <c r="O15" s="317"/>
      <c r="P15" s="317"/>
      <c r="Q15" s="317"/>
      <c r="R15" s="317"/>
      <c r="S15" s="317"/>
      <c r="T15" s="317"/>
      <c r="U15" s="137">
        <f t="shared" si="0"/>
        <v>19348016.68</v>
      </c>
      <c r="W15" s="4" t="s">
        <v>216</v>
      </c>
      <c r="X15" s="5" t="s">
        <v>211</v>
      </c>
      <c r="Y15" s="2" t="str">
        <f t="shared" si="2"/>
        <v>InstrumentationOT1</v>
      </c>
    </row>
    <row r="16" spans="1:25">
      <c r="A16" s="3"/>
      <c r="B16" s="4" t="str">
        <f>+B15</f>
        <v>Instrumentation</v>
      </c>
      <c r="C16" s="5" t="s">
        <v>212</v>
      </c>
      <c r="D16" s="5">
        <v>75</v>
      </c>
      <c r="E16" s="4">
        <f>IFERROR(_xlfn.XLOOKUP(Y16,'[2]OT summary'!$L:$L,'[2]OT summary'!$D:$D),0)</f>
        <v>183</v>
      </c>
      <c r="F16" s="316">
        <f t="shared" si="1"/>
        <v>587786.40573770495</v>
      </c>
      <c r="G16" s="137">
        <f>IFERROR(_xlfn.XLOOKUP(Y16,'[2]OT summary'!$L:$L,'[2]OT summary'!$E:$E),0)</f>
        <v>1434198.83</v>
      </c>
      <c r="H16" s="319"/>
      <c r="I16" s="129">
        <v>3333013.8899999997</v>
      </c>
      <c r="J16" s="137">
        <v>999814.67999999993</v>
      </c>
      <c r="K16" s="137">
        <v>0</v>
      </c>
      <c r="L16" s="137">
        <v>6550709.21</v>
      </c>
      <c r="M16" s="137">
        <v>1877950.71</v>
      </c>
      <c r="N16" s="137">
        <v>1434198.83</v>
      </c>
      <c r="O16" s="317"/>
      <c r="P16" s="317"/>
      <c r="Q16" s="317"/>
      <c r="R16" s="317"/>
      <c r="S16" s="317"/>
      <c r="T16" s="317"/>
      <c r="U16" s="137">
        <f t="shared" si="0"/>
        <v>14195687.319999998</v>
      </c>
      <c r="W16" s="4" t="str">
        <f>+W15</f>
        <v>Instrumentation</v>
      </c>
      <c r="X16" s="5" t="s">
        <v>212</v>
      </c>
      <c r="Y16" s="2" t="str">
        <f t="shared" si="2"/>
        <v>InstrumentationOT2</v>
      </c>
    </row>
    <row r="17" spans="1:27">
      <c r="A17" s="3">
        <v>6</v>
      </c>
      <c r="B17" s="135" t="s">
        <v>217</v>
      </c>
      <c r="C17" s="5" t="s">
        <v>211</v>
      </c>
      <c r="D17" s="6">
        <v>1200</v>
      </c>
      <c r="E17" s="4">
        <f>IFERROR(_xlfn.XLOOKUP(Y17,'[2]OT summary'!$K:$K,'[2]OT summary'!$B:$B),0)</f>
        <v>953</v>
      </c>
      <c r="F17" s="316">
        <f t="shared" si="1"/>
        <v>5540669.6285414482</v>
      </c>
      <c r="G17" s="137">
        <f>IFERROR(_xlfn.XLOOKUP(Y17,'[2]OT summary'!$K:$K,'[2]OT summary'!$C:$C),0)</f>
        <v>4400215.13</v>
      </c>
      <c r="H17" s="319"/>
      <c r="I17" s="129">
        <v>4240609.6100000003</v>
      </c>
      <c r="J17" s="137">
        <v>4851425.7899999991</v>
      </c>
      <c r="K17" s="137">
        <v>4434363.9800000004</v>
      </c>
      <c r="L17" s="137">
        <v>5506276.9399999985</v>
      </c>
      <c r="M17" s="137">
        <v>4628879.3399999989</v>
      </c>
      <c r="N17" s="137">
        <v>4400215.13</v>
      </c>
      <c r="O17" s="317"/>
      <c r="P17" s="317"/>
      <c r="Q17" s="317"/>
      <c r="R17" s="317"/>
      <c r="S17" s="317"/>
      <c r="T17" s="317"/>
      <c r="U17" s="137">
        <f t="shared" si="0"/>
        <v>28061770.789999995</v>
      </c>
      <c r="W17" s="4" t="s">
        <v>217</v>
      </c>
      <c r="X17" s="5" t="s">
        <v>211</v>
      </c>
      <c r="Y17" s="2" t="str">
        <f t="shared" si="2"/>
        <v>Power PlantOT1</v>
      </c>
    </row>
    <row r="18" spans="1:27">
      <c r="A18" s="3"/>
      <c r="B18" s="4" t="str">
        <f>+B17</f>
        <v>Power Plant</v>
      </c>
      <c r="C18" s="5" t="s">
        <v>212</v>
      </c>
      <c r="D18" s="6">
        <v>200</v>
      </c>
      <c r="E18" s="4">
        <f>IFERROR(_xlfn.XLOOKUP(Y18,'[2]OT summary'!$L:$L,'[2]OT summary'!$D:$D),0)</f>
        <v>237</v>
      </c>
      <c r="F18" s="316">
        <f t="shared" si="1"/>
        <v>963016.40506329108</v>
      </c>
      <c r="G18" s="137">
        <f>IFERROR(_xlfn.XLOOKUP(Y18,'[2]OT summary'!$L:$L,'[2]OT summary'!$E:$E),0)</f>
        <v>1141174.44</v>
      </c>
      <c r="H18" s="319"/>
      <c r="I18" s="129">
        <v>3027989.6999999997</v>
      </c>
      <c r="J18" s="137">
        <v>84331.199999999997</v>
      </c>
      <c r="K18" s="137">
        <v>226546</v>
      </c>
      <c r="L18" s="137">
        <v>7362206.9500000002</v>
      </c>
      <c r="M18" s="137">
        <v>1869563.86</v>
      </c>
      <c r="N18" s="137">
        <v>1141174.44</v>
      </c>
      <c r="O18" s="317"/>
      <c r="P18" s="317"/>
      <c r="Q18" s="317"/>
      <c r="R18" s="317"/>
      <c r="S18" s="317"/>
      <c r="T18" s="317"/>
      <c r="U18" s="137">
        <f t="shared" si="0"/>
        <v>13711812.149999999</v>
      </c>
      <c r="W18" s="4" t="str">
        <f>+W17</f>
        <v>Power Plant</v>
      </c>
      <c r="X18" s="5" t="s">
        <v>212</v>
      </c>
      <c r="Y18" s="2" t="str">
        <f t="shared" si="2"/>
        <v>Power PlantOT2</v>
      </c>
    </row>
    <row r="19" spans="1:27">
      <c r="A19" s="3">
        <v>7</v>
      </c>
      <c r="B19" s="4" t="s">
        <v>218</v>
      </c>
      <c r="C19" s="5" t="s">
        <v>211</v>
      </c>
      <c r="D19" s="6">
        <v>1000</v>
      </c>
      <c r="E19" s="4">
        <f>IFERROR(_xlfn.XLOOKUP(Y19,'[2]OT summary'!$K:$K,'[2]OT summary'!$B:$B),0)-E21-E22</f>
        <v>554</v>
      </c>
      <c r="F19" s="316">
        <f t="shared" si="1"/>
        <v>5047367.5270758132</v>
      </c>
      <c r="G19" s="137">
        <f>IFERROR(_xlfn.XLOOKUP(Y19,'[2]OT summary'!$K:$K,'[2]OT summary'!$C:$C),0)-G22-G21</f>
        <v>2796241.6100000003</v>
      </c>
      <c r="H19" s="319"/>
      <c r="I19" s="129">
        <v>2763988.57</v>
      </c>
      <c r="J19" s="138">
        <v>3073086.3899999992</v>
      </c>
      <c r="K19" s="137">
        <v>3413285.7500000005</v>
      </c>
      <c r="L19" s="137">
        <v>2194799.8000000012</v>
      </c>
      <c r="M19" s="137">
        <v>3178084.4600000004</v>
      </c>
      <c r="N19" s="137">
        <v>2796241.6100000003</v>
      </c>
      <c r="O19" s="317"/>
      <c r="P19" s="317"/>
      <c r="Q19" s="317"/>
      <c r="R19" s="317"/>
      <c r="S19" s="317"/>
      <c r="T19" s="317"/>
      <c r="U19" s="137">
        <f t="shared" si="0"/>
        <v>17419486.580000002</v>
      </c>
      <c r="W19" s="4" t="s">
        <v>218</v>
      </c>
      <c r="X19" s="5" t="s">
        <v>211</v>
      </c>
      <c r="Y19" s="2" t="str">
        <f t="shared" si="2"/>
        <v>QuarryingOT1</v>
      </c>
    </row>
    <row r="20" spans="1:27">
      <c r="A20" s="3"/>
      <c r="B20" s="4" t="str">
        <f>+B19</f>
        <v>Quarrying</v>
      </c>
      <c r="C20" s="5" t="s">
        <v>212</v>
      </c>
      <c r="D20" s="86">
        <v>0</v>
      </c>
      <c r="E20" s="4">
        <f>IFERROR(_xlfn.XLOOKUP(Y20,'[2]OT summary'!$L:$L,'[2]OT summary'!$D:$D),0)</f>
        <v>128</v>
      </c>
      <c r="F20" s="316">
        <f t="shared" si="1"/>
        <v>0</v>
      </c>
      <c r="G20" s="137">
        <f>IFERROR(_xlfn.XLOOKUP(Y20,'[2]OT summary'!$L:$L,'[2]OT summary'!$E:$E),0)</f>
        <v>946560.20999999985</v>
      </c>
      <c r="H20" s="319"/>
      <c r="I20" s="129">
        <v>2805568.83</v>
      </c>
      <c r="J20" s="138">
        <v>0</v>
      </c>
      <c r="K20" s="137">
        <v>161871.79</v>
      </c>
      <c r="L20" s="137">
        <v>2373846.1399999997</v>
      </c>
      <c r="M20" s="137">
        <v>1801829.18</v>
      </c>
      <c r="N20" s="137">
        <v>946560.20999999985</v>
      </c>
      <c r="O20" s="317"/>
      <c r="P20" s="317"/>
      <c r="Q20" s="317"/>
      <c r="R20" s="317"/>
      <c r="S20" s="317"/>
      <c r="T20" s="317"/>
      <c r="U20" s="137">
        <f t="shared" si="0"/>
        <v>8089676.1499999994</v>
      </c>
      <c r="W20" s="4" t="str">
        <f>+W19</f>
        <v>Quarrying</v>
      </c>
      <c r="X20" s="5" t="s">
        <v>212</v>
      </c>
      <c r="Y20" s="2" t="str">
        <f t="shared" si="2"/>
        <v>QuarryingOT2</v>
      </c>
    </row>
    <row r="21" spans="1:27">
      <c r="A21" s="3">
        <v>8</v>
      </c>
      <c r="B21" s="4" t="s">
        <v>219</v>
      </c>
      <c r="C21" s="5" t="s">
        <v>211</v>
      </c>
      <c r="D21" s="5">
        <v>300</v>
      </c>
      <c r="E21" s="4">
        <v>120</v>
      </c>
      <c r="F21" s="316">
        <f t="shared" si="1"/>
        <v>1455368.9999999998</v>
      </c>
      <c r="G21" s="137">
        <v>582147.6</v>
      </c>
      <c r="H21" s="319"/>
      <c r="I21" s="129">
        <v>0</v>
      </c>
      <c r="J21" s="138">
        <v>685454.18</v>
      </c>
      <c r="K21" s="137">
        <v>0</v>
      </c>
      <c r="L21" s="137">
        <v>767167.32</v>
      </c>
      <c r="M21" s="137">
        <v>0</v>
      </c>
      <c r="N21" s="137">
        <v>582147.6</v>
      </c>
      <c r="O21" s="317"/>
      <c r="P21" s="317"/>
      <c r="Q21" s="317"/>
      <c r="R21" s="317"/>
      <c r="S21" s="317"/>
      <c r="T21" s="317"/>
      <c r="U21" s="137">
        <f t="shared" si="0"/>
        <v>2034769.1</v>
      </c>
      <c r="W21" s="4" t="s">
        <v>219</v>
      </c>
      <c r="X21" s="5" t="s">
        <v>211</v>
      </c>
      <c r="Y21" s="2" t="str">
        <f t="shared" si="2"/>
        <v>HEM MaintenanceOT1</v>
      </c>
    </row>
    <row r="22" spans="1:27">
      <c r="A22" s="3"/>
      <c r="B22" s="4" t="str">
        <f>+B21</f>
        <v>HEM Maintenance</v>
      </c>
      <c r="C22" s="5" t="s">
        <v>212</v>
      </c>
      <c r="D22" s="5">
        <v>200</v>
      </c>
      <c r="E22" s="4">
        <v>24</v>
      </c>
      <c r="F22" s="316">
        <f t="shared" si="1"/>
        <v>1146173.3333333333</v>
      </c>
      <c r="G22" s="137">
        <v>137540.79999999999</v>
      </c>
      <c r="H22" s="319"/>
      <c r="I22" s="129">
        <v>0</v>
      </c>
      <c r="J22" s="138">
        <v>143521.89000000001</v>
      </c>
      <c r="K22" s="137">
        <v>0</v>
      </c>
      <c r="L22" s="137">
        <v>501652.56</v>
      </c>
      <c r="M22" s="137">
        <v>0</v>
      </c>
      <c r="N22" s="137">
        <v>137540.79999999999</v>
      </c>
      <c r="O22" s="317"/>
      <c r="P22" s="317"/>
      <c r="Q22" s="317"/>
      <c r="R22" s="317"/>
      <c r="S22" s="317"/>
      <c r="T22" s="317"/>
      <c r="U22" s="137">
        <f t="shared" si="0"/>
        <v>782715.25</v>
      </c>
      <c r="W22" s="4" t="str">
        <f>+W21</f>
        <v>HEM Maintenance</v>
      </c>
      <c r="X22" s="5" t="s">
        <v>212</v>
      </c>
      <c r="Y22" s="2" t="str">
        <f t="shared" si="2"/>
        <v>HEM MaintenanceOT2</v>
      </c>
    </row>
    <row r="23" spans="1:27">
      <c r="A23" s="3">
        <v>9</v>
      </c>
      <c r="B23" s="135" t="s">
        <v>220</v>
      </c>
      <c r="C23" s="5" t="s">
        <v>211</v>
      </c>
      <c r="D23" s="6">
        <v>2000</v>
      </c>
      <c r="E23" s="4">
        <f>IFERROR(_xlfn.XLOOKUP(Y23,'[2]OT summary'!$K:$K,'[2]OT summary'!$B:$B),0)</f>
        <v>1134</v>
      </c>
      <c r="F23" s="316">
        <f t="shared" si="1"/>
        <v>7462554.9206349216</v>
      </c>
      <c r="G23" s="137">
        <f>IFERROR(_xlfn.XLOOKUP(Y23,'[2]OT summary'!$K:$K,'[2]OT summary'!$C:$C),0)</f>
        <v>4231268.6400000006</v>
      </c>
      <c r="H23" s="319"/>
      <c r="I23" s="129">
        <v>3632131.63</v>
      </c>
      <c r="J23" s="137">
        <v>4785114.9600000009</v>
      </c>
      <c r="K23" s="137">
        <v>3619237.29</v>
      </c>
      <c r="L23" s="137">
        <v>3387271.8000000003</v>
      </c>
      <c r="M23" s="137">
        <v>3969266.39</v>
      </c>
      <c r="N23" s="137">
        <v>4231268.6400000006</v>
      </c>
      <c r="O23" s="317"/>
      <c r="P23" s="317"/>
      <c r="Q23" s="317"/>
      <c r="R23" s="317"/>
      <c r="S23" s="317"/>
      <c r="T23" s="317"/>
      <c r="U23" s="137">
        <f t="shared" si="0"/>
        <v>23624290.710000001</v>
      </c>
      <c r="W23" s="4" t="s">
        <v>220</v>
      </c>
      <c r="X23" s="5" t="s">
        <v>211</v>
      </c>
      <c r="Y23" s="2" t="str">
        <f t="shared" si="2"/>
        <v>Packing and DispatchOT1</v>
      </c>
    </row>
    <row r="24" spans="1:27">
      <c r="A24" s="3"/>
      <c r="B24" s="4" t="str">
        <f>+B23</f>
        <v>Packing and Dispatch</v>
      </c>
      <c r="C24" s="5" t="s">
        <v>212</v>
      </c>
      <c r="D24" s="6">
        <v>0</v>
      </c>
      <c r="E24" s="4">
        <f>IFERROR(_xlfn.XLOOKUP(Y24,'[2]OT summary'!$L:$L,'[2]OT summary'!$D:$D),0)</f>
        <v>132</v>
      </c>
      <c r="F24" s="316">
        <f t="shared" si="1"/>
        <v>0</v>
      </c>
      <c r="G24" s="137">
        <f>IFERROR(_xlfn.XLOOKUP(Y24,'[2]OT summary'!$L:$L,'[2]OT summary'!$E:$E),0)</f>
        <v>676463.88</v>
      </c>
      <c r="H24" s="319"/>
      <c r="I24" s="129">
        <v>2910249.96</v>
      </c>
      <c r="J24" s="137">
        <v>99555.45</v>
      </c>
      <c r="K24" s="137">
        <v>47671.02</v>
      </c>
      <c r="L24" s="137">
        <v>4095161.2999999993</v>
      </c>
      <c r="M24" s="137">
        <v>1209092.8</v>
      </c>
      <c r="N24" s="137">
        <v>676463.88</v>
      </c>
      <c r="O24" s="317"/>
      <c r="P24" s="317"/>
      <c r="Q24" s="317"/>
      <c r="R24" s="317"/>
      <c r="S24" s="317"/>
      <c r="T24" s="317"/>
      <c r="U24" s="137">
        <f t="shared" si="0"/>
        <v>9038194.4100000001</v>
      </c>
      <c r="W24" s="4" t="str">
        <f>+W23</f>
        <v>Packing and Dispatch</v>
      </c>
      <c r="X24" s="5" t="s">
        <v>212</v>
      </c>
      <c r="Y24" s="2" t="str">
        <f t="shared" si="2"/>
        <v>Packing and DispatchOT2</v>
      </c>
    </row>
    <row r="25" spans="1:27">
      <c r="A25" s="3">
        <v>10</v>
      </c>
      <c r="B25" s="4" t="s">
        <v>221</v>
      </c>
      <c r="C25" s="5" t="s">
        <v>211</v>
      </c>
      <c r="D25" s="5">
        <v>0</v>
      </c>
      <c r="E25" s="4">
        <f>IFERROR(_xlfn.XLOOKUP(Y25,'[2]OT summary'!$K:$K,'[2]OT summary'!$B:$B),0)</f>
        <v>0</v>
      </c>
      <c r="F25" s="316">
        <f t="shared" si="1"/>
        <v>0</v>
      </c>
      <c r="G25" s="137">
        <f>IFERROR(_xlfn.XLOOKUP(Y25,'[2]OT summary'!$K:$K,'[2]OT summary'!$C:$C),0)</f>
        <v>0</v>
      </c>
      <c r="H25" s="319"/>
      <c r="I25" s="129">
        <v>0</v>
      </c>
      <c r="J25" s="137">
        <v>4690.8900000000003</v>
      </c>
      <c r="K25" s="137">
        <v>0</v>
      </c>
      <c r="L25" s="137">
        <v>69240.84</v>
      </c>
      <c r="M25" s="137">
        <v>0</v>
      </c>
      <c r="N25" s="137">
        <v>0</v>
      </c>
      <c r="O25" s="317"/>
      <c r="P25" s="317"/>
      <c r="Q25" s="317"/>
      <c r="R25" s="317"/>
      <c r="S25" s="317"/>
      <c r="T25" s="317"/>
      <c r="U25" s="137">
        <f t="shared" si="0"/>
        <v>73931.73</v>
      </c>
      <c r="W25" s="4" t="s">
        <v>221</v>
      </c>
      <c r="X25" s="5" t="s">
        <v>211</v>
      </c>
      <c r="Y25" s="2" t="str">
        <f t="shared" si="2"/>
        <v>StoresOT1</v>
      </c>
    </row>
    <row r="26" spans="1:27">
      <c r="A26" s="8"/>
      <c r="B26" s="4" t="str">
        <f>+B25</f>
        <v>Stores</v>
      </c>
      <c r="C26" s="5" t="s">
        <v>212</v>
      </c>
      <c r="D26" s="10">
        <v>0</v>
      </c>
      <c r="E26" s="4">
        <f>IFERROR(_xlfn.XLOOKUP(Y26,'[2]OT summary'!$L:$L,'[2]OT summary'!$D:$D),0)</f>
        <v>0</v>
      </c>
      <c r="F26" s="316">
        <f t="shared" si="1"/>
        <v>0</v>
      </c>
      <c r="G26" s="137">
        <f>IFERROR(_xlfn.XLOOKUP(Y26,'[2]OT summary'!$L:$L,'[2]OT summary'!$E:$E),0)</f>
        <v>0</v>
      </c>
      <c r="H26" s="320"/>
      <c r="I26" s="129">
        <v>0</v>
      </c>
      <c r="J26" s="137">
        <v>129625.35</v>
      </c>
      <c r="K26" s="137">
        <v>0</v>
      </c>
      <c r="L26" s="137">
        <v>343674.68</v>
      </c>
      <c r="M26" s="137">
        <v>0</v>
      </c>
      <c r="N26" s="137">
        <v>0</v>
      </c>
      <c r="O26" s="317"/>
      <c r="P26" s="317"/>
      <c r="Q26" s="317"/>
      <c r="R26" s="317"/>
      <c r="S26" s="317"/>
      <c r="T26" s="317"/>
      <c r="U26" s="137">
        <f t="shared" si="0"/>
        <v>473300.03</v>
      </c>
      <c r="W26" s="4" t="str">
        <f>+W25</f>
        <v>Stores</v>
      </c>
      <c r="X26" s="5" t="s">
        <v>212</v>
      </c>
      <c r="Y26" s="2" t="str">
        <f t="shared" si="2"/>
        <v>StoresOT2</v>
      </c>
    </row>
    <row r="27" spans="1:27">
      <c r="A27" s="8">
        <v>11</v>
      </c>
      <c r="B27" s="9" t="s">
        <v>222</v>
      </c>
      <c r="C27" s="5" t="s">
        <v>211</v>
      </c>
      <c r="D27" s="10">
        <v>200</v>
      </c>
      <c r="E27" s="4">
        <v>224</v>
      </c>
      <c r="F27" s="316">
        <f t="shared" si="1"/>
        <v>624194.41071428568</v>
      </c>
      <c r="G27" s="137">
        <v>699097.74</v>
      </c>
      <c r="H27" s="320"/>
      <c r="I27" s="129">
        <v>658990.47</v>
      </c>
      <c r="J27" s="137">
        <v>674127.14</v>
      </c>
      <c r="K27" s="137">
        <v>544983.88</v>
      </c>
      <c r="L27" s="137">
        <v>536392.26</v>
      </c>
      <c r="M27" s="137">
        <v>674418.73</v>
      </c>
      <c r="N27" s="137">
        <v>699097.74</v>
      </c>
      <c r="O27" s="317"/>
      <c r="P27" s="317"/>
      <c r="Q27" s="317"/>
      <c r="R27" s="317"/>
      <c r="S27" s="317"/>
      <c r="T27" s="317"/>
      <c r="U27" s="137">
        <f t="shared" si="0"/>
        <v>3788010.2199999997</v>
      </c>
      <c r="W27" s="9" t="s">
        <v>222</v>
      </c>
      <c r="X27" s="5" t="s">
        <v>211</v>
      </c>
      <c r="Y27" s="2" t="str">
        <f t="shared" si="2"/>
        <v>HR &amp; AdminOT1</v>
      </c>
      <c r="AA27" s="2">
        <f>_xlfn.XLOOKUP(Y27,'[3]OT summary'!$K$4:$K$22,'[3]OT summary'!$B$4:$B$22)</f>
        <v>0</v>
      </c>
    </row>
    <row r="28" spans="1:27">
      <c r="A28" s="8"/>
      <c r="B28" s="4" t="str">
        <f>+B27</f>
        <v>HR &amp; Admin</v>
      </c>
      <c r="C28" s="5" t="s">
        <v>212</v>
      </c>
      <c r="D28" s="10">
        <v>0</v>
      </c>
      <c r="E28" s="4">
        <v>89</v>
      </c>
      <c r="F28" s="316">
        <f t="shared" si="1"/>
        <v>0</v>
      </c>
      <c r="G28" s="321">
        <v>532138.82999999996</v>
      </c>
      <c r="H28" s="320"/>
      <c r="I28" s="129">
        <v>1295934.8399999999</v>
      </c>
      <c r="J28" s="137">
        <v>543511.07999999996</v>
      </c>
      <c r="K28" s="137">
        <v>508237.11</v>
      </c>
      <c r="L28" s="137">
        <v>968342.15</v>
      </c>
      <c r="M28" s="137">
        <v>351385.77999999997</v>
      </c>
      <c r="N28" s="137">
        <v>532138.82999999996</v>
      </c>
      <c r="O28" s="317"/>
      <c r="P28" s="317"/>
      <c r="Q28" s="317"/>
      <c r="R28" s="317"/>
      <c r="S28" s="317"/>
      <c r="T28" s="317"/>
      <c r="U28" s="137">
        <f t="shared" si="0"/>
        <v>4199549.7899999991</v>
      </c>
      <c r="W28" s="4" t="s">
        <v>222</v>
      </c>
      <c r="X28" s="5" t="s">
        <v>212</v>
      </c>
      <c r="Y28" s="2" t="str">
        <f t="shared" si="2"/>
        <v>HR &amp; AdminOT2</v>
      </c>
    </row>
    <row r="29" spans="1:27">
      <c r="A29" s="8">
        <v>12</v>
      </c>
      <c r="B29" s="9" t="s">
        <v>223</v>
      </c>
      <c r="C29" s="5" t="s">
        <v>211</v>
      </c>
      <c r="D29" s="10">
        <v>0</v>
      </c>
      <c r="E29" s="4">
        <f>IFERROR(_xlfn.XLOOKUP(Y29,'[2]OT summary'!$K:$K,'[2]OT summary'!$B:$B),0)</f>
        <v>0</v>
      </c>
      <c r="F29" s="316">
        <f t="shared" si="1"/>
        <v>0</v>
      </c>
      <c r="G29" s="137">
        <f>IFERROR(_xlfn.XLOOKUP(Y29,'[2]OT summary'!$K:$K,'[2]OT summary'!$C:$C),0)</f>
        <v>0</v>
      </c>
      <c r="H29" s="320"/>
      <c r="I29" s="129">
        <v>0</v>
      </c>
      <c r="J29" s="137">
        <v>0</v>
      </c>
      <c r="K29" s="137">
        <v>0</v>
      </c>
      <c r="L29" s="137">
        <v>0</v>
      </c>
      <c r="M29" s="137">
        <v>0</v>
      </c>
      <c r="N29" s="137">
        <v>0</v>
      </c>
      <c r="O29" s="317"/>
      <c r="P29" s="317"/>
      <c r="Q29" s="317"/>
      <c r="R29" s="317"/>
      <c r="S29" s="317"/>
      <c r="T29" s="317"/>
      <c r="U29" s="137">
        <f t="shared" si="0"/>
        <v>0</v>
      </c>
      <c r="W29" s="9" t="s">
        <v>223</v>
      </c>
      <c r="X29" s="5" t="s">
        <v>211</v>
      </c>
      <c r="Y29" s="2" t="str">
        <f t="shared" si="2"/>
        <v>AccountsOT1</v>
      </c>
    </row>
    <row r="30" spans="1:27">
      <c r="A30" s="8"/>
      <c r="B30" s="4" t="str">
        <f>+B29</f>
        <v>Accounts</v>
      </c>
      <c r="C30" s="5" t="s">
        <v>212</v>
      </c>
      <c r="D30" s="10">
        <v>0</v>
      </c>
      <c r="E30" s="4">
        <f>IFERROR(_xlfn.XLOOKUP(Y30,'[2]OT summary'!$L:$L,'[2]OT summary'!$D:$D),0)</f>
        <v>0</v>
      </c>
      <c r="F30" s="316">
        <f t="shared" si="1"/>
        <v>0</v>
      </c>
      <c r="G30" s="137">
        <f>IFERROR(_xlfn.XLOOKUP(Y30,'[2]OT summary'!$L:$L,'[2]OT summary'!$E:$E),0)</f>
        <v>0</v>
      </c>
      <c r="H30" s="318"/>
      <c r="I30" s="129">
        <v>93144.37</v>
      </c>
      <c r="J30" s="137">
        <v>46018.869999999995</v>
      </c>
      <c r="K30" s="137">
        <v>44615.5</v>
      </c>
      <c r="L30" s="137">
        <v>0</v>
      </c>
      <c r="M30" s="137">
        <v>0</v>
      </c>
      <c r="N30" s="137">
        <v>0</v>
      </c>
      <c r="O30" s="317"/>
      <c r="P30" s="317"/>
      <c r="Q30" s="317"/>
      <c r="R30" s="317"/>
      <c r="S30" s="317"/>
      <c r="T30" s="317"/>
      <c r="U30" s="137">
        <f t="shared" si="0"/>
        <v>183778.74</v>
      </c>
      <c r="W30" s="4" t="str">
        <f>+W29</f>
        <v>Accounts</v>
      </c>
      <c r="X30" s="5" t="s">
        <v>212</v>
      </c>
      <c r="Y30" s="2" t="str">
        <f t="shared" si="2"/>
        <v>AccountsOT2</v>
      </c>
    </row>
    <row r="31" spans="1:27">
      <c r="A31" s="8">
        <v>13</v>
      </c>
      <c r="B31" s="9" t="s">
        <v>227</v>
      </c>
      <c r="C31" s="5" t="s">
        <v>211</v>
      </c>
      <c r="D31" s="10"/>
      <c r="E31" s="4">
        <f>IFERROR(_xlfn.XLOOKUP(Y31,'[2]OT summary'!$K:$K,'[2]OT summary'!$B:$B),0)</f>
        <v>0</v>
      </c>
      <c r="F31" s="316">
        <f t="shared" si="1"/>
        <v>0</v>
      </c>
      <c r="G31" s="137">
        <f>IFERROR(_xlfn.XLOOKUP(Y31,'[2]OT summary'!$K:$K,'[2]OT summary'!$C:$C),0)</f>
        <v>0</v>
      </c>
      <c r="H31" s="320"/>
      <c r="I31" s="129">
        <v>0</v>
      </c>
      <c r="J31" s="137">
        <v>0</v>
      </c>
      <c r="K31" s="137">
        <v>0</v>
      </c>
      <c r="L31" s="137">
        <v>0</v>
      </c>
      <c r="M31" s="137">
        <v>0</v>
      </c>
      <c r="N31" s="137">
        <v>0</v>
      </c>
      <c r="O31" s="317"/>
      <c r="P31" s="317"/>
      <c r="Q31" s="317"/>
      <c r="R31" s="317"/>
      <c r="S31" s="317"/>
      <c r="T31" s="317"/>
      <c r="U31" s="137"/>
      <c r="W31" s="309" t="s">
        <v>227</v>
      </c>
      <c r="X31" s="5" t="s">
        <v>211</v>
      </c>
      <c r="Y31" s="2" t="str">
        <f t="shared" si="2"/>
        <v>CivilOT1</v>
      </c>
    </row>
    <row r="32" spans="1:27">
      <c r="A32" s="8"/>
      <c r="B32" s="4" t="str">
        <f t="shared" ref="B32" si="3">+B31</f>
        <v>Civil</v>
      </c>
      <c r="C32" s="5" t="s">
        <v>212</v>
      </c>
      <c r="D32" s="10"/>
      <c r="E32" s="4">
        <f>IFERROR(_xlfn.XLOOKUP(Y32,'[2]OT summary'!$L:$L,'[2]OT summary'!$D:$D),0)</f>
        <v>5</v>
      </c>
      <c r="F32" s="316">
        <f t="shared" si="1"/>
        <v>0</v>
      </c>
      <c r="G32" s="137">
        <f>IFERROR(_xlfn.XLOOKUP(Y32,'[2]OT summary'!$L:$L,'[2]OT summary'!$E:$E),0)</f>
        <v>42704.67</v>
      </c>
      <c r="H32" s="320"/>
      <c r="I32" s="129">
        <v>0</v>
      </c>
      <c r="J32" s="137">
        <v>0</v>
      </c>
      <c r="K32" s="137">
        <v>85409.33</v>
      </c>
      <c r="L32" s="137">
        <v>85409.33</v>
      </c>
      <c r="M32" s="137">
        <v>68327.47</v>
      </c>
      <c r="N32" s="137">
        <v>42704.67</v>
      </c>
      <c r="O32" s="317"/>
      <c r="P32" s="317"/>
      <c r="Q32" s="317"/>
      <c r="R32" s="317"/>
      <c r="S32" s="317"/>
      <c r="T32" s="317"/>
      <c r="U32" s="137"/>
      <c r="W32" s="4" t="str">
        <f t="shared" ref="W32" si="4">+W31</f>
        <v>Civil</v>
      </c>
      <c r="X32" s="5" t="s">
        <v>212</v>
      </c>
      <c r="Y32" s="2" t="str">
        <f t="shared" si="2"/>
        <v>CivilOT2</v>
      </c>
    </row>
    <row r="33" spans="1:25" ht="15" thickBot="1">
      <c r="A33" s="11">
        <v>14</v>
      </c>
      <c r="B33" s="310" t="s">
        <v>243</v>
      </c>
      <c r="C33" s="5" t="s">
        <v>211</v>
      </c>
      <c r="D33" s="10"/>
      <c r="E33" s="4">
        <f>IFERROR(_xlfn.XLOOKUP(Y33,'[2]OT summary'!$K:$K,'[2]OT summary'!$B:$B),0)</f>
        <v>29</v>
      </c>
      <c r="F33" s="316">
        <f t="shared" si="1"/>
        <v>0</v>
      </c>
      <c r="G33" s="137">
        <f>IFERROR(_xlfn.XLOOKUP(Y33,'[2]OT summary'!$K:$K,'[2]OT summary'!$C:$C),0)</f>
        <v>165565.91</v>
      </c>
      <c r="H33" s="320"/>
      <c r="I33" s="129">
        <v>0</v>
      </c>
      <c r="J33" s="137">
        <v>228366.77</v>
      </c>
      <c r="K33" s="137">
        <v>222657.6</v>
      </c>
      <c r="L33" s="137">
        <v>199820.92</v>
      </c>
      <c r="M33" s="137">
        <v>251203.45</v>
      </c>
      <c r="N33" s="137">
        <v>165565.91</v>
      </c>
      <c r="O33" s="317"/>
      <c r="P33" s="317"/>
      <c r="Q33" s="317"/>
      <c r="R33" s="317"/>
      <c r="S33" s="317"/>
      <c r="T33" s="317"/>
      <c r="U33" s="137">
        <f t="shared" ref="U33" si="5">SUM(I33:T33)</f>
        <v>1067614.6499999999</v>
      </c>
      <c r="W33" s="310" t="s">
        <v>243</v>
      </c>
      <c r="X33" s="5" t="s">
        <v>211</v>
      </c>
      <c r="Y33" s="2" t="str">
        <f t="shared" si="2"/>
        <v>ITOT1</v>
      </c>
    </row>
    <row r="34" spans="1:25" ht="15" thickBot="1">
      <c r="A34" s="11">
        <v>14</v>
      </c>
      <c r="B34" s="310" t="s">
        <v>243</v>
      </c>
      <c r="C34" s="5" t="s">
        <v>212</v>
      </c>
      <c r="D34" s="5"/>
      <c r="E34" s="4">
        <f>IFERROR(_xlfn.XLOOKUP(Y34,'[2]OT summary'!$L:$L,'[2]OT summary'!$D:$D),0)</f>
        <v>49</v>
      </c>
      <c r="F34" s="316">
        <f t="shared" si="1"/>
        <v>0</v>
      </c>
      <c r="G34" s="137">
        <f>IFERROR(_xlfn.XLOOKUP(Y34,'[2]OT summary'!$L:$L,'[2]OT summary'!$E:$E),0)</f>
        <v>372999.06</v>
      </c>
      <c r="H34" s="317"/>
      <c r="I34" s="129">
        <v>0</v>
      </c>
      <c r="J34" s="137">
        <v>365386.83</v>
      </c>
      <c r="K34" s="137">
        <v>182693.42</v>
      </c>
      <c r="L34" s="137">
        <v>449121.31</v>
      </c>
      <c r="M34" s="137">
        <v>274040.12</v>
      </c>
      <c r="N34" s="137">
        <v>372999.06</v>
      </c>
      <c r="O34" s="317"/>
      <c r="P34" s="317"/>
      <c r="Q34" s="317"/>
      <c r="R34" s="317"/>
      <c r="S34" s="317"/>
      <c r="T34" s="317"/>
      <c r="U34" s="137">
        <f t="shared" si="0"/>
        <v>1644240.7400000002</v>
      </c>
      <c r="W34" s="310" t="s">
        <v>243</v>
      </c>
      <c r="X34" s="5" t="s">
        <v>212</v>
      </c>
      <c r="Y34" s="2" t="str">
        <f t="shared" si="2"/>
        <v>ITOT2</v>
      </c>
    </row>
    <row r="35" spans="1:25" ht="15" thickBot="1">
      <c r="E35" s="136">
        <f>SUBTOTAL(9,E7:E34)</f>
        <v>7662.3</v>
      </c>
      <c r="F35" s="322"/>
      <c r="G35" s="139">
        <f>SUBTOTAL(9,G7:G34)</f>
        <v>40572645.350000009</v>
      </c>
      <c r="H35" s="322"/>
      <c r="I35" s="139">
        <f>SUBTOTAL(9,I7:I34)</f>
        <v>50704265.240000002</v>
      </c>
      <c r="J35" s="139">
        <f t="shared" ref="J35:U35" si="6">SUBTOTAL(9,J7:J34)</f>
        <v>36349697.339999996</v>
      </c>
      <c r="K35" s="139">
        <f t="shared" si="6"/>
        <v>29417120.109999999</v>
      </c>
      <c r="L35" s="139">
        <f t="shared" si="6"/>
        <v>86802563.719999999</v>
      </c>
      <c r="M35" s="139">
        <f t="shared" si="6"/>
        <v>41207433.289999999</v>
      </c>
      <c r="N35" s="139">
        <f t="shared" si="6"/>
        <v>40572645.350000009</v>
      </c>
      <c r="O35" s="139">
        <f t="shared" si="6"/>
        <v>0</v>
      </c>
      <c r="P35" s="139">
        <f t="shared" si="6"/>
        <v>0</v>
      </c>
      <c r="Q35" s="139">
        <f t="shared" si="6"/>
        <v>0</v>
      </c>
      <c r="R35" s="139">
        <f t="shared" si="6"/>
        <v>0</v>
      </c>
      <c r="S35" s="139">
        <f t="shared" si="6"/>
        <v>0</v>
      </c>
      <c r="T35" s="139">
        <f t="shared" si="6"/>
        <v>0</v>
      </c>
      <c r="U35" s="139">
        <f t="shared" si="6"/>
        <v>284771874.25000006</v>
      </c>
    </row>
    <row r="36" spans="1:25" ht="15" thickTop="1">
      <c r="H36" s="2" t="s">
        <v>258</v>
      </c>
      <c r="I36" s="323">
        <f>I35/1000000</f>
        <v>50.704265240000005</v>
      </c>
      <c r="J36" s="323">
        <f t="shared" ref="J36:N36" si="7">J35/1000000</f>
        <v>36.349697339999999</v>
      </c>
      <c r="K36" s="323">
        <f t="shared" si="7"/>
        <v>29.417120109999999</v>
      </c>
      <c r="L36" s="323">
        <f t="shared" si="7"/>
        <v>86.802563719999995</v>
      </c>
      <c r="M36" s="323">
        <f t="shared" si="7"/>
        <v>41.207433289999997</v>
      </c>
      <c r="N36" s="323">
        <f t="shared" si="7"/>
        <v>40.572645350000009</v>
      </c>
    </row>
    <row r="39" spans="1:25">
      <c r="E39" s="2">
        <f>SUBTOTAL(9,E7:E34)</f>
        <v>7662.3</v>
      </c>
      <c r="G39" s="133">
        <f>SUBTOTAL(9,G7:G34)</f>
        <v>40572645.350000009</v>
      </c>
    </row>
    <row r="40" spans="1:25">
      <c r="E40" s="2">
        <v>1670.5</v>
      </c>
    </row>
    <row r="41" spans="1:25">
      <c r="E41" s="2">
        <f>+E39-E40</f>
        <v>5991.8</v>
      </c>
    </row>
  </sheetData>
  <mergeCells count="10">
    <mergeCell ref="I5:T5"/>
    <mergeCell ref="A5:A6"/>
    <mergeCell ref="B5:B6"/>
    <mergeCell ref="C5:C6"/>
    <mergeCell ref="H5:H6"/>
    <mergeCell ref="A1:H1"/>
    <mergeCell ref="A2:H2"/>
    <mergeCell ref="A3:H3"/>
    <mergeCell ref="D5:E5"/>
    <mergeCell ref="F5:G5"/>
  </mergeCells>
  <conditionalFormatting sqref="E7:E34">
    <cfRule type="expression" dxfId="3" priority="3">
      <formula>E7&gt;=D7</formula>
    </cfRule>
    <cfRule type="expression" dxfId="2" priority="4">
      <formula>E7&lt;=D7</formula>
    </cfRule>
  </conditionalFormatting>
  <conditionalFormatting sqref="G7:G34">
    <cfRule type="expression" dxfId="1" priority="1">
      <formula>G7&gt;=F7</formula>
    </cfRule>
    <cfRule type="expression" dxfId="0" priority="2">
      <formula>G7&lt;=F7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f94e3b-0756-47b1-a0d9-9dc56946f3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41979D848DE4AB2B4F07C46609573" ma:contentTypeVersion="15" ma:contentTypeDescription="Create a new document." ma:contentTypeScope="" ma:versionID="2037de113978a144f841fac0f4758c65">
  <xsd:schema xmlns:xsd="http://www.w3.org/2001/XMLSchema" xmlns:xs="http://www.w3.org/2001/XMLSchema" xmlns:p="http://schemas.microsoft.com/office/2006/metadata/properties" xmlns:ns3="2ef94e3b-0756-47b1-a0d9-9dc56946f33f" targetNamespace="http://schemas.microsoft.com/office/2006/metadata/properties" ma:root="true" ma:fieldsID="484d48591486dbf9e4cd37fe6a0a5a6c" ns3:_="">
    <xsd:import namespace="2ef94e3b-0756-47b1-a0d9-9dc56946f3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94e3b-0756-47b1-a0d9-9dc56946f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3A3E88-ACE2-4240-A160-DD77AD9334B1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ef94e3b-0756-47b1-a0d9-9dc56946f33f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945ABF4-7015-4057-8355-5DAC3CD16953}">
  <ds:schemaRefs/>
</ds:datastoreItem>
</file>

<file path=customXml/itemProps3.xml><?xml version="1.0" encoding="utf-8"?>
<ds:datastoreItem xmlns:ds="http://schemas.openxmlformats.org/officeDocument/2006/customXml" ds:itemID="{CAD7E05E-606A-41FB-B9A9-013F468028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Mechanical</vt:lpstr>
      <vt:lpstr>Production</vt:lpstr>
      <vt:lpstr>E &amp; I</vt:lpstr>
      <vt:lpstr>Power Plant</vt:lpstr>
      <vt:lpstr>Mines</vt:lpstr>
      <vt:lpstr>Packing Plant</vt:lpstr>
      <vt:lpstr>Stores</vt:lpstr>
      <vt:lpstr>Mines Workshop</vt:lpstr>
      <vt:lpstr>OT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JADHAO</dc:creator>
  <cp:lastModifiedBy>Pavan Gandhi</cp:lastModifiedBy>
  <cp:lastPrinted>2026-06-03T07:27:38Z</cp:lastPrinted>
  <dcterms:created xsi:type="dcterms:W3CDTF">2019-03-06T09:22:00Z</dcterms:created>
  <dcterms:modified xsi:type="dcterms:W3CDTF">2026-07-08T08:57:29Z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0x01010011E41979D848DE4AB2B4F07C46609573</vt:lpwstr>
  </property>
  <property fmtid="{D5CDD505-2E9C-101B-9397-08002B2CF9AE}" pid="3" name="ICV">
    <vt:lpwstr>EC3E295785954EBD8B68DECF8A8FB95C_13</vt:lpwstr>
  </property>
  <property fmtid="{D5CDD505-2E9C-101B-9397-08002B2CF9AE}" pid="4" name="KSOProductBuildVer">
    <vt:lpwstr>1033-12.2.0.23196</vt:lpwstr>
  </property>
</Properties>
</file>